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412" documentId="8_{BBC9EA4E-7F3B-475F-B61B-890F681C3A1C}" xr6:coauthVersionLast="47" xr6:coauthVersionMax="47" xr10:uidLastSave="{A226126C-1714-43D8-AA0C-1249245268DB}"/>
  <bookViews>
    <workbookView xWindow="11520" yWindow="0" windowWidth="11520" windowHeight="12360" tabRatio="597" firstSheet="6" activeTab="7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2" hidden="1">Cuentas!$A$1:$C$52</definedName>
    <definedName name="_xlnm._FilterDatabase" localSheetId="1" hidden="1">Listas!$A$1:$G$52</definedName>
    <definedName name="_xlnm._FilterDatabase" localSheetId="3" hidden="1">Movimientos!$L$1334:$L$1335</definedName>
    <definedName name="_xlnm._FilterDatabase" localSheetId="0" hidden="1">'Saldos Iniciales'!$A$1:$D$34</definedName>
    <definedName name="DatosExternos_1" localSheetId="7" hidden="1">'Lista diaria'!$A$1:$D$4677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2" i="6" l="1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R1265" i="1"/>
  <c r="R1266" i="1"/>
  <c r="R1267" i="1"/>
  <c r="R1268" i="1"/>
  <c r="R1231" i="1"/>
  <c r="R1227" i="1"/>
  <c r="N1231" i="1"/>
  <c r="O1231" i="1"/>
  <c r="P1231" i="1"/>
  <c r="N1227" i="1"/>
  <c r="P1227" i="1" s="1"/>
  <c r="O1227" i="1"/>
  <c r="K1231" i="1"/>
  <c r="K1227" i="1"/>
  <c r="H1231" i="1"/>
  <c r="I1231" i="1"/>
  <c r="H1227" i="1"/>
  <c r="I1227" i="1"/>
  <c r="E1231" i="1"/>
  <c r="E1227" i="1"/>
  <c r="C1231" i="1"/>
  <c r="C1227" i="1"/>
  <c r="K1268" i="1"/>
  <c r="N1188" i="1"/>
  <c r="P1188" i="1" s="1"/>
  <c r="O1188" i="1"/>
  <c r="K1188" i="1"/>
  <c r="H1188" i="1"/>
  <c r="I1188" i="1"/>
  <c r="E1188" i="1"/>
  <c r="C1188" i="1"/>
  <c r="N1248" i="1"/>
  <c r="O1248" i="1"/>
  <c r="P1248" i="1"/>
  <c r="N1249" i="1"/>
  <c r="O1249" i="1"/>
  <c r="P1249" i="1" s="1"/>
  <c r="N1250" i="1"/>
  <c r="O1250" i="1"/>
  <c r="P1250" i="1"/>
  <c r="N1251" i="1"/>
  <c r="O1251" i="1"/>
  <c r="P1251" i="1"/>
  <c r="N1252" i="1"/>
  <c r="O1252" i="1"/>
  <c r="P1252" i="1"/>
  <c r="N1253" i="1"/>
  <c r="O1253" i="1"/>
  <c r="P1253" i="1"/>
  <c r="N1254" i="1"/>
  <c r="O1254" i="1"/>
  <c r="P1254" i="1" s="1"/>
  <c r="N1255" i="1"/>
  <c r="O1255" i="1"/>
  <c r="P1255" i="1"/>
  <c r="N1256" i="1"/>
  <c r="O1256" i="1"/>
  <c r="P1256" i="1"/>
  <c r="N1257" i="1"/>
  <c r="O1257" i="1"/>
  <c r="P1257" i="1" s="1"/>
  <c r="N1258" i="1"/>
  <c r="O1258" i="1"/>
  <c r="P1258" i="1"/>
  <c r="N1259" i="1"/>
  <c r="O1259" i="1"/>
  <c r="P1259" i="1" s="1"/>
  <c r="N1260" i="1"/>
  <c r="O1260" i="1"/>
  <c r="P1260" i="1" s="1"/>
  <c r="N1261" i="1"/>
  <c r="O1261" i="1"/>
  <c r="P1261" i="1" s="1"/>
  <c r="N1262" i="1"/>
  <c r="P1262" i="1" s="1"/>
  <c r="O1262" i="1"/>
  <c r="N1263" i="1"/>
  <c r="O1263" i="1"/>
  <c r="P1263" i="1" s="1"/>
  <c r="N1264" i="1"/>
  <c r="O1264" i="1"/>
  <c r="P1264" i="1" s="1"/>
  <c r="N1265" i="1"/>
  <c r="O1265" i="1"/>
  <c r="P1265" i="1"/>
  <c r="N1266" i="1"/>
  <c r="O1266" i="1"/>
  <c r="P1266" i="1" s="1"/>
  <c r="N1267" i="1"/>
  <c r="O1267" i="1"/>
  <c r="P1267" i="1" s="1"/>
  <c r="N1268" i="1"/>
  <c r="O1268" i="1"/>
  <c r="P1268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H1248" i="1"/>
  <c r="I1248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N1242" i="1"/>
  <c r="O1242" i="1"/>
  <c r="P1242" i="1"/>
  <c r="N1243" i="1"/>
  <c r="O1243" i="1"/>
  <c r="P1243" i="1"/>
  <c r="N1244" i="1"/>
  <c r="O1244" i="1"/>
  <c r="P1244" i="1"/>
  <c r="N1245" i="1"/>
  <c r="O1245" i="1"/>
  <c r="P1245" i="1"/>
  <c r="N1246" i="1"/>
  <c r="O1246" i="1"/>
  <c r="P1246" i="1"/>
  <c r="N1247" i="1"/>
  <c r="O1247" i="1"/>
  <c r="P1247" i="1"/>
  <c r="K1242" i="1"/>
  <c r="K1243" i="1"/>
  <c r="K1244" i="1"/>
  <c r="K1245" i="1"/>
  <c r="K1246" i="1"/>
  <c r="K1247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5" i="1"/>
  <c r="O1235" i="1"/>
  <c r="P1235" i="1" s="1"/>
  <c r="N1236" i="1"/>
  <c r="O1236" i="1"/>
  <c r="P1236" i="1"/>
  <c r="N1237" i="1"/>
  <c r="P1237" i="1" s="1"/>
  <c r="O1237" i="1"/>
  <c r="N1238" i="1"/>
  <c r="O1238" i="1"/>
  <c r="P1238" i="1" s="1"/>
  <c r="N1239" i="1"/>
  <c r="O1239" i="1"/>
  <c r="P1239" i="1"/>
  <c r="N1240" i="1"/>
  <c r="O1240" i="1"/>
  <c r="P1240" i="1"/>
  <c r="N1241" i="1"/>
  <c r="O1241" i="1"/>
  <c r="P1241" i="1" s="1"/>
  <c r="K1236" i="1"/>
  <c r="K1237" i="1"/>
  <c r="K1238" i="1"/>
  <c r="K1239" i="1"/>
  <c r="K1240" i="1"/>
  <c r="K1241" i="1"/>
  <c r="H1235" i="1"/>
  <c r="I1235" i="1"/>
  <c r="H1236" i="1"/>
  <c r="I1236" i="1"/>
  <c r="H1237" i="1"/>
  <c r="I1237" i="1"/>
  <c r="H1238" i="1"/>
  <c r="I1238" i="1"/>
  <c r="H1239" i="1"/>
  <c r="I1239" i="1"/>
  <c r="H1240" i="1"/>
  <c r="I1240" i="1"/>
  <c r="H1241" i="1"/>
  <c r="I1241" i="1"/>
  <c r="E1236" i="1"/>
  <c r="E1237" i="1"/>
  <c r="E1238" i="1"/>
  <c r="E1239" i="1"/>
  <c r="E1240" i="1"/>
  <c r="E1241" i="1"/>
  <c r="C1236" i="1"/>
  <c r="C1237" i="1"/>
  <c r="C1238" i="1"/>
  <c r="C1239" i="1"/>
  <c r="C1240" i="1"/>
  <c r="C1241" i="1"/>
  <c r="N1230" i="1"/>
  <c r="O1230" i="1"/>
  <c r="P1230" i="1" s="1"/>
  <c r="N1232" i="1"/>
  <c r="O1232" i="1"/>
  <c r="P1232" i="1"/>
  <c r="N1233" i="1"/>
  <c r="O1233" i="1"/>
  <c r="P1233" i="1" s="1"/>
  <c r="N1234" i="1"/>
  <c r="O1234" i="1"/>
  <c r="P1234" i="1" s="1"/>
  <c r="K1230" i="1"/>
  <c r="K1232" i="1"/>
  <c r="K1233" i="1"/>
  <c r="K1234" i="1"/>
  <c r="K1235" i="1"/>
  <c r="H1230" i="1"/>
  <c r="I1230" i="1"/>
  <c r="H1232" i="1"/>
  <c r="I1232" i="1"/>
  <c r="H1233" i="1"/>
  <c r="I1233" i="1"/>
  <c r="H1234" i="1"/>
  <c r="I1234" i="1"/>
  <c r="E1230" i="1"/>
  <c r="E1232" i="1"/>
  <c r="E1233" i="1"/>
  <c r="E1234" i="1"/>
  <c r="E1235" i="1"/>
  <c r="C1230" i="1"/>
  <c r="C1232" i="1"/>
  <c r="C1233" i="1"/>
  <c r="C1234" i="1"/>
  <c r="C1235" i="1"/>
  <c r="N1209" i="1"/>
  <c r="O1209" i="1"/>
  <c r="P1209" i="1" s="1"/>
  <c r="N1210" i="1"/>
  <c r="O1210" i="1"/>
  <c r="P1210" i="1"/>
  <c r="N1211" i="1"/>
  <c r="O1211" i="1"/>
  <c r="P1211" i="1"/>
  <c r="N1212" i="1"/>
  <c r="O1212" i="1"/>
  <c r="P1212" i="1"/>
  <c r="N1213" i="1"/>
  <c r="O1213" i="1"/>
  <c r="P1213" i="1"/>
  <c r="N1214" i="1"/>
  <c r="O1214" i="1"/>
  <c r="P1214" i="1" s="1"/>
  <c r="N1215" i="1"/>
  <c r="O1215" i="1"/>
  <c r="P1215" i="1"/>
  <c r="N1216" i="1"/>
  <c r="O1216" i="1"/>
  <c r="P1216" i="1" s="1"/>
  <c r="N1217" i="1"/>
  <c r="O1217" i="1"/>
  <c r="P1217" i="1" s="1"/>
  <c r="N1218" i="1"/>
  <c r="O1218" i="1"/>
  <c r="P1218" i="1"/>
  <c r="N1219" i="1"/>
  <c r="O1219" i="1"/>
  <c r="P1219" i="1"/>
  <c r="N1220" i="1"/>
  <c r="O1220" i="1"/>
  <c r="P1220" i="1"/>
  <c r="N1221" i="1"/>
  <c r="O1221" i="1"/>
  <c r="P1221" i="1"/>
  <c r="N1222" i="1"/>
  <c r="O1222" i="1"/>
  <c r="P1222" i="1" s="1"/>
  <c r="N1223" i="1"/>
  <c r="O1223" i="1"/>
  <c r="P1223" i="1"/>
  <c r="N1224" i="1"/>
  <c r="O1224" i="1"/>
  <c r="P1224" i="1" s="1"/>
  <c r="N1225" i="1"/>
  <c r="O1225" i="1"/>
  <c r="P1225" i="1" s="1"/>
  <c r="N1226" i="1"/>
  <c r="O1226" i="1"/>
  <c r="P1226" i="1"/>
  <c r="N1228" i="1"/>
  <c r="O1228" i="1"/>
  <c r="P1228" i="1"/>
  <c r="N1229" i="1"/>
  <c r="O1229" i="1"/>
  <c r="P1229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8" i="1"/>
  <c r="K1229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8" i="1"/>
  <c r="I1229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8" i="1"/>
  <c r="H1229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8" i="1"/>
  <c r="E1229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8" i="1"/>
  <c r="C1229" i="1"/>
  <c r="N1207" i="1"/>
  <c r="O1207" i="1"/>
  <c r="P1207" i="1" s="1"/>
  <c r="Q1207" i="1"/>
  <c r="R1207" i="1"/>
  <c r="N1208" i="1"/>
  <c r="O1208" i="1"/>
  <c r="P1208" i="1" s="1"/>
  <c r="Q1208" i="1"/>
  <c r="R1208" i="1"/>
  <c r="K1207" i="1"/>
  <c r="I1207" i="1"/>
  <c r="E1207" i="1"/>
  <c r="E1208" i="1"/>
  <c r="C1207" i="1"/>
  <c r="C1208" i="1"/>
  <c r="N3" i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 s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 s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 s="1"/>
  <c r="Q102" i="1"/>
  <c r="R102" i="1"/>
  <c r="N103" i="1"/>
  <c r="O103" i="1"/>
  <c r="P103" i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/>
  <c r="Q120" i="1"/>
  <c r="R120" i="1"/>
  <c r="N121" i="1"/>
  <c r="O121" i="1"/>
  <c r="P121" i="1" s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 s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 s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 s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/>
  <c r="Q300" i="1"/>
  <c r="R300" i="1"/>
  <c r="N301" i="1"/>
  <c r="O301" i="1"/>
  <c r="P301" i="1" s="1"/>
  <c r="Q301" i="1"/>
  <c r="R301" i="1"/>
  <c r="N302" i="1"/>
  <c r="O302" i="1"/>
  <c r="P302" i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 s="1"/>
  <c r="Q317" i="1"/>
  <c r="R317" i="1"/>
  <c r="N318" i="1"/>
  <c r="O318" i="1"/>
  <c r="P318" i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O347" i="1"/>
  <c r="P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O374" i="1"/>
  <c r="P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/>
  <c r="Q386" i="1"/>
  <c r="R386" i="1"/>
  <c r="N387" i="1"/>
  <c r="O387" i="1"/>
  <c r="P387" i="1" s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/>
  <c r="Q428" i="1"/>
  <c r="R428" i="1"/>
  <c r="N429" i="1"/>
  <c r="O429" i="1"/>
  <c r="P429" i="1" s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 s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 s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/>
  <c r="Q493" i="1"/>
  <c r="R493" i="1"/>
  <c r="N494" i="1"/>
  <c r="O494" i="1"/>
  <c r="P494" i="1" s="1"/>
  <c r="Q494" i="1"/>
  <c r="R494" i="1"/>
  <c r="N495" i="1"/>
  <c r="O495" i="1"/>
  <c r="P495" i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/>
  <c r="Q500" i="1"/>
  <c r="R500" i="1"/>
  <c r="N501" i="1"/>
  <c r="O501" i="1"/>
  <c r="P501" i="1" s="1"/>
  <c r="Q501" i="1"/>
  <c r="R501" i="1"/>
  <c r="N502" i="1"/>
  <c r="O502" i="1"/>
  <c r="P502" i="1"/>
  <c r="Q502" i="1"/>
  <c r="R502" i="1"/>
  <c r="N503" i="1"/>
  <c r="O503" i="1"/>
  <c r="P503" i="1" s="1"/>
  <c r="Q503" i="1"/>
  <c r="R503" i="1"/>
  <c r="N504" i="1"/>
  <c r="O504" i="1"/>
  <c r="P504" i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 s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/>
  <c r="Q550" i="1"/>
  <c r="R550" i="1"/>
  <c r="N551" i="1"/>
  <c r="O551" i="1"/>
  <c r="P551" i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O579" i="1"/>
  <c r="P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/>
  <c r="Q589" i="1"/>
  <c r="R589" i="1"/>
  <c r="N590" i="1"/>
  <c r="O590" i="1"/>
  <c r="P590" i="1" s="1"/>
  <c r="Q590" i="1"/>
  <c r="R590" i="1"/>
  <c r="N591" i="1"/>
  <c r="O591" i="1"/>
  <c r="P591" i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O595" i="1"/>
  <c r="P595" i="1"/>
  <c r="Q595" i="1"/>
  <c r="R595" i="1"/>
  <c r="N596" i="1"/>
  <c r="O596" i="1"/>
  <c r="P596" i="1"/>
  <c r="Q596" i="1"/>
  <c r="R596" i="1"/>
  <c r="N597" i="1"/>
  <c r="O597" i="1"/>
  <c r="P597" i="1" s="1"/>
  <c r="Q597" i="1"/>
  <c r="R597" i="1"/>
  <c r="N598" i="1"/>
  <c r="O598" i="1"/>
  <c r="P598" i="1"/>
  <c r="Q598" i="1"/>
  <c r="R598" i="1"/>
  <c r="N599" i="1"/>
  <c r="O599" i="1"/>
  <c r="P599" i="1" s="1"/>
  <c r="Q599" i="1"/>
  <c r="R599" i="1"/>
  <c r="N600" i="1"/>
  <c r="O600" i="1"/>
  <c r="P600" i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 s="1"/>
  <c r="Q615" i="1"/>
  <c r="R615" i="1"/>
  <c r="N616" i="1"/>
  <c r="O616" i="1"/>
  <c r="P616" i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/>
  <c r="Q635" i="1"/>
  <c r="R635" i="1"/>
  <c r="N636" i="1"/>
  <c r="O636" i="1"/>
  <c r="P636" i="1" s="1"/>
  <c r="Q636" i="1"/>
  <c r="R636" i="1"/>
  <c r="N637" i="1"/>
  <c r="O637" i="1"/>
  <c r="P637" i="1"/>
  <c r="Q637" i="1"/>
  <c r="R637" i="1"/>
  <c r="N638" i="1"/>
  <c r="O638" i="1"/>
  <c r="P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O661" i="1"/>
  <c r="P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O675" i="1"/>
  <c r="P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/>
  <c r="Q683" i="1"/>
  <c r="R683" i="1"/>
  <c r="N684" i="1"/>
  <c r="O684" i="1"/>
  <c r="P684" i="1"/>
  <c r="Q684" i="1"/>
  <c r="R684" i="1"/>
  <c r="N685" i="1"/>
  <c r="O685" i="1"/>
  <c r="P685" i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/>
  <c r="Q717" i="1"/>
  <c r="R717" i="1"/>
  <c r="N718" i="1"/>
  <c r="O718" i="1"/>
  <c r="P718" i="1" s="1"/>
  <c r="Q718" i="1"/>
  <c r="R718" i="1"/>
  <c r="N719" i="1"/>
  <c r="O719" i="1"/>
  <c r="P719" i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/>
  <c r="Q725" i="1"/>
  <c r="R725" i="1"/>
  <c r="N726" i="1"/>
  <c r="O726" i="1"/>
  <c r="P726" i="1" s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O743" i="1"/>
  <c r="P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/>
  <c r="Q799" i="1"/>
  <c r="R799" i="1"/>
  <c r="N800" i="1"/>
  <c r="O800" i="1"/>
  <c r="P800" i="1" s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 s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/>
  <c r="Q825" i="1"/>
  <c r="R825" i="1"/>
  <c r="N826" i="1"/>
  <c r="O826" i="1"/>
  <c r="P826" i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 s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/>
  <c r="Q881" i="1"/>
  <c r="R881" i="1"/>
  <c r="N882" i="1"/>
  <c r="O882" i="1"/>
  <c r="P882" i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 s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/>
  <c r="Q975" i="1"/>
  <c r="R975" i="1"/>
  <c r="N976" i="1"/>
  <c r="O976" i="1"/>
  <c r="P976" i="1" s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 s="1"/>
  <c r="Q983" i="1"/>
  <c r="R983" i="1"/>
  <c r="N984" i="1"/>
  <c r="O984" i="1"/>
  <c r="P984" i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2" i="1"/>
  <c r="O1002" i="1"/>
  <c r="P1002" i="1"/>
  <c r="Q1002" i="1"/>
  <c r="R1002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 s="1"/>
  <c r="Q1005" i="1"/>
  <c r="R1005" i="1"/>
  <c r="N1006" i="1"/>
  <c r="O1006" i="1"/>
  <c r="P1006" i="1"/>
  <c r="Q1006" i="1"/>
  <c r="R1006" i="1"/>
  <c r="N1007" i="1"/>
  <c r="O1007" i="1"/>
  <c r="P1007" i="1"/>
  <c r="Q1007" i="1"/>
  <c r="R1007" i="1"/>
  <c r="N1008" i="1"/>
  <c r="O1008" i="1"/>
  <c r="P1008" i="1"/>
  <c r="Q1008" i="1"/>
  <c r="R1008" i="1"/>
  <c r="N1009" i="1"/>
  <c r="O1009" i="1"/>
  <c r="P1009" i="1"/>
  <c r="Q1009" i="1"/>
  <c r="R1009" i="1"/>
  <c r="N1010" i="1"/>
  <c r="P1010" i="1" s="1"/>
  <c r="O1010" i="1"/>
  <c r="Q1010" i="1"/>
  <c r="R1010" i="1"/>
  <c r="N1011" i="1"/>
  <c r="O1011" i="1"/>
  <c r="P1011" i="1" s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/>
  <c r="Q1014" i="1"/>
  <c r="R1014" i="1"/>
  <c r="N1015" i="1"/>
  <c r="O1015" i="1"/>
  <c r="P1015" i="1" s="1"/>
  <c r="Q1015" i="1"/>
  <c r="R1015" i="1"/>
  <c r="N1016" i="1"/>
  <c r="O1016" i="1"/>
  <c r="P1016" i="1"/>
  <c r="Q1016" i="1"/>
  <c r="R1016" i="1"/>
  <c r="N1017" i="1"/>
  <c r="O1017" i="1"/>
  <c r="P1017" i="1"/>
  <c r="Q1017" i="1"/>
  <c r="R1017" i="1"/>
  <c r="N1018" i="1"/>
  <c r="O1018" i="1"/>
  <c r="P1018" i="1"/>
  <c r="Q1018" i="1"/>
  <c r="R1018" i="1"/>
  <c r="N1019" i="1"/>
  <c r="O1019" i="1"/>
  <c r="P1019" i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O1022" i="1"/>
  <c r="P1022" i="1"/>
  <c r="Q1022" i="1"/>
  <c r="R1022" i="1"/>
  <c r="N1023" i="1"/>
  <c r="O1023" i="1"/>
  <c r="P1023" i="1" s="1"/>
  <c r="Q1023" i="1"/>
  <c r="R1023" i="1"/>
  <c r="N1024" i="1"/>
  <c r="O1024" i="1"/>
  <c r="P1024" i="1"/>
  <c r="Q1024" i="1"/>
  <c r="R1024" i="1"/>
  <c r="N1025" i="1"/>
  <c r="O1025" i="1"/>
  <c r="P1025" i="1" s="1"/>
  <c r="Q1025" i="1"/>
  <c r="R1025" i="1"/>
  <c r="N1026" i="1"/>
  <c r="O1026" i="1"/>
  <c r="P1026" i="1" s="1"/>
  <c r="Q1026" i="1"/>
  <c r="R1026" i="1"/>
  <c r="N1027" i="1"/>
  <c r="O1027" i="1"/>
  <c r="P1027" i="1"/>
  <c r="Q1027" i="1"/>
  <c r="R1027" i="1"/>
  <c r="N1028" i="1"/>
  <c r="O1028" i="1"/>
  <c r="P1028" i="1"/>
  <c r="Q1028" i="1"/>
  <c r="R1028" i="1"/>
  <c r="N1029" i="1"/>
  <c r="O1029" i="1"/>
  <c r="P1029" i="1" s="1"/>
  <c r="Q1029" i="1"/>
  <c r="R1029" i="1"/>
  <c r="N1030" i="1"/>
  <c r="O1030" i="1"/>
  <c r="P1030" i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/>
  <c r="Q1033" i="1"/>
  <c r="R1033" i="1"/>
  <c r="N1034" i="1"/>
  <c r="P1034" i="1" s="1"/>
  <c r="O1034" i="1"/>
  <c r="Q1034" i="1"/>
  <c r="R1034" i="1"/>
  <c r="N1035" i="1"/>
  <c r="O1035" i="1"/>
  <c r="P1035" i="1"/>
  <c r="Q1035" i="1"/>
  <c r="R1035" i="1"/>
  <c r="N1036" i="1"/>
  <c r="O1036" i="1"/>
  <c r="P1036" i="1"/>
  <c r="Q1036" i="1"/>
  <c r="R1036" i="1"/>
  <c r="N1037" i="1"/>
  <c r="O1037" i="1"/>
  <c r="P1037" i="1" s="1"/>
  <c r="Q1037" i="1"/>
  <c r="R1037" i="1"/>
  <c r="N1038" i="1"/>
  <c r="O1038" i="1"/>
  <c r="P1038" i="1"/>
  <c r="Q1038" i="1"/>
  <c r="R1038" i="1"/>
  <c r="N1039" i="1"/>
  <c r="O1039" i="1"/>
  <c r="P1039" i="1" s="1"/>
  <c r="Q1039" i="1"/>
  <c r="R1039" i="1"/>
  <c r="N1040" i="1"/>
  <c r="O1040" i="1"/>
  <c r="P1040" i="1" s="1"/>
  <c r="Q1040" i="1"/>
  <c r="R1040" i="1"/>
  <c r="N1041" i="1"/>
  <c r="O1041" i="1"/>
  <c r="P1041" i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/>
  <c r="Q1049" i="1"/>
  <c r="R1049" i="1"/>
  <c r="N1050" i="1"/>
  <c r="O1050" i="1"/>
  <c r="P1050" i="1"/>
  <c r="Q1050" i="1"/>
  <c r="R1050" i="1"/>
  <c r="N1051" i="1"/>
  <c r="O1051" i="1"/>
  <c r="P1051" i="1" s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/>
  <c r="Q1055" i="1"/>
  <c r="R1055" i="1"/>
  <c r="N1056" i="1"/>
  <c r="O1056" i="1"/>
  <c r="P1056" i="1" s="1"/>
  <c r="Q1056" i="1"/>
  <c r="R1056" i="1"/>
  <c r="N1057" i="1"/>
  <c r="O1057" i="1"/>
  <c r="P1057" i="1" s="1"/>
  <c r="Q1057" i="1"/>
  <c r="R1057" i="1"/>
  <c r="N1058" i="1"/>
  <c r="O1058" i="1"/>
  <c r="P1058" i="1"/>
  <c r="Q1058" i="1"/>
  <c r="R1058" i="1"/>
  <c r="N1059" i="1"/>
  <c r="O1059" i="1"/>
  <c r="P1059" i="1" s="1"/>
  <c r="Q1059" i="1"/>
  <c r="R1059" i="1"/>
  <c r="N1060" i="1"/>
  <c r="O1060" i="1"/>
  <c r="P1060" i="1"/>
  <c r="Q1060" i="1"/>
  <c r="R1060" i="1"/>
  <c r="N1061" i="1"/>
  <c r="O1061" i="1"/>
  <c r="P1061" i="1" s="1"/>
  <c r="Q1061" i="1"/>
  <c r="R1061" i="1"/>
  <c r="N1062" i="1"/>
  <c r="O1062" i="1"/>
  <c r="P1062" i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/>
  <c r="Q1073" i="1"/>
  <c r="R1073" i="1"/>
  <c r="N1074" i="1"/>
  <c r="O1074" i="1"/>
  <c r="P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/>
  <c r="Q1078" i="1"/>
  <c r="R1078" i="1"/>
  <c r="N1079" i="1"/>
  <c r="O1079" i="1"/>
  <c r="P1079" i="1" s="1"/>
  <c r="Q1079" i="1"/>
  <c r="R1079" i="1"/>
  <c r="N1080" i="1"/>
  <c r="O1080" i="1"/>
  <c r="P1080" i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 s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/>
  <c r="Q1086" i="1"/>
  <c r="R1086" i="1"/>
  <c r="N1087" i="1"/>
  <c r="O1087" i="1"/>
  <c r="P1087" i="1" s="1"/>
  <c r="Q1087" i="1"/>
  <c r="R1087" i="1"/>
  <c r="N1088" i="1"/>
  <c r="O1088" i="1"/>
  <c r="P1088" i="1"/>
  <c r="Q1088" i="1"/>
  <c r="R1088" i="1"/>
  <c r="N1089" i="1"/>
  <c r="O1089" i="1"/>
  <c r="P1089" i="1" s="1"/>
  <c r="Q1089" i="1"/>
  <c r="R1089" i="1"/>
  <c r="N1090" i="1"/>
  <c r="O1090" i="1"/>
  <c r="P1090" i="1" s="1"/>
  <c r="Q1090" i="1"/>
  <c r="R1090" i="1"/>
  <c r="N1091" i="1"/>
  <c r="O1091" i="1"/>
  <c r="P1091" i="1"/>
  <c r="Q1091" i="1"/>
  <c r="R1091" i="1"/>
  <c r="N1092" i="1"/>
  <c r="O1092" i="1"/>
  <c r="P1092" i="1" s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/>
  <c r="Q1097" i="1"/>
  <c r="R1097" i="1"/>
  <c r="N1098" i="1"/>
  <c r="P1098" i="1" s="1"/>
  <c r="O1098" i="1"/>
  <c r="Q1098" i="1"/>
  <c r="R1098" i="1"/>
  <c r="N1099" i="1"/>
  <c r="O1099" i="1"/>
  <c r="P1099" i="1" s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/>
  <c r="Q1105" i="1"/>
  <c r="R1105" i="1"/>
  <c r="N1106" i="1"/>
  <c r="O1106" i="1"/>
  <c r="P1106" i="1" s="1"/>
  <c r="Q1106" i="1"/>
  <c r="R1106" i="1"/>
  <c r="N1107" i="1"/>
  <c r="O1107" i="1"/>
  <c r="P1107" i="1"/>
  <c r="Q1107" i="1"/>
  <c r="R1107" i="1"/>
  <c r="N1108" i="1"/>
  <c r="O1108" i="1"/>
  <c r="P1108" i="1" s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/>
  <c r="Q1118" i="1"/>
  <c r="R1118" i="1"/>
  <c r="N1119" i="1"/>
  <c r="O1119" i="1"/>
  <c r="P1119" i="1" s="1"/>
  <c r="Q1119" i="1"/>
  <c r="R1119" i="1"/>
  <c r="N1120" i="1"/>
  <c r="O1120" i="1"/>
  <c r="P1120" i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 s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/>
  <c r="Q1129" i="1"/>
  <c r="R1129" i="1"/>
  <c r="N1130" i="1"/>
  <c r="O1130" i="1"/>
  <c r="P1130" i="1" s="1"/>
  <c r="Q1130" i="1"/>
  <c r="R1130" i="1"/>
  <c r="N1131" i="1"/>
  <c r="O1131" i="1"/>
  <c r="P1131" i="1" s="1"/>
  <c r="Q1131" i="1"/>
  <c r="R1131" i="1"/>
  <c r="N1132" i="1"/>
  <c r="P1132" i="1" s="1"/>
  <c r="O1132" i="1"/>
  <c r="Q1132" i="1"/>
  <c r="R1132" i="1"/>
  <c r="N1133" i="1"/>
  <c r="O1133" i="1"/>
  <c r="P1133" i="1" s="1"/>
  <c r="Q1133" i="1"/>
  <c r="R1133" i="1"/>
  <c r="N1134" i="1"/>
  <c r="O1134" i="1"/>
  <c r="P1134" i="1"/>
  <c r="Q1134" i="1"/>
  <c r="R1134" i="1"/>
  <c r="N1135" i="1"/>
  <c r="O1135" i="1"/>
  <c r="P1135" i="1" s="1"/>
  <c r="Q1135" i="1"/>
  <c r="R1135" i="1"/>
  <c r="N1136" i="1"/>
  <c r="O1136" i="1"/>
  <c r="P1136" i="1" s="1"/>
  <c r="Q1136" i="1"/>
  <c r="R1136" i="1"/>
  <c r="N1137" i="1"/>
  <c r="O1137" i="1"/>
  <c r="P1137" i="1"/>
  <c r="Q1137" i="1"/>
  <c r="R1137" i="1"/>
  <c r="N1138" i="1"/>
  <c r="O1138" i="1"/>
  <c r="P1138" i="1" s="1"/>
  <c r="Q1138" i="1"/>
  <c r="R1138" i="1"/>
  <c r="N1139" i="1"/>
  <c r="O1139" i="1"/>
  <c r="P1139" i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O1142" i="1"/>
  <c r="P1142" i="1"/>
  <c r="Q1142" i="1"/>
  <c r="R1142" i="1"/>
  <c r="N1143" i="1"/>
  <c r="O1143" i="1"/>
  <c r="P1143" i="1" s="1"/>
  <c r="Q1143" i="1"/>
  <c r="R1143" i="1"/>
  <c r="N1144" i="1"/>
  <c r="P1144" i="1" s="1"/>
  <c r="O1144" i="1"/>
  <c r="Q1144" i="1"/>
  <c r="R1144" i="1"/>
  <c r="N1145" i="1"/>
  <c r="O1145" i="1"/>
  <c r="P1145" i="1"/>
  <c r="Q1145" i="1"/>
  <c r="R1145" i="1"/>
  <c r="N1146" i="1"/>
  <c r="O1146" i="1"/>
  <c r="P1146" i="1" s="1"/>
  <c r="Q1146" i="1"/>
  <c r="R1146" i="1"/>
  <c r="N1147" i="1"/>
  <c r="O1147" i="1"/>
  <c r="P1147" i="1"/>
  <c r="Q1147" i="1"/>
  <c r="R1147" i="1"/>
  <c r="N1148" i="1"/>
  <c r="O1148" i="1"/>
  <c r="P1148" i="1" s="1"/>
  <c r="Q1148" i="1"/>
  <c r="R1148" i="1"/>
  <c r="N1149" i="1"/>
  <c r="O1149" i="1"/>
  <c r="P1149" i="1" s="1"/>
  <c r="Q1149" i="1"/>
  <c r="R1149" i="1"/>
  <c r="N1150" i="1"/>
  <c r="O1150" i="1"/>
  <c r="P1150" i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/>
  <c r="Q1153" i="1"/>
  <c r="R1153" i="1"/>
  <c r="N1154" i="1"/>
  <c r="O1154" i="1"/>
  <c r="P1154" i="1" s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P1165" i="1" s="1"/>
  <c r="O1165" i="1"/>
  <c r="Q1165" i="1"/>
  <c r="R1165" i="1"/>
  <c r="N1166" i="1"/>
  <c r="O1166" i="1"/>
  <c r="P1166" i="1"/>
  <c r="Q1166" i="1"/>
  <c r="R1166" i="1"/>
  <c r="N1167" i="1"/>
  <c r="O1167" i="1"/>
  <c r="P1167" i="1" s="1"/>
  <c r="Q1167" i="1"/>
  <c r="R1167" i="1"/>
  <c r="N1168" i="1"/>
  <c r="P1168" i="1" s="1"/>
  <c r="O1168" i="1"/>
  <c r="Q1168" i="1"/>
  <c r="R1168" i="1"/>
  <c r="N1169" i="1"/>
  <c r="O1169" i="1"/>
  <c r="P1169" i="1"/>
  <c r="Q1169" i="1"/>
  <c r="R1169" i="1"/>
  <c r="N1170" i="1"/>
  <c r="O1170" i="1"/>
  <c r="P1170" i="1" s="1"/>
  <c r="Q1170" i="1"/>
  <c r="R1170" i="1"/>
  <c r="N1171" i="1"/>
  <c r="O1171" i="1"/>
  <c r="P1171" i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/>
  <c r="Q1177" i="1"/>
  <c r="R1177" i="1"/>
  <c r="N1178" i="1"/>
  <c r="P1178" i="1" s="1"/>
  <c r="O1178" i="1"/>
  <c r="Q1178" i="1"/>
  <c r="R1178" i="1"/>
  <c r="N1179" i="1"/>
  <c r="O1179" i="1"/>
  <c r="P1179" i="1" s="1"/>
  <c r="Q1179" i="1"/>
  <c r="R1179" i="1"/>
  <c r="N1180" i="1"/>
  <c r="P1180" i="1" s="1"/>
  <c r="O1180" i="1"/>
  <c r="Q1180" i="1"/>
  <c r="R1180" i="1"/>
  <c r="N1181" i="1"/>
  <c r="O1181" i="1"/>
  <c r="P1181" i="1" s="1"/>
  <c r="Q1181" i="1"/>
  <c r="R1181" i="1"/>
  <c r="N1182" i="1"/>
  <c r="O1182" i="1"/>
  <c r="P1182" i="1"/>
  <c r="Q1182" i="1"/>
  <c r="R1182" i="1"/>
  <c r="N1183" i="1"/>
  <c r="O1183" i="1"/>
  <c r="P1183" i="1"/>
  <c r="Q1183" i="1"/>
  <c r="R1183" i="1"/>
  <c r="N1184" i="1"/>
  <c r="O1184" i="1"/>
  <c r="P1184" i="1" s="1"/>
  <c r="Q1184" i="1"/>
  <c r="R1184" i="1"/>
  <c r="N1185" i="1"/>
  <c r="O1185" i="1"/>
  <c r="P1185" i="1"/>
  <c r="Q1185" i="1"/>
  <c r="R1185" i="1"/>
  <c r="N1186" i="1"/>
  <c r="O1186" i="1"/>
  <c r="P1186" i="1" s="1"/>
  <c r="Q1186" i="1"/>
  <c r="R1186" i="1"/>
  <c r="N1187" i="1"/>
  <c r="O1187" i="1"/>
  <c r="P1187" i="1" s="1"/>
  <c r="Q1187" i="1"/>
  <c r="R1187" i="1"/>
  <c r="N1189" i="1"/>
  <c r="P1189" i="1" s="1"/>
  <c r="O1189" i="1"/>
  <c r="Q1189" i="1"/>
  <c r="R1189" i="1"/>
  <c r="N1190" i="1"/>
  <c r="O1190" i="1"/>
  <c r="P1190" i="1" s="1"/>
  <c r="Q1190" i="1"/>
  <c r="R1190" i="1"/>
  <c r="N1191" i="1"/>
  <c r="O1191" i="1"/>
  <c r="P1191" i="1"/>
  <c r="Q1191" i="1"/>
  <c r="R1191" i="1"/>
  <c r="N1192" i="1"/>
  <c r="O1192" i="1"/>
  <c r="P1192" i="1" s="1"/>
  <c r="Q1192" i="1"/>
  <c r="R1192" i="1"/>
  <c r="N1193" i="1"/>
  <c r="O1193" i="1"/>
  <c r="P1193" i="1" s="1"/>
  <c r="Q1193" i="1"/>
  <c r="R1193" i="1"/>
  <c r="N1194" i="1"/>
  <c r="O1194" i="1"/>
  <c r="P1194" i="1"/>
  <c r="Q1194" i="1"/>
  <c r="R1194" i="1"/>
  <c r="N1195" i="1"/>
  <c r="O1195" i="1"/>
  <c r="P1195" i="1"/>
  <c r="Q1195" i="1"/>
  <c r="R1195" i="1"/>
  <c r="N1196" i="1"/>
  <c r="O1196" i="1"/>
  <c r="P1196" i="1"/>
  <c r="Q1196" i="1"/>
  <c r="R1196" i="1"/>
  <c r="N1197" i="1"/>
  <c r="O1197" i="1"/>
  <c r="P1197" i="1" s="1"/>
  <c r="Q1197" i="1"/>
  <c r="R1197" i="1"/>
  <c r="N1198" i="1"/>
  <c r="O1198" i="1"/>
  <c r="P1198" i="1" s="1"/>
  <c r="Q1198" i="1"/>
  <c r="R1198" i="1"/>
  <c r="N1199" i="1"/>
  <c r="O1199" i="1"/>
  <c r="P1199" i="1"/>
  <c r="Q1199" i="1"/>
  <c r="R1199" i="1"/>
  <c r="N1200" i="1"/>
  <c r="O1200" i="1"/>
  <c r="P1200" i="1"/>
  <c r="Q1200" i="1"/>
  <c r="R1200" i="1"/>
  <c r="N1201" i="1"/>
  <c r="O1201" i="1"/>
  <c r="P1201" i="1" s="1"/>
  <c r="Q1201" i="1"/>
  <c r="R1201" i="1"/>
  <c r="N1202" i="1"/>
  <c r="O1202" i="1"/>
  <c r="P1202" i="1"/>
  <c r="Q1202" i="1"/>
  <c r="R1202" i="1"/>
  <c r="N1203" i="1"/>
  <c r="O1203" i="1"/>
  <c r="P1203" i="1"/>
  <c r="Q1203" i="1"/>
  <c r="R1203" i="1"/>
  <c r="N1204" i="1"/>
  <c r="O1204" i="1"/>
  <c r="P1204" i="1"/>
  <c r="Q1204" i="1"/>
  <c r="R1204" i="1"/>
  <c r="N1205" i="1"/>
  <c r="O1205" i="1"/>
  <c r="P1205" i="1" s="1"/>
  <c r="Q1205" i="1"/>
  <c r="R1205" i="1"/>
  <c r="N1206" i="1"/>
  <c r="O1206" i="1"/>
  <c r="P1206" i="1" s="1"/>
  <c r="Q1206" i="1"/>
  <c r="R1206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AD132" i="6" s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R2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8" i="1"/>
  <c r="R1229" i="1"/>
  <c r="R1230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Q2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8" i="1"/>
  <c r="Q1229" i="1"/>
  <c r="Q1230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188" i="1"/>
  <c r="Q1231" i="1"/>
  <c r="Q1227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7" i="1"/>
  <c r="I1067" i="1"/>
  <c r="E1067" i="1"/>
  <c r="H1197" i="1"/>
  <c r="I1197" i="1"/>
  <c r="H1198" i="1"/>
  <c r="I1198" i="1"/>
  <c r="H1199" i="1"/>
  <c r="I1199" i="1"/>
  <c r="H1200" i="1"/>
  <c r="I1200" i="1"/>
  <c r="H1201" i="1"/>
  <c r="I1201" i="1"/>
  <c r="H1202" i="1"/>
  <c r="I1202" i="1"/>
  <c r="H1203" i="1"/>
  <c r="I1203" i="1"/>
  <c r="H1204" i="1"/>
  <c r="I1204" i="1"/>
  <c r="H1205" i="1"/>
  <c r="I1205" i="1"/>
  <c r="H1206" i="1"/>
  <c r="I1206" i="1"/>
  <c r="E1197" i="1"/>
  <c r="E1198" i="1"/>
  <c r="E1199" i="1"/>
  <c r="E1200" i="1"/>
  <c r="E1201" i="1"/>
  <c r="E1202" i="1"/>
  <c r="E1203" i="1"/>
  <c r="E1204" i="1"/>
  <c r="E1205" i="1"/>
  <c r="E1206" i="1"/>
  <c r="AC168" i="6" l="1"/>
  <c r="AC128" i="6"/>
  <c r="AC129" i="6"/>
  <c r="AC130" i="6"/>
  <c r="AC135" i="6"/>
  <c r="AC136" i="6"/>
  <c r="AC137" i="6"/>
  <c r="AC138" i="6"/>
  <c r="AC139" i="6"/>
  <c r="AC140" i="6"/>
  <c r="AC141" i="6"/>
  <c r="AC142" i="6"/>
  <c r="AC143" i="6"/>
  <c r="AC144" i="6"/>
  <c r="AC145" i="6"/>
  <c r="AC146" i="6"/>
  <c r="AC147" i="6"/>
  <c r="AC148" i="6"/>
  <c r="AC149" i="6"/>
  <c r="AC150" i="6"/>
  <c r="AC151" i="6"/>
  <c r="AC152" i="6"/>
  <c r="AC153" i="6"/>
  <c r="AC154" i="6"/>
  <c r="AC155" i="6"/>
  <c r="AC156" i="6"/>
  <c r="AC157" i="6"/>
  <c r="AC158" i="6"/>
  <c r="AC159" i="6"/>
  <c r="AC160" i="6"/>
  <c r="AC161" i="6"/>
  <c r="AC162" i="6"/>
  <c r="AC163" i="6"/>
  <c r="AC164" i="6"/>
  <c r="AC165" i="6"/>
  <c r="AC166" i="6"/>
  <c r="AC167" i="6"/>
  <c r="AD125" i="6"/>
  <c r="AD126" i="6"/>
  <c r="AD127" i="6"/>
  <c r="AD128" i="6"/>
  <c r="AD129" i="6"/>
  <c r="AD131" i="6"/>
  <c r="AD130" i="6"/>
  <c r="AD149" i="6"/>
  <c r="AD150" i="6"/>
  <c r="AD151" i="6"/>
  <c r="AD152" i="6"/>
  <c r="AD153" i="6"/>
  <c r="AD154" i="6"/>
  <c r="AD147" i="6"/>
  <c r="AD146" i="6"/>
  <c r="AD145" i="6"/>
  <c r="AD144" i="6"/>
  <c r="AD143" i="6"/>
  <c r="AD142" i="6"/>
  <c r="AD141" i="6"/>
  <c r="AD140" i="6"/>
  <c r="AD139" i="6"/>
  <c r="AD138" i="6"/>
  <c r="AD148" i="6"/>
  <c r="AD137" i="6"/>
  <c r="AD136" i="6"/>
  <c r="AD135" i="6"/>
  <c r="AD134" i="6"/>
  <c r="AD133" i="6"/>
  <c r="AD163" i="6"/>
  <c r="AD164" i="6"/>
  <c r="AD165" i="6"/>
  <c r="AD166" i="6"/>
  <c r="AD167" i="6"/>
  <c r="AD156" i="6"/>
  <c r="AD155" i="6"/>
  <c r="AD168" i="6"/>
  <c r="AD157" i="6"/>
  <c r="AD162" i="6"/>
  <c r="AD161" i="6"/>
  <c r="AD160" i="6"/>
  <c r="AD159" i="6"/>
  <c r="AD158" i="6"/>
  <c r="AC126" i="6"/>
  <c r="AC127" i="6"/>
  <c r="AC125" i="6"/>
  <c r="AC134" i="6"/>
  <c r="AC131" i="6"/>
  <c r="AC132" i="6"/>
  <c r="AC133" i="6"/>
  <c r="M1227" i="1"/>
  <c r="M1231" i="1"/>
  <c r="M917" i="1"/>
  <c r="M918" i="1"/>
  <c r="M947" i="1"/>
  <c r="M955" i="1"/>
  <c r="M956" i="1"/>
  <c r="M957" i="1"/>
  <c r="M958" i="1"/>
  <c r="M959" i="1"/>
  <c r="M960" i="1"/>
  <c r="M961" i="1"/>
  <c r="M1001" i="1"/>
  <c r="M895" i="1"/>
  <c r="M893" i="1"/>
  <c r="M899" i="1"/>
  <c r="M904" i="1"/>
  <c r="M938" i="1"/>
  <c r="M946" i="1"/>
  <c r="M880" i="1"/>
  <c r="M896" i="1"/>
  <c r="M901" i="1"/>
  <c r="M919" i="1"/>
  <c r="M940" i="1"/>
  <c r="M894" i="1"/>
  <c r="M898" i="1"/>
  <c r="M900" i="1"/>
  <c r="M945" i="1"/>
  <c r="M879" i="1"/>
  <c r="M897" i="1"/>
  <c r="M902" i="1"/>
  <c r="M937" i="1"/>
  <c r="M939" i="1"/>
  <c r="M1208" i="1"/>
  <c r="M995" i="1"/>
  <c r="M1010" i="1"/>
  <c r="M1015" i="1"/>
  <c r="M1030" i="1"/>
  <c r="M1076" i="1"/>
  <c r="M1092" i="1"/>
  <c r="M1137" i="1"/>
  <c r="M997" i="1"/>
  <c r="M1012" i="1"/>
  <c r="M1029" i="1"/>
  <c r="M1037" i="1"/>
  <c r="M1056" i="1"/>
  <c r="M1078" i="1"/>
  <c r="M1090" i="1"/>
  <c r="M1118" i="1"/>
  <c r="M1136" i="1"/>
  <c r="M962" i="1"/>
  <c r="M996" i="1"/>
  <c r="M1011" i="1"/>
  <c r="M1014" i="1"/>
  <c r="M1028" i="1"/>
  <c r="M1031" i="1"/>
  <c r="M1041" i="1"/>
  <c r="M1060" i="1"/>
  <c r="M1077" i="1"/>
  <c r="M1087" i="1"/>
  <c r="M1119" i="1"/>
  <c r="M973" i="1"/>
  <c r="M972" i="1"/>
  <c r="M999" i="1"/>
  <c r="M1128" i="1"/>
  <c r="M971" i="1"/>
  <c r="M998" i="1"/>
  <c r="M1013" i="1"/>
  <c r="M1027" i="1"/>
  <c r="M1036" i="1"/>
  <c r="M1066" i="1"/>
  <c r="M1086" i="1"/>
  <c r="M1094" i="1"/>
  <c r="M1129" i="1"/>
  <c r="M1057" i="1"/>
  <c r="M1058" i="1"/>
  <c r="M1059" i="1"/>
  <c r="M1065" i="1"/>
  <c r="M1074" i="1"/>
  <c r="M1088" i="1"/>
  <c r="M1116" i="1"/>
  <c r="M1055" i="1"/>
  <c r="M1075" i="1"/>
  <c r="M1089" i="1"/>
  <c r="M1091" i="1"/>
  <c r="M1093" i="1"/>
  <c r="M1117" i="1"/>
  <c r="M1127" i="1"/>
  <c r="M1147" i="1"/>
  <c r="M1148" i="1"/>
  <c r="M1149" i="1"/>
  <c r="M1189" i="1"/>
  <c r="M1190" i="1"/>
  <c r="M1191" i="1"/>
  <c r="M1192" i="1"/>
  <c r="M1193" i="1"/>
  <c r="M1197" i="1"/>
  <c r="M1198" i="1"/>
  <c r="M1199" i="1"/>
  <c r="M1200" i="1"/>
  <c r="M1201" i="1"/>
  <c r="M1202" i="1"/>
  <c r="M1203" i="1"/>
  <c r="M67" i="1"/>
  <c r="M81" i="1"/>
  <c r="M82" i="1"/>
  <c r="M218" i="1"/>
  <c r="M234" i="1"/>
  <c r="M235" i="1"/>
  <c r="M236" i="1"/>
  <c r="M237" i="1"/>
  <c r="M238" i="1"/>
  <c r="M239" i="1"/>
  <c r="M258" i="1"/>
  <c r="M1188" i="1"/>
  <c r="M1232" i="1"/>
  <c r="M1224" i="1"/>
  <c r="M1226" i="1"/>
  <c r="M1229" i="1"/>
  <c r="M223" i="1"/>
  <c r="M224" i="1"/>
  <c r="M222" i="1"/>
  <c r="M227" i="1"/>
  <c r="M1264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5" i="1"/>
  <c r="M1266" i="1"/>
  <c r="M1267" i="1"/>
  <c r="M1268" i="1"/>
  <c r="M1242" i="1"/>
  <c r="M1243" i="1"/>
  <c r="M1244" i="1"/>
  <c r="M1245" i="1"/>
  <c r="M1246" i="1"/>
  <c r="M1247" i="1"/>
  <c r="M1236" i="1"/>
  <c r="M1237" i="1"/>
  <c r="M1238" i="1"/>
  <c r="M1239" i="1"/>
  <c r="M1240" i="1"/>
  <c r="M1241" i="1"/>
  <c r="M1230" i="1"/>
  <c r="M1233" i="1"/>
  <c r="M1234" i="1"/>
  <c r="M1235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5" i="1"/>
  <c r="M1228" i="1"/>
  <c r="M3" i="1"/>
  <c r="W165" i="6"/>
  <c r="X165" i="6"/>
  <c r="Y165" i="6"/>
  <c r="M269" i="1"/>
  <c r="M270" i="1"/>
  <c r="M271" i="1"/>
  <c r="M272" i="1"/>
  <c r="M273" i="1"/>
  <c r="M274" i="1"/>
  <c r="M276" i="1"/>
  <c r="M277" i="1"/>
  <c r="M278" i="1"/>
  <c r="M279" i="1"/>
  <c r="M281" i="1"/>
  <c r="M283" i="1"/>
  <c r="M284" i="1"/>
  <c r="M285" i="1"/>
  <c r="M287" i="1"/>
  <c r="M288" i="1"/>
  <c r="M289" i="1"/>
  <c r="M291" i="1"/>
  <c r="M292" i="1"/>
  <c r="M293" i="1"/>
  <c r="AA165" i="6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5" i="1"/>
  <c r="M446" i="1"/>
  <c r="M78" i="1"/>
  <c r="M116" i="1"/>
  <c r="M57" i="1"/>
  <c r="M187" i="1"/>
  <c r="M186" i="1"/>
  <c r="M175" i="1"/>
  <c r="M251" i="1"/>
  <c r="M185" i="1"/>
  <c r="M23" i="1"/>
  <c r="M221" i="1"/>
  <c r="M91" i="1"/>
  <c r="M252" i="1"/>
  <c r="M42" i="1"/>
  <c r="M41" i="1"/>
  <c r="M169" i="1"/>
  <c r="M168" i="1"/>
  <c r="M213" i="1"/>
  <c r="M58" i="1"/>
  <c r="M214" i="1"/>
  <c r="M166" i="1"/>
  <c r="M92" i="1"/>
  <c r="M167" i="1"/>
  <c r="M83" i="1"/>
  <c r="M69" i="1"/>
  <c r="M90" i="1"/>
  <c r="M77" i="1"/>
  <c r="M61" i="1"/>
  <c r="M217" i="1"/>
  <c r="M225" i="1"/>
  <c r="M70" i="1"/>
  <c r="M242" i="1"/>
  <c r="M189" i="1"/>
  <c r="M226" i="1"/>
  <c r="M60" i="1"/>
  <c r="M121" i="1"/>
  <c r="M84" i="1"/>
  <c r="M36" i="1"/>
  <c r="M228" i="1"/>
  <c r="M62" i="1"/>
  <c r="M45" i="1"/>
  <c r="M145" i="1"/>
  <c r="M110" i="1"/>
  <c r="M229" i="1"/>
  <c r="M115" i="1"/>
  <c r="M46" i="1"/>
  <c r="M112" i="1"/>
  <c r="M111" i="1"/>
  <c r="M122" i="1"/>
  <c r="M114" i="1"/>
  <c r="M63" i="1"/>
  <c r="M177" i="1"/>
  <c r="M113" i="1"/>
  <c r="M15" i="1"/>
  <c r="M170" i="1"/>
  <c r="M37" i="1"/>
  <c r="M47" i="1"/>
  <c r="M96" i="1"/>
  <c r="M230" i="1"/>
  <c r="M64" i="1"/>
  <c r="M191" i="1"/>
  <c r="M190" i="1"/>
  <c r="M174" i="1"/>
  <c r="M133" i="1"/>
  <c r="M130" i="1"/>
  <c r="M129" i="1"/>
  <c r="M128" i="1"/>
  <c r="M206" i="1"/>
  <c r="M109" i="1"/>
  <c r="M266" i="1"/>
  <c r="M248" i="1"/>
  <c r="M181" i="1"/>
  <c r="M127" i="1"/>
  <c r="M182" i="1"/>
  <c r="M119" i="1"/>
  <c r="M231" i="1"/>
  <c r="M183" i="1"/>
  <c r="M207" i="1"/>
  <c r="M267" i="1"/>
  <c r="M19" i="1"/>
  <c r="M65" i="1"/>
  <c r="M247" i="1"/>
  <c r="M232" i="1"/>
  <c r="M68" i="1"/>
  <c r="M204" i="1"/>
  <c r="M209" i="1"/>
  <c r="M205" i="1"/>
  <c r="M72" i="1"/>
  <c r="M73" i="1"/>
  <c r="M74" i="1"/>
  <c r="M268" i="1"/>
  <c r="M76" i="1"/>
  <c r="M243" i="1"/>
  <c r="M264" i="1"/>
  <c r="M80" i="1"/>
  <c r="M164" i="1"/>
  <c r="M87" i="1"/>
  <c r="M108" i="1"/>
  <c r="M208" i="1"/>
  <c r="M211" i="1"/>
  <c r="M246" i="1"/>
  <c r="M233" i="1"/>
  <c r="M21" i="1"/>
  <c r="M265" i="1"/>
  <c r="M134" i="1"/>
  <c r="M210" i="1"/>
  <c r="M165" i="1"/>
  <c r="M143" i="1"/>
  <c r="M144" i="1"/>
  <c r="M245" i="1"/>
  <c r="M161" i="1"/>
  <c r="M105" i="1"/>
  <c r="M106" i="1"/>
  <c r="M107" i="1"/>
  <c r="M118" i="1"/>
  <c r="M131" i="1"/>
  <c r="M132" i="1"/>
  <c r="M135" i="1"/>
  <c r="M136" i="1"/>
  <c r="M137" i="1"/>
  <c r="M162" i="1"/>
  <c r="M163" i="1"/>
  <c r="M200" i="1"/>
  <c r="M201" i="1"/>
  <c r="M202" i="1"/>
  <c r="M203" i="1"/>
  <c r="M260" i="1"/>
  <c r="M30" i="1"/>
  <c r="M219" i="1"/>
  <c r="M31" i="1"/>
  <c r="M38" i="1"/>
  <c r="M39" i="1"/>
  <c r="M53" i="1"/>
  <c r="M261" i="1"/>
  <c r="M54" i="1"/>
  <c r="M56" i="1"/>
  <c r="M75" i="1"/>
  <c r="M88" i="1"/>
  <c r="M89" i="1"/>
  <c r="M124" i="1"/>
  <c r="M244" i="1"/>
  <c r="M172" i="1"/>
  <c r="M212" i="1"/>
  <c r="M184" i="1"/>
  <c r="M138" i="1"/>
  <c r="M139" i="1"/>
  <c r="M35" i="1"/>
  <c r="M250" i="1"/>
  <c r="M71" i="1"/>
  <c r="M249" i="1"/>
  <c r="M120" i="1"/>
  <c r="M123" i="1"/>
  <c r="M125" i="1"/>
  <c r="M79" i="1"/>
  <c r="M95" i="1"/>
  <c r="M216" i="1"/>
  <c r="M26" i="1"/>
  <c r="M94" i="1"/>
  <c r="M188" i="1"/>
  <c r="M44" i="1"/>
  <c r="M173" i="1"/>
  <c r="M215" i="1"/>
  <c r="M141" i="1"/>
  <c r="M142" i="1"/>
  <c r="M43" i="1"/>
  <c r="M93" i="1"/>
  <c r="M176" i="1"/>
  <c r="M253" i="1"/>
  <c r="M59" i="1"/>
  <c r="M102" i="1"/>
  <c r="M103" i="1"/>
  <c r="M104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97" i="1"/>
  <c r="M27" i="1"/>
  <c r="M254" i="1"/>
  <c r="M193" i="1"/>
  <c r="M256" i="1"/>
  <c r="M255" i="1"/>
  <c r="M192" i="1"/>
  <c r="M194" i="1"/>
  <c r="M195" i="1"/>
  <c r="M196" i="1"/>
  <c r="M197" i="1"/>
  <c r="M198" i="1"/>
  <c r="M199" i="1"/>
  <c r="M98" i="1"/>
  <c r="M51" i="1"/>
  <c r="M50" i="1"/>
  <c r="M49" i="1"/>
  <c r="M257" i="1"/>
  <c r="M99" i="1"/>
  <c r="M100" i="1"/>
  <c r="M101" i="1"/>
  <c r="M52" i="1"/>
  <c r="M48" i="1"/>
  <c r="M126" i="1"/>
  <c r="M259" i="1"/>
  <c r="M29" i="1"/>
  <c r="M178" i="1"/>
  <c r="M171" i="1"/>
  <c r="M240" i="1"/>
  <c r="M85" i="1"/>
  <c r="M66" i="1"/>
  <c r="M241" i="1"/>
  <c r="M55" i="1"/>
  <c r="M34" i="1"/>
  <c r="M86" i="1"/>
  <c r="M220" i="1"/>
  <c r="M33" i="1"/>
  <c r="M140" i="1"/>
  <c r="M117" i="1"/>
  <c r="M180" i="1"/>
  <c r="M263" i="1"/>
  <c r="M262" i="1"/>
  <c r="M179" i="1"/>
  <c r="Y164" i="6"/>
  <c r="W161" i="6"/>
  <c r="X161" i="6"/>
  <c r="W162" i="6"/>
  <c r="Z161" i="6"/>
  <c r="M1207" i="1"/>
  <c r="AA161" i="6"/>
  <c r="AB161" i="6"/>
  <c r="AB164" i="6"/>
  <c r="V160" i="6"/>
  <c r="W160" i="6"/>
  <c r="X160" i="6"/>
  <c r="Y160" i="6"/>
  <c r="Z160" i="6"/>
  <c r="AA160" i="6"/>
  <c r="AB160" i="6"/>
  <c r="AA164" i="6"/>
  <c r="Z164" i="6"/>
  <c r="Y163" i="6"/>
  <c r="Y161" i="6"/>
  <c r="X164" i="6"/>
  <c r="W164" i="6"/>
  <c r="V164" i="6"/>
  <c r="X163" i="6"/>
  <c r="AB163" i="6"/>
  <c r="W163" i="6"/>
  <c r="AA163" i="6"/>
  <c r="Z163" i="6"/>
  <c r="V162" i="6"/>
  <c r="V161" i="6"/>
  <c r="X162" i="6"/>
  <c r="Y162" i="6"/>
  <c r="Z162" i="6"/>
  <c r="AA162" i="6"/>
  <c r="AB162" i="6"/>
  <c r="M974" i="1"/>
  <c r="M949" i="1"/>
  <c r="F160" i="6"/>
  <c r="M926" i="1"/>
  <c r="M835" i="1"/>
  <c r="M924" i="1"/>
  <c r="M923" i="1"/>
  <c r="M498" i="1"/>
  <c r="M872" i="1"/>
  <c r="M862" i="1"/>
  <c r="M843" i="1"/>
  <c r="M842" i="1"/>
  <c r="M839" i="1"/>
  <c r="M925" i="1"/>
  <c r="M2" i="1"/>
  <c r="M829" i="1"/>
  <c r="M826" i="1"/>
  <c r="M806" i="1"/>
  <c r="M766" i="1"/>
  <c r="F163" i="6"/>
  <c r="M1156" i="1"/>
  <c r="M525" i="1"/>
  <c r="M710" i="1"/>
  <c r="M709" i="1"/>
  <c r="M708" i="1"/>
  <c r="M704" i="1"/>
  <c r="F164" i="6"/>
  <c r="M703" i="1"/>
  <c r="M661" i="1"/>
  <c r="M652" i="1"/>
  <c r="M651" i="1"/>
  <c r="M645" i="1"/>
  <c r="M644" i="1"/>
  <c r="M547" i="1"/>
  <c r="F161" i="6"/>
  <c r="M626" i="1"/>
  <c r="M619" i="1"/>
  <c r="M552" i="1"/>
  <c r="M593" i="1"/>
  <c r="M592" i="1"/>
  <c r="M555" i="1"/>
  <c r="F162" i="6"/>
  <c r="M1155" i="1"/>
  <c r="M1154" i="1"/>
  <c r="M1140" i="1"/>
  <c r="M1139" i="1"/>
  <c r="M1120" i="1"/>
  <c r="M1096" i="1"/>
  <c r="M1095" i="1"/>
  <c r="M1073" i="1"/>
  <c r="M1062" i="1"/>
  <c r="M1043" i="1"/>
  <c r="M1042" i="1"/>
  <c r="M1033" i="1"/>
  <c r="M1019" i="1"/>
  <c r="M1002" i="1"/>
  <c r="M976" i="1"/>
  <c r="M975" i="1"/>
  <c r="K162" i="6"/>
  <c r="K163" i="6"/>
  <c r="M847" i="1"/>
  <c r="M883" i="1"/>
  <c r="K161" i="6"/>
  <c r="K160" i="6"/>
  <c r="M1159" i="1"/>
  <c r="K164" i="6"/>
  <c r="M679" i="1"/>
  <c r="L163" i="6"/>
  <c r="L160" i="6"/>
  <c r="M884" i="1"/>
  <c r="L161" i="6"/>
  <c r="M1160" i="1"/>
  <c r="L162" i="6"/>
  <c r="M680" i="1"/>
  <c r="L164" i="6"/>
  <c r="P162" i="6"/>
  <c r="M681" i="1"/>
  <c r="P164" i="6"/>
  <c r="P163" i="6"/>
  <c r="M1161" i="1"/>
  <c r="M885" i="1"/>
  <c r="P160" i="6"/>
  <c r="P161" i="6"/>
  <c r="M740" i="1"/>
  <c r="M8" i="1"/>
  <c r="M769" i="1"/>
  <c r="Q163" i="6"/>
  <c r="M802" i="1"/>
  <c r="M848" i="1"/>
  <c r="M886" i="1"/>
  <c r="M1162" i="1"/>
  <c r="M864" i="1"/>
  <c r="M874" i="1"/>
  <c r="M745" i="1"/>
  <c r="Q161" i="6"/>
  <c r="Q160" i="6"/>
  <c r="M748" i="1"/>
  <c r="M548" i="1"/>
  <c r="M1080" i="1"/>
  <c r="Q162" i="6"/>
  <c r="M739" i="1"/>
  <c r="M738" i="1"/>
  <c r="M744" i="1"/>
  <c r="M682" i="1"/>
  <c r="M737" i="1"/>
  <c r="M1063" i="1"/>
  <c r="M747" i="1"/>
  <c r="M746" i="1"/>
  <c r="M1081" i="1"/>
  <c r="Q164" i="6"/>
  <c r="M887" i="1"/>
  <c r="M683" i="1"/>
  <c r="M1163" i="1"/>
  <c r="M1005" i="1"/>
  <c r="R162" i="6"/>
  <c r="M876" i="1"/>
  <c r="M556" i="1"/>
  <c r="R163" i="6"/>
  <c r="M1097" i="1"/>
  <c r="M621" i="1"/>
  <c r="M684" i="1"/>
  <c r="R161" i="6"/>
  <c r="M494" i="1"/>
  <c r="M865" i="1"/>
  <c r="M849" i="1"/>
  <c r="M1082" i="1"/>
  <c r="M1164" i="1"/>
  <c r="R160" i="6"/>
  <c r="M888" i="1"/>
  <c r="M875" i="1"/>
  <c r="R164" i="6"/>
  <c r="M1122" i="1"/>
  <c r="M686" i="1"/>
  <c r="M687" i="1"/>
  <c r="M688" i="1"/>
  <c r="M689" i="1"/>
  <c r="M690" i="1"/>
  <c r="M691" i="1"/>
  <c r="M692" i="1"/>
  <c r="M696" i="1"/>
  <c r="M741" i="1"/>
  <c r="M755" i="1"/>
  <c r="M762" i="1"/>
  <c r="S163" i="6"/>
  <c r="M877" i="1"/>
  <c r="S162" i="6"/>
  <c r="M889" i="1"/>
  <c r="M906" i="1"/>
  <c r="M907" i="1"/>
  <c r="M908" i="1"/>
  <c r="M1006" i="1"/>
  <c r="M1020" i="1"/>
  <c r="S160" i="6"/>
  <c r="M1083" i="1"/>
  <c r="M1084" i="1"/>
  <c r="M1085" i="1"/>
  <c r="M1098" i="1"/>
  <c r="S164" i="6"/>
  <c r="M1123" i="1"/>
  <c r="M1124" i="1"/>
  <c r="M1125" i="1"/>
  <c r="M1126" i="1"/>
  <c r="M1134" i="1"/>
  <c r="M1165" i="1"/>
  <c r="M1166" i="1"/>
  <c r="M1167" i="1"/>
  <c r="M693" i="1"/>
  <c r="M478" i="1"/>
  <c r="M1007" i="1"/>
  <c r="M685" i="1"/>
  <c r="S161" i="6"/>
  <c r="D161" i="6"/>
  <c r="D163" i="6"/>
  <c r="M830" i="1"/>
  <c r="D162" i="6"/>
  <c r="D160" i="6"/>
  <c r="M952" i="1"/>
  <c r="M646" i="1"/>
  <c r="M647" i="1"/>
  <c r="M655" i="1"/>
  <c r="M499" i="1"/>
  <c r="M1144" i="1"/>
  <c r="M1034" i="1"/>
  <c r="M867" i="1"/>
  <c r="M838" i="1"/>
  <c r="D164" i="6"/>
  <c r="M1196" i="1"/>
  <c r="M485" i="1"/>
  <c r="M1186" i="1"/>
  <c r="M1195" i="1"/>
  <c r="M1115" i="1"/>
  <c r="M1114" i="1"/>
  <c r="M1194" i="1"/>
  <c r="M1187" i="1"/>
  <c r="M970" i="1"/>
  <c r="M969" i="1"/>
  <c r="M695" i="1"/>
  <c r="U164" i="6"/>
  <c r="M641" i="1"/>
  <c r="M1185" i="1"/>
  <c r="M694" i="1"/>
  <c r="U161" i="6"/>
  <c r="M730" i="1"/>
  <c r="M731" i="1"/>
  <c r="M732" i="1"/>
  <c r="M553" i="1"/>
  <c r="M733" i="1"/>
  <c r="M584" i="1"/>
  <c r="M734" i="1"/>
  <c r="M578" i="1"/>
  <c r="M670" i="1"/>
  <c r="M471" i="1"/>
  <c r="M472" i="1"/>
  <c r="M473" i="1"/>
  <c r="M868" i="1"/>
  <c r="M474" i="1"/>
  <c r="U162" i="6"/>
  <c r="M521" i="1"/>
  <c r="M535" i="1"/>
  <c r="M475" i="1"/>
  <c r="M476" i="1"/>
  <c r="U160" i="6"/>
  <c r="M544" i="1"/>
  <c r="M545" i="1"/>
  <c r="M546" i="1"/>
  <c r="M640" i="1"/>
  <c r="M824" i="1"/>
  <c r="M859" i="1"/>
  <c r="M858" i="1"/>
  <c r="M857" i="1"/>
  <c r="M477" i="1"/>
  <c r="M479" i="1"/>
  <c r="M856" i="1"/>
  <c r="M491" i="1"/>
  <c r="M1035" i="1"/>
  <c r="M729" i="1"/>
  <c r="M1026" i="1"/>
  <c r="M808" i="1"/>
  <c r="M618" i="1"/>
  <c r="M617" i="1"/>
  <c r="M913" i="1"/>
  <c r="M912" i="1"/>
  <c r="M911" i="1"/>
  <c r="M616" i="1"/>
  <c r="M615" i="1"/>
  <c r="M520" i="1"/>
  <c r="M519" i="1"/>
  <c r="M614" i="1"/>
  <c r="M994" i="1"/>
  <c r="M993" i="1"/>
  <c r="M992" i="1"/>
  <c r="M991" i="1"/>
  <c r="M892" i="1"/>
  <c r="M795" i="1"/>
  <c r="M796" i="1"/>
  <c r="M797" i="1"/>
  <c r="M823" i="1"/>
  <c r="M798" i="1"/>
  <c r="M799" i="1"/>
  <c r="M1204" i="1"/>
  <c r="U163" i="6"/>
  <c r="H162" i="6"/>
  <c r="H164" i="6"/>
  <c r="M698" i="1"/>
  <c r="M882" i="1"/>
  <c r="H161" i="6"/>
  <c r="M1158" i="1"/>
  <c r="H163" i="6"/>
  <c r="M608" i="1"/>
  <c r="M516" i="1"/>
  <c r="M550" i="1"/>
  <c r="M1109" i="1"/>
  <c r="M1108" i="1"/>
  <c r="M1107" i="1"/>
  <c r="M607" i="1"/>
  <c r="M606" i="1"/>
  <c r="M468" i="1"/>
  <c r="M577" i="1"/>
  <c r="M866" i="1"/>
  <c r="M749" i="1"/>
  <c r="M750" i="1"/>
  <c r="M1053" i="1"/>
  <c r="M1052" i="1"/>
  <c r="M1051" i="1"/>
  <c r="M751" i="1"/>
  <c r="M820" i="1"/>
  <c r="M855" i="1"/>
  <c r="M854" i="1"/>
  <c r="M1025" i="1"/>
  <c r="M853" i="1"/>
  <c r="M576" i="1"/>
  <c r="M752" i="1"/>
  <c r="M753" i="1"/>
  <c r="M819" i="1"/>
  <c r="M754" i="1"/>
  <c r="M575" i="1"/>
  <c r="M790" i="1"/>
  <c r="M990" i="1"/>
  <c r="M512" i="1"/>
  <c r="M1054" i="1"/>
  <c r="G163" i="6"/>
  <c r="G161" i="6"/>
  <c r="M534" i="1"/>
  <c r="M822" i="1"/>
  <c r="M533" i="1"/>
  <c r="M792" i="1"/>
  <c r="M532" i="1"/>
  <c r="M813" i="1"/>
  <c r="M791" i="1"/>
  <c r="M513" i="1"/>
  <c r="M514" i="1"/>
  <c r="M650" i="1"/>
  <c r="M987" i="1"/>
  <c r="M988" i="1"/>
  <c r="M1182" i="1"/>
  <c r="M1181" i="1"/>
  <c r="M966" i="1"/>
  <c r="M1180" i="1"/>
  <c r="M722" i="1"/>
  <c r="M723" i="1"/>
  <c r="M724" i="1"/>
  <c r="M725" i="1"/>
  <c r="M807" i="1"/>
  <c r="M515" i="1"/>
  <c r="M726" i="1"/>
  <c r="G164" i="6"/>
  <c r="M467" i="1"/>
  <c r="M1146" i="1"/>
  <c r="M1113" i="1"/>
  <c r="G162" i="6"/>
  <c r="M1112" i="1"/>
  <c r="M1135" i="1"/>
  <c r="M1111" i="1"/>
  <c r="M989" i="1"/>
  <c r="M583" i="1"/>
  <c r="M1110" i="1"/>
  <c r="M613" i="1"/>
  <c r="M612" i="1"/>
  <c r="M611" i="1"/>
  <c r="M676" i="1"/>
  <c r="M891" i="1"/>
  <c r="M610" i="1"/>
  <c r="M609" i="1"/>
  <c r="M821" i="1"/>
  <c r="M495" i="1"/>
  <c r="M586" i="1"/>
  <c r="M587" i="1"/>
  <c r="M1153" i="1"/>
  <c r="M1205" i="1"/>
  <c r="M484" i="1"/>
  <c r="M951" i="1"/>
  <c r="M948" i="1"/>
  <c r="M942" i="1"/>
  <c r="M922" i="1"/>
  <c r="M493" i="1"/>
  <c r="M497" i="1"/>
  <c r="M861" i="1"/>
  <c r="M1079" i="1"/>
  <c r="M1072" i="1"/>
  <c r="M1071" i="1"/>
  <c r="M1070" i="1"/>
  <c r="M860" i="1"/>
  <c r="M841" i="1"/>
  <c r="M840" i="1"/>
  <c r="M828" i="1"/>
  <c r="M825" i="1"/>
  <c r="M697" i="1"/>
  <c r="M811" i="1"/>
  <c r="M809" i="1"/>
  <c r="M1039" i="1"/>
  <c r="M756" i="1"/>
  <c r="M524" i="1"/>
  <c r="M742" i="1"/>
  <c r="M1018" i="1"/>
  <c r="M554" i="1"/>
  <c r="M642" i="1"/>
  <c r="M643" i="1"/>
  <c r="M707" i="1"/>
  <c r="M660" i="1"/>
  <c r="M706" i="1"/>
  <c r="M702" i="1"/>
  <c r="M671" i="1"/>
  <c r="M701" i="1"/>
  <c r="M700" i="1"/>
  <c r="M1130" i="1"/>
  <c r="M1131" i="1"/>
  <c r="M585" i="1"/>
  <c r="M1132" i="1"/>
  <c r="M845" i="1"/>
  <c r="M846" i="1"/>
  <c r="C163" i="6"/>
  <c r="M1121" i="1"/>
  <c r="M1141" i="1"/>
  <c r="M836" i="1"/>
  <c r="M620" i="1"/>
  <c r="M1157" i="1"/>
  <c r="M674" i="1"/>
  <c r="M673" i="1"/>
  <c r="M665" i="1"/>
  <c r="M664" i="1"/>
  <c r="M654" i="1"/>
  <c r="M594" i="1"/>
  <c r="M927" i="1"/>
  <c r="M873" i="1"/>
  <c r="M881" i="1"/>
  <c r="M653" i="1"/>
  <c r="M863" i="1"/>
  <c r="M844" i="1"/>
  <c r="C164" i="6"/>
  <c r="M810" i="1"/>
  <c r="C161" i="6"/>
  <c r="M905" i="1"/>
  <c r="M1004" i="1"/>
  <c r="M1003" i="1"/>
  <c r="C162" i="6"/>
  <c r="M663" i="1"/>
  <c r="M662" i="1"/>
  <c r="M950" i="1"/>
  <c r="M526" i="1"/>
  <c r="M768" i="1"/>
  <c r="M767" i="1"/>
  <c r="M743" i="1"/>
  <c r="M837" i="1"/>
  <c r="M1143" i="1"/>
  <c r="M1142" i="1"/>
  <c r="M1133" i="1"/>
  <c r="M507" i="1"/>
  <c r="M1173" i="1"/>
  <c r="M1174" i="1"/>
  <c r="M1105" i="1"/>
  <c r="M1104" i="1"/>
  <c r="M1103" i="1"/>
  <c r="M1102" i="1"/>
  <c r="M1101" i="1"/>
  <c r="M1100" i="1"/>
  <c r="M1099" i="1"/>
  <c r="M1175" i="1"/>
  <c r="M1064" i="1"/>
  <c r="M1176" i="1"/>
  <c r="M1050" i="1"/>
  <c r="M1049" i="1"/>
  <c r="M1048" i="1"/>
  <c r="M1047" i="1"/>
  <c r="M1046" i="1"/>
  <c r="M1045" i="1"/>
  <c r="M1024" i="1"/>
  <c r="M1009" i="1"/>
  <c r="M986" i="1"/>
  <c r="M985" i="1"/>
  <c r="M984" i="1"/>
  <c r="M983" i="1"/>
  <c r="M982" i="1"/>
  <c r="M1106" i="1"/>
  <c r="M981" i="1"/>
  <c r="M980" i="1"/>
  <c r="M979" i="1"/>
  <c r="M509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508" i="1"/>
  <c r="M931" i="1"/>
  <c r="M569" i="1"/>
  <c r="M816" i="1"/>
  <c r="M568" i="1"/>
  <c r="M850" i="1"/>
  <c r="M851" i="1"/>
  <c r="M852" i="1"/>
  <c r="M506" i="1"/>
  <c r="M505" i="1"/>
  <c r="M504" i="1"/>
  <c r="M815" i="1"/>
  <c r="M814" i="1"/>
  <c r="M567" i="1"/>
  <c r="M528" i="1"/>
  <c r="M529" i="1"/>
  <c r="M530" i="1"/>
  <c r="M936" i="1"/>
  <c r="M564" i="1"/>
  <c r="M869" i="1"/>
  <c r="M832" i="1"/>
  <c r="M503" i="1"/>
  <c r="M502" i="1"/>
  <c r="M598" i="1"/>
  <c r="M599" i="1"/>
  <c r="M600" i="1"/>
  <c r="M601" i="1"/>
  <c r="M602" i="1"/>
  <c r="M603" i="1"/>
  <c r="M604" i="1"/>
  <c r="M605" i="1"/>
  <c r="M570" i="1"/>
  <c r="M571" i="1"/>
  <c r="M890" i="1"/>
  <c r="M572" i="1"/>
  <c r="M573" i="1"/>
  <c r="M574" i="1"/>
  <c r="M909" i="1"/>
  <c r="M928" i="1"/>
  <c r="M549" i="1"/>
  <c r="M929" i="1"/>
  <c r="M930" i="1"/>
  <c r="M720" i="1"/>
  <c r="M719" i="1"/>
  <c r="M718" i="1"/>
  <c r="M717" i="1"/>
  <c r="M716" i="1"/>
  <c r="M715" i="1"/>
  <c r="M714" i="1"/>
  <c r="M562" i="1"/>
  <c r="M563" i="1"/>
  <c r="M932" i="1"/>
  <c r="M818" i="1"/>
  <c r="M933" i="1"/>
  <c r="M934" i="1"/>
  <c r="M935" i="1"/>
  <c r="M713" i="1"/>
  <c r="M712" i="1"/>
  <c r="M943" i="1"/>
  <c r="M711" i="1"/>
  <c r="M944" i="1"/>
  <c r="M531" i="1"/>
  <c r="M561" i="1"/>
  <c r="M817" i="1"/>
  <c r="M833" i="1"/>
  <c r="M953" i="1"/>
  <c r="M834" i="1"/>
  <c r="M565" i="1"/>
  <c r="M954" i="1"/>
  <c r="M803" i="1"/>
  <c r="M566" i="1"/>
  <c r="M464" i="1"/>
  <c r="M964" i="1"/>
  <c r="M463" i="1"/>
  <c r="M462" i="1"/>
  <c r="M461" i="1"/>
  <c r="M460" i="1"/>
  <c r="M459" i="1"/>
  <c r="M458" i="1"/>
  <c r="M457" i="1"/>
  <c r="M510" i="1"/>
  <c r="M1168" i="1"/>
  <c r="M1169" i="1"/>
  <c r="M1170" i="1"/>
  <c r="M1171" i="1"/>
  <c r="M1172" i="1"/>
  <c r="M466" i="1"/>
  <c r="M757" i="1"/>
  <c r="M788" i="1"/>
  <c r="M910" i="1"/>
  <c r="M511" i="1"/>
  <c r="M465" i="1"/>
  <c r="M965" i="1"/>
  <c r="M721" i="1"/>
  <c r="M789" i="1"/>
  <c r="M1179" i="1"/>
  <c r="M637" i="1"/>
  <c r="M1151" i="1"/>
  <c r="I163" i="6"/>
  <c r="M579" i="1"/>
  <c r="M871" i="1"/>
  <c r="M870" i="1"/>
  <c r="M735" i="1"/>
  <c r="I161" i="6"/>
  <c r="M678" i="1"/>
  <c r="I164" i="6"/>
  <c r="M804" i="1"/>
  <c r="M677" i="1"/>
  <c r="M761" i="1"/>
  <c r="I162" i="6"/>
  <c r="M1038" i="1"/>
  <c r="M1150" i="1"/>
  <c r="J162" i="6"/>
  <c r="J161" i="6"/>
  <c r="J164" i="6"/>
  <c r="M941" i="1"/>
  <c r="M536" i="1"/>
  <c r="M903" i="1"/>
  <c r="M705" i="1"/>
  <c r="M522" i="1"/>
  <c r="M1138" i="1"/>
  <c r="M963" i="1"/>
  <c r="M736" i="1"/>
  <c r="J163" i="6"/>
  <c r="M1152" i="1"/>
  <c r="M483" i="1"/>
  <c r="M916" i="1"/>
  <c r="M759" i="1"/>
  <c r="M760" i="1"/>
  <c r="M162" i="6"/>
  <c r="M763" i="1"/>
  <c r="M920" i="1"/>
  <c r="M537" i="1"/>
  <c r="M764" i="1"/>
  <c r="M765" i="1"/>
  <c r="M523" i="1"/>
  <c r="M496" i="1"/>
  <c r="M758" i="1"/>
  <c r="M160" i="6"/>
  <c r="M914" i="1"/>
  <c r="M163" i="6"/>
  <c r="M921" i="1"/>
  <c r="M164" i="6"/>
  <c r="M161" i="6"/>
  <c r="M915" i="1"/>
  <c r="M800" i="1"/>
  <c r="M1017" i="1"/>
  <c r="M1016" i="1"/>
  <c r="M801" i="1"/>
  <c r="M672" i="1"/>
  <c r="M805" i="1"/>
  <c r="M812" i="1"/>
  <c r="M1061" i="1"/>
  <c r="M551" i="1"/>
  <c r="M588" i="1"/>
  <c r="M1032" i="1"/>
  <c r="T161" i="6"/>
  <c r="T162" i="6"/>
  <c r="T163" i="6"/>
  <c r="T160" i="6"/>
  <c r="M638" i="1"/>
  <c r="M639" i="1"/>
  <c r="M794" i="1"/>
  <c r="M727" i="1"/>
  <c r="M728" i="1"/>
  <c r="M793" i="1"/>
  <c r="M518" i="1"/>
  <c r="M1183" i="1"/>
  <c r="M1184" i="1"/>
  <c r="M517" i="1"/>
  <c r="M967" i="1"/>
  <c r="M968" i="1"/>
  <c r="M470" i="1"/>
  <c r="M469" i="1"/>
  <c r="T164" i="6"/>
  <c r="M878" i="1"/>
  <c r="M675" i="1"/>
  <c r="M1145" i="1"/>
  <c r="E162" i="6"/>
  <c r="E161" i="6"/>
  <c r="E163" i="6"/>
  <c r="E164" i="6"/>
  <c r="N162" i="6"/>
  <c r="N160" i="6"/>
  <c r="N163" i="6"/>
  <c r="N164" i="6"/>
  <c r="N161" i="6"/>
  <c r="M543" i="1"/>
  <c r="O163" i="6"/>
  <c r="O164" i="6"/>
  <c r="O161" i="6"/>
  <c r="O162" i="6"/>
  <c r="O160" i="6"/>
  <c r="M539" i="1"/>
  <c r="M624" i="1"/>
  <c r="M629" i="1"/>
  <c r="M625" i="1"/>
  <c r="M627" i="1"/>
  <c r="M628" i="1"/>
  <c r="M1008" i="1"/>
  <c r="M630" i="1"/>
  <c r="M631" i="1"/>
  <c r="M632" i="1"/>
  <c r="M633" i="1"/>
  <c r="M634" i="1"/>
  <c r="M635" i="1"/>
  <c r="M636" i="1"/>
  <c r="M648" i="1"/>
  <c r="M649" i="1"/>
  <c r="M656" i="1"/>
  <c r="M501" i="1"/>
  <c r="M500" i="1"/>
  <c r="M657" i="1"/>
  <c r="M559" i="1"/>
  <c r="M658" i="1"/>
  <c r="M659" i="1"/>
  <c r="M542" i="1"/>
  <c r="M666" i="1"/>
  <c r="M667" i="1"/>
  <c r="M668" i="1"/>
  <c r="M669" i="1"/>
  <c r="M596" i="1"/>
  <c r="M558" i="1"/>
  <c r="M487" i="1"/>
  <c r="M582" i="1"/>
  <c r="M581" i="1"/>
  <c r="M538" i="1"/>
  <c r="M527" i="1"/>
  <c r="M589" i="1"/>
  <c r="M580" i="1"/>
  <c r="M541" i="1"/>
  <c r="M699" i="1"/>
  <c r="M590" i="1"/>
  <c r="M1069" i="1"/>
  <c r="M1068" i="1"/>
  <c r="M1067" i="1"/>
  <c r="M1044" i="1"/>
  <c r="M1040" i="1"/>
  <c r="M480" i="1"/>
  <c r="M1023" i="1"/>
  <c r="M1022" i="1"/>
  <c r="M1021" i="1"/>
  <c r="M481" i="1"/>
  <c r="M591" i="1"/>
  <c r="M557" i="1"/>
  <c r="M490" i="1"/>
  <c r="M489" i="1"/>
  <c r="M827" i="1"/>
  <c r="M488" i="1"/>
  <c r="M482" i="1"/>
  <c r="M595" i="1"/>
  <c r="M831" i="1"/>
  <c r="M597" i="1"/>
  <c r="M492" i="1"/>
  <c r="M978" i="1"/>
  <c r="M977" i="1"/>
  <c r="M622" i="1"/>
  <c r="M486" i="1"/>
  <c r="M560" i="1"/>
  <c r="M623" i="1"/>
  <c r="M540" i="1"/>
  <c r="M455" i="1"/>
  <c r="D166" i="6"/>
  <c r="M453" i="1"/>
  <c r="M452" i="1"/>
  <c r="M451" i="1"/>
  <c r="M450" i="1"/>
  <c r="M449" i="1"/>
  <c r="M448" i="1"/>
  <c r="M447" i="1"/>
  <c r="Z167" i="6"/>
  <c r="V165" i="6"/>
  <c r="U165" i="6"/>
  <c r="T165" i="6"/>
  <c r="S165" i="6"/>
  <c r="R165" i="6"/>
  <c r="Q165" i="6"/>
  <c r="P165" i="6"/>
  <c r="O165" i="6"/>
  <c r="N165" i="6"/>
  <c r="M165" i="6"/>
  <c r="L165" i="6"/>
  <c r="K165" i="6"/>
  <c r="J165" i="6"/>
  <c r="I165" i="6"/>
  <c r="G165" i="6"/>
  <c r="F165" i="6"/>
  <c r="E165" i="6"/>
  <c r="D165" i="6"/>
  <c r="C165" i="6"/>
  <c r="AB166" i="6"/>
  <c r="AA166" i="6"/>
  <c r="Z166" i="6"/>
  <c r="Y166" i="6"/>
  <c r="X166" i="6"/>
  <c r="W166" i="6"/>
  <c r="V166" i="6"/>
  <c r="M454" i="1"/>
  <c r="U166" i="6"/>
  <c r="T166" i="6"/>
  <c r="S166" i="6"/>
  <c r="R166" i="6"/>
  <c r="Q166" i="6"/>
  <c r="P166" i="6"/>
  <c r="H165" i="6"/>
  <c r="E167" i="6"/>
  <c r="O166" i="6"/>
  <c r="N166" i="6"/>
  <c r="M166" i="6"/>
  <c r="L166" i="6"/>
  <c r="K166" i="6"/>
  <c r="J166" i="6"/>
  <c r="I166" i="6"/>
  <c r="H166" i="6"/>
  <c r="G166" i="6"/>
  <c r="C166" i="6"/>
  <c r="AB167" i="6"/>
  <c r="AA167" i="6"/>
  <c r="Y167" i="6"/>
  <c r="X167" i="6"/>
  <c r="W167" i="6"/>
  <c r="V167" i="6"/>
  <c r="U167" i="6"/>
  <c r="T167" i="6"/>
  <c r="S167" i="6"/>
  <c r="R167" i="6"/>
  <c r="Q167" i="6"/>
  <c r="P167" i="6"/>
  <c r="O167" i="6"/>
  <c r="N167" i="6"/>
  <c r="M167" i="6"/>
  <c r="L167" i="6"/>
  <c r="K167" i="6"/>
  <c r="J167" i="6"/>
  <c r="I167" i="6"/>
  <c r="H167" i="6"/>
  <c r="G167" i="6"/>
  <c r="F167" i="6"/>
  <c r="M456" i="1"/>
  <c r="Z165" i="6"/>
  <c r="M275" i="1"/>
  <c r="M308" i="1"/>
  <c r="AB165" i="6"/>
  <c r="M328" i="1"/>
  <c r="V163" i="6"/>
  <c r="M444" i="1"/>
  <c r="M11" i="1"/>
  <c r="M13" i="1"/>
  <c r="M7" i="1"/>
  <c r="D168" i="6"/>
  <c r="G168" i="6"/>
  <c r="I168" i="6"/>
  <c r="L168" i="6"/>
  <c r="O168" i="6"/>
  <c r="Q168" i="6"/>
  <c r="T168" i="6"/>
  <c r="V168" i="6"/>
  <c r="W168" i="6"/>
  <c r="AB168" i="6"/>
  <c r="C168" i="6"/>
  <c r="E168" i="6"/>
  <c r="F168" i="6"/>
  <c r="H168" i="6"/>
  <c r="J168" i="6"/>
  <c r="K168" i="6"/>
  <c r="M168" i="6"/>
  <c r="N168" i="6"/>
  <c r="P168" i="6"/>
  <c r="R168" i="6"/>
  <c r="S168" i="6"/>
  <c r="U168" i="6"/>
  <c r="X168" i="6"/>
  <c r="Y168" i="6"/>
  <c r="Z168" i="6"/>
  <c r="AA168" i="6"/>
  <c r="D167" i="6"/>
  <c r="C167" i="6"/>
  <c r="F166" i="6"/>
  <c r="E166" i="6"/>
  <c r="E160" i="6"/>
  <c r="C160" i="6"/>
  <c r="J160" i="6"/>
  <c r="I160" i="6"/>
  <c r="H160" i="6"/>
  <c r="G160" i="6"/>
  <c r="M294" i="1"/>
  <c r="M286" i="1"/>
  <c r="M22" i="1"/>
  <c r="M14" i="1"/>
  <c r="M6" i="1"/>
  <c r="M5" i="1"/>
  <c r="M28" i="1"/>
  <c r="M20" i="1"/>
  <c r="M12" i="1"/>
  <c r="M4" i="1"/>
  <c r="M290" i="1"/>
  <c r="M282" i="1"/>
  <c r="M18" i="1"/>
  <c r="M10" i="1"/>
  <c r="M1206" i="1"/>
  <c r="M1178" i="1"/>
  <c r="M1177" i="1"/>
  <c r="M25" i="1"/>
  <c r="M17" i="1"/>
  <c r="M9" i="1"/>
  <c r="M1000" i="1"/>
  <c r="M280" i="1"/>
  <c r="M40" i="1"/>
  <c r="M32" i="1"/>
  <c r="M24" i="1"/>
  <c r="M16" i="1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19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9" i="1"/>
  <c r="E1190" i="1"/>
  <c r="E1191" i="1"/>
  <c r="E1192" i="1"/>
  <c r="E1193" i="1"/>
  <c r="E1194" i="1"/>
  <c r="E1195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65" i="6" l="1"/>
  <c r="AE161" i="6"/>
  <c r="AE162" i="6"/>
  <c r="AE167" i="6"/>
  <c r="AE163" i="6"/>
  <c r="AE164" i="6"/>
  <c r="AE168" i="6"/>
  <c r="AE166" i="6"/>
  <c r="AE160" i="6"/>
  <c r="N159" i="6"/>
  <c r="I904" i="1" l="1"/>
  <c r="H904" i="1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2" i="1"/>
  <c r="H1152" i="1"/>
  <c r="I1138" i="1"/>
  <c r="H1138" i="1"/>
  <c r="I963" i="1"/>
  <c r="H963" i="1"/>
  <c r="I941" i="1"/>
  <c r="H941" i="1"/>
  <c r="I903" i="1"/>
  <c r="H903" i="1"/>
  <c r="I1038" i="1"/>
  <c r="H1038" i="1"/>
  <c r="I1151" i="1"/>
  <c r="H1151" i="1"/>
  <c r="I1150" i="1"/>
  <c r="H1150" i="1"/>
  <c r="I1017" i="1"/>
  <c r="H1017" i="1"/>
  <c r="I1016" i="1"/>
  <c r="H1016" i="1"/>
  <c r="I1189" i="1"/>
  <c r="I1190" i="1"/>
  <c r="I1191" i="1"/>
  <c r="I1192" i="1"/>
  <c r="I1193" i="1"/>
  <c r="I1194" i="1"/>
  <c r="I1195" i="1"/>
  <c r="I1196" i="1"/>
  <c r="H1196" i="1"/>
  <c r="H1195" i="1"/>
  <c r="H1194" i="1"/>
  <c r="H1193" i="1"/>
  <c r="H1192" i="1"/>
  <c r="H1191" i="1"/>
  <c r="H1190" i="1"/>
  <c r="H1189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4" i="1"/>
  <c r="I1015" i="1"/>
  <c r="I1031" i="1"/>
  <c r="I1078" i="1"/>
  <c r="I1088" i="1"/>
  <c r="I1089" i="1"/>
  <c r="I1090" i="1"/>
  <c r="I1091" i="1"/>
  <c r="I1092" i="1"/>
  <c r="I1119" i="1"/>
  <c r="I1129" i="1"/>
  <c r="I1137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4" i="1"/>
  <c r="H1015" i="1"/>
  <c r="H1031" i="1"/>
  <c r="H1078" i="1"/>
  <c r="H1088" i="1"/>
  <c r="H1089" i="1"/>
  <c r="H1090" i="1"/>
  <c r="H1091" i="1"/>
  <c r="H1092" i="1"/>
  <c r="H1119" i="1"/>
  <c r="H1129" i="1"/>
  <c r="H1137" i="1"/>
  <c r="H898" i="1"/>
  <c r="I894" i="1"/>
  <c r="I895" i="1"/>
  <c r="I896" i="1"/>
  <c r="I897" i="1"/>
  <c r="I946" i="1"/>
  <c r="I1012" i="1"/>
  <c r="I1013" i="1"/>
  <c r="I1029" i="1"/>
  <c r="I1030" i="1"/>
  <c r="I1036" i="1"/>
  <c r="I1037" i="1"/>
  <c r="I1041" i="1"/>
  <c r="I1057" i="1"/>
  <c r="I1058" i="1"/>
  <c r="I1059" i="1"/>
  <c r="I1060" i="1"/>
  <c r="I1074" i="1"/>
  <c r="I1075" i="1"/>
  <c r="I1076" i="1"/>
  <c r="I1077" i="1"/>
  <c r="I1086" i="1"/>
  <c r="I1087" i="1"/>
  <c r="I1093" i="1"/>
  <c r="I1094" i="1"/>
  <c r="I1117" i="1"/>
  <c r="I1118" i="1"/>
  <c r="I1127" i="1"/>
  <c r="I1128" i="1"/>
  <c r="I1149" i="1"/>
  <c r="H1149" i="1"/>
  <c r="H1127" i="1"/>
  <c r="H1128" i="1"/>
  <c r="H1117" i="1"/>
  <c r="H1118" i="1"/>
  <c r="H1093" i="1"/>
  <c r="H1094" i="1"/>
  <c r="H1086" i="1"/>
  <c r="H1087" i="1"/>
  <c r="H1074" i="1"/>
  <c r="H1075" i="1"/>
  <c r="H1076" i="1"/>
  <c r="H1077" i="1"/>
  <c r="H1057" i="1"/>
  <c r="H1058" i="1"/>
  <c r="H1059" i="1"/>
  <c r="H1060" i="1"/>
  <c r="H1041" i="1"/>
  <c r="H1036" i="1"/>
  <c r="H1037" i="1"/>
  <c r="H1029" i="1"/>
  <c r="H1030" i="1"/>
  <c r="H1012" i="1"/>
  <c r="H1013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7" i="1"/>
  <c r="I1028" i="1"/>
  <c r="I1056" i="1"/>
  <c r="I1065" i="1"/>
  <c r="I1066" i="1"/>
  <c r="I1136" i="1"/>
  <c r="I1148" i="1"/>
  <c r="H1148" i="1"/>
  <c r="H1136" i="1"/>
  <c r="H1065" i="1"/>
  <c r="H1066" i="1"/>
  <c r="H1056" i="1"/>
  <c r="H1027" i="1"/>
  <c r="H1028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0" i="1"/>
  <c r="I1011" i="1"/>
  <c r="I1055" i="1"/>
  <c r="I1116" i="1"/>
  <c r="I1147" i="1"/>
  <c r="H1147" i="1"/>
  <c r="H1116" i="1"/>
  <c r="H1055" i="1"/>
  <c r="H1010" i="1"/>
  <c r="H1011" i="1"/>
  <c r="H955" i="1"/>
  <c r="H971" i="1"/>
  <c r="H937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I1135" i="1"/>
  <c r="I1139" i="1"/>
  <c r="I1140" i="1"/>
  <c r="I1141" i="1"/>
  <c r="I1142" i="1"/>
  <c r="I1143" i="1"/>
  <c r="I1144" i="1"/>
  <c r="I1145" i="1"/>
  <c r="I1146" i="1"/>
  <c r="H1139" i="1"/>
  <c r="H1140" i="1"/>
  <c r="H1141" i="1"/>
  <c r="H1142" i="1"/>
  <c r="H1143" i="1"/>
  <c r="H1144" i="1"/>
  <c r="H1145" i="1"/>
  <c r="H1146" i="1"/>
  <c r="I1130" i="1"/>
  <c r="I1131" i="1"/>
  <c r="I1132" i="1"/>
  <c r="I1133" i="1"/>
  <c r="I1134" i="1"/>
  <c r="H1130" i="1"/>
  <c r="H1131" i="1"/>
  <c r="H1132" i="1"/>
  <c r="H1133" i="1"/>
  <c r="H1134" i="1"/>
  <c r="H1135" i="1"/>
  <c r="I1120" i="1"/>
  <c r="I1121" i="1"/>
  <c r="I1122" i="1"/>
  <c r="I1123" i="1"/>
  <c r="I1124" i="1"/>
  <c r="I1125" i="1"/>
  <c r="I1126" i="1"/>
  <c r="H1120" i="1"/>
  <c r="H1121" i="1"/>
  <c r="H1122" i="1"/>
  <c r="H1123" i="1"/>
  <c r="H1124" i="1"/>
  <c r="H1125" i="1"/>
  <c r="H1126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I1079" i="1"/>
  <c r="I1080" i="1"/>
  <c r="I1081" i="1"/>
  <c r="I1082" i="1"/>
  <c r="I1083" i="1"/>
  <c r="I1084" i="1"/>
  <c r="I1085" i="1"/>
  <c r="H1079" i="1"/>
  <c r="H1080" i="1"/>
  <c r="H1081" i="1"/>
  <c r="H1082" i="1"/>
  <c r="H1083" i="1"/>
  <c r="H1084" i="1"/>
  <c r="H1085" i="1"/>
  <c r="H1068" i="1"/>
  <c r="I1068" i="1"/>
  <c r="H1069" i="1"/>
  <c r="I1069" i="1"/>
  <c r="H1070" i="1"/>
  <c r="I1070" i="1"/>
  <c r="H1071" i="1"/>
  <c r="I1071" i="1"/>
  <c r="H1072" i="1"/>
  <c r="I1072" i="1"/>
  <c r="H1073" i="1"/>
  <c r="I1073" i="1"/>
  <c r="I1061" i="1"/>
  <c r="I1062" i="1"/>
  <c r="I1063" i="1"/>
  <c r="I1064" i="1"/>
  <c r="H1061" i="1"/>
  <c r="H1062" i="1"/>
  <c r="H1063" i="1"/>
  <c r="H1064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I1002" i="1"/>
  <c r="I1003" i="1"/>
  <c r="I1004" i="1"/>
  <c r="I1005" i="1"/>
  <c r="I1006" i="1"/>
  <c r="I1007" i="1"/>
  <c r="I1008" i="1"/>
  <c r="I1009" i="1"/>
  <c r="I1018" i="1"/>
  <c r="I1019" i="1"/>
  <c r="I1020" i="1"/>
  <c r="I1021" i="1"/>
  <c r="I1022" i="1"/>
  <c r="I1023" i="1"/>
  <c r="I1024" i="1"/>
  <c r="I1025" i="1"/>
  <c r="I1026" i="1"/>
  <c r="I1032" i="1"/>
  <c r="I1033" i="1"/>
  <c r="I1034" i="1"/>
  <c r="I1035" i="1"/>
  <c r="I1039" i="1"/>
  <c r="I1040" i="1"/>
  <c r="H1002" i="1"/>
  <c r="H1003" i="1"/>
  <c r="H1004" i="1"/>
  <c r="H1005" i="1"/>
  <c r="H1006" i="1"/>
  <c r="H1007" i="1"/>
  <c r="H1008" i="1"/>
  <c r="H1009" i="1"/>
  <c r="H1018" i="1"/>
  <c r="H1019" i="1"/>
  <c r="H1020" i="1"/>
  <c r="H1021" i="1"/>
  <c r="H1022" i="1"/>
  <c r="H1023" i="1"/>
  <c r="H1024" i="1"/>
  <c r="H1025" i="1"/>
  <c r="H1026" i="1"/>
  <c r="H1032" i="1"/>
  <c r="H1033" i="1"/>
  <c r="H1034" i="1"/>
  <c r="H1035" i="1"/>
  <c r="H1039" i="1"/>
  <c r="H1040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Z154" i="6"/>
  <c r="S136" i="6"/>
  <c r="N123" i="6"/>
  <c r="H48" i="6"/>
  <c r="S100" i="6"/>
  <c r="Y133" i="6"/>
  <c r="X154" i="6"/>
  <c r="C91" i="6"/>
  <c r="C69" i="6"/>
  <c r="C89" i="6"/>
  <c r="J151" i="6"/>
  <c r="O82" i="6"/>
  <c r="AB143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I145" i="6"/>
  <c r="I51" i="6"/>
  <c r="J61" i="6"/>
  <c r="L139" i="6"/>
  <c r="Y156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B142" i="6"/>
  <c r="M132" i="6"/>
  <c r="M100" i="6"/>
  <c r="H100" i="6"/>
  <c r="J84" i="6"/>
  <c r="D65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Z143" i="6"/>
  <c r="Y158" i="6"/>
  <c r="L158" i="6"/>
  <c r="Y150" i="6"/>
  <c r="AA128" i="6"/>
  <c r="X156" i="6"/>
  <c r="Y144" i="6"/>
  <c r="AB155" i="6"/>
  <c r="AA148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B148" i="6"/>
  <c r="AA145" i="6"/>
  <c r="J75" i="6"/>
  <c r="J54" i="6"/>
  <c r="I119" i="6"/>
  <c r="D43" i="6"/>
  <c r="Q112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P158" i="6"/>
  <c r="Z156" i="6"/>
  <c r="H158" i="6"/>
  <c r="E157" i="6"/>
  <c r="X134" i="6"/>
  <c r="S156" i="6"/>
  <c r="AB140" i="6"/>
  <c r="AA154" i="6"/>
  <c r="Y146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<sst xmlns="http://schemas.openxmlformats.org/spreadsheetml/2006/main" count="10502" uniqueCount="218">
  <si>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</si>
  <si>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</si>
  <si>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</si>
  <si>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</si>
  <si>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</si>
  <si>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</si>
  <si>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</si>
  <si>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</si>
  <si>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</si>
  <si>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</si>
  <si>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</si>
  <si>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</si>
  <si>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</si>
  <si>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</si>
  <si>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</si>
  <si>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</si>
  <si>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</si>
  <si>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</si>
  <si>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</si>
  <si>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</si>
  <si>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</si>
  <si>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</si>
  <si>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</si>
  <si>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</si>
  <si>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</si>
  <si>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</si>
  <si>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</si>
  <si>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</si>
  <si>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</si>
  <si>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</si>
  <si>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</si>
  <si>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</si>
  <si>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</si>
  <si>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</si>
  <si>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</si>
  <si>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</si>
  <si>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</si>
  <si>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</si>
  <si>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</si>
  <si>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</si>
  <si>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</si>
  <si>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</si>
  <si>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</si>
  <si>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</si>
  <si>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</si>
  <si>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</si>
  <si>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</si>
  <si>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</si>
  <si>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</si>
  <si>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</si>
  <si>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</si>
  <si>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</si>
  <si>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</si>
  <si>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</si>
  <si>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</si>
  <si>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</si>
  <si>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</si>
  <si>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</si>
  <si>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</si>
  <si>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</si>
  <si>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</si>
  <si>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</si>
  <si>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</si>
  <si>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</si>
  <si>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</si>
  <si>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</si>
  <si>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</si>
  <si>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</si>
  <si>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</si>
  <si>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</si>
  <si>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</si>
  <si>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</si>
  <si>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</si>
  <si>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</si>
  <si>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</si>
  <si>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</si>
  <si>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</si>
  <si>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</si>
  <si>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</si>
  <si>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</si>
  <si>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</si>
  <si>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</si>
  <si>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</si>
  <si>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</si>
  <si>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</si>
  <si>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</si>
  <si>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</si>
  <si>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</si>
  <si>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</si>
  <si>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</si>
  <si>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</si>
  <si>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</si>
  <si>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</si>
  <si>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</si>
  <si>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</si>
  <si>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</si>
  <si>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</si>
  <si>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</si>
  <si>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</si>
  <si>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</si>
  <si>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</si>
  <si>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</si>
  <si>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</si>
  <si>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</si>
  <si>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</si>
  <si>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</si>
  <si>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</si>
  <si>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</si>
  <si>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</si>
  <si>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</si>
  <si>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</si>
  <si>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</si>
  <si>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</si>
  <si>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</si>
  <si>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</si>
  <si>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</si>
  <si>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</si>
  <si>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</si>
  <si>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</si>
  <si>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</si>
  <si>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</si>
  <si>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</si>
  <si>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</si>
  <si>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</si>
  <si>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</si>
  <si>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</si>
  <si>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</si>
  <si>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</si>
  <si>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</si>
  <si>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</si>
  <si>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</si>
  <si>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</si>
  <si>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</si>
  <si>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</si>
  <si>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</si>
  <si>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</si>
  <si>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</si>
  <si>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</si>
  <si>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</si>
  <si>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</si>
  <si>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</si>
  <si>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</si>
  <si>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</si>
  <si>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</si>
  <si>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</si>
  <si>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</si>
  <si>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</si>
  <si>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</si>
  <si>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</si>
  <si>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</si>
  <si>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</si>
  <si>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</si>
  <si>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</si>
  <si>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</si>
  <si>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</si>
  <si>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</si>
  <si>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</si>
  <si>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</si>
  <si>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</si>
  <si>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</si>
  <si>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</si>
  <si>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</si>
  <si>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</si>
  <si>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</si>
  <si>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</si>
  <si>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</si>
  <si>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</si>
  <si>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</si>
  <si>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</si>
  <si>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</si>
  <si>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</si>
  <si>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</si>
  <si>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</si>
  <si>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</si>
  <si>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</si>
  <si>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</si>
  <si>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</si>
  <si>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</si>
  <si>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</si>
  <si>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</si>
  <si>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</si>
  <si>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</si>
  <si>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</si>
  <si>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</si>
  <si>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</si>
  <si>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</si>
  <si>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</si>
  <si>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</si>
  <si>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</si>
  <si>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</si>
  <si>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</si>
  <si>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</si>
  <si>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</si>
  <si>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</si>
  <si>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</si>
  <si>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</si>
  <si>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</si>
  <si>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</si>
  <si>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</si>
  <si>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</si>
  <si>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</si>
  <si>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</si>
  <si>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</si>
  <si>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</si>
  <si>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</si>
  <si>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</si>
  <si>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</si>
  <si>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</si>
  <si>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</si>
  <si>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</si>
  <si>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</si>
  <si>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</si>
  <si>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</si>
  <si>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</si>
  <si>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</si>
  <si>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</si>
  <si>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Don Cross Life</t>
  </si>
  <si>
    <t>Bank of America - Don Cross Life Trust - 9372-USD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</si>
</sst>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</cellXfs>
  <cellStyles count="2">
    <cellStyle name="Millares" xfId="1" builtinId="3"/>
    <cellStyle name="Normal" xfId="0" builtinId="0"/>
  </cellStyles>
  <dxfs count="50">
    <dxf>
      <numFmt numFmtId="0" formatCode="General"/>
    </dxf>
    <dxf>
      <numFmt numFmtId="19" formatCode="dd/mm/yyyy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4" totalsRowShown="0" headerRowDxfId="45">
  <autoFilter ref="A1:R1324" xr:uid="{00000000-0009-0000-0100-000001000000}"/>
  <tableColumns count="18">
    <tableColumn id="1" xr3:uid="{00000000-0010-0000-0000-000001000000}" name="ID"/>
    <tableColumn id="2" xr3:uid="{00000000-0010-0000-0000-000002000000}" name="Fecha" dataDxfId="44"/>
    <tableColumn id="3" xr3:uid="{00000000-0010-0000-0000-000003000000}" name="Empresa"/>
    <tableColumn id="4" xr3:uid="{00000000-0010-0000-0000-000004000000}" name="Cuenta Bancaria" dataDxfId="43"/>
    <tableColumn id="12" xr3:uid="{4E4C6484-6819-4411-A0F3-4017EFF8C28C}" name="Banco" dataDxfId="42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1"/>
    <tableColumn id="6" xr3:uid="{00000000-0010-0000-0000-000006000000}" name="Categoria / Concepto" dataDxfId="40"/>
    <tableColumn id="7" xr3:uid="{00000000-0010-0000-0000-000007000000}" name="Descripcion" dataDxfId="39">
      <calculatedColumnFormula>IFERROR(_xlfn.XLOOKUP(G2,Listas!E:E,Listas!F:F,""),"")</calculatedColumnFormula>
    </tableColumn>
    <tableColumn id="13" xr3:uid="{44ABE6CE-2513-45FC-BD14-32E930AFDBBD}" name="Ext/Int" dataDxfId="38"/>
    <tableColumn id="8" xr3:uid="{00000000-0010-0000-0000-000008000000}" name="Monto (S/)" dataDxfId="37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6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5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4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3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2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1" dataDxfId="29" headerRowBorderDxfId="30" tableBorderDxfId="28">
  <autoFilter ref="A1:AE498" xr:uid="{F415436C-AC07-4BC7-AF63-CF4210A06BB4}"/>
  <tableColumns count="31">
    <tableColumn id="1" xr3:uid="{63FFD75C-E666-43DD-8029-F430E7835BEE}" name="Día" dataDxfId="27"/>
    <tableColumn id="2" xr3:uid="{3C0A637E-5BCF-4DAA-A47B-1062D26CE0FC}" name="Fecha" dataDxfId="26"/>
    <tableColumn id="3" xr3:uid="{AA52C2CE-0BC6-4D55-8E20-0938296D1C23}" name="CFT Group" dataDxfId="25"/>
    <tableColumn id="4" xr3:uid="{EE7D0652-E6C8-4122-A765-D1B09096A21E}" name="M1B" dataDxfId="24"/>
    <tableColumn id="5" xr3:uid="{B4646433-2F6C-4447-A177-6AD7A4B88B6F}" name="Durand" dataDxfId="23"/>
    <tableColumn id="6" xr3:uid="{DCA1C6D9-C3E1-43F4-A721-4008460687C7}" name="A&amp;M Imports" dataDxfId="22"/>
    <tableColumn id="7" xr3:uid="{D4A7DE77-6043-4E65-8D3F-445DF17D93F1}" name="SSP Capital" dataDxfId="21"/>
    <tableColumn id="8" xr3:uid="{64A897BF-46B4-411E-BA9D-FE799CF2FEFB}" name="Cross Family Trust" dataDxfId="20"/>
    <tableColumn id="9" xr3:uid="{22730D08-F998-46A3-A6B6-4BF23E38D8F9}" name="Cross Security Trust" dataDxfId="19"/>
    <tableColumn id="10" xr3:uid="{BB5B9930-003E-4DC5-8E5D-067C1CF1A456}" name="Electrama" dataDxfId="18"/>
    <tableColumn id="11" xr3:uid="{72B1FF5A-A2B1-4F18-A8C8-32EEB09E3A17}" name="Sacred Valley Capital" dataDxfId="17"/>
    <tableColumn id="12" xr3:uid="{8285724C-9042-463F-8339-13C60DCBF2F4}" name="YWC Capital" dataDxfId="16"/>
    <tableColumn id="13" xr3:uid="{A6BA6873-5C5A-44C1-A199-00F91718164E}" name="Soweto" dataDxfId="15"/>
    <tableColumn id="14" xr3:uid="{50FB5920-A571-4DC5-9E26-0EF4F33A880F}" name="Green Stone Trust" dataDxfId="14"/>
    <tableColumn id="15" xr3:uid="{F3DE628D-3663-4B8C-88C3-8ED6C47CDAD0}" name="EC Auto" dataDxfId="13"/>
    <tableColumn id="16" xr3:uid="{63079263-2DC8-47D4-869E-EF7FF8CC83E2}" name="Arbor Capital Properties" dataDxfId="12"/>
    <tableColumn id="17" xr3:uid="{F0CCDB07-528A-4A91-A40E-B313EA61AC5A}" name="2515 Overbrook" dataDxfId="11"/>
    <tableColumn id="18" xr3:uid="{A92B8B5E-42D0-409B-819B-93575E6B5338}" name="112 Florida Ave" dataDxfId="10"/>
    <tableColumn id="19" xr3:uid="{E8590E2C-955F-4887-9F19-BD4E50391F39}" name="3628 Thomas Ave" dataDxfId="9"/>
    <tableColumn id="20" xr3:uid="{C99311AE-E772-4C28-A5BF-F01473FDC99C}" name="Green Harbor Trust" dataDxfId="8"/>
    <tableColumn id="21" xr3:uid="{531291F0-F871-4ED7-85FB-D95349130FEE}" name="Go Blue" dataDxfId="7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Aparments",Movimientos!$B$1:$B$1324,"&lt;="&amp;$B2))</calculatedColumnFormula>
    </tableColumn>
    <tableColumn id="31" xr3:uid="{B7FCEAC8-A443-40BE-865E-326615D350BA}" name="Don Cross Life" dataDxfId="6">
      <calculatedColumnFormula>IF(YEAR($B2)*100+MONTH($B2)&lt;--SUBSTITUTE(_xlfn.XLOOKUP("Don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Life",Movimientos!$B$1:$B$1324,"&lt;="&amp;$B2))</calculatedColumnFormula>
    </tableColumn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677" tableType="queryTable" totalsRowShown="0" headerRowDxfId="49" headerRowBorderDxfId="48">
  <autoFilter ref="A1:D4677" xr:uid="{2C5E576C-56D5-4661-AEE8-C56EAF46506C}"/>
  <tableColumns count="4">
    <tableColumn id="1" xr3:uid="{C5F72CE6-A217-4AAA-B890-634003E10415}" uniqueName="1" name="Empresa" queryTableFieldId="1" dataDxfId="47"/>
    <tableColumn id="4" xr3:uid="{1BFD00E9-36EE-42D9-A985-B1FC2CE4E317}" uniqueName="4" name="Saldo inicial" queryTableFieldId="4" dataDxfId="46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27" activePane="bottomLeft" state="frozen"/>
      <selection pane="bottomLeft" activeCell="D48" sqref="D48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216</v>
      </c>
      <c r="B47" s="8" t="s">
        <v>217</v>
      </c>
      <c r="C47" s="9" t="s">
        <v>133</v>
      </c>
      <c r="D47" s="10">
        <v>303874.71999999997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B48" sqref="B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216</v>
      </c>
      <c r="B48" s="8" t="s">
        <v>217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8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  <row r="53" spans="1:3" x14ac:dyDescent="0.3">
      <c r="A53" s="66"/>
      <c r="B53" s="66" t="s">
        <v>210</v>
      </c>
      <c r="C53" s="67" t="s">
        <v>217</v>
      </c>
    </row>
  </sheetData>
  <autoFilter ref="A1:C52" xr:uid="{BD5DA3FC-741E-47A5-AE85-807AA8056302}"/>
  <conditionalFormatting sqref="J2:J7 C2:C53">
    <cfRule type="duplicateValues" dxfId="4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4"/>
  <sheetViews>
    <sheetView zoomScale="70" zoomScaleNormal="70" workbookViewId="0">
      <pane ySplit="1" topLeftCell="A1246" activePane="bottomLeft" state="frozen"/>
      <selection pane="bottomLeft" activeCell="D1231" sqref="D1231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 t="shared" ref="K2:K65" si="0">IF(F2="Ingreso",J2,-J2)</f>
        <v>400000</v>
      </c>
      <c r="L2" s="6" t="s">
        <v>93</v>
      </c>
      <c r="M2" s="44">
        <f>SUMIFS('Saldos Iniciales'!$D:$D,'Saldos Iniciales'!$A:$A,C2,'Saldos Iniciales'!$B:$B,D2)+SUMIFS($K$1:$K$1324,$C$1:$C$1324,C2,$D$1:$D$1324,D2,$B$1:$B$1324,"&lt;="&amp;B2)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si="0"/>
        <v>12901.71</v>
      </c>
      <c r="L3" s="6" t="s">
        <v>93</v>
      </c>
      <c r="M3" s="44">
        <f>SUMIFS('Saldos Iniciales'!$D:$D,'Saldos Iniciales'!$A:$A,C3,'Saldos Iniciales'!$B:$B,D3)+SUMIFS($K$1:$K$1324,$C$1:$C$1324,C3,$D$1:$D$1324,D3,$B$1:$B$1324,"&lt;="&amp;B3)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Iniciales'!$B:$B,D4)+SUMIFS($K$1:$K$1324,$C$1:$C$1324,C4,$D$1:$D$1324,D4,$B$1:$B$1324,"&lt;="&amp;B4)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Iniciales'!$B:$B,D5)+SUMIFS($K$1:$K$1324,$C$1:$C$1324,C5,$D$1:$D$1324,D5,$B$1:$B$1324,"&lt;="&amp;B5)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Iniciales'!$B:$B,D6)+SUMIFS($K$1:$K$1324,$C$1:$C$1324,C6,$D$1:$D$1324,D6,$B$1:$B$1324,"&lt;="&amp;B6)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Iniciales'!$B:$B,D7)+SUMIFS($K$1:$K$1324,$C$1:$C$1324,C7,$D$1:$D$1324,D7,$B$1:$B$1324,"&lt;="&amp;B7)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Iniciales'!$B:$B,D8)+SUMIFS($K$1:$K$1324,$C$1:$C$1324,C8,$D$1:$D$1324,D8,$B$1:$B$1324,"&lt;="&amp;B8)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Iniciales'!$B:$B,D9)+SUMIFS($K$1:$K$1324,$C$1:$C$1324,C9,$D$1:$D$1324,D9,$B$1:$B$1324,"&lt;="&amp;B9)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Iniciales'!$B:$B,D10)+SUMIFS($K$1:$K$1324,$C$1:$C$1324,C10,$D$1:$D$1324,D10,$B$1:$B$1324,"&lt;="&amp;B10)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Iniciales'!$B:$B,D11)+SUMIFS($K$1:$K$1324,$C$1:$C$1324,C11,$D$1:$D$1324,D11,$B$1:$B$1324,"&lt;="&amp;B11)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Iniciales'!$B:$B,D12)+SUMIFS($K$1:$K$1324,$C$1:$C$1324,C12,$D$1:$D$1324,D12,$B$1:$B$1324,"&lt;="&amp;B12)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Iniciales'!$B:$B,D13)+SUMIFS($K$1:$K$1324,$C$1:$C$1324,C13,$D$1:$D$1324,D13,$B$1:$B$1324,"&lt;="&amp;B13)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Iniciales'!$B:$B,D14)+SUMIFS($K$1:$K$1324,$C$1:$C$1324,C14,$D$1:$D$1324,D14,$B$1:$B$1324,"&lt;="&amp;B14)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Iniciales'!$B:$B,D15)+SUMIFS($K$1:$K$1324,$C$1:$C$1324,C15,$D$1:$D$1324,D15,$B$1:$B$1324,"&lt;="&amp;B15)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Iniciales'!$B:$B,D16)+SUMIFS($K$1:$K$1324,$C$1:$C$1324,C16,$D$1:$D$1324,D16,$B$1:$B$1324,"&lt;="&amp;B16)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Iniciales'!$B:$B,D17)+SUMIFS($K$1:$K$1324,$C$1:$C$1324,C17,$D$1:$D$1324,D17,$B$1:$B$1324,"&lt;="&amp;B17)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Iniciales'!$B:$B,D18)+SUMIFS($K$1:$K$1324,$C$1:$C$1324,C18,$D$1:$D$1324,D18,$B$1:$B$1324,"&lt;="&amp;B18)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Iniciales'!$B:$B,D19)+SUMIFS($K$1:$K$1324,$C$1:$C$1324,C19,$D$1:$D$1324,D19,$B$1:$B$1324,"&lt;="&amp;B19)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Iniciales'!$B:$B,D20)+SUMIFS($K$1:$K$1324,$C$1:$C$1324,C20,$D$1:$D$1324,D20,$B$1:$B$1324,"&lt;="&amp;B20)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Iniciales'!$B:$B,D21)+SUMIFS($K$1:$K$1324,$C$1:$C$1324,C21,$D$1:$D$1324,D21,$B$1:$B$1324,"&lt;="&amp;B21)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Iniciales'!$B:$B,D22)+SUMIFS($K$1:$K$1324,$C$1:$C$1324,C22,$D$1:$D$1324,D22,$B$1:$B$1324,"&lt;="&amp;B22)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Iniciales'!$B:$B,D23)+SUMIFS($K$1:$K$1324,$C$1:$C$1324,C23,$D$1:$D$1324,D23,$B$1:$B$1324,"&lt;="&amp;B23)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Iniciales'!$B:$B,D24)+SUMIFS($K$1:$K$1324,$C$1:$C$1324,C24,$D$1:$D$1324,D24,$B$1:$B$1324,"&lt;="&amp;B24)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Iniciales'!$B:$B,D25)+SUMIFS($K$1:$K$1324,$C$1:$C$1324,C25,$D$1:$D$1324,D25,$B$1:$B$1324,"&lt;="&amp;B25)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Iniciales'!$B:$B,D26)+SUMIFS($K$1:$K$1324,$C$1:$C$1324,C26,$D$1:$D$1324,D26,$B$1:$B$1324,"&lt;="&amp;B26)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Iniciales'!$B:$B,D27)+SUMIFS($K$1:$K$1324,$C$1:$C$1324,C27,$D$1:$D$1324,D27,$B$1:$B$1324,"&lt;="&amp;B27)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Iniciales'!$B:$B,D28)+SUMIFS($K$1:$K$1324,$C$1:$C$1324,C28,$D$1:$D$1324,D28,$B$1:$B$1324,"&lt;="&amp;B28)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Iniciales'!$B:$B,D29)+SUMIFS($K$1:$K$1324,$C$1:$C$1324,C29,$D$1:$D$1324,D29,$B$1:$B$1324,"&lt;="&amp;B29)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Iniciales'!$B:$B,D30)+SUMIFS($K$1:$K$1324,$C$1:$C$1324,C30,$D$1:$D$1324,D30,$B$1:$B$1324,"&lt;="&amp;B30)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Iniciales'!$B:$B,D31)+SUMIFS($K$1:$K$1324,$C$1:$C$1324,C31,$D$1:$D$1324,D31,$B$1:$B$1324,"&lt;="&amp;B31)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Iniciales'!$B:$B,D32)+SUMIFS($K$1:$K$1324,$C$1:$C$1324,C32,$D$1:$D$1324,D32,$B$1:$B$1324,"&lt;="&amp;B32)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Iniciales'!$B:$B,D33)+SUMIFS($K$1:$K$1324,$C$1:$C$1324,C33,$D$1:$D$1324,D33,$B$1:$B$1324,"&lt;="&amp;B33)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Iniciales'!$B:$B,D34)+SUMIFS($K$1:$K$1324,$C$1:$C$1324,C34,$D$1:$D$1324,D34,$B$1:$B$1324,"&lt;="&amp;B34)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Iniciales'!$B:$B,D35)+SUMIFS($K$1:$K$1324,$C$1:$C$1324,C35,$D$1:$D$1324,D35,$B$1:$B$1324,"&lt;="&amp;B35)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Iniciales'!$B:$B,D36)+SUMIFS($K$1:$K$1324,$C$1:$C$1324,C36,$D$1:$D$1324,D36,$B$1:$B$1324,"&lt;="&amp;B36)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Iniciales'!$B:$B,D37)+SUMIFS($K$1:$K$1324,$C$1:$C$1324,C37,$D$1:$D$1324,D37,$B$1:$B$1324,"&lt;="&amp;B37)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Iniciales'!$B:$B,D38)+SUMIFS($K$1:$K$1324,$C$1:$C$1324,C38,$D$1:$D$1324,D38,$B$1:$B$1324,"&lt;="&amp;B38)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Iniciales'!$B:$B,D39)+SUMIFS($K$1:$K$1324,$C$1:$C$1324,C39,$D$1:$D$1324,D39,$B$1:$B$1324,"&lt;="&amp;B39)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Iniciales'!$B:$B,D40)+SUMIFS($K$1:$K$1324,$C$1:$C$1324,C40,$D$1:$D$1324,D40,$B$1:$B$1324,"&lt;="&amp;B40)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Iniciales'!$B:$B,D41)+SUMIFS($K$1:$K$1324,$C$1:$C$1324,C41,$D$1:$D$1324,D41,$B$1:$B$1324,"&lt;="&amp;B41)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Iniciales'!$B:$B,D42)+SUMIFS($K$1:$K$1324,$C$1:$C$1324,C42,$D$1:$D$1324,D42,$B$1:$B$1324,"&lt;="&amp;B42)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Iniciales'!$B:$B,D43)+SUMIFS($K$1:$K$1324,$C$1:$C$1324,C43,$D$1:$D$1324,D43,$B$1:$B$1324,"&lt;="&amp;B43)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Iniciales'!$B:$B,D44)+SUMIFS($K$1:$K$1324,$C$1:$C$1324,C44,$D$1:$D$1324,D44,$B$1:$B$1324,"&lt;="&amp;B44)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Iniciales'!$B:$B,D45)+SUMIFS($K$1:$K$1324,$C$1:$C$1324,C45,$D$1:$D$1324,D45,$B$1:$B$1324,"&lt;="&amp;B45)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Iniciales'!$B:$B,D46)+SUMIFS($K$1:$K$1324,$C$1:$C$1324,C46,$D$1:$D$1324,D46,$B$1:$B$1324,"&lt;="&amp;B46)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Iniciales'!$B:$B,D47)+SUMIFS($K$1:$K$1324,$C$1:$C$1324,C47,$D$1:$D$1324,D47,$B$1:$B$1324,"&lt;="&amp;B47)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Iniciales'!$B:$B,D48)+SUMIFS($K$1:$K$1324,$C$1:$C$1324,C48,$D$1:$D$1324,D48,$B$1:$B$1324,"&lt;="&amp;B48)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Iniciales'!$B:$B,D49)+SUMIFS($K$1:$K$1324,$C$1:$C$1324,C49,$D$1:$D$1324,D49,$B$1:$B$1324,"&lt;="&amp;B49)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Iniciales'!$B:$B,D50)+SUMIFS($K$1:$K$1324,$C$1:$C$1324,C50,$D$1:$D$1324,D50,$B$1:$B$1324,"&lt;="&amp;B50)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Iniciales'!$B:$B,D51)+SUMIFS($K$1:$K$1324,$C$1:$C$1324,C51,$D$1:$D$1324,D51,$B$1:$B$1324,"&lt;="&amp;B51)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Iniciales'!$B:$B,D52)+SUMIFS($K$1:$K$1324,$C$1:$C$1324,C52,$D$1:$D$1324,D52,$B$1:$B$1324,"&lt;="&amp;B52)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Iniciales'!$B:$B,D53)+SUMIFS($K$1:$K$1324,$C$1:$C$1324,C53,$D$1:$D$1324,D53,$B$1:$B$1324,"&lt;="&amp;B53)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Iniciales'!$B:$B,D54)+SUMIFS($K$1:$K$1324,$C$1:$C$1324,C54,$D$1:$D$1324,D54,$B$1:$B$1324,"&lt;="&amp;B54)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Iniciales'!$B:$B,D55)+SUMIFS($K$1:$K$1324,$C$1:$C$1324,C55,$D$1:$D$1324,D55,$B$1:$B$1324,"&lt;="&amp;B55)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Iniciales'!$B:$B,D56)+SUMIFS($K$1:$K$1324,$C$1:$C$1324,C56,$D$1:$D$1324,D56,$B$1:$B$1324,"&lt;="&amp;B56)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Iniciales'!$B:$B,D57)+SUMIFS($K$1:$K$1324,$C$1:$C$1324,C57,$D$1:$D$1324,D57,$B$1:$B$1324,"&lt;="&amp;B57)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Iniciales'!$B:$B,D58)+SUMIFS($K$1:$K$1324,$C$1:$C$1324,C58,$D$1:$D$1324,D58,$B$1:$B$1324,"&lt;="&amp;B58)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Iniciales'!$B:$B,D59)+SUMIFS($K$1:$K$1324,$C$1:$C$1324,C59,$D$1:$D$1324,D59,$B$1:$B$1324,"&lt;="&amp;B59)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Iniciales'!$B:$B,D60)+SUMIFS($K$1:$K$1324,$C$1:$C$1324,C60,$D$1:$D$1324,D60,$B$1:$B$1324,"&lt;="&amp;B60)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Iniciales'!$B:$B,D61)+SUMIFS($K$1:$K$1324,$C$1:$C$1324,C61,$D$1:$D$1324,D61,$B$1:$B$1324,"&lt;="&amp;B61)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Iniciales'!$B:$B,D62)+SUMIFS($K$1:$K$1324,$C$1:$C$1324,C62,$D$1:$D$1324,D62,$B$1:$B$1324,"&lt;="&amp;B62)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Iniciales'!$B:$B,D63)+SUMIFS($K$1:$K$1324,$C$1:$C$1324,C63,$D$1:$D$1324,D63,$B$1:$B$1324,"&lt;="&amp;B63)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Iniciales'!$B:$B,D64)+SUMIFS($K$1:$K$1324,$C$1:$C$1324,C64,$D$1:$D$1324,D64,$B$1:$B$1324,"&lt;="&amp;B64)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Iniciales'!$B:$B,D65)+SUMIFS($K$1:$K$1324,$C$1:$C$1324,C65,$D$1:$D$1324,D65,$B$1:$B$1324,"&lt;="&amp;B65)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ref="K66:K129" si="1">IF(F66="Ingreso",J66,-J66)</f>
        <v>-1500000</v>
      </c>
      <c r="L66" s="6" t="s">
        <v>93</v>
      </c>
      <c r="M66" s="44">
        <f>SUMIFS('Saldos Iniciales'!$D:$D,'Saldos Iniciales'!$A:$A,C66,'Saldos Iniciales'!$B:$B,D66)+SUMIFS($K$1:$K$1324,$C$1:$C$1324,C66,$D$1:$D$1324,D66,$B$1:$B$1324,"&lt;="&amp;B66)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si="1"/>
        <v>-15</v>
      </c>
      <c r="L67" s="6" t="s">
        <v>93</v>
      </c>
      <c r="M67" s="44">
        <f>SUMIFS('Saldos Iniciales'!$D:$D,'Saldos Iniciales'!$A:$A,C67,'Saldos Iniciales'!$B:$B,D67)+SUMIFS($K$1:$K$1324,$C$1:$C$1324,C67,$D$1:$D$1324,D67,$B$1:$B$1324,"&lt;="&amp;B67)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Iniciales'!$B:$B,D68)+SUMIFS($K$1:$K$1324,$C$1:$C$1324,C68,$D$1:$D$1324,D68,$B$1:$B$1324,"&lt;="&amp;B68)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Iniciales'!$B:$B,D69)+SUMIFS($K$1:$K$1324,$C$1:$C$1324,C69,$D$1:$D$1324,D69,$B$1:$B$1324,"&lt;="&amp;B69)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Iniciales'!$B:$B,D70)+SUMIFS($K$1:$K$1324,$C$1:$C$1324,C70,$D$1:$D$1324,D70,$B$1:$B$1324,"&lt;="&amp;B70)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Iniciales'!$B:$B,D71)+SUMIFS($K$1:$K$1324,$C$1:$C$1324,C71,$D$1:$D$1324,D71,$B$1:$B$1324,"&lt;="&amp;B71)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Iniciales'!$B:$B,D72)+SUMIFS($K$1:$K$1324,$C$1:$C$1324,C72,$D$1:$D$1324,D72,$B$1:$B$1324,"&lt;="&amp;B72)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Iniciales'!$B:$B,D73)+SUMIFS($K$1:$K$1324,$C$1:$C$1324,C73,$D$1:$D$1324,D73,$B$1:$B$1324,"&lt;="&amp;B73)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Iniciales'!$B:$B,D74)+SUMIFS($K$1:$K$1324,$C$1:$C$1324,C74,$D$1:$D$1324,D74,$B$1:$B$1324,"&lt;="&amp;B74)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Iniciales'!$B:$B,D75)+SUMIFS($K$1:$K$1324,$C$1:$C$1324,C75,$D$1:$D$1324,D75,$B$1:$B$1324,"&lt;="&amp;B75)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Iniciales'!$B:$B,D76)+SUMIFS($K$1:$K$1324,$C$1:$C$1324,C76,$D$1:$D$1324,D76,$B$1:$B$1324,"&lt;="&amp;B76)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Iniciales'!$B:$B,D77)+SUMIFS($K$1:$K$1324,$C$1:$C$1324,C77,$D$1:$D$1324,D77,$B$1:$B$1324,"&lt;="&amp;B77)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Iniciales'!$B:$B,D78)+SUMIFS($K$1:$K$1324,$C$1:$C$1324,C78,$D$1:$D$1324,D78,$B$1:$B$1324,"&lt;="&amp;B78)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Iniciales'!$B:$B,D79)+SUMIFS($K$1:$K$1324,$C$1:$C$1324,C79,$D$1:$D$1324,D79,$B$1:$B$1324,"&lt;="&amp;B79)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Iniciales'!$B:$B,D80)+SUMIFS($K$1:$K$1324,$C$1:$C$1324,C80,$D$1:$D$1324,D80,$B$1:$B$1324,"&lt;="&amp;B80)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Iniciales'!$B:$B,D81)+SUMIFS($K$1:$K$1324,$C$1:$C$1324,C81,$D$1:$D$1324,D81,$B$1:$B$1324,"&lt;="&amp;B81)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Iniciales'!$B:$B,D82)+SUMIFS($K$1:$K$1324,$C$1:$C$1324,C82,$D$1:$D$1324,D82,$B$1:$B$1324,"&lt;="&amp;B82)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Iniciales'!$B:$B,D83)+SUMIFS($K$1:$K$1324,$C$1:$C$1324,C83,$D$1:$D$1324,D83,$B$1:$B$1324,"&lt;="&amp;B83)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Iniciales'!$B:$B,D84)+SUMIFS($K$1:$K$1324,$C$1:$C$1324,C84,$D$1:$D$1324,D84,$B$1:$B$1324,"&lt;="&amp;B84)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Iniciales'!$B:$B,D85)+SUMIFS($K$1:$K$1324,$C$1:$C$1324,C85,$D$1:$D$1324,D85,$B$1:$B$1324,"&lt;="&amp;B85)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Iniciales'!$B:$B,D86)+SUMIFS($K$1:$K$1324,$C$1:$C$1324,C86,$D$1:$D$1324,D86,$B$1:$B$1324,"&lt;="&amp;B86)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Iniciales'!$B:$B,D87)+SUMIFS($K$1:$K$1324,$C$1:$C$1324,C87,$D$1:$D$1324,D87,$B$1:$B$1324,"&lt;="&amp;B87)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Iniciales'!$B:$B,D88)+SUMIFS($K$1:$K$1324,$C$1:$C$1324,C88,$D$1:$D$1324,D88,$B$1:$B$1324,"&lt;="&amp;B88)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Iniciales'!$B:$B,D89)+SUMIFS($K$1:$K$1324,$C$1:$C$1324,C89,$D$1:$D$1324,D89,$B$1:$B$1324,"&lt;="&amp;B89)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Iniciales'!$B:$B,D90)+SUMIFS($K$1:$K$1324,$C$1:$C$1324,C90,$D$1:$D$1324,D90,$B$1:$B$1324,"&lt;="&amp;B90)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Iniciales'!$B:$B,D91)+SUMIFS($K$1:$K$1324,$C$1:$C$1324,C91,$D$1:$D$1324,D91,$B$1:$B$1324,"&lt;="&amp;B91)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Iniciales'!$B:$B,D92)+SUMIFS($K$1:$K$1324,$C$1:$C$1324,C92,$D$1:$D$1324,D92,$B$1:$B$1324,"&lt;="&amp;B92)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Iniciales'!$B:$B,D93)+SUMIFS($K$1:$K$1324,$C$1:$C$1324,C93,$D$1:$D$1324,D93,$B$1:$B$1324,"&lt;="&amp;B93)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Iniciales'!$B:$B,D94)+SUMIFS($K$1:$K$1324,$C$1:$C$1324,C94,$D$1:$D$1324,D94,$B$1:$B$1324,"&lt;="&amp;B94)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Iniciales'!$B:$B,D95)+SUMIFS($K$1:$K$1324,$C$1:$C$1324,C95,$D$1:$D$1324,D95,$B$1:$B$1324,"&lt;="&amp;B95)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Iniciales'!$B:$B,D96)+SUMIFS($K$1:$K$1324,$C$1:$C$1324,C96,$D$1:$D$1324,D96,$B$1:$B$1324,"&lt;="&amp;B96)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Iniciales'!$B:$B,D97)+SUMIFS($K$1:$K$1324,$C$1:$C$1324,C97,$D$1:$D$1324,D97,$B$1:$B$1324,"&lt;="&amp;B97)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Iniciales'!$B:$B,D98)+SUMIFS($K$1:$K$1324,$C$1:$C$1324,C98,$D$1:$D$1324,D98,$B$1:$B$1324,"&lt;="&amp;B98)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Iniciales'!$B:$B,D99)+SUMIFS($K$1:$K$1324,$C$1:$C$1324,C99,$D$1:$D$1324,D99,$B$1:$B$1324,"&lt;="&amp;B99)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Iniciales'!$B:$B,D100)+SUMIFS($K$1:$K$1324,$C$1:$C$1324,C100,$D$1:$D$1324,D100,$B$1:$B$1324,"&lt;="&amp;B100)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Iniciales'!$B:$B,D101)+SUMIFS($K$1:$K$1324,$C$1:$C$1324,C101,$D$1:$D$1324,D101,$B$1:$B$1324,"&lt;="&amp;B101)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Iniciales'!$B:$B,D102)+SUMIFS($K$1:$K$1324,$C$1:$C$1324,C102,$D$1:$D$1324,D102,$B$1:$B$1324,"&lt;="&amp;B102)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Iniciales'!$B:$B,D103)+SUMIFS($K$1:$K$1324,$C$1:$C$1324,C103,$D$1:$D$1324,D103,$B$1:$B$1324,"&lt;="&amp;B103)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Iniciales'!$B:$B,D104)+SUMIFS($K$1:$K$1324,$C$1:$C$1324,C104,$D$1:$D$1324,D104,$B$1:$B$1324,"&lt;="&amp;B104)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Iniciales'!$B:$B,D105)+SUMIFS($K$1:$K$1324,$C$1:$C$1324,C105,$D$1:$D$1324,D105,$B$1:$B$1324,"&lt;="&amp;B105)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Iniciales'!$B:$B,D106)+SUMIFS($K$1:$K$1324,$C$1:$C$1324,C106,$D$1:$D$1324,D106,$B$1:$B$1324,"&lt;="&amp;B106)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Iniciales'!$B:$B,D107)+SUMIFS($K$1:$K$1324,$C$1:$C$1324,C107,$D$1:$D$1324,D107,$B$1:$B$1324,"&lt;="&amp;B107)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Iniciales'!$B:$B,D108)+SUMIFS($K$1:$K$1324,$C$1:$C$1324,C108,$D$1:$D$1324,D108,$B$1:$B$1324,"&lt;="&amp;B108)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Iniciales'!$B:$B,D109)+SUMIFS($K$1:$K$1324,$C$1:$C$1324,C109,$D$1:$D$1324,D109,$B$1:$B$1324,"&lt;="&amp;B109)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Iniciales'!$B:$B,D110)+SUMIFS($K$1:$K$1324,$C$1:$C$1324,C110,$D$1:$D$1324,D110,$B$1:$B$1324,"&lt;="&amp;B110)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Iniciales'!$B:$B,D111)+SUMIFS($K$1:$K$1324,$C$1:$C$1324,C111,$D$1:$D$1324,D111,$B$1:$B$1324,"&lt;="&amp;B111)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Iniciales'!$B:$B,D112)+SUMIFS($K$1:$K$1324,$C$1:$C$1324,C112,$D$1:$D$1324,D112,$B$1:$B$1324,"&lt;="&amp;B112)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Iniciales'!$B:$B,D113)+SUMIFS($K$1:$K$1324,$C$1:$C$1324,C113,$D$1:$D$1324,D113,$B$1:$B$1324,"&lt;="&amp;B113)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Iniciales'!$B:$B,D114)+SUMIFS($K$1:$K$1324,$C$1:$C$1324,C114,$D$1:$D$1324,D114,$B$1:$B$1324,"&lt;="&amp;B114)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Iniciales'!$B:$B,D115)+SUMIFS($K$1:$K$1324,$C$1:$C$1324,C115,$D$1:$D$1324,D115,$B$1:$B$1324,"&lt;="&amp;B115)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Iniciales'!$B:$B,D116)+SUMIFS($K$1:$K$1324,$C$1:$C$1324,C116,$D$1:$D$1324,D116,$B$1:$B$1324,"&lt;="&amp;B116)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Iniciales'!$B:$B,D117)+SUMIFS($K$1:$K$1324,$C$1:$C$1324,C117,$D$1:$D$1324,D117,$B$1:$B$1324,"&lt;="&amp;B117)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Iniciales'!$B:$B,D118)+SUMIFS($K$1:$K$1324,$C$1:$C$1324,C118,$D$1:$D$1324,D118,$B$1:$B$1324,"&lt;="&amp;B118)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Iniciales'!$B:$B,D119)+SUMIFS($K$1:$K$1324,$C$1:$C$1324,C119,$D$1:$D$1324,D119,$B$1:$B$1324,"&lt;="&amp;B119)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Iniciales'!$B:$B,D120)+SUMIFS($K$1:$K$1324,$C$1:$C$1324,C120,$D$1:$D$1324,D120,$B$1:$B$1324,"&lt;="&amp;B120)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Iniciales'!$B:$B,D121)+SUMIFS($K$1:$K$1324,$C$1:$C$1324,C121,$D$1:$D$1324,D121,$B$1:$B$1324,"&lt;="&amp;B121)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Iniciales'!$B:$B,D122)+SUMIFS($K$1:$K$1324,$C$1:$C$1324,C122,$D$1:$D$1324,D122,$B$1:$B$1324,"&lt;="&amp;B122)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Iniciales'!$B:$B,D123)+SUMIFS($K$1:$K$1324,$C$1:$C$1324,C123,$D$1:$D$1324,D123,$B$1:$B$1324,"&lt;="&amp;B123)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Iniciales'!$B:$B,D124)+SUMIFS($K$1:$K$1324,$C$1:$C$1324,C124,$D$1:$D$1324,D124,$B$1:$B$1324,"&lt;="&amp;B124)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Iniciales'!$B:$B,D125)+SUMIFS($K$1:$K$1324,$C$1:$C$1324,C125,$D$1:$D$1324,D125,$B$1:$B$1324,"&lt;="&amp;B125)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Iniciales'!$B:$B,D126)+SUMIFS($K$1:$K$1324,$C$1:$C$1324,C126,$D$1:$D$1324,D126,$B$1:$B$1324,"&lt;="&amp;B126)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Iniciales'!$B:$B,D127)+SUMIFS($K$1:$K$1324,$C$1:$C$1324,C127,$D$1:$D$1324,D127,$B$1:$B$1324,"&lt;="&amp;B127)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Iniciales'!$B:$B,D128)+SUMIFS($K$1:$K$1324,$C$1:$C$1324,C128,$D$1:$D$1324,D128,$B$1:$B$1324,"&lt;="&amp;B128)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Iniciales'!$B:$B,D129)+SUMIFS($K$1:$K$1324,$C$1:$C$1324,C129,$D$1:$D$1324,D129,$B$1:$B$1324,"&lt;="&amp;B129)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ref="K130:K193" si="2">IF(F130="Ingreso",J130,-J130)</f>
        <v>-15</v>
      </c>
      <c r="L130" s="6" t="s">
        <v>93</v>
      </c>
      <c r="M130" s="44">
        <f>SUMIFS('Saldos Iniciales'!$D:$D,'Saldos Iniciales'!$A:$A,C130,'Saldos Iniciales'!$B:$B,D130)+SUMIFS($K$1:$K$1324,$C$1:$C$1324,C130,$D$1:$D$1324,D130,$B$1:$B$1324,"&lt;="&amp;B130)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si="2"/>
        <v>-2472.2199999999998</v>
      </c>
      <c r="L131" s="6" t="s">
        <v>93</v>
      </c>
      <c r="M131" s="44">
        <f>SUMIFS('Saldos Iniciales'!$D:$D,'Saldos Iniciales'!$A:$A,C131,'Saldos Iniciales'!$B:$B,D131)+SUMIFS($K$1:$K$1324,$C$1:$C$1324,C131,$D$1:$D$1324,D131,$B$1:$B$1324,"&lt;="&amp;B131)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Iniciales'!$B:$B,D132)+SUMIFS($K$1:$K$1324,$C$1:$C$1324,C132,$D$1:$D$1324,D132,$B$1:$B$1324,"&lt;="&amp;B132)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Iniciales'!$B:$B,D133)+SUMIFS($K$1:$K$1324,$C$1:$C$1324,C133,$D$1:$D$1324,D133,$B$1:$B$1324,"&lt;="&amp;B133)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Iniciales'!$B:$B,D134)+SUMIFS($K$1:$K$1324,$C$1:$C$1324,C134,$D$1:$D$1324,D134,$B$1:$B$1324,"&lt;="&amp;B134)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Iniciales'!$B:$B,D135)+SUMIFS($K$1:$K$1324,$C$1:$C$1324,C135,$D$1:$D$1324,D135,$B$1:$B$1324,"&lt;="&amp;B135)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Iniciales'!$B:$B,D136)+SUMIFS($K$1:$K$1324,$C$1:$C$1324,C136,$D$1:$D$1324,D136,$B$1:$B$1324,"&lt;="&amp;B136)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Iniciales'!$B:$B,D137)+SUMIFS($K$1:$K$1324,$C$1:$C$1324,C137,$D$1:$D$1324,D137,$B$1:$B$1324,"&lt;="&amp;B137)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Iniciales'!$B:$B,D138)+SUMIFS($K$1:$K$1324,$C$1:$C$1324,C138,$D$1:$D$1324,D138,$B$1:$B$1324,"&lt;="&amp;B138)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Iniciales'!$B:$B,D139)+SUMIFS($K$1:$K$1324,$C$1:$C$1324,C139,$D$1:$D$1324,D139,$B$1:$B$1324,"&lt;="&amp;B139)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Iniciales'!$B:$B,D140)+SUMIFS($K$1:$K$1324,$C$1:$C$1324,C140,$D$1:$D$1324,D140,$B$1:$B$1324,"&lt;="&amp;B140)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Iniciales'!$B:$B,D141)+SUMIFS($K$1:$K$1324,$C$1:$C$1324,C141,$D$1:$D$1324,D141,$B$1:$B$1324,"&lt;="&amp;B141)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Iniciales'!$B:$B,D142)+SUMIFS($K$1:$K$1324,$C$1:$C$1324,C142,$D$1:$D$1324,D142,$B$1:$B$1324,"&lt;="&amp;B142)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Iniciales'!$B:$B,D143)+SUMIFS($K$1:$K$1324,$C$1:$C$1324,C143,$D$1:$D$1324,D143,$B$1:$B$1324,"&lt;="&amp;B143)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Iniciales'!$B:$B,D144)+SUMIFS($K$1:$K$1324,$C$1:$C$1324,C144,$D$1:$D$1324,D144,$B$1:$B$1324,"&lt;="&amp;B144)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Iniciales'!$B:$B,D145)+SUMIFS($K$1:$K$1324,$C$1:$C$1324,C145,$D$1:$D$1324,D145,$B$1:$B$1324,"&lt;="&amp;B145)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Iniciales'!$B:$B,D146)+SUMIFS($K$1:$K$1324,$C$1:$C$1324,C146,$D$1:$D$1324,D146,$B$1:$B$1324,"&lt;="&amp;B146)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Iniciales'!$B:$B,D147)+SUMIFS($K$1:$K$1324,$C$1:$C$1324,C147,$D$1:$D$1324,D147,$B$1:$B$1324,"&lt;="&amp;B147)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Iniciales'!$B:$B,D148)+SUMIFS($K$1:$K$1324,$C$1:$C$1324,C148,$D$1:$D$1324,D148,$B$1:$B$1324,"&lt;="&amp;B148)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Iniciales'!$B:$B,D149)+SUMIFS($K$1:$K$1324,$C$1:$C$1324,C149,$D$1:$D$1324,D149,$B$1:$B$1324,"&lt;="&amp;B149)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Iniciales'!$B:$B,D150)+SUMIFS($K$1:$K$1324,$C$1:$C$1324,C150,$D$1:$D$1324,D150,$B$1:$B$1324,"&lt;="&amp;B150)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Iniciales'!$B:$B,D151)+SUMIFS($K$1:$K$1324,$C$1:$C$1324,C151,$D$1:$D$1324,D151,$B$1:$B$1324,"&lt;="&amp;B151)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Iniciales'!$B:$B,D152)+SUMIFS($K$1:$K$1324,$C$1:$C$1324,C152,$D$1:$D$1324,D152,$B$1:$B$1324,"&lt;="&amp;B152)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Iniciales'!$B:$B,D153)+SUMIFS($K$1:$K$1324,$C$1:$C$1324,C153,$D$1:$D$1324,D153,$B$1:$B$1324,"&lt;="&amp;B153)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Iniciales'!$B:$B,D154)+SUMIFS($K$1:$K$1324,$C$1:$C$1324,C154,$D$1:$D$1324,D154,$B$1:$B$1324,"&lt;="&amp;B154)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Iniciales'!$B:$B,D155)+SUMIFS($K$1:$K$1324,$C$1:$C$1324,C155,$D$1:$D$1324,D155,$B$1:$B$1324,"&lt;="&amp;B155)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Iniciales'!$B:$B,D156)+SUMIFS($K$1:$K$1324,$C$1:$C$1324,C156,$D$1:$D$1324,D156,$B$1:$B$1324,"&lt;="&amp;B156)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Iniciales'!$B:$B,D157)+SUMIFS($K$1:$K$1324,$C$1:$C$1324,C157,$D$1:$D$1324,D157,$B$1:$B$1324,"&lt;="&amp;B157)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Iniciales'!$B:$B,D158)+SUMIFS($K$1:$K$1324,$C$1:$C$1324,C158,$D$1:$D$1324,D158,$B$1:$B$1324,"&lt;="&amp;B158)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Iniciales'!$B:$B,D159)+SUMIFS($K$1:$K$1324,$C$1:$C$1324,C159,$D$1:$D$1324,D159,$B$1:$B$1324,"&lt;="&amp;B159)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Iniciales'!$B:$B,D160)+SUMIFS($K$1:$K$1324,$C$1:$C$1324,C160,$D$1:$D$1324,D160,$B$1:$B$1324,"&lt;="&amp;B160)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Iniciales'!$B:$B,D161)+SUMIFS($K$1:$K$1324,$C$1:$C$1324,C161,$D$1:$D$1324,D161,$B$1:$B$1324,"&lt;="&amp;B161)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Iniciales'!$B:$B,D162)+SUMIFS($K$1:$K$1324,$C$1:$C$1324,C162,$D$1:$D$1324,D162,$B$1:$B$1324,"&lt;="&amp;B162)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Iniciales'!$B:$B,D163)+SUMIFS($K$1:$K$1324,$C$1:$C$1324,C163,$D$1:$D$1324,D163,$B$1:$B$1324,"&lt;="&amp;B163)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Iniciales'!$B:$B,D164)+SUMIFS($K$1:$K$1324,$C$1:$C$1324,C164,$D$1:$D$1324,D164,$B$1:$B$1324,"&lt;="&amp;B164)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Iniciales'!$B:$B,D165)+SUMIFS($K$1:$K$1324,$C$1:$C$1324,C165,$D$1:$D$1324,D165,$B$1:$B$1324,"&lt;="&amp;B165)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Iniciales'!$B:$B,D166)+SUMIFS($K$1:$K$1324,$C$1:$C$1324,C166,$D$1:$D$1324,D166,$B$1:$B$1324,"&lt;="&amp;B166)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Iniciales'!$B:$B,D167)+SUMIFS($K$1:$K$1324,$C$1:$C$1324,C167,$D$1:$D$1324,D167,$B$1:$B$1324,"&lt;="&amp;B167)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Iniciales'!$B:$B,D168)+SUMIFS($K$1:$K$1324,$C$1:$C$1324,C168,$D$1:$D$1324,D168,$B$1:$B$1324,"&lt;="&amp;B168)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Iniciales'!$B:$B,D169)+SUMIFS($K$1:$K$1324,$C$1:$C$1324,C169,$D$1:$D$1324,D169,$B$1:$B$1324,"&lt;="&amp;B169)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Iniciales'!$B:$B,D170)+SUMIFS($K$1:$K$1324,$C$1:$C$1324,C170,$D$1:$D$1324,D170,$B$1:$B$1324,"&lt;="&amp;B170)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Iniciales'!$B:$B,D171)+SUMIFS($K$1:$K$1324,$C$1:$C$1324,C171,$D$1:$D$1324,D171,$B$1:$B$1324,"&lt;="&amp;B171)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Iniciales'!$B:$B,D172)+SUMIFS($K$1:$K$1324,$C$1:$C$1324,C172,$D$1:$D$1324,D172,$B$1:$B$1324,"&lt;="&amp;B172)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Iniciales'!$B:$B,D173)+SUMIFS($K$1:$K$1324,$C$1:$C$1324,C173,$D$1:$D$1324,D173,$B$1:$B$1324,"&lt;="&amp;B173)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Iniciales'!$B:$B,D174)+SUMIFS($K$1:$K$1324,$C$1:$C$1324,C174,$D$1:$D$1324,D174,$B$1:$B$1324,"&lt;="&amp;B174)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Iniciales'!$B:$B,D175)+SUMIFS($K$1:$K$1324,$C$1:$C$1324,C175,$D$1:$D$1324,D175,$B$1:$B$1324,"&lt;="&amp;B175)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Iniciales'!$B:$B,D176)+SUMIFS($K$1:$K$1324,$C$1:$C$1324,C176,$D$1:$D$1324,D176,$B$1:$B$1324,"&lt;="&amp;B176)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Iniciales'!$B:$B,D177)+SUMIFS($K$1:$K$1324,$C$1:$C$1324,C177,$D$1:$D$1324,D177,$B$1:$B$1324,"&lt;="&amp;B177)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Iniciales'!$B:$B,D178)+SUMIFS($K$1:$K$1324,$C$1:$C$1324,C178,$D$1:$D$1324,D178,$B$1:$B$1324,"&lt;="&amp;B178)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Iniciales'!$B:$B,D179)+SUMIFS($K$1:$K$1324,$C$1:$C$1324,C179,$D$1:$D$1324,D179,$B$1:$B$1324,"&lt;="&amp;B179)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Iniciales'!$B:$B,D180)+SUMIFS($K$1:$K$1324,$C$1:$C$1324,C180,$D$1:$D$1324,D180,$B$1:$B$1324,"&lt;="&amp;B180)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Iniciales'!$B:$B,D181)+SUMIFS($K$1:$K$1324,$C$1:$C$1324,C181,$D$1:$D$1324,D181,$B$1:$B$1324,"&lt;="&amp;B181)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Iniciales'!$B:$B,D182)+SUMIFS($K$1:$K$1324,$C$1:$C$1324,C182,$D$1:$D$1324,D182,$B$1:$B$1324,"&lt;="&amp;B182)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Iniciales'!$B:$B,D183)+SUMIFS($K$1:$K$1324,$C$1:$C$1324,C183,$D$1:$D$1324,D183,$B$1:$B$1324,"&lt;="&amp;B183)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Iniciales'!$B:$B,D184)+SUMIFS($K$1:$K$1324,$C$1:$C$1324,C184,$D$1:$D$1324,D184,$B$1:$B$1324,"&lt;="&amp;B184)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Iniciales'!$B:$B,D185)+SUMIFS($K$1:$K$1324,$C$1:$C$1324,C185,$D$1:$D$1324,D185,$B$1:$B$1324,"&lt;="&amp;B185)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Iniciales'!$B:$B,D186)+SUMIFS($K$1:$K$1324,$C$1:$C$1324,C186,$D$1:$D$1324,D186,$B$1:$B$1324,"&lt;="&amp;B186)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Iniciales'!$B:$B,D187)+SUMIFS($K$1:$K$1324,$C$1:$C$1324,C187,$D$1:$D$1324,D187,$B$1:$B$1324,"&lt;="&amp;B187)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Iniciales'!$B:$B,D188)+SUMIFS($K$1:$K$1324,$C$1:$C$1324,C188,$D$1:$D$1324,D188,$B$1:$B$1324,"&lt;="&amp;B188)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Iniciales'!$B:$B,D189)+SUMIFS($K$1:$K$1324,$C$1:$C$1324,C189,$D$1:$D$1324,D189,$B$1:$B$1324,"&lt;="&amp;B189)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Iniciales'!$B:$B,D190)+SUMIFS($K$1:$K$1324,$C$1:$C$1324,C190,$D$1:$D$1324,D190,$B$1:$B$1324,"&lt;="&amp;B190)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Iniciales'!$B:$B,D191)+SUMIFS($K$1:$K$1324,$C$1:$C$1324,C191,$D$1:$D$1324,D191,$B$1:$B$1324,"&lt;="&amp;B191)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Iniciales'!$B:$B,D192)+SUMIFS($K$1:$K$1324,$C$1:$C$1324,C192,$D$1:$D$1324,D192,$B$1:$B$1324,"&lt;="&amp;B192)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Iniciales'!$B:$B,D193)+SUMIFS($K$1:$K$1324,$C$1:$C$1324,C193,$D$1:$D$1324,D193,$B$1:$B$1324,"&lt;="&amp;B193)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ref="K194:K257" si="3">IF(F194="Ingreso",J194,-J194)</f>
        <v>-10833.33</v>
      </c>
      <c r="L194" s="6" t="s">
        <v>93</v>
      </c>
      <c r="M194" s="44">
        <f>SUMIFS('Saldos Iniciales'!$D:$D,'Saldos Iniciales'!$A:$A,C194,'Saldos Iniciales'!$B:$B,D194)+SUMIFS($K$1:$K$1324,$C$1:$C$1324,C194,$D$1:$D$1324,D194,$B$1:$B$1324,"&lt;="&amp;B194)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si="3"/>
        <v>-20000</v>
      </c>
      <c r="L195" s="6" t="s">
        <v>93</v>
      </c>
      <c r="M195" s="44">
        <f>SUMIFS('Saldos Iniciales'!$D:$D,'Saldos Iniciales'!$A:$A,C195,'Saldos Iniciales'!$B:$B,D195)+SUMIFS($K$1:$K$1324,$C$1:$C$1324,C195,$D$1:$D$1324,D195,$B$1:$B$1324,"&lt;="&amp;B195)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Iniciales'!$B:$B,D196)+SUMIFS($K$1:$K$1324,$C$1:$C$1324,C196,$D$1:$D$1324,D196,$B$1:$B$1324,"&lt;="&amp;B196)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Iniciales'!$B:$B,D197)+SUMIFS($K$1:$K$1324,$C$1:$C$1324,C197,$D$1:$D$1324,D197,$B$1:$B$1324,"&lt;="&amp;B197)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Iniciales'!$B:$B,D198)+SUMIFS($K$1:$K$1324,$C$1:$C$1324,C198,$D$1:$D$1324,D198,$B$1:$B$1324,"&lt;="&amp;B198)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Iniciales'!$B:$B,D199)+SUMIFS($K$1:$K$1324,$C$1:$C$1324,C199,$D$1:$D$1324,D199,$B$1:$B$1324,"&lt;="&amp;B199)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Iniciales'!$B:$B,D200)+SUMIFS($K$1:$K$1324,$C$1:$C$1324,C200,$D$1:$D$1324,D200,$B$1:$B$1324,"&lt;="&amp;B200)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Iniciales'!$B:$B,D201)+SUMIFS($K$1:$K$1324,$C$1:$C$1324,C201,$D$1:$D$1324,D201,$B$1:$B$1324,"&lt;="&amp;B201)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Iniciales'!$B:$B,D202)+SUMIFS($K$1:$K$1324,$C$1:$C$1324,C202,$D$1:$D$1324,D202,$B$1:$B$1324,"&lt;="&amp;B202)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Iniciales'!$B:$B,D203)+SUMIFS($K$1:$K$1324,$C$1:$C$1324,C203,$D$1:$D$1324,D203,$B$1:$B$1324,"&lt;="&amp;B203)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Iniciales'!$B:$B,D204)+SUMIFS($K$1:$K$1324,$C$1:$C$1324,C204,$D$1:$D$1324,D204,$B$1:$B$1324,"&lt;="&amp;B204)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Iniciales'!$B:$B,D205)+SUMIFS($K$1:$K$1324,$C$1:$C$1324,C205,$D$1:$D$1324,D205,$B$1:$B$1324,"&lt;="&amp;B205)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Iniciales'!$B:$B,D206)+SUMIFS($K$1:$K$1324,$C$1:$C$1324,C206,$D$1:$D$1324,D206,$B$1:$B$1324,"&lt;="&amp;B206)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Iniciales'!$B:$B,D207)+SUMIFS($K$1:$K$1324,$C$1:$C$1324,C207,$D$1:$D$1324,D207,$B$1:$B$1324,"&lt;="&amp;B207)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Iniciales'!$B:$B,D208)+SUMIFS($K$1:$K$1324,$C$1:$C$1324,C208,$D$1:$D$1324,D208,$B$1:$B$1324,"&lt;="&amp;B208)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Iniciales'!$B:$B,D209)+SUMIFS($K$1:$K$1324,$C$1:$C$1324,C209,$D$1:$D$1324,D209,$B$1:$B$1324,"&lt;="&amp;B209)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Iniciales'!$B:$B,D210)+SUMIFS($K$1:$K$1324,$C$1:$C$1324,C210,$D$1:$D$1324,D210,$B$1:$B$1324,"&lt;="&amp;B210)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Iniciales'!$B:$B,D211)+SUMIFS($K$1:$K$1324,$C$1:$C$1324,C211,$D$1:$D$1324,D211,$B$1:$B$1324,"&lt;="&amp;B211)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Iniciales'!$B:$B,D212)+SUMIFS($K$1:$K$1324,$C$1:$C$1324,C212,$D$1:$D$1324,D212,$B$1:$B$1324,"&lt;="&amp;B212)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Iniciales'!$B:$B,D213)+SUMIFS($K$1:$K$1324,$C$1:$C$1324,C213,$D$1:$D$1324,D213,$B$1:$B$1324,"&lt;="&amp;B213)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Iniciales'!$B:$B,D214)+SUMIFS($K$1:$K$1324,$C$1:$C$1324,C214,$D$1:$D$1324,D214,$B$1:$B$1324,"&lt;="&amp;B214)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Iniciales'!$B:$B,D215)+SUMIFS($K$1:$K$1324,$C$1:$C$1324,C215,$D$1:$D$1324,D215,$B$1:$B$1324,"&lt;="&amp;B215)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Iniciales'!$B:$B,D216)+SUMIFS($K$1:$K$1324,$C$1:$C$1324,C216,$D$1:$D$1324,D216,$B$1:$B$1324,"&lt;="&amp;B216)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Iniciales'!$B:$B,D217)+SUMIFS($K$1:$K$1324,$C$1:$C$1324,C217,$D$1:$D$1324,D217,$B$1:$B$1324,"&lt;="&amp;B217)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Iniciales'!$B:$B,D218)+SUMIFS($K$1:$K$1324,$C$1:$C$1324,C218,$D$1:$D$1324,D218,$B$1:$B$1324,"&lt;="&amp;B218)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Iniciales'!$B:$B,D219)+SUMIFS($K$1:$K$1324,$C$1:$C$1324,C219,$D$1:$D$1324,D219,$B$1:$B$1324,"&lt;="&amp;B219)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Iniciales'!$B:$B,D220)+SUMIFS($K$1:$K$1324,$C$1:$C$1324,C220,$D$1:$D$1324,D220,$B$1:$B$1324,"&lt;="&amp;B220)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Iniciales'!$B:$B,D221)+SUMIFS($K$1:$K$1324,$C$1:$C$1324,C221,$D$1:$D$1324,D221,$B$1:$B$1324,"&lt;="&amp;B221)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Iniciales'!$B:$B,D222)+SUMIFS($K$1:$K$1324,$C$1:$C$1324,C222,$D$1:$D$1324,D222,$B$1:$B$1324,"&lt;="&amp;B222)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Iniciales'!$B:$B,D223)+SUMIFS($K$1:$K$1324,$C$1:$C$1324,C223,$D$1:$D$1324,D223,$B$1:$B$1324,"&lt;="&amp;B223)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Iniciales'!$B:$B,D224)+SUMIFS($K$1:$K$1324,$C$1:$C$1324,C224,$D$1:$D$1324,D224,$B$1:$B$1324,"&lt;="&amp;B224)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Iniciales'!$B:$B,D225)+SUMIFS($K$1:$K$1324,$C$1:$C$1324,C225,$D$1:$D$1324,D225,$B$1:$B$1324,"&lt;="&amp;B225)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Iniciales'!$B:$B,D226)+SUMIFS($K$1:$K$1324,$C$1:$C$1324,C226,$D$1:$D$1324,D226,$B$1:$B$1324,"&lt;="&amp;B226)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Iniciales'!$B:$B,D227)+SUMIFS($K$1:$K$1324,$C$1:$C$1324,C227,$D$1:$D$1324,D227,$B$1:$B$1324,"&lt;="&amp;B227)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Iniciales'!$B:$B,D228)+SUMIFS($K$1:$K$1324,$C$1:$C$1324,C228,$D$1:$D$1324,D228,$B$1:$B$1324,"&lt;="&amp;B228)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Iniciales'!$B:$B,D229)+SUMIFS($K$1:$K$1324,$C$1:$C$1324,C229,$D$1:$D$1324,D229,$B$1:$B$1324,"&lt;="&amp;B229)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Iniciales'!$B:$B,D230)+SUMIFS($K$1:$K$1324,$C$1:$C$1324,C230,$D$1:$D$1324,D230,$B$1:$B$1324,"&lt;="&amp;B230)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Iniciales'!$B:$B,D231)+SUMIFS($K$1:$K$1324,$C$1:$C$1324,C231,$D$1:$D$1324,D231,$B$1:$B$1324,"&lt;="&amp;B231)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Iniciales'!$B:$B,D232)+SUMIFS($K$1:$K$1324,$C$1:$C$1324,C232,$D$1:$D$1324,D232,$B$1:$B$1324,"&lt;="&amp;B232)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Iniciales'!$B:$B,D233)+SUMIFS($K$1:$K$1324,$C$1:$C$1324,C233,$D$1:$D$1324,D233,$B$1:$B$1324,"&lt;="&amp;B233)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 t="shared" si="3"/>
        <v>0</v>
      </c>
      <c r="L234" s="54" t="s">
        <v>128</v>
      </c>
      <c r="M234" s="44">
        <f>SUMIFS('Saldos Iniciales'!$D:$D,'Saldos Iniciales'!$A:$A,C234,'Saldos Iniciales'!$B:$B,D234)+SUMIFS($K$1:$K$1324,$C$1:$C$1324,C234,$D$1:$D$1324,D234,$B$1:$B$1324,"&lt;="&amp;B234)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 t="shared" si="3"/>
        <v>0</v>
      </c>
      <c r="L235" s="54" t="s">
        <v>128</v>
      </c>
      <c r="M235" s="44">
        <f>SUMIFS('Saldos Iniciales'!$D:$D,'Saldos Iniciales'!$A:$A,C235,'Saldos Iniciales'!$B:$B,D235)+SUMIFS($K$1:$K$1324,$C$1:$C$1324,C235,$D$1:$D$1324,D235,$B$1:$B$1324,"&lt;="&amp;B235)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 t="shared" si="3"/>
        <v>0</v>
      </c>
      <c r="L236" s="54" t="s">
        <v>128</v>
      </c>
      <c r="M236" s="44">
        <f>SUMIFS('Saldos Iniciales'!$D:$D,'Saldos Iniciales'!$A:$A,C236,'Saldos Iniciales'!$B:$B,D236)+SUMIFS($K$1:$K$1324,$C$1:$C$1324,C236,$D$1:$D$1324,D236,$B$1:$B$1324,"&lt;="&amp;B236)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 t="shared" si="3"/>
        <v>0</v>
      </c>
      <c r="L237" s="54" t="s">
        <v>128</v>
      </c>
      <c r="M237" s="44">
        <f>SUMIFS('Saldos Iniciales'!$D:$D,'Saldos Iniciales'!$A:$A,C237,'Saldos Iniciales'!$B:$B,D237)+SUMIFS($K$1:$K$1324,$C$1:$C$1324,C237,$D$1:$D$1324,D237,$B$1:$B$1324,"&lt;="&amp;B237)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 t="shared" si="3"/>
        <v>0</v>
      </c>
      <c r="L238" s="54" t="s">
        <v>128</v>
      </c>
      <c r="M238" s="44">
        <f>SUMIFS('Saldos Iniciales'!$D:$D,'Saldos Iniciales'!$A:$A,C238,'Saldos Iniciales'!$B:$B,D238)+SUMIFS($K$1:$K$1324,$C$1:$C$1324,C238,$D$1:$D$1324,D238,$B$1:$B$1324,"&lt;="&amp;B238)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 t="shared" si="3"/>
        <v>0</v>
      </c>
      <c r="L239" s="54" t="s">
        <v>128</v>
      </c>
      <c r="M239" s="44">
        <f>SUMIFS('Saldos Iniciales'!$D:$D,'Saldos Iniciales'!$A:$A,C239,'Saldos Iniciales'!$B:$B,D239)+SUMIFS($K$1:$K$1324,$C$1:$C$1324,C239,$D$1:$D$1324,D239,$B$1:$B$1324,"&lt;="&amp;B239)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Iniciales'!$B:$B,D240)+SUMIFS($K$1:$K$1324,$C$1:$C$1324,C240,$D$1:$D$1324,D240,$B$1:$B$1324,"&lt;="&amp;B240)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Iniciales'!$B:$B,D241)+SUMIFS($K$1:$K$1324,$C$1:$C$1324,C241,$D$1:$D$1324,D241,$B$1:$B$1324,"&lt;="&amp;B241)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Iniciales'!$B:$B,D242)+SUMIFS($K$1:$K$1324,$C$1:$C$1324,C242,$D$1:$D$1324,D242,$B$1:$B$1324,"&lt;="&amp;B242)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Iniciales'!$B:$B,D243)+SUMIFS($K$1:$K$1324,$C$1:$C$1324,C243,$D$1:$D$1324,D243,$B$1:$B$1324,"&lt;="&amp;B243)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Iniciales'!$B:$B,D244)+SUMIFS($K$1:$K$1324,$C$1:$C$1324,C244,$D$1:$D$1324,D244,$B$1:$B$1324,"&lt;="&amp;B244)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Iniciales'!$B:$B,D245)+SUMIFS($K$1:$K$1324,$C$1:$C$1324,C245,$D$1:$D$1324,D245,$B$1:$B$1324,"&lt;="&amp;B245)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Iniciales'!$B:$B,D246)+SUMIFS($K$1:$K$1324,$C$1:$C$1324,C246,$D$1:$D$1324,D246,$B$1:$B$1324,"&lt;="&amp;B246)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Iniciales'!$B:$B,D247)+SUMIFS($K$1:$K$1324,$C$1:$C$1324,C247,$D$1:$D$1324,D247,$B$1:$B$1324,"&lt;="&amp;B247)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Iniciales'!$B:$B,D248)+SUMIFS($K$1:$K$1324,$C$1:$C$1324,C248,$D$1:$D$1324,D248,$B$1:$B$1324,"&lt;="&amp;B248)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Iniciales'!$B:$B,D249)+SUMIFS($K$1:$K$1324,$C$1:$C$1324,C249,$D$1:$D$1324,D249,$B$1:$B$1324,"&lt;="&amp;B249)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Iniciales'!$B:$B,D250)+SUMIFS($K$1:$K$1324,$C$1:$C$1324,C250,$D$1:$D$1324,D250,$B$1:$B$1324,"&lt;="&amp;B250)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Iniciales'!$B:$B,D251)+SUMIFS($K$1:$K$1324,$C$1:$C$1324,C251,$D$1:$D$1324,D251,$B$1:$B$1324,"&lt;="&amp;B251)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Iniciales'!$B:$B,D252)+SUMIFS($K$1:$K$1324,$C$1:$C$1324,C252,$D$1:$D$1324,D252,$B$1:$B$1324,"&lt;="&amp;B252)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Iniciales'!$B:$B,D253)+SUMIFS($K$1:$K$1324,$C$1:$C$1324,C253,$D$1:$D$1324,D253,$B$1:$B$1324,"&lt;="&amp;B253)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Iniciales'!$B:$B,D254)+SUMIFS($K$1:$K$1324,$C$1:$C$1324,C254,$D$1:$D$1324,D254,$B$1:$B$1324,"&lt;="&amp;B254)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Iniciales'!$B:$B,D255)+SUMIFS($K$1:$K$1324,$C$1:$C$1324,C255,$D$1:$D$1324,D255,$B$1:$B$1324,"&lt;="&amp;B255)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Iniciales'!$B:$B,D256)+SUMIFS($K$1:$K$1324,$C$1:$C$1324,C256,$D$1:$D$1324,D256,$B$1:$B$1324,"&lt;="&amp;B256)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Iniciales'!$B:$B,D257)+SUMIFS($K$1:$K$1324,$C$1:$C$1324,C257,$D$1:$D$1324,D257,$B$1:$B$1324,"&lt;="&amp;B257)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ref="K258:K321" si="4">IF(F258="Ingreso",J258,-J258)</f>
        <v>-518.65</v>
      </c>
      <c r="L258" s="15" t="s">
        <v>128</v>
      </c>
      <c r="M258" s="44">
        <f>SUMIFS('Saldos Iniciales'!$D:$D,'Saldos Iniciales'!$A:$A,C258,'Saldos Iniciales'!$B:$B,D258)+SUMIFS($K$1:$K$1324,$C$1:$C$1324,C258,$D$1:$D$1324,D258,$B$1:$B$1324,"&lt;="&amp;B258)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si="4"/>
        <v>-9000</v>
      </c>
      <c r="L259" s="15" t="s">
        <v>128</v>
      </c>
      <c r="M259" s="44">
        <f>SUMIFS('Saldos Iniciales'!$D:$D,'Saldos Iniciales'!$A:$A,C259,'Saldos Iniciales'!$B:$B,D259)+SUMIFS($K$1:$K$1324,$C$1:$C$1324,C259,$D$1:$D$1324,D259,$B$1:$B$1324,"&lt;="&amp;B259)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Iniciales'!$B:$B,D260)+SUMIFS($K$1:$K$1324,$C$1:$C$1324,C260,$D$1:$D$1324,D260,$B$1:$B$1324,"&lt;="&amp;B260)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Iniciales'!$B:$B,D261)+SUMIFS($K$1:$K$1324,$C$1:$C$1324,C261,$D$1:$D$1324,D261,$B$1:$B$1324,"&lt;="&amp;B261)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Iniciales'!$B:$B,D262)+SUMIFS($K$1:$K$1324,$C$1:$C$1324,C262,$D$1:$D$1324,D262,$B$1:$B$1324,"&lt;="&amp;B262)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Iniciales'!$B:$B,D263)+SUMIFS($K$1:$K$1324,$C$1:$C$1324,C263,$D$1:$D$1324,D263,$B$1:$B$1324,"&lt;="&amp;B263)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Iniciales'!$B:$B,D264)+SUMIFS($K$1:$K$1324,$C$1:$C$1324,C264,$D$1:$D$1324,D264,$B$1:$B$1324,"&lt;="&amp;B264)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Iniciales'!$B:$B,D265)+SUMIFS($K$1:$K$1324,$C$1:$C$1324,C265,$D$1:$D$1324,D265,$B$1:$B$1324,"&lt;="&amp;B265)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Iniciales'!$B:$B,D266)+SUMIFS($K$1:$K$1324,$C$1:$C$1324,C266,$D$1:$D$1324,D266,$B$1:$B$1324,"&lt;="&amp;B266)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Iniciales'!$B:$B,D267)+SUMIFS($K$1:$K$1324,$C$1:$C$1324,C267,$D$1:$D$1324,D267,$B$1:$B$1324,"&lt;="&amp;B267)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Iniciales'!$B:$B,D268)+SUMIFS($K$1:$K$1324,$C$1:$C$1324,C268,$D$1:$D$1324,D268,$B$1:$B$1324,"&lt;="&amp;B268)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Iniciales'!$B:$B,D269)+SUMIFS($K$1:$K$1324,$C$1:$C$1324,C269,$D$1:$D$1324,D269,$B$1:$B$1324,"&lt;="&amp;B269)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Iniciales'!$B:$B,D270)+SUMIFS($K$1:$K$1324,$C$1:$C$1324,C270,$D$1:$D$1324,D270,$B$1:$B$1324,"&lt;="&amp;B270)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Iniciales'!$B:$B,D271)+SUMIFS($K$1:$K$1324,$C$1:$C$1324,C271,$D$1:$D$1324,D271,$B$1:$B$1324,"&lt;="&amp;B271)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Iniciales'!$B:$B,D272)+SUMIFS($K$1:$K$1324,$C$1:$C$1324,C272,$D$1:$D$1324,D272,$B$1:$B$1324,"&lt;="&amp;B272)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Iniciales'!$B:$B,D273)+SUMIFS($K$1:$K$1324,$C$1:$C$1324,C273,$D$1:$D$1324,D273,$B$1:$B$1324,"&lt;="&amp;B273)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Iniciales'!$B:$B,D274)+SUMIFS($K$1:$K$1324,$C$1:$C$1324,C274,$D$1:$D$1324,D274,$B$1:$B$1324,"&lt;="&amp;B274)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Iniciales'!$B:$B,D275)+SUMIFS($K$1:$K$1324,$C$1:$C$1324,C275,$D$1:$D$1324,D275,$B$1:$B$1324,"&lt;="&amp;B275)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Iniciales'!$B:$B,D276)+SUMIFS($K$1:$K$1324,$C$1:$C$1324,C276,$D$1:$D$1324,D276,$B$1:$B$1324,"&lt;="&amp;B276)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Iniciales'!$B:$B,D277)+SUMIFS($K$1:$K$1324,$C$1:$C$1324,C277,$D$1:$D$1324,D277,$B$1:$B$1324,"&lt;="&amp;B277)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Iniciales'!$B:$B,D278)+SUMIFS($K$1:$K$1324,$C$1:$C$1324,C278,$D$1:$D$1324,D278,$B$1:$B$1324,"&lt;="&amp;B278)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Iniciales'!$B:$B,D279)+SUMIFS($K$1:$K$1324,$C$1:$C$1324,C279,$D$1:$D$1324,D279,$B$1:$B$1324,"&lt;="&amp;B279)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Iniciales'!$B:$B,D280)+SUMIFS($K$1:$K$1324,$C$1:$C$1324,C280,$D$1:$D$1324,D280,$B$1:$B$1324,"&lt;="&amp;B280)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Iniciales'!$B:$B,D281)+SUMIFS($K$1:$K$1324,$C$1:$C$1324,C281,$D$1:$D$1324,D281,$B$1:$B$1324,"&lt;="&amp;B281)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Iniciales'!$B:$B,D282)+SUMIFS($K$1:$K$1324,$C$1:$C$1324,C282,$D$1:$D$1324,D282,$B$1:$B$1324,"&lt;="&amp;B282)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Iniciales'!$B:$B,D283)+SUMIFS($K$1:$K$1324,$C$1:$C$1324,C283,$D$1:$D$1324,D283,$B$1:$B$1324,"&lt;="&amp;B283)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Iniciales'!$B:$B,D284)+SUMIFS($K$1:$K$1324,$C$1:$C$1324,C284,$D$1:$D$1324,D284,$B$1:$B$1324,"&lt;="&amp;B284)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Iniciales'!$B:$B,D285)+SUMIFS($K$1:$K$1324,$C$1:$C$1324,C285,$D$1:$D$1324,D285,$B$1:$B$1324,"&lt;="&amp;B285)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Iniciales'!$B:$B,D286)+SUMIFS($K$1:$K$1324,$C$1:$C$1324,C286,$D$1:$D$1324,D286,$B$1:$B$1324,"&lt;="&amp;B286)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Iniciales'!$B:$B,D287)+SUMIFS($K$1:$K$1324,$C$1:$C$1324,C287,$D$1:$D$1324,D287,$B$1:$B$1324,"&lt;="&amp;B287)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Iniciales'!$B:$B,D288)+SUMIFS($K$1:$K$1324,$C$1:$C$1324,C288,$D$1:$D$1324,D288,$B$1:$B$1324,"&lt;="&amp;B288)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Iniciales'!$B:$B,D289)+SUMIFS($K$1:$K$1324,$C$1:$C$1324,C289,$D$1:$D$1324,D289,$B$1:$B$1324,"&lt;="&amp;B289)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Iniciales'!$B:$B,D290)+SUMIFS($K$1:$K$1324,$C$1:$C$1324,C290,$D$1:$D$1324,D290,$B$1:$B$1324,"&lt;="&amp;B290)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Iniciales'!$B:$B,D291)+SUMIFS($K$1:$K$1324,$C$1:$C$1324,C291,$D$1:$D$1324,D291,$B$1:$B$1324,"&lt;="&amp;B291)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Iniciales'!$B:$B,D292)+SUMIFS($K$1:$K$1324,$C$1:$C$1324,C292,$D$1:$D$1324,D292,$B$1:$B$1324,"&lt;="&amp;B292)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Iniciales'!$B:$B,D293)+SUMIFS($K$1:$K$1324,$C$1:$C$1324,C293,$D$1:$D$1324,D293,$B$1:$B$1324,"&lt;="&amp;B293)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Iniciales'!$B:$B,D294)+SUMIFS($K$1:$K$1324,$C$1:$C$1324,C294,$D$1:$D$1324,D294,$B$1:$B$1324,"&lt;="&amp;B294)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Iniciales'!$B:$B,D295)+SUMIFS($K$1:$K$1324,$C$1:$C$1324,C295,$D$1:$D$1324,D295,$B$1:$B$1324,"&lt;="&amp;B295)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Iniciales'!$B:$B,D296)+SUMIFS($K$1:$K$1324,$C$1:$C$1324,C296,$D$1:$D$1324,D296,$B$1:$B$1324,"&lt;="&amp;B296)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Iniciales'!$B:$B,D297)+SUMIFS($K$1:$K$1324,$C$1:$C$1324,C297,$D$1:$D$1324,D297,$B$1:$B$1324,"&lt;="&amp;B297)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Iniciales'!$B:$B,D298)+SUMIFS($K$1:$K$1324,$C$1:$C$1324,C298,$D$1:$D$1324,D298,$B$1:$B$1324,"&lt;="&amp;B298)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Iniciales'!$B:$B,D299)+SUMIFS($K$1:$K$1324,$C$1:$C$1324,C299,$D$1:$D$1324,D299,$B$1:$B$1324,"&lt;="&amp;B299)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Iniciales'!$B:$B,D300)+SUMIFS($K$1:$K$1324,$C$1:$C$1324,C300,$D$1:$D$1324,D300,$B$1:$B$1324,"&lt;="&amp;B300)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Iniciales'!$B:$B,D301)+SUMIFS($K$1:$K$1324,$C$1:$C$1324,C301,$D$1:$D$1324,D301,$B$1:$B$1324,"&lt;="&amp;B301)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Iniciales'!$B:$B,D302)+SUMIFS($K$1:$K$1324,$C$1:$C$1324,C302,$D$1:$D$1324,D302,$B$1:$B$1324,"&lt;="&amp;B302)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Iniciales'!$B:$B,D303)+SUMIFS($K$1:$K$1324,$C$1:$C$1324,C303,$D$1:$D$1324,D303,$B$1:$B$1324,"&lt;="&amp;B303)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Iniciales'!$B:$B,D304)+SUMIFS($K$1:$K$1324,$C$1:$C$1324,C304,$D$1:$D$1324,D304,$B$1:$B$1324,"&lt;="&amp;B304)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Iniciales'!$B:$B,D305)+SUMIFS($K$1:$K$1324,$C$1:$C$1324,C305,$D$1:$D$1324,D305,$B$1:$B$1324,"&lt;="&amp;B305)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Iniciales'!$B:$B,D306)+SUMIFS($K$1:$K$1324,$C$1:$C$1324,C306,$D$1:$D$1324,D306,$B$1:$B$1324,"&lt;="&amp;B306)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Iniciales'!$B:$B,D307)+SUMIFS($K$1:$K$1324,$C$1:$C$1324,C307,$D$1:$D$1324,D307,$B$1:$B$1324,"&lt;="&amp;B307)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Iniciales'!$B:$B,D308)+SUMIFS($K$1:$K$1324,$C$1:$C$1324,C308,$D$1:$D$1324,D308,$B$1:$B$1324,"&lt;="&amp;B308)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Iniciales'!$B:$B,D309)+SUMIFS($K$1:$K$1324,$C$1:$C$1324,C309,$D$1:$D$1324,D309,$B$1:$B$1324,"&lt;="&amp;B309)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Iniciales'!$B:$B,D310)+SUMIFS($K$1:$K$1324,$C$1:$C$1324,C310,$D$1:$D$1324,D310,$B$1:$B$1324,"&lt;="&amp;B310)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Iniciales'!$B:$B,D311)+SUMIFS($K$1:$K$1324,$C$1:$C$1324,C311,$D$1:$D$1324,D311,$B$1:$B$1324,"&lt;="&amp;B311)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Iniciales'!$B:$B,D312)+SUMIFS($K$1:$K$1324,$C$1:$C$1324,C312,$D$1:$D$1324,D312,$B$1:$B$1324,"&lt;="&amp;B312)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Iniciales'!$B:$B,D313)+SUMIFS($K$1:$K$1324,$C$1:$C$1324,C313,$D$1:$D$1324,D313,$B$1:$B$1324,"&lt;="&amp;B313)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Iniciales'!$B:$B,D314)+SUMIFS($K$1:$K$1324,$C$1:$C$1324,C314,$D$1:$D$1324,D314,$B$1:$B$1324,"&lt;="&amp;B314)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Iniciales'!$B:$B,D315)+SUMIFS($K$1:$K$1324,$C$1:$C$1324,C315,$D$1:$D$1324,D315,$B$1:$B$1324,"&lt;="&amp;B315)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Iniciales'!$B:$B,D316)+SUMIFS($K$1:$K$1324,$C$1:$C$1324,C316,$D$1:$D$1324,D316,$B$1:$B$1324,"&lt;="&amp;B316)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Iniciales'!$B:$B,D317)+SUMIFS($K$1:$K$1324,$C$1:$C$1324,C317,$D$1:$D$1324,D317,$B$1:$B$1324,"&lt;="&amp;B317)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Iniciales'!$B:$B,D318)+SUMIFS($K$1:$K$1324,$C$1:$C$1324,C318,$D$1:$D$1324,D318,$B$1:$B$1324,"&lt;="&amp;B318)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Iniciales'!$B:$B,D319)+SUMIFS($K$1:$K$1324,$C$1:$C$1324,C319,$D$1:$D$1324,D319,$B$1:$B$1324,"&lt;="&amp;B319)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Iniciales'!$B:$B,D320)+SUMIFS($K$1:$K$1324,$C$1:$C$1324,C320,$D$1:$D$1324,D320,$B$1:$B$1324,"&lt;="&amp;B320)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Iniciales'!$B:$B,D321)+SUMIFS($K$1:$K$1324,$C$1:$C$1324,C321,$D$1:$D$1324,D321,$B$1:$B$1324,"&lt;="&amp;B321)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ref="K322:K385" si="5"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Iniciales'!$B:$B,D322)+SUMIFS($K$1:$K$1324,$C$1:$C$1324,C322,$D$1:$D$1324,D322,$B$1:$B$1324,"&lt;="&amp;B322)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si="5"/>
        <v>-40000</v>
      </c>
      <c r="L323" s="15" t="s">
        <v>128</v>
      </c>
      <c r="M323" s="44">
        <f>SUMIFS('Saldos Iniciales'!$D:$D,'Saldos Iniciales'!$A:$A,C323,'Saldos Iniciales'!$B:$B,D323)+SUMIFS($K$1:$K$1324,$C$1:$C$1324,C323,$D$1:$D$1324,D323,$B$1:$B$1324,"&lt;="&amp;B323)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Iniciales'!$B:$B,D324)+SUMIFS($K$1:$K$1324,$C$1:$C$1324,C324,$D$1:$D$1324,D324,$B$1:$B$1324,"&lt;="&amp;B324)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Iniciales'!$B:$B,D325)+SUMIFS($K$1:$K$1324,$C$1:$C$1324,C325,$D$1:$D$1324,D325,$B$1:$B$1324,"&lt;="&amp;B325)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Iniciales'!$B:$B,D326)+SUMIFS($K$1:$K$1324,$C$1:$C$1324,C326,$D$1:$D$1324,D326,$B$1:$B$1324,"&lt;="&amp;B326)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Iniciales'!$B:$B,D327)+SUMIFS($K$1:$K$1324,$C$1:$C$1324,C327,$D$1:$D$1324,D327,$B$1:$B$1324,"&lt;="&amp;B327)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Iniciales'!$B:$B,D328)+SUMIFS($K$1:$K$1324,$C$1:$C$1324,C328,$D$1:$D$1324,D328,$B$1:$B$1324,"&lt;="&amp;B328)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Iniciales'!$B:$B,D329)+SUMIFS($K$1:$K$1324,$C$1:$C$1324,C329,$D$1:$D$1324,D329,$B$1:$B$1324,"&lt;="&amp;B329)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Iniciales'!$B:$B,D330)+SUMIFS($K$1:$K$1324,$C$1:$C$1324,C330,$D$1:$D$1324,D330,$B$1:$B$1324,"&lt;="&amp;B330)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Iniciales'!$B:$B,D331)+SUMIFS($K$1:$K$1324,$C$1:$C$1324,C331,$D$1:$D$1324,D331,$B$1:$B$1324,"&lt;="&amp;B331)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Iniciales'!$B:$B,D332)+SUMIFS($K$1:$K$1324,$C$1:$C$1324,C332,$D$1:$D$1324,D332,$B$1:$B$1324,"&lt;="&amp;B332)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Iniciales'!$B:$B,D333)+SUMIFS($K$1:$K$1324,$C$1:$C$1324,C333,$D$1:$D$1324,D333,$B$1:$B$1324,"&lt;="&amp;B333)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Iniciales'!$B:$B,D334)+SUMIFS($K$1:$K$1324,$C$1:$C$1324,C334,$D$1:$D$1324,D334,$B$1:$B$1324,"&lt;="&amp;B334)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Iniciales'!$B:$B,D335)+SUMIFS($K$1:$K$1324,$C$1:$C$1324,C335,$D$1:$D$1324,D335,$B$1:$B$1324,"&lt;="&amp;B335)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Iniciales'!$B:$B,D336)+SUMIFS($K$1:$K$1324,$C$1:$C$1324,C336,$D$1:$D$1324,D336,$B$1:$B$1324,"&lt;="&amp;B336)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Iniciales'!$B:$B,D337)+SUMIFS($K$1:$K$1324,$C$1:$C$1324,C337,$D$1:$D$1324,D337,$B$1:$B$1324,"&lt;="&amp;B337)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Iniciales'!$B:$B,D338)+SUMIFS($K$1:$K$1324,$C$1:$C$1324,C338,$D$1:$D$1324,D338,$B$1:$B$1324,"&lt;="&amp;B338)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Iniciales'!$B:$B,D339)+SUMIFS($K$1:$K$1324,$C$1:$C$1324,C339,$D$1:$D$1324,D339,$B$1:$B$1324,"&lt;="&amp;B339)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Iniciales'!$B:$B,D340)+SUMIFS($K$1:$K$1324,$C$1:$C$1324,C340,$D$1:$D$1324,D340,$B$1:$B$1324,"&lt;="&amp;B340)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Iniciales'!$B:$B,D341)+SUMIFS($K$1:$K$1324,$C$1:$C$1324,C341,$D$1:$D$1324,D341,$B$1:$B$1324,"&lt;="&amp;B341)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Iniciales'!$B:$B,D342)+SUMIFS($K$1:$K$1324,$C$1:$C$1324,C342,$D$1:$D$1324,D342,$B$1:$B$1324,"&lt;="&amp;B342)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Iniciales'!$B:$B,D343)+SUMIFS($K$1:$K$1324,$C$1:$C$1324,C343,$D$1:$D$1324,D343,$B$1:$B$1324,"&lt;="&amp;B343)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Iniciales'!$B:$B,D344)+SUMIFS($K$1:$K$1324,$C$1:$C$1324,C344,$D$1:$D$1324,D344,$B$1:$B$1324,"&lt;="&amp;B344)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Iniciales'!$B:$B,D345)+SUMIFS($K$1:$K$1324,$C$1:$C$1324,C345,$D$1:$D$1324,D345,$B$1:$B$1324,"&lt;="&amp;B345)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Iniciales'!$B:$B,D346)+SUMIFS($K$1:$K$1324,$C$1:$C$1324,C346,$D$1:$D$1324,D346,$B$1:$B$1324,"&lt;="&amp;B346)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Iniciales'!$B:$B,D347)+SUMIFS($K$1:$K$1324,$C$1:$C$1324,C347,$D$1:$D$1324,D347,$B$1:$B$1324,"&lt;="&amp;B347)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Iniciales'!$B:$B,D348)+SUMIFS($K$1:$K$1324,$C$1:$C$1324,C348,$D$1:$D$1324,D348,$B$1:$B$1324,"&lt;="&amp;B348)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Iniciales'!$B:$B,D349)+SUMIFS($K$1:$K$1324,$C$1:$C$1324,C349,$D$1:$D$1324,D349,$B$1:$B$1324,"&lt;="&amp;B349)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Iniciales'!$B:$B,D350)+SUMIFS($K$1:$K$1324,$C$1:$C$1324,C350,$D$1:$D$1324,D350,$B$1:$B$1324,"&lt;="&amp;B350)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Iniciales'!$B:$B,D351)+SUMIFS($K$1:$K$1324,$C$1:$C$1324,C351,$D$1:$D$1324,D351,$B$1:$B$1324,"&lt;="&amp;B351)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Iniciales'!$B:$B,D352)+SUMIFS($K$1:$K$1324,$C$1:$C$1324,C352,$D$1:$D$1324,D352,$B$1:$B$1324,"&lt;="&amp;B352)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Iniciales'!$B:$B,D353)+SUMIFS($K$1:$K$1324,$C$1:$C$1324,C353,$D$1:$D$1324,D353,$B$1:$B$1324,"&lt;="&amp;B353)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Iniciales'!$B:$B,D354)+SUMIFS($K$1:$K$1324,$C$1:$C$1324,C354,$D$1:$D$1324,D354,$B$1:$B$1324,"&lt;="&amp;B354)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Iniciales'!$B:$B,D355)+SUMIFS($K$1:$K$1324,$C$1:$C$1324,C355,$D$1:$D$1324,D355,$B$1:$B$1324,"&lt;="&amp;B355)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Iniciales'!$B:$B,D356)+SUMIFS($K$1:$K$1324,$C$1:$C$1324,C356,$D$1:$D$1324,D356,$B$1:$B$1324,"&lt;="&amp;B356)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Iniciales'!$B:$B,D357)+SUMIFS($K$1:$K$1324,$C$1:$C$1324,C357,$D$1:$D$1324,D357,$B$1:$B$1324,"&lt;="&amp;B357)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Iniciales'!$B:$B,D358)+SUMIFS($K$1:$K$1324,$C$1:$C$1324,C358,$D$1:$D$1324,D358,$B$1:$B$1324,"&lt;="&amp;B358)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Iniciales'!$B:$B,D359)+SUMIFS($K$1:$K$1324,$C$1:$C$1324,C359,$D$1:$D$1324,D359,$B$1:$B$1324,"&lt;="&amp;B359)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Iniciales'!$B:$B,D360)+SUMIFS($K$1:$K$1324,$C$1:$C$1324,C360,$D$1:$D$1324,D360,$B$1:$B$1324,"&lt;="&amp;B360)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Iniciales'!$B:$B,D361)+SUMIFS($K$1:$K$1324,$C$1:$C$1324,C361,$D$1:$D$1324,D361,$B$1:$B$1324,"&lt;="&amp;B361)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Iniciales'!$B:$B,D362)+SUMIFS($K$1:$K$1324,$C$1:$C$1324,C362,$D$1:$D$1324,D362,$B$1:$B$1324,"&lt;="&amp;B362)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Iniciales'!$B:$B,D363)+SUMIFS($K$1:$K$1324,$C$1:$C$1324,C363,$D$1:$D$1324,D363,$B$1:$B$1324,"&lt;="&amp;B363)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Iniciales'!$B:$B,D364)+SUMIFS($K$1:$K$1324,$C$1:$C$1324,C364,$D$1:$D$1324,D364,$B$1:$B$1324,"&lt;="&amp;B364)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Iniciales'!$B:$B,D365)+SUMIFS($K$1:$K$1324,$C$1:$C$1324,C365,$D$1:$D$1324,D365,$B$1:$B$1324,"&lt;="&amp;B365)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Iniciales'!$B:$B,D366)+SUMIFS($K$1:$K$1324,$C$1:$C$1324,C366,$D$1:$D$1324,D366,$B$1:$B$1324,"&lt;="&amp;B366)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Iniciales'!$B:$B,D367)+SUMIFS($K$1:$K$1324,$C$1:$C$1324,C367,$D$1:$D$1324,D367,$B$1:$B$1324,"&lt;="&amp;B367)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Iniciales'!$B:$B,D368)+SUMIFS($K$1:$K$1324,$C$1:$C$1324,C368,$D$1:$D$1324,D368,$B$1:$B$1324,"&lt;="&amp;B368)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Iniciales'!$B:$B,D369)+SUMIFS($K$1:$K$1324,$C$1:$C$1324,C369,$D$1:$D$1324,D369,$B$1:$B$1324,"&lt;="&amp;B369)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Iniciales'!$B:$B,D370)+SUMIFS($K$1:$K$1324,$C$1:$C$1324,C370,$D$1:$D$1324,D370,$B$1:$B$1324,"&lt;="&amp;B370)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Iniciales'!$B:$B,D371)+SUMIFS($K$1:$K$1324,$C$1:$C$1324,C371,$D$1:$D$1324,D371,$B$1:$B$1324,"&lt;="&amp;B371)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Iniciales'!$B:$B,D372)+SUMIFS($K$1:$K$1324,$C$1:$C$1324,C372,$D$1:$D$1324,D372,$B$1:$B$1324,"&lt;="&amp;B372)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Iniciales'!$B:$B,D373)+SUMIFS($K$1:$K$1324,$C$1:$C$1324,C373,$D$1:$D$1324,D373,$B$1:$B$1324,"&lt;="&amp;B373)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Iniciales'!$B:$B,D374)+SUMIFS($K$1:$K$1324,$C$1:$C$1324,C374,$D$1:$D$1324,D374,$B$1:$B$1324,"&lt;="&amp;B374)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Iniciales'!$B:$B,D375)+SUMIFS($K$1:$K$1324,$C$1:$C$1324,C375,$D$1:$D$1324,D375,$B$1:$B$1324,"&lt;="&amp;B375)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Iniciales'!$B:$B,D376)+SUMIFS($K$1:$K$1324,$C$1:$C$1324,C376,$D$1:$D$1324,D376,$B$1:$B$1324,"&lt;="&amp;B376)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Iniciales'!$B:$B,D377)+SUMIFS($K$1:$K$1324,$C$1:$C$1324,C377,$D$1:$D$1324,D377,$B$1:$B$1324,"&lt;="&amp;B377)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Iniciales'!$B:$B,D378)+SUMIFS($K$1:$K$1324,$C$1:$C$1324,C378,$D$1:$D$1324,D378,$B$1:$B$1324,"&lt;="&amp;B378)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Iniciales'!$B:$B,D379)+SUMIFS($K$1:$K$1324,$C$1:$C$1324,C379,$D$1:$D$1324,D379,$B$1:$B$1324,"&lt;="&amp;B379)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Iniciales'!$B:$B,D380)+SUMIFS($K$1:$K$1324,$C$1:$C$1324,C380,$D$1:$D$1324,D380,$B$1:$B$1324,"&lt;="&amp;B380)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Iniciales'!$B:$B,D381)+SUMIFS($K$1:$K$1324,$C$1:$C$1324,C381,$D$1:$D$1324,D381,$B$1:$B$1324,"&lt;="&amp;B381)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Iniciales'!$B:$B,D382)+SUMIFS($K$1:$K$1324,$C$1:$C$1324,C382,$D$1:$D$1324,D382,$B$1:$B$1324,"&lt;="&amp;B382)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Iniciales'!$B:$B,D383)+SUMIFS($K$1:$K$1324,$C$1:$C$1324,C383,$D$1:$D$1324,D383,$B$1:$B$1324,"&lt;="&amp;B383)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Iniciales'!$B:$B,D384)+SUMIFS($K$1:$K$1324,$C$1:$C$1324,C384,$D$1:$D$1324,D384,$B$1:$B$1324,"&lt;="&amp;B384)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Iniciales'!$B:$B,D385)+SUMIFS($K$1:$K$1324,$C$1:$C$1324,C385,$D$1:$D$1324,D385,$B$1:$B$1324,"&lt;="&amp;B385)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ref="K386:K449" si="6"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Iniciales'!$B:$B,D386)+SUMIFS($K$1:$K$1324,$C$1:$C$1324,C386,$D$1:$D$1324,D386,$B$1:$B$1324,"&lt;="&amp;B386)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si="6"/>
        <v>-71041.67</v>
      </c>
      <c r="L387" s="15" t="s">
        <v>128</v>
      </c>
      <c r="M387" s="44">
        <f>SUMIFS('Saldos Iniciales'!$D:$D,'Saldos Iniciales'!$A:$A,C387,'Saldos Iniciales'!$B:$B,D387)+SUMIFS($K$1:$K$1324,$C$1:$C$1324,C387,$D$1:$D$1324,D387,$B$1:$B$1324,"&lt;="&amp;B387)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Iniciales'!$B:$B,D388)+SUMIFS($K$1:$K$1324,$C$1:$C$1324,C388,$D$1:$D$1324,D388,$B$1:$B$1324,"&lt;="&amp;B388)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Iniciales'!$B:$B,D389)+SUMIFS($K$1:$K$1324,$C$1:$C$1324,C389,$D$1:$D$1324,D389,$B$1:$B$1324,"&lt;="&amp;B389)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Iniciales'!$B:$B,D390)+SUMIFS($K$1:$K$1324,$C$1:$C$1324,C390,$D$1:$D$1324,D390,$B$1:$B$1324,"&lt;="&amp;B390)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Iniciales'!$B:$B,D391)+SUMIFS($K$1:$K$1324,$C$1:$C$1324,C391,$D$1:$D$1324,D391,$B$1:$B$1324,"&lt;="&amp;B391)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Iniciales'!$B:$B,D392)+SUMIFS($K$1:$K$1324,$C$1:$C$1324,C392,$D$1:$D$1324,D392,$B$1:$B$1324,"&lt;="&amp;B392)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Iniciales'!$B:$B,D393)+SUMIFS($K$1:$K$1324,$C$1:$C$1324,C393,$D$1:$D$1324,D393,$B$1:$B$1324,"&lt;="&amp;B393)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Iniciales'!$B:$B,D394)+SUMIFS($K$1:$K$1324,$C$1:$C$1324,C394,$D$1:$D$1324,D394,$B$1:$B$1324,"&lt;="&amp;B394)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Iniciales'!$B:$B,D395)+SUMIFS($K$1:$K$1324,$C$1:$C$1324,C395,$D$1:$D$1324,D395,$B$1:$B$1324,"&lt;="&amp;B395)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Iniciales'!$B:$B,D396)+SUMIFS($K$1:$K$1324,$C$1:$C$1324,C396,$D$1:$D$1324,D396,$B$1:$B$1324,"&lt;="&amp;B396)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Iniciales'!$B:$B,D397)+SUMIFS($K$1:$K$1324,$C$1:$C$1324,C397,$D$1:$D$1324,D397,$B$1:$B$1324,"&lt;="&amp;B397)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Iniciales'!$B:$B,D398)+SUMIFS($K$1:$K$1324,$C$1:$C$1324,C398,$D$1:$D$1324,D398,$B$1:$B$1324,"&lt;="&amp;B398)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Iniciales'!$B:$B,D399)+SUMIFS($K$1:$K$1324,$C$1:$C$1324,C399,$D$1:$D$1324,D399,$B$1:$B$1324,"&lt;="&amp;B399)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Iniciales'!$B:$B,D400)+SUMIFS($K$1:$K$1324,$C$1:$C$1324,C400,$D$1:$D$1324,D400,$B$1:$B$1324,"&lt;="&amp;B400)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Iniciales'!$B:$B,D401)+SUMIFS($K$1:$K$1324,$C$1:$C$1324,C401,$D$1:$D$1324,D401,$B$1:$B$1324,"&lt;="&amp;B401)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Iniciales'!$B:$B,D402)+SUMIFS($K$1:$K$1324,$C$1:$C$1324,C402,$D$1:$D$1324,D402,$B$1:$B$1324,"&lt;="&amp;B402)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Iniciales'!$B:$B,D403)+SUMIFS($K$1:$K$1324,$C$1:$C$1324,C403,$D$1:$D$1324,D403,$B$1:$B$1324,"&lt;="&amp;B403)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Iniciales'!$B:$B,D404)+SUMIFS($K$1:$K$1324,$C$1:$C$1324,C404,$D$1:$D$1324,D404,$B$1:$B$1324,"&lt;="&amp;B404)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Iniciales'!$B:$B,D405)+SUMIFS($K$1:$K$1324,$C$1:$C$1324,C405,$D$1:$D$1324,D405,$B$1:$B$1324,"&lt;="&amp;B405)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Iniciales'!$B:$B,D406)+SUMIFS($K$1:$K$1324,$C$1:$C$1324,C406,$D$1:$D$1324,D406,$B$1:$B$1324,"&lt;="&amp;B406)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Iniciales'!$B:$B,D407)+SUMIFS($K$1:$K$1324,$C$1:$C$1324,C407,$D$1:$D$1324,D407,$B$1:$B$1324,"&lt;="&amp;B407)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Iniciales'!$B:$B,D408)+SUMIFS($K$1:$K$1324,$C$1:$C$1324,C408,$D$1:$D$1324,D408,$B$1:$B$1324,"&lt;="&amp;B408)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Iniciales'!$B:$B,D409)+SUMIFS($K$1:$K$1324,$C$1:$C$1324,C409,$D$1:$D$1324,D409,$B$1:$B$1324,"&lt;="&amp;B409)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Iniciales'!$B:$B,D410)+SUMIFS($K$1:$K$1324,$C$1:$C$1324,C410,$D$1:$D$1324,D410,$B$1:$B$1324,"&lt;="&amp;B410)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Iniciales'!$B:$B,D411)+SUMIFS($K$1:$K$1324,$C$1:$C$1324,C411,$D$1:$D$1324,D411,$B$1:$B$1324,"&lt;="&amp;B411)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Iniciales'!$B:$B,D412)+SUMIFS($K$1:$K$1324,$C$1:$C$1324,C412,$D$1:$D$1324,D412,$B$1:$B$1324,"&lt;="&amp;B412)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Iniciales'!$B:$B,D413)+SUMIFS($K$1:$K$1324,$C$1:$C$1324,C413,$D$1:$D$1324,D413,$B$1:$B$1324,"&lt;="&amp;B413)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Iniciales'!$B:$B,D414)+SUMIFS($K$1:$K$1324,$C$1:$C$1324,C414,$D$1:$D$1324,D414,$B$1:$B$1324,"&lt;="&amp;B414)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Iniciales'!$B:$B,D415)+SUMIFS($K$1:$K$1324,$C$1:$C$1324,C415,$D$1:$D$1324,D415,$B$1:$B$1324,"&lt;="&amp;B415)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Iniciales'!$B:$B,D416)+SUMIFS($K$1:$K$1324,$C$1:$C$1324,C416,$D$1:$D$1324,D416,$B$1:$B$1324,"&lt;="&amp;B416)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Iniciales'!$B:$B,D417)+SUMIFS($K$1:$K$1324,$C$1:$C$1324,C417,$D$1:$D$1324,D417,$B$1:$B$1324,"&lt;="&amp;B417)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Iniciales'!$B:$B,D418)+SUMIFS($K$1:$K$1324,$C$1:$C$1324,C418,$D$1:$D$1324,D418,$B$1:$B$1324,"&lt;="&amp;B418)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Iniciales'!$B:$B,D419)+SUMIFS($K$1:$K$1324,$C$1:$C$1324,C419,$D$1:$D$1324,D419,$B$1:$B$1324,"&lt;="&amp;B419)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Iniciales'!$B:$B,D420)+SUMIFS($K$1:$K$1324,$C$1:$C$1324,C420,$D$1:$D$1324,D420,$B$1:$B$1324,"&lt;="&amp;B420)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Iniciales'!$B:$B,D421)+SUMIFS($K$1:$K$1324,$C$1:$C$1324,C421,$D$1:$D$1324,D421,$B$1:$B$1324,"&lt;="&amp;B421)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Iniciales'!$B:$B,D422)+SUMIFS($K$1:$K$1324,$C$1:$C$1324,C422,$D$1:$D$1324,D422,$B$1:$B$1324,"&lt;="&amp;B422)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Iniciales'!$B:$B,D423)+SUMIFS($K$1:$K$1324,$C$1:$C$1324,C423,$D$1:$D$1324,D423,$B$1:$B$1324,"&lt;="&amp;B423)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Iniciales'!$B:$B,D424)+SUMIFS($K$1:$K$1324,$C$1:$C$1324,C424,$D$1:$D$1324,D424,$B$1:$B$1324,"&lt;="&amp;B424)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Iniciales'!$B:$B,D425)+SUMIFS($K$1:$K$1324,$C$1:$C$1324,C425,$D$1:$D$1324,D425,$B$1:$B$1324,"&lt;="&amp;B425)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Iniciales'!$B:$B,D426)+SUMIFS($K$1:$K$1324,$C$1:$C$1324,C426,$D$1:$D$1324,D426,$B$1:$B$1324,"&lt;="&amp;B426)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Iniciales'!$B:$B,D427)+SUMIFS($K$1:$K$1324,$C$1:$C$1324,C427,$D$1:$D$1324,D427,$B$1:$B$1324,"&lt;="&amp;B427)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Iniciales'!$B:$B,D428)+SUMIFS($K$1:$K$1324,$C$1:$C$1324,C428,$D$1:$D$1324,D428,$B$1:$B$1324,"&lt;="&amp;B428)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Iniciales'!$B:$B,D429)+SUMIFS($K$1:$K$1324,$C$1:$C$1324,C429,$D$1:$D$1324,D429,$B$1:$B$1324,"&lt;="&amp;B429)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Iniciales'!$B:$B,D430)+SUMIFS($K$1:$K$1324,$C$1:$C$1324,C430,$D$1:$D$1324,D430,$B$1:$B$1324,"&lt;="&amp;B430)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Iniciales'!$B:$B,D431)+SUMIFS($K$1:$K$1324,$C$1:$C$1324,C431,$D$1:$D$1324,D431,$B$1:$B$1324,"&lt;="&amp;B431)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Iniciales'!$B:$B,D432)+SUMIFS($K$1:$K$1324,$C$1:$C$1324,C432,$D$1:$D$1324,D432,$B$1:$B$1324,"&lt;="&amp;B432)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Iniciales'!$B:$B,D433)+SUMIFS($K$1:$K$1324,$C$1:$C$1324,C433,$D$1:$D$1324,D433,$B$1:$B$1324,"&lt;="&amp;B433)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Iniciales'!$B:$B,D434)+SUMIFS($K$1:$K$1324,$C$1:$C$1324,C434,$D$1:$D$1324,D434,$B$1:$B$1324,"&lt;="&amp;B434)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Iniciales'!$B:$B,D435)+SUMIFS($K$1:$K$1324,$C$1:$C$1324,C435,$D$1:$D$1324,D435,$B$1:$B$1324,"&lt;="&amp;B435)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Iniciales'!$B:$B,D436)+SUMIFS($K$1:$K$1324,$C$1:$C$1324,C436,$D$1:$D$1324,D436,$B$1:$B$1324,"&lt;="&amp;B436)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Iniciales'!$B:$B,D437)+SUMIFS($K$1:$K$1324,$C$1:$C$1324,C437,$D$1:$D$1324,D437,$B$1:$B$1324,"&lt;="&amp;B437)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Iniciales'!$B:$B,D438)+SUMIFS($K$1:$K$1324,$C$1:$C$1324,C438,$D$1:$D$1324,D438,$B$1:$B$1324,"&lt;="&amp;B438)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Iniciales'!$B:$B,D439)+SUMIFS($K$1:$K$1324,$C$1:$C$1324,C439,$D$1:$D$1324,D439,$B$1:$B$1324,"&lt;="&amp;B439)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Iniciales'!$B:$B,D440)+SUMIFS($K$1:$K$1324,$C$1:$C$1324,C440,$D$1:$D$1324,D440,$B$1:$B$1324,"&lt;="&amp;B440)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Iniciales'!$B:$B,D441)+SUMIFS($K$1:$K$1324,$C$1:$C$1324,C441,$D$1:$D$1324,D441,$B$1:$B$1324,"&lt;="&amp;B441)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Iniciales'!$B:$B,D442)+SUMIFS($K$1:$K$1324,$C$1:$C$1324,C442,$D$1:$D$1324,D442,$B$1:$B$1324,"&lt;="&amp;B442)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Iniciales'!$B:$B,D443)+SUMIFS($K$1:$K$1324,$C$1:$C$1324,C443,$D$1:$D$1324,D443,$B$1:$B$1324,"&lt;="&amp;B443)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Iniciales'!$B:$B,D444)+SUMIFS($K$1:$K$1324,$C$1:$C$1324,C444,$D$1:$D$1324,D444,$B$1:$B$1324,"&lt;="&amp;B444)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Iniciales'!$B:$B,D445)+SUMIFS($K$1:$K$1324,$C$1:$C$1324,C445,$D$1:$D$1324,D445,$B$1:$B$1324,"&lt;="&amp;B445)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Iniciales'!$B:$B,D446)+SUMIFS($K$1:$K$1324,$C$1:$C$1324,C446,$D$1:$D$1324,D446,$B$1:$B$1324,"&lt;="&amp;B446)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Iniciales'!$B:$B,D447)+SUMIFS($K$1:$K$1324,$C$1:$C$1324,C447,$D$1:$D$1324,D447,$B$1:$B$1324,"&lt;="&amp;B447)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Iniciales'!$B:$B,D448)+SUMIFS($K$1:$K$1324,$C$1:$C$1324,C448,$D$1:$D$1324,D448,$B$1:$B$1324,"&lt;="&amp;B448)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Iniciales'!$B:$B,D449)+SUMIFS($K$1:$K$1324,$C$1:$C$1324,C449,$D$1:$D$1324,D449,$B$1:$B$1324,"&lt;="&amp;B449)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ref="K450:K513" si="7"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Iniciales'!$B:$B,D450)+SUMIFS($K$1:$K$1324,$C$1:$C$1324,C450,$D$1:$D$1324,D450,$B$1:$B$1324,"&lt;="&amp;B450)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si="7"/>
        <v>-258.5</v>
      </c>
      <c r="L451" s="15" t="s">
        <v>129</v>
      </c>
      <c r="M451" s="44">
        <f>SUMIFS('Saldos Iniciales'!$D:$D,'Saldos Iniciales'!$A:$A,C451,'Saldos Iniciales'!$B:$B,D451)+SUMIFS($K$1:$K$1324,$C$1:$C$1324,C451,$D$1:$D$1324,D451,$B$1:$B$1324,"&lt;="&amp;B451)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Iniciales'!$B:$B,D452)+SUMIFS($K$1:$K$1324,$C$1:$C$1324,C452,$D$1:$D$1324,D452,$B$1:$B$1324,"&lt;="&amp;B452)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Iniciales'!$B:$B,D453)+SUMIFS($K$1:$K$1324,$C$1:$C$1324,C453,$D$1:$D$1324,D453,$B$1:$B$1324,"&lt;="&amp;B453)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Iniciales'!$B:$B,D454)+SUMIFS($K$1:$K$1324,$C$1:$C$1324,C454,$D$1:$D$1324,D454,$B$1:$B$1324,"&lt;="&amp;B454)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Iniciales'!$B:$B,D455)+SUMIFS($K$1:$K$1324,$C$1:$C$1324,C455,$D$1:$D$1324,D455,$B$1:$B$1324,"&lt;="&amp;B455)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Iniciales'!$B:$B,D456)+SUMIFS($K$1:$K$1324,$C$1:$C$1324,C456,$D$1:$D$1324,D456,$B$1:$B$1324,"&lt;="&amp;B456)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Iniciales'!$B:$B,D457)+SUMIFS($K$1:$K$1324,$C$1:$C$1324,C457,$D$1:$D$1324,D457,$B$1:$B$1324,"&lt;="&amp;B457)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Iniciales'!$B:$B,D458)+SUMIFS($K$1:$K$1324,$C$1:$C$1324,C458,$D$1:$D$1324,D458,$B$1:$B$1324,"&lt;="&amp;B458)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Iniciales'!$B:$B,D459)+SUMIFS($K$1:$K$1324,$C$1:$C$1324,C459,$D$1:$D$1324,D459,$B$1:$B$1324,"&lt;="&amp;B459)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Iniciales'!$B:$B,D460)+SUMIFS($K$1:$K$1324,$C$1:$C$1324,C460,$D$1:$D$1324,D460,$B$1:$B$1324,"&lt;="&amp;B460)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Iniciales'!$B:$B,D461)+SUMIFS($K$1:$K$1324,$C$1:$C$1324,C461,$D$1:$D$1324,D461,$B$1:$B$1324,"&lt;="&amp;B461)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Iniciales'!$B:$B,D462)+SUMIFS($K$1:$K$1324,$C$1:$C$1324,C462,$D$1:$D$1324,D462,$B$1:$B$1324,"&lt;="&amp;B462)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Iniciales'!$B:$B,D463)+SUMIFS($K$1:$K$1324,$C$1:$C$1324,C463,$D$1:$D$1324,D463,$B$1:$B$1324,"&lt;="&amp;B463)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Iniciales'!$B:$B,D464)+SUMIFS($K$1:$K$1324,$C$1:$C$1324,C464,$D$1:$D$1324,D464,$B$1:$B$1324,"&lt;="&amp;B464)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Iniciales'!$B:$B,D465)+SUMIFS($K$1:$K$1324,$C$1:$C$1324,C465,$D$1:$D$1324,D465,$B$1:$B$1324,"&lt;="&amp;B465)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Iniciales'!$B:$B,D466)+SUMIFS($K$1:$K$1324,$C$1:$C$1324,C466,$D$1:$D$1324,D466,$B$1:$B$1324,"&lt;="&amp;B466)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Iniciales'!$B:$B,D467)+SUMIFS($K$1:$K$1324,$C$1:$C$1324,C467,$D$1:$D$1324,D467,$B$1:$B$1324,"&lt;="&amp;B467)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Iniciales'!$B:$B,D468)+SUMIFS($K$1:$K$1324,$C$1:$C$1324,C468,$D$1:$D$1324,D468,$B$1:$B$1324,"&lt;="&amp;B468)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Iniciales'!$B:$B,D469)+SUMIFS($K$1:$K$1324,$C$1:$C$1324,C469,$D$1:$D$1324,D469,$B$1:$B$1324,"&lt;="&amp;B469)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Iniciales'!$B:$B,D470)+SUMIFS($K$1:$K$1324,$C$1:$C$1324,C470,$D$1:$D$1324,D470,$B$1:$B$1324,"&lt;="&amp;B470)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Iniciales'!$B:$B,D471)+SUMIFS($K$1:$K$1324,$C$1:$C$1324,C471,$D$1:$D$1324,D471,$B$1:$B$1324,"&lt;="&amp;B471)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Iniciales'!$B:$B,D472)+SUMIFS($K$1:$K$1324,$C$1:$C$1324,C472,$D$1:$D$1324,D472,$B$1:$B$1324,"&lt;="&amp;B472)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Iniciales'!$B:$B,D473)+SUMIFS($K$1:$K$1324,$C$1:$C$1324,C473,$D$1:$D$1324,D473,$B$1:$B$1324,"&lt;="&amp;B473)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Iniciales'!$B:$B,D474)+SUMIFS($K$1:$K$1324,$C$1:$C$1324,C474,$D$1:$D$1324,D474,$B$1:$B$1324,"&lt;="&amp;B474)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Iniciales'!$B:$B,D475)+SUMIFS($K$1:$K$1324,$C$1:$C$1324,C475,$D$1:$D$1324,D475,$B$1:$B$1324,"&lt;="&amp;B475)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Iniciales'!$B:$B,D476)+SUMIFS($K$1:$K$1324,$C$1:$C$1324,C476,$D$1:$D$1324,D476,$B$1:$B$1324,"&lt;="&amp;B476)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Iniciales'!$B:$B,D477)+SUMIFS($K$1:$K$1324,$C$1:$C$1324,C477,$D$1:$D$1324,D477,$B$1:$B$1324,"&lt;="&amp;B477)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Iniciales'!$B:$B,D478)+SUMIFS($K$1:$K$1324,$C$1:$C$1324,C478,$D$1:$D$1324,D478,$B$1:$B$1324,"&lt;="&amp;B478)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Iniciales'!$B:$B,D479)+SUMIFS($K$1:$K$1324,$C$1:$C$1324,C479,$D$1:$D$1324,D479,$B$1:$B$1324,"&lt;="&amp;B479)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Iniciales'!$B:$B,D480)+SUMIFS($K$1:$K$1324,$C$1:$C$1324,C480,$D$1:$D$1324,D480,$B$1:$B$1324,"&lt;="&amp;B480)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Iniciales'!$B:$B,D481)+SUMIFS($K$1:$K$1324,$C$1:$C$1324,C481,$D$1:$D$1324,D481,$B$1:$B$1324,"&lt;="&amp;B481)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Iniciales'!$B:$B,D482)+SUMIFS($K$1:$K$1324,$C$1:$C$1324,C482,$D$1:$D$1324,D482,$B$1:$B$1324,"&lt;="&amp;B482)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Iniciales'!$B:$B,D483)+SUMIFS($K$1:$K$1324,$C$1:$C$1324,C483,$D$1:$D$1324,D483,$B$1:$B$1324,"&lt;="&amp;B483)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Iniciales'!$B:$B,D484)+SUMIFS($K$1:$K$1324,$C$1:$C$1324,C484,$D$1:$D$1324,D484,$B$1:$B$1324,"&lt;="&amp;B484)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Iniciales'!$B:$B,D485)+SUMIFS($K$1:$K$1324,$C$1:$C$1324,C485,$D$1:$D$1324,D485,$B$1:$B$1324,"&lt;="&amp;B485)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Iniciales'!$B:$B,D486)+SUMIFS($K$1:$K$1324,$C$1:$C$1324,C486,$D$1:$D$1324,D486,$B$1:$B$1324,"&lt;="&amp;B486)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Iniciales'!$B:$B,D487)+SUMIFS($K$1:$K$1324,$C$1:$C$1324,C487,$D$1:$D$1324,D487,$B$1:$B$1324,"&lt;="&amp;B487)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Iniciales'!$B:$B,D488)+SUMIFS($K$1:$K$1324,$C$1:$C$1324,C488,$D$1:$D$1324,D488,$B$1:$B$1324,"&lt;="&amp;B488)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Iniciales'!$B:$B,D489)+SUMIFS($K$1:$K$1324,$C$1:$C$1324,C489,$D$1:$D$1324,D489,$B$1:$B$1324,"&lt;="&amp;B489)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Iniciales'!$B:$B,D490)+SUMIFS($K$1:$K$1324,$C$1:$C$1324,C490,$D$1:$D$1324,D490,$B$1:$B$1324,"&lt;="&amp;B490)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Iniciales'!$B:$B,D491)+SUMIFS($K$1:$K$1324,$C$1:$C$1324,C491,$D$1:$D$1324,D491,$B$1:$B$1324,"&lt;="&amp;B491)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Iniciales'!$B:$B,D492)+SUMIFS($K$1:$K$1324,$C$1:$C$1324,C492,$D$1:$D$1324,D492,$B$1:$B$1324,"&lt;="&amp;B492)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Iniciales'!$B:$B,D493)+SUMIFS($K$1:$K$1324,$C$1:$C$1324,C493,$D$1:$D$1324,D493,$B$1:$B$1324,"&lt;="&amp;B493)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Iniciales'!$B:$B,D494)+SUMIFS($K$1:$K$1324,$C$1:$C$1324,C494,$D$1:$D$1324,D494,$B$1:$B$1324,"&lt;="&amp;B494)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Iniciales'!$B:$B,D495)+SUMIFS($K$1:$K$1324,$C$1:$C$1324,C495,$D$1:$D$1324,D495,$B$1:$B$1324,"&lt;="&amp;B495)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Iniciales'!$B:$B,D496)+SUMIFS($K$1:$K$1324,$C$1:$C$1324,C496,$D$1:$D$1324,D496,$B$1:$B$1324,"&lt;="&amp;B496)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Iniciales'!$B:$B,D497)+SUMIFS($K$1:$K$1324,$C$1:$C$1324,C497,$D$1:$D$1324,D497,$B$1:$B$1324,"&lt;="&amp;B497)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Iniciales'!$B:$B,D498)+SUMIFS($K$1:$K$1324,$C$1:$C$1324,C498,$D$1:$D$1324,D498,$B$1:$B$1324,"&lt;="&amp;B498)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Iniciales'!$B:$B,D499)+SUMIFS($K$1:$K$1324,$C$1:$C$1324,C499,$D$1:$D$1324,D499,$B$1:$B$1324,"&lt;="&amp;B499)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Iniciales'!$B:$B,D500)+SUMIFS($K$1:$K$1324,$C$1:$C$1324,C500,$D$1:$D$1324,D500,$B$1:$B$1324,"&lt;="&amp;B500)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Iniciales'!$B:$B,D501)+SUMIFS($K$1:$K$1324,$C$1:$C$1324,C501,$D$1:$D$1324,D501,$B$1:$B$1324,"&lt;="&amp;B501)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Iniciales'!$B:$B,D502)+SUMIFS($K$1:$K$1324,$C$1:$C$1324,C502,$D$1:$D$1324,D502,$B$1:$B$1324,"&lt;="&amp;B502)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Iniciales'!$B:$B,D503)+SUMIFS($K$1:$K$1324,$C$1:$C$1324,C503,$D$1:$D$1324,D503,$B$1:$B$1324,"&lt;="&amp;B503)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Iniciales'!$B:$B,D504)+SUMIFS($K$1:$K$1324,$C$1:$C$1324,C504,$D$1:$D$1324,D504,$B$1:$B$1324,"&lt;="&amp;B504)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Iniciales'!$B:$B,D505)+SUMIFS($K$1:$K$1324,$C$1:$C$1324,C505,$D$1:$D$1324,D505,$B$1:$B$1324,"&lt;="&amp;B505)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Iniciales'!$B:$B,D506)+SUMIFS($K$1:$K$1324,$C$1:$C$1324,C506,$D$1:$D$1324,D506,$B$1:$B$1324,"&lt;="&amp;B506)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Iniciales'!$B:$B,D507)+SUMIFS($K$1:$K$1324,$C$1:$C$1324,C507,$D$1:$D$1324,D507,$B$1:$B$1324,"&lt;="&amp;B507)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Iniciales'!$B:$B,D508)+SUMIFS($K$1:$K$1324,$C$1:$C$1324,C508,$D$1:$D$1324,D508,$B$1:$B$1324,"&lt;="&amp;B508)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Iniciales'!$B:$B,D509)+SUMIFS($K$1:$K$1324,$C$1:$C$1324,C509,$D$1:$D$1324,D509,$B$1:$B$1324,"&lt;="&amp;B509)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Iniciales'!$B:$B,D510)+SUMIFS($K$1:$K$1324,$C$1:$C$1324,C510,$D$1:$D$1324,D510,$B$1:$B$1324,"&lt;="&amp;B510)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Iniciales'!$B:$B,D511)+SUMIFS($K$1:$K$1324,$C$1:$C$1324,C511,$D$1:$D$1324,D511,$B$1:$B$1324,"&lt;="&amp;B511)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Iniciales'!$B:$B,D512)+SUMIFS($K$1:$K$1324,$C$1:$C$1324,C512,$D$1:$D$1324,D512,$B$1:$B$1324,"&lt;="&amp;B512)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Iniciales'!$B:$B,D513)+SUMIFS($K$1:$K$1324,$C$1:$C$1324,C513,$D$1:$D$1324,D513,$B$1:$B$1324,"&lt;="&amp;B513)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ref="K514:K577" si="8">IF(F514="Ingreso",J514,-J514)</f>
        <v>-24255</v>
      </c>
      <c r="L514" s="15" t="s">
        <v>129</v>
      </c>
      <c r="M514" s="44">
        <f>SUMIFS('Saldos Iniciales'!$D:$D,'Saldos Iniciales'!$A:$A,C514,'Saldos Iniciales'!$B:$B,D514)+SUMIFS($K$1:$K$1324,$C$1:$C$1324,C514,$D$1:$D$1324,D514,$B$1:$B$1324,"&lt;="&amp;B514)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si="8"/>
        <v>-66261.25</v>
      </c>
      <c r="L515" s="15" t="s">
        <v>129</v>
      </c>
      <c r="M515" s="44">
        <f>SUMIFS('Saldos Iniciales'!$D:$D,'Saldos Iniciales'!$A:$A,C515,'Saldos Iniciales'!$B:$B,D515)+SUMIFS($K$1:$K$1324,$C$1:$C$1324,C515,$D$1:$D$1324,D515,$B$1:$B$1324,"&lt;="&amp;B515)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Iniciales'!$B:$B,D516)+SUMIFS($K$1:$K$1324,$C$1:$C$1324,C516,$D$1:$D$1324,D516,$B$1:$B$1324,"&lt;="&amp;B516)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Iniciales'!$B:$B,D517)+SUMIFS($K$1:$K$1324,$C$1:$C$1324,C517,$D$1:$D$1324,D517,$B$1:$B$1324,"&lt;="&amp;B517)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Iniciales'!$B:$B,D518)+SUMIFS($K$1:$K$1324,$C$1:$C$1324,C518,$D$1:$D$1324,D518,$B$1:$B$1324,"&lt;="&amp;B518)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Iniciales'!$B:$B,D519)+SUMIFS($K$1:$K$1324,$C$1:$C$1324,C519,$D$1:$D$1324,D519,$B$1:$B$1324,"&lt;="&amp;B519)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Iniciales'!$B:$B,D520)+SUMIFS($K$1:$K$1324,$C$1:$C$1324,C520,$D$1:$D$1324,D520,$B$1:$B$1324,"&lt;="&amp;B520)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Iniciales'!$B:$B,D521)+SUMIFS($K$1:$K$1324,$C$1:$C$1324,C521,$D$1:$D$1324,D521,$B$1:$B$1324,"&lt;="&amp;B521)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Iniciales'!$B:$B,D522)+SUMIFS($K$1:$K$1324,$C$1:$C$1324,C522,$D$1:$D$1324,D522,$B$1:$B$1324,"&lt;="&amp;B522)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Iniciales'!$B:$B,D523)+SUMIFS($K$1:$K$1324,$C$1:$C$1324,C523,$D$1:$D$1324,D523,$B$1:$B$1324,"&lt;="&amp;B523)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Iniciales'!$B:$B,D524)+SUMIFS($K$1:$K$1324,$C$1:$C$1324,C524,$D$1:$D$1324,D524,$B$1:$B$1324,"&lt;="&amp;B524)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Iniciales'!$B:$B,D525)+SUMIFS($K$1:$K$1324,$C$1:$C$1324,C525,$D$1:$D$1324,D525,$B$1:$B$1324,"&lt;="&amp;B525)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Iniciales'!$B:$B,D526)+SUMIFS($K$1:$K$1324,$C$1:$C$1324,C526,$D$1:$D$1324,D526,$B$1:$B$1324,"&lt;="&amp;B526)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Iniciales'!$B:$B,D527)+SUMIFS($K$1:$K$1324,$C$1:$C$1324,C527,$D$1:$D$1324,D527,$B$1:$B$1324,"&lt;="&amp;B527)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Iniciales'!$B:$B,D528)+SUMIFS($K$1:$K$1324,$C$1:$C$1324,C528,$D$1:$D$1324,D528,$B$1:$B$1324,"&lt;="&amp;B528)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Iniciales'!$B:$B,D529)+SUMIFS($K$1:$K$1324,$C$1:$C$1324,C529,$D$1:$D$1324,D529,$B$1:$B$1324,"&lt;="&amp;B529)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Iniciales'!$B:$B,D530)+SUMIFS($K$1:$K$1324,$C$1:$C$1324,C530,$D$1:$D$1324,D530,$B$1:$B$1324,"&lt;="&amp;B530)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Iniciales'!$B:$B,D531)+SUMIFS($K$1:$K$1324,$C$1:$C$1324,C531,$D$1:$D$1324,D531,$B$1:$B$1324,"&lt;="&amp;B531)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Iniciales'!$B:$B,D532)+SUMIFS($K$1:$K$1324,$C$1:$C$1324,C532,$D$1:$D$1324,D532,$B$1:$B$1324,"&lt;="&amp;B532)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Iniciales'!$B:$B,D533)+SUMIFS($K$1:$K$1324,$C$1:$C$1324,C533,$D$1:$D$1324,D533,$B$1:$B$1324,"&lt;="&amp;B533)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Iniciales'!$B:$B,D534)+SUMIFS($K$1:$K$1324,$C$1:$C$1324,C534,$D$1:$D$1324,D534,$B$1:$B$1324,"&lt;="&amp;B534)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Iniciales'!$B:$B,D535)+SUMIFS($K$1:$K$1324,$C$1:$C$1324,C535,$D$1:$D$1324,D535,$B$1:$B$1324,"&lt;="&amp;B535)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Iniciales'!$B:$B,D536)+SUMIFS($K$1:$K$1324,$C$1:$C$1324,C536,$D$1:$D$1324,D536,$B$1:$B$1324,"&lt;="&amp;B536)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Iniciales'!$B:$B,D537)+SUMIFS($K$1:$K$1324,$C$1:$C$1324,C537,$D$1:$D$1324,D537,$B$1:$B$1324,"&lt;="&amp;B537)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Iniciales'!$B:$B,D538)+SUMIFS($K$1:$K$1324,$C$1:$C$1324,C538,$D$1:$D$1324,D538,$B$1:$B$1324,"&lt;="&amp;B538)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Iniciales'!$B:$B,D539)+SUMIFS($K$1:$K$1324,$C$1:$C$1324,C539,$D$1:$D$1324,D539,$B$1:$B$1324,"&lt;="&amp;B539)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Iniciales'!$B:$B,D540)+SUMIFS($K$1:$K$1324,$C$1:$C$1324,C540,$D$1:$D$1324,D540,$B$1:$B$1324,"&lt;="&amp;B540)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Iniciales'!$B:$B,D541)+SUMIFS($K$1:$K$1324,$C$1:$C$1324,C541,$D$1:$D$1324,D541,$B$1:$B$1324,"&lt;="&amp;B541)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Iniciales'!$B:$B,D542)+SUMIFS($K$1:$K$1324,$C$1:$C$1324,C542,$D$1:$D$1324,D542,$B$1:$B$1324,"&lt;="&amp;B542)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Iniciales'!$B:$B,D543)+SUMIFS($K$1:$K$1324,$C$1:$C$1324,C543,$D$1:$D$1324,D543,$B$1:$B$1324,"&lt;="&amp;B543)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Iniciales'!$B:$B,D544)+SUMIFS($K$1:$K$1324,$C$1:$C$1324,C544,$D$1:$D$1324,D544,$B$1:$B$1324,"&lt;="&amp;B544)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Iniciales'!$B:$B,D545)+SUMIFS($K$1:$K$1324,$C$1:$C$1324,C545,$D$1:$D$1324,D545,$B$1:$B$1324,"&lt;="&amp;B545)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Iniciales'!$B:$B,D546)+SUMIFS($K$1:$K$1324,$C$1:$C$1324,C546,$D$1:$D$1324,D546,$B$1:$B$1324,"&lt;="&amp;B546)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Iniciales'!$B:$B,D547)+SUMIFS($K$1:$K$1324,$C$1:$C$1324,C547,$D$1:$D$1324,D547,$B$1:$B$1324,"&lt;="&amp;B547)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Iniciales'!$B:$B,D548)+SUMIFS($K$1:$K$1324,$C$1:$C$1324,C548,$D$1:$D$1324,D548,$B$1:$B$1324,"&lt;="&amp;B548)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Iniciales'!$B:$B,D549)+SUMIFS($K$1:$K$1324,$C$1:$C$1324,C549,$D$1:$D$1324,D549,$B$1:$B$1324,"&lt;="&amp;B549)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Iniciales'!$B:$B,D550)+SUMIFS($K$1:$K$1324,$C$1:$C$1324,C550,$D$1:$D$1324,D550,$B$1:$B$1324,"&lt;="&amp;B550)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Iniciales'!$B:$B,D551)+SUMIFS($K$1:$K$1324,$C$1:$C$1324,C551,$D$1:$D$1324,D551,$B$1:$B$1324,"&lt;="&amp;B551)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Iniciales'!$B:$B,D552)+SUMIFS($K$1:$K$1324,$C$1:$C$1324,C552,$D$1:$D$1324,D552,$B$1:$B$1324,"&lt;="&amp;B552)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Iniciales'!$B:$B,D553)+SUMIFS($K$1:$K$1324,$C$1:$C$1324,C553,$D$1:$D$1324,D553,$B$1:$B$1324,"&lt;="&amp;B553)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Iniciales'!$B:$B,D554)+SUMIFS($K$1:$K$1324,$C$1:$C$1324,C554,$D$1:$D$1324,D554,$B$1:$B$1324,"&lt;="&amp;B554)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Iniciales'!$B:$B,D555)+SUMIFS($K$1:$K$1324,$C$1:$C$1324,C555,$D$1:$D$1324,D555,$B$1:$B$1324,"&lt;="&amp;B555)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Iniciales'!$B:$B,D556)+SUMIFS($K$1:$K$1324,$C$1:$C$1324,C556,$D$1:$D$1324,D556,$B$1:$B$1324,"&lt;="&amp;B556)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Iniciales'!$B:$B,D557)+SUMIFS($K$1:$K$1324,$C$1:$C$1324,C557,$D$1:$D$1324,D557,$B$1:$B$1324,"&lt;="&amp;B557)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Iniciales'!$B:$B,D558)+SUMIFS($K$1:$K$1324,$C$1:$C$1324,C558,$D$1:$D$1324,D558,$B$1:$B$1324,"&lt;="&amp;B558)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Iniciales'!$B:$B,D559)+SUMIFS($K$1:$K$1324,$C$1:$C$1324,C559,$D$1:$D$1324,D559,$B$1:$B$1324,"&lt;="&amp;B559)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Iniciales'!$B:$B,D560)+SUMIFS($K$1:$K$1324,$C$1:$C$1324,C560,$D$1:$D$1324,D560,$B$1:$B$1324,"&lt;="&amp;B560)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Iniciales'!$B:$B,D561)+SUMIFS($K$1:$K$1324,$C$1:$C$1324,C561,$D$1:$D$1324,D561,$B$1:$B$1324,"&lt;="&amp;B561)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Iniciales'!$B:$B,D562)+SUMIFS($K$1:$K$1324,$C$1:$C$1324,C562,$D$1:$D$1324,D562,$B$1:$B$1324,"&lt;="&amp;B562)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Iniciales'!$B:$B,D563)+SUMIFS($K$1:$K$1324,$C$1:$C$1324,C563,$D$1:$D$1324,D563,$B$1:$B$1324,"&lt;="&amp;B563)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Iniciales'!$B:$B,D564)+SUMIFS($K$1:$K$1324,$C$1:$C$1324,C564,$D$1:$D$1324,D564,$B$1:$B$1324,"&lt;="&amp;B564)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Iniciales'!$B:$B,D565)+SUMIFS($K$1:$K$1324,$C$1:$C$1324,C565,$D$1:$D$1324,D565,$B$1:$B$1324,"&lt;="&amp;B565)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Iniciales'!$B:$B,D566)+SUMIFS($K$1:$K$1324,$C$1:$C$1324,C566,$D$1:$D$1324,D566,$B$1:$B$1324,"&lt;="&amp;B566)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Iniciales'!$B:$B,D567)+SUMIFS($K$1:$K$1324,$C$1:$C$1324,C567,$D$1:$D$1324,D567,$B$1:$B$1324,"&lt;="&amp;B567)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Iniciales'!$B:$B,D568)+SUMIFS($K$1:$K$1324,$C$1:$C$1324,C568,$D$1:$D$1324,D568,$B$1:$B$1324,"&lt;="&amp;B568)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Iniciales'!$B:$B,D569)+SUMIFS($K$1:$K$1324,$C$1:$C$1324,C569,$D$1:$D$1324,D569,$B$1:$B$1324,"&lt;="&amp;B569)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Iniciales'!$B:$B,D570)+SUMIFS($K$1:$K$1324,$C$1:$C$1324,C570,$D$1:$D$1324,D570,$B$1:$B$1324,"&lt;="&amp;B570)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Iniciales'!$B:$B,D571)+SUMIFS($K$1:$K$1324,$C$1:$C$1324,C571,$D$1:$D$1324,D571,$B$1:$B$1324,"&lt;="&amp;B571)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Iniciales'!$B:$B,D572)+SUMIFS($K$1:$K$1324,$C$1:$C$1324,C572,$D$1:$D$1324,D572,$B$1:$B$1324,"&lt;="&amp;B572)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Iniciales'!$B:$B,D573)+SUMIFS($K$1:$K$1324,$C$1:$C$1324,C573,$D$1:$D$1324,D573,$B$1:$B$1324,"&lt;="&amp;B573)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Iniciales'!$B:$B,D574)+SUMIFS($K$1:$K$1324,$C$1:$C$1324,C574,$D$1:$D$1324,D574,$B$1:$B$1324,"&lt;="&amp;B574)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Iniciales'!$B:$B,D575)+SUMIFS($K$1:$K$1324,$C$1:$C$1324,C575,$D$1:$D$1324,D575,$B$1:$B$1324,"&lt;="&amp;B575)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Iniciales'!$B:$B,D576)+SUMIFS($K$1:$K$1324,$C$1:$C$1324,C576,$D$1:$D$1324,D576,$B$1:$B$1324,"&lt;="&amp;B576)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Iniciales'!$B:$B,D577)+SUMIFS($K$1:$K$1324,$C$1:$C$1324,C577,$D$1:$D$1324,D577,$B$1:$B$1324,"&lt;="&amp;B577)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ref="K578:K641" si="9">IF(F578="Ingreso",J578,-J578)</f>
        <v>-2000</v>
      </c>
      <c r="L578" s="15" t="s">
        <v>129</v>
      </c>
      <c r="M578" s="44">
        <f>SUMIFS('Saldos Iniciales'!$D:$D,'Saldos Iniciales'!$A:$A,C578,'Saldos Iniciales'!$B:$B,D578)+SUMIFS($K$1:$K$1324,$C$1:$C$1324,C578,$D$1:$D$1324,D578,$B$1:$B$1324,"&lt;="&amp;B578)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 t="shared" si="9"/>
        <v>3.46</v>
      </c>
      <c r="L579" s="15" t="s">
        <v>129</v>
      </c>
      <c r="M579" s="44">
        <f>SUMIFS('Saldos Iniciales'!$D:$D,'Saldos Iniciales'!$A:$A,C579,'Saldos Iniciales'!$B:$B,D579)+SUMIFS($K$1:$K$1324,$C$1:$C$1324,C579,$D$1:$D$1324,D579,$B$1:$B$1324,"&lt;="&amp;B579)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Iniciales'!$B:$B,D580)+SUMIFS($K$1:$K$1324,$C$1:$C$1324,C580,$D$1:$D$1324,D580,$B$1:$B$1324,"&lt;="&amp;B580)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Iniciales'!$B:$B,D581)+SUMIFS($K$1:$K$1324,$C$1:$C$1324,C581,$D$1:$D$1324,D581,$B$1:$B$1324,"&lt;="&amp;B581)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Iniciales'!$B:$B,D582)+SUMIFS($K$1:$K$1324,$C$1:$C$1324,C582,$D$1:$D$1324,D582,$B$1:$B$1324,"&lt;="&amp;B582)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Iniciales'!$B:$B,D583)+SUMIFS($K$1:$K$1324,$C$1:$C$1324,C583,$D$1:$D$1324,D583,$B$1:$B$1324,"&lt;="&amp;B583)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Iniciales'!$B:$B,D584)+SUMIFS($K$1:$K$1324,$C$1:$C$1324,C584,$D$1:$D$1324,D584,$B$1:$B$1324,"&lt;="&amp;B584)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Iniciales'!$B:$B,D585)+SUMIFS($K$1:$K$1324,$C$1:$C$1324,C585,$D$1:$D$1324,D585,$B$1:$B$1324,"&lt;="&amp;B585)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Iniciales'!$B:$B,D586)+SUMIFS($K$1:$K$1324,$C$1:$C$1324,C586,$D$1:$D$1324,D586,$B$1:$B$1324,"&lt;="&amp;B586)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Iniciales'!$B:$B,D587)+SUMIFS($K$1:$K$1324,$C$1:$C$1324,C587,$D$1:$D$1324,D587,$B$1:$B$1324,"&lt;="&amp;B587)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Iniciales'!$B:$B,D588)+SUMIFS($K$1:$K$1324,$C$1:$C$1324,C588,$D$1:$D$1324,D588,$B$1:$B$1324,"&lt;="&amp;B588)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Iniciales'!$B:$B,D589)+SUMIFS($K$1:$K$1324,$C$1:$C$1324,C589,$D$1:$D$1324,D589,$B$1:$B$1324,"&lt;="&amp;B589)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Iniciales'!$B:$B,D590)+SUMIFS($K$1:$K$1324,$C$1:$C$1324,C590,$D$1:$D$1324,D590,$B$1:$B$1324,"&lt;="&amp;B590)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Iniciales'!$B:$B,D591)+SUMIFS($K$1:$K$1324,$C$1:$C$1324,C591,$D$1:$D$1324,D591,$B$1:$B$1324,"&lt;="&amp;B591)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Iniciales'!$B:$B,D592)+SUMIFS($K$1:$K$1324,$C$1:$C$1324,C592,$D$1:$D$1324,D592,$B$1:$B$1324,"&lt;="&amp;B592)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Iniciales'!$B:$B,D593)+SUMIFS($K$1:$K$1324,$C$1:$C$1324,C593,$D$1:$D$1324,D593,$B$1:$B$1324,"&lt;="&amp;B593)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Iniciales'!$B:$B,D594)+SUMIFS($K$1:$K$1324,$C$1:$C$1324,C594,$D$1:$D$1324,D594,$B$1:$B$1324,"&lt;="&amp;B594)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Iniciales'!$B:$B,D595)+SUMIFS($K$1:$K$1324,$C$1:$C$1324,C595,$D$1:$D$1324,D595,$B$1:$B$1324,"&lt;="&amp;B595)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Iniciales'!$B:$B,D596)+SUMIFS($K$1:$K$1324,$C$1:$C$1324,C596,$D$1:$D$1324,D596,$B$1:$B$1324,"&lt;="&amp;B596)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Iniciales'!$B:$B,D597)+SUMIFS($K$1:$K$1324,$C$1:$C$1324,C597,$D$1:$D$1324,D597,$B$1:$B$1324,"&lt;="&amp;B597)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Iniciales'!$B:$B,D598)+SUMIFS($K$1:$K$1324,$C$1:$C$1324,C598,$D$1:$D$1324,D598,$B$1:$B$1324,"&lt;="&amp;B598)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Iniciales'!$B:$B,D599)+SUMIFS($K$1:$K$1324,$C$1:$C$1324,C599,$D$1:$D$1324,D599,$B$1:$B$1324,"&lt;="&amp;B599)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Iniciales'!$B:$B,D600)+SUMIFS($K$1:$K$1324,$C$1:$C$1324,C600,$D$1:$D$1324,D600,$B$1:$B$1324,"&lt;="&amp;B600)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Iniciales'!$B:$B,D601)+SUMIFS($K$1:$K$1324,$C$1:$C$1324,C601,$D$1:$D$1324,D601,$B$1:$B$1324,"&lt;="&amp;B601)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Iniciales'!$B:$B,D602)+SUMIFS($K$1:$K$1324,$C$1:$C$1324,C602,$D$1:$D$1324,D602,$B$1:$B$1324,"&lt;="&amp;B602)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Iniciales'!$B:$B,D603)+SUMIFS($K$1:$K$1324,$C$1:$C$1324,C603,$D$1:$D$1324,D603,$B$1:$B$1324,"&lt;="&amp;B603)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Iniciales'!$B:$B,D604)+SUMIFS($K$1:$K$1324,$C$1:$C$1324,C604,$D$1:$D$1324,D604,$B$1:$B$1324,"&lt;="&amp;B604)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Iniciales'!$B:$B,D605)+SUMIFS($K$1:$K$1324,$C$1:$C$1324,C605,$D$1:$D$1324,D605,$B$1:$B$1324,"&lt;="&amp;B605)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Iniciales'!$B:$B,D606)+SUMIFS($K$1:$K$1324,$C$1:$C$1324,C606,$D$1:$D$1324,D606,$B$1:$B$1324,"&lt;="&amp;B606)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Iniciales'!$B:$B,D607)+SUMIFS($K$1:$K$1324,$C$1:$C$1324,C607,$D$1:$D$1324,D607,$B$1:$B$1324,"&lt;="&amp;B607)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Iniciales'!$B:$B,D608)+SUMIFS($K$1:$K$1324,$C$1:$C$1324,C608,$D$1:$D$1324,D608,$B$1:$B$1324,"&lt;="&amp;B608)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Iniciales'!$B:$B,D609)+SUMIFS($K$1:$K$1324,$C$1:$C$1324,C609,$D$1:$D$1324,D609,$B$1:$B$1324,"&lt;="&amp;B609)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Iniciales'!$B:$B,D610)+SUMIFS($K$1:$K$1324,$C$1:$C$1324,C610,$D$1:$D$1324,D610,$B$1:$B$1324,"&lt;="&amp;B610)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Iniciales'!$B:$B,D611)+SUMIFS($K$1:$K$1324,$C$1:$C$1324,C611,$D$1:$D$1324,D611,$B$1:$B$1324,"&lt;="&amp;B611)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Iniciales'!$B:$B,D612)+SUMIFS($K$1:$K$1324,$C$1:$C$1324,C612,$D$1:$D$1324,D612,$B$1:$B$1324,"&lt;="&amp;B612)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Iniciales'!$B:$B,D613)+SUMIFS($K$1:$K$1324,$C$1:$C$1324,C613,$D$1:$D$1324,D613,$B$1:$B$1324,"&lt;="&amp;B613)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Iniciales'!$B:$B,D614)+SUMIFS($K$1:$K$1324,$C$1:$C$1324,C614,$D$1:$D$1324,D614,$B$1:$B$1324,"&lt;="&amp;B614)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Iniciales'!$B:$B,D615)+SUMIFS($K$1:$K$1324,$C$1:$C$1324,C615,$D$1:$D$1324,D615,$B$1:$B$1324,"&lt;="&amp;B615)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Iniciales'!$B:$B,D616)+SUMIFS($K$1:$K$1324,$C$1:$C$1324,C616,$D$1:$D$1324,D616,$B$1:$B$1324,"&lt;="&amp;B616)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Iniciales'!$B:$B,D617)+SUMIFS($K$1:$K$1324,$C$1:$C$1324,C617,$D$1:$D$1324,D617,$B$1:$B$1324,"&lt;="&amp;B617)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Iniciales'!$B:$B,D618)+SUMIFS($K$1:$K$1324,$C$1:$C$1324,C618,$D$1:$D$1324,D618,$B$1:$B$1324,"&lt;="&amp;B618)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Iniciales'!$B:$B,D619)+SUMIFS($K$1:$K$1324,$C$1:$C$1324,C619,$D$1:$D$1324,D619,$B$1:$B$1324,"&lt;="&amp;B619)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Iniciales'!$B:$B,D620)+SUMIFS($K$1:$K$1324,$C$1:$C$1324,C620,$D$1:$D$1324,D620,$B$1:$B$1324,"&lt;="&amp;B620)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Iniciales'!$B:$B,D621)+SUMIFS($K$1:$K$1324,$C$1:$C$1324,C621,$D$1:$D$1324,D621,$B$1:$B$1324,"&lt;="&amp;B621)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Iniciales'!$B:$B,D622)+SUMIFS($K$1:$K$1324,$C$1:$C$1324,C622,$D$1:$D$1324,D622,$B$1:$B$1324,"&lt;="&amp;B622)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Iniciales'!$B:$B,D623)+SUMIFS($K$1:$K$1324,$C$1:$C$1324,C623,$D$1:$D$1324,D623,$B$1:$B$1324,"&lt;="&amp;B623)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Iniciales'!$B:$B,D624)+SUMIFS($K$1:$K$1324,$C$1:$C$1324,C624,$D$1:$D$1324,D624,$B$1:$B$1324,"&lt;="&amp;B624)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Iniciales'!$B:$B,D625)+SUMIFS($K$1:$K$1324,$C$1:$C$1324,C625,$D$1:$D$1324,D625,$B$1:$B$1324,"&lt;="&amp;B625)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Iniciales'!$B:$B,D626)+SUMIFS($K$1:$K$1324,$C$1:$C$1324,C626,$D$1:$D$1324,D626,$B$1:$B$1324,"&lt;="&amp;B626)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Iniciales'!$B:$B,D627)+SUMIFS($K$1:$K$1324,$C$1:$C$1324,C627,$D$1:$D$1324,D627,$B$1:$B$1324,"&lt;="&amp;B627)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Iniciales'!$B:$B,D628)+SUMIFS($K$1:$K$1324,$C$1:$C$1324,C628,$D$1:$D$1324,D628,$B$1:$B$1324,"&lt;="&amp;B628)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Iniciales'!$B:$B,D629)+SUMIFS($K$1:$K$1324,$C$1:$C$1324,C629,$D$1:$D$1324,D629,$B$1:$B$1324,"&lt;="&amp;B629)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Iniciales'!$B:$B,D630)+SUMIFS($K$1:$K$1324,$C$1:$C$1324,C630,$D$1:$D$1324,D630,$B$1:$B$1324,"&lt;="&amp;B630)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Iniciales'!$B:$B,D631)+SUMIFS($K$1:$K$1324,$C$1:$C$1324,C631,$D$1:$D$1324,D631,$B$1:$B$1324,"&lt;="&amp;B631)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Iniciales'!$B:$B,D632)+SUMIFS($K$1:$K$1324,$C$1:$C$1324,C632,$D$1:$D$1324,D632,$B$1:$B$1324,"&lt;="&amp;B632)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Iniciales'!$B:$B,D633)+SUMIFS($K$1:$K$1324,$C$1:$C$1324,C633,$D$1:$D$1324,D633,$B$1:$B$1324,"&lt;="&amp;B633)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Iniciales'!$B:$B,D634)+SUMIFS($K$1:$K$1324,$C$1:$C$1324,C634,$D$1:$D$1324,D634,$B$1:$B$1324,"&lt;="&amp;B634)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Iniciales'!$B:$B,D635)+SUMIFS($K$1:$K$1324,$C$1:$C$1324,C635,$D$1:$D$1324,D635,$B$1:$B$1324,"&lt;="&amp;B635)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Iniciales'!$B:$B,D636)+SUMIFS($K$1:$K$1324,$C$1:$C$1324,C636,$D$1:$D$1324,D636,$B$1:$B$1324,"&lt;="&amp;B636)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Iniciales'!$B:$B,D637)+SUMIFS($K$1:$K$1324,$C$1:$C$1324,C637,$D$1:$D$1324,D637,$B$1:$B$1324,"&lt;="&amp;B637)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Iniciales'!$B:$B,D638)+SUMIFS($K$1:$K$1324,$C$1:$C$1324,C638,$D$1:$D$1324,D638,$B$1:$B$1324,"&lt;="&amp;B638)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Iniciales'!$B:$B,D639)+SUMIFS($K$1:$K$1324,$C$1:$C$1324,C639,$D$1:$D$1324,D639,$B$1:$B$1324,"&lt;="&amp;B639)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Iniciales'!$B:$B,D640)+SUMIFS($K$1:$K$1324,$C$1:$C$1324,C640,$D$1:$D$1324,D640,$B$1:$B$1324,"&lt;="&amp;B640)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Iniciales'!$B:$B,D641)+SUMIFS($K$1:$K$1324,$C$1:$C$1324,C641,$D$1:$D$1324,D641,$B$1:$B$1324,"&lt;="&amp;B641)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ref="K642:K705" si="10">IF(F642="Ingreso",J642,-J642)</f>
        <v>-526.75</v>
      </c>
      <c r="L642" s="15" t="s">
        <v>129</v>
      </c>
      <c r="M642" s="44">
        <f>SUMIFS('Saldos Iniciales'!$D:$D,'Saldos Iniciales'!$A:$A,C642,'Saldos Iniciales'!$B:$B,D642)+SUMIFS($K$1:$K$1324,$C$1:$C$1324,C642,$D$1:$D$1324,D642,$B$1:$B$1324,"&lt;="&amp;B642)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si="10"/>
        <v>-193.19</v>
      </c>
      <c r="L643" s="15" t="s">
        <v>129</v>
      </c>
      <c r="M643" s="44">
        <f>SUMIFS('Saldos Iniciales'!$D:$D,'Saldos Iniciales'!$A:$A,C643,'Saldos Iniciales'!$B:$B,D643)+SUMIFS($K$1:$K$1324,$C$1:$C$1324,C643,$D$1:$D$1324,D643,$B$1:$B$1324,"&lt;="&amp;B643)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Iniciales'!$B:$B,D644)+SUMIFS($K$1:$K$1324,$C$1:$C$1324,C644,$D$1:$D$1324,D644,$B$1:$B$1324,"&lt;="&amp;B644)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Iniciales'!$B:$B,D645)+SUMIFS($K$1:$K$1324,$C$1:$C$1324,C645,$D$1:$D$1324,D645,$B$1:$B$1324,"&lt;="&amp;B645)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Iniciales'!$B:$B,D646)+SUMIFS($K$1:$K$1324,$C$1:$C$1324,C646,$D$1:$D$1324,D646,$B$1:$B$1324,"&lt;="&amp;B646)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Iniciales'!$B:$B,D647)+SUMIFS($K$1:$K$1324,$C$1:$C$1324,C647,$D$1:$D$1324,D647,$B$1:$B$1324,"&lt;="&amp;B647)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Iniciales'!$B:$B,D648)+SUMIFS($K$1:$K$1324,$C$1:$C$1324,C648,$D$1:$D$1324,D648,$B$1:$B$1324,"&lt;="&amp;B648)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Iniciales'!$B:$B,D649)+SUMIFS($K$1:$K$1324,$C$1:$C$1324,C649,$D$1:$D$1324,D649,$B$1:$B$1324,"&lt;="&amp;B649)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Iniciales'!$B:$B,D650)+SUMIFS($K$1:$K$1324,$C$1:$C$1324,C650,$D$1:$D$1324,D650,$B$1:$B$1324,"&lt;="&amp;B650)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Iniciales'!$B:$B,D651)+SUMIFS($K$1:$K$1324,$C$1:$C$1324,C651,$D$1:$D$1324,D651,$B$1:$B$1324,"&lt;="&amp;B651)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Iniciales'!$B:$B,D652)+SUMIFS($K$1:$K$1324,$C$1:$C$1324,C652,$D$1:$D$1324,D652,$B$1:$B$1324,"&lt;="&amp;B652)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Iniciales'!$B:$B,D653)+SUMIFS($K$1:$K$1324,$C$1:$C$1324,C653,$D$1:$D$1324,D653,$B$1:$B$1324,"&lt;="&amp;B653)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Iniciales'!$B:$B,D654)+SUMIFS($K$1:$K$1324,$C$1:$C$1324,C654,$D$1:$D$1324,D654,$B$1:$B$1324,"&lt;="&amp;B654)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Iniciales'!$B:$B,D655)+SUMIFS($K$1:$K$1324,$C$1:$C$1324,C655,$D$1:$D$1324,D655,$B$1:$B$1324,"&lt;="&amp;B655)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Iniciales'!$B:$B,D656)+SUMIFS($K$1:$K$1324,$C$1:$C$1324,C656,$D$1:$D$1324,D656,$B$1:$B$1324,"&lt;="&amp;B656)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Iniciales'!$B:$B,D657)+SUMIFS($K$1:$K$1324,$C$1:$C$1324,C657,$D$1:$D$1324,D657,$B$1:$B$1324,"&lt;="&amp;B657)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Iniciales'!$B:$B,D658)+SUMIFS($K$1:$K$1324,$C$1:$C$1324,C658,$D$1:$D$1324,D658,$B$1:$B$1324,"&lt;="&amp;B658)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Iniciales'!$B:$B,D659)+SUMIFS($K$1:$K$1324,$C$1:$C$1324,C659,$D$1:$D$1324,D659,$B$1:$B$1324,"&lt;="&amp;B659)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Iniciales'!$B:$B,D660)+SUMIFS($K$1:$K$1324,$C$1:$C$1324,C660,$D$1:$D$1324,D660,$B$1:$B$1324,"&lt;="&amp;B660)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Iniciales'!$B:$B,D661)+SUMIFS($K$1:$K$1324,$C$1:$C$1324,C661,$D$1:$D$1324,D661,$B$1:$B$1324,"&lt;="&amp;B661)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Iniciales'!$B:$B,D662)+SUMIFS($K$1:$K$1324,$C$1:$C$1324,C662,$D$1:$D$1324,D662,$B$1:$B$1324,"&lt;="&amp;B662)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Iniciales'!$B:$B,D663)+SUMIFS($K$1:$K$1324,$C$1:$C$1324,C663,$D$1:$D$1324,D663,$B$1:$B$1324,"&lt;="&amp;B663)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Iniciales'!$B:$B,D664)+SUMIFS($K$1:$K$1324,$C$1:$C$1324,C664,$D$1:$D$1324,D664,$B$1:$B$1324,"&lt;="&amp;B664)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Iniciales'!$B:$B,D665)+SUMIFS($K$1:$K$1324,$C$1:$C$1324,C665,$D$1:$D$1324,D665,$B$1:$B$1324,"&lt;="&amp;B665)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Iniciales'!$B:$B,D666)+SUMIFS($K$1:$K$1324,$C$1:$C$1324,C666,$D$1:$D$1324,D666,$B$1:$B$1324,"&lt;="&amp;B666)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Iniciales'!$B:$B,D667)+SUMIFS($K$1:$K$1324,$C$1:$C$1324,C667,$D$1:$D$1324,D667,$B$1:$B$1324,"&lt;="&amp;B667)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Iniciales'!$B:$B,D668)+SUMIFS($K$1:$K$1324,$C$1:$C$1324,C668,$D$1:$D$1324,D668,$B$1:$B$1324,"&lt;="&amp;B668)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Iniciales'!$B:$B,D669)+SUMIFS($K$1:$K$1324,$C$1:$C$1324,C669,$D$1:$D$1324,D669,$B$1:$B$1324,"&lt;="&amp;B669)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Iniciales'!$B:$B,D670)+SUMIFS($K$1:$K$1324,$C$1:$C$1324,C670,$D$1:$D$1324,D670,$B$1:$B$1324,"&lt;="&amp;B670)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Iniciales'!$B:$B,D671)+SUMIFS($K$1:$K$1324,$C$1:$C$1324,C671,$D$1:$D$1324,D671,$B$1:$B$1324,"&lt;="&amp;B671)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Iniciales'!$B:$B,D672)+SUMIFS($K$1:$K$1324,$C$1:$C$1324,C672,$D$1:$D$1324,D672,$B$1:$B$1324,"&lt;="&amp;B672)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Iniciales'!$B:$B,D673)+SUMIFS($K$1:$K$1324,$C$1:$C$1324,C673,$D$1:$D$1324,D673,$B$1:$B$1324,"&lt;="&amp;B673)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Iniciales'!$B:$B,D674)+SUMIFS($K$1:$K$1324,$C$1:$C$1324,C674,$D$1:$D$1324,D674,$B$1:$B$1324,"&lt;="&amp;B674)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Iniciales'!$B:$B,D675)+SUMIFS($K$1:$K$1324,$C$1:$C$1324,C675,$D$1:$D$1324,D675,$B$1:$B$1324,"&lt;="&amp;B675)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Iniciales'!$B:$B,D676)+SUMIFS($K$1:$K$1324,$C$1:$C$1324,C676,$D$1:$D$1324,D676,$B$1:$B$1324,"&lt;="&amp;B676)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Iniciales'!$B:$B,D677)+SUMIFS($K$1:$K$1324,$C$1:$C$1324,C677,$D$1:$D$1324,D677,$B$1:$B$1324,"&lt;="&amp;B677)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Iniciales'!$B:$B,D678)+SUMIFS($K$1:$K$1324,$C$1:$C$1324,C678,$D$1:$D$1324,D678,$B$1:$B$1324,"&lt;="&amp;B678)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Iniciales'!$B:$B,D679)+SUMIFS($K$1:$K$1324,$C$1:$C$1324,C679,$D$1:$D$1324,D679,$B$1:$B$1324,"&lt;="&amp;B679)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Iniciales'!$B:$B,D680)+SUMIFS($K$1:$K$1324,$C$1:$C$1324,C680,$D$1:$D$1324,D680,$B$1:$B$1324,"&lt;="&amp;B680)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Iniciales'!$B:$B,D681)+SUMIFS($K$1:$K$1324,$C$1:$C$1324,C681,$D$1:$D$1324,D681,$B$1:$B$1324,"&lt;="&amp;B681)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Iniciales'!$B:$B,D682)+SUMIFS($K$1:$K$1324,$C$1:$C$1324,C682,$D$1:$D$1324,D682,$B$1:$B$1324,"&lt;="&amp;B682)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Iniciales'!$B:$B,D683)+SUMIFS($K$1:$K$1324,$C$1:$C$1324,C683,$D$1:$D$1324,D683,$B$1:$B$1324,"&lt;="&amp;B683)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Iniciales'!$B:$B,D684)+SUMIFS($K$1:$K$1324,$C$1:$C$1324,C684,$D$1:$D$1324,D684,$B$1:$B$1324,"&lt;="&amp;B684)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Iniciales'!$B:$B,D685)+SUMIFS($K$1:$K$1324,$C$1:$C$1324,C685,$D$1:$D$1324,D685,$B$1:$B$1324,"&lt;="&amp;B685)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Iniciales'!$B:$B,D686)+SUMIFS($K$1:$K$1324,$C$1:$C$1324,C686,$D$1:$D$1324,D686,$B$1:$B$1324,"&lt;="&amp;B686)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Iniciales'!$B:$B,D687)+SUMIFS($K$1:$K$1324,$C$1:$C$1324,C687,$D$1:$D$1324,D687,$B$1:$B$1324,"&lt;="&amp;B687)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Iniciales'!$B:$B,D688)+SUMIFS($K$1:$K$1324,$C$1:$C$1324,C688,$D$1:$D$1324,D688,$B$1:$B$1324,"&lt;="&amp;B688)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Iniciales'!$B:$B,D689)+SUMIFS($K$1:$K$1324,$C$1:$C$1324,C689,$D$1:$D$1324,D689,$B$1:$B$1324,"&lt;="&amp;B689)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Iniciales'!$B:$B,D690)+SUMIFS($K$1:$K$1324,$C$1:$C$1324,C690,$D$1:$D$1324,D690,$B$1:$B$1324,"&lt;="&amp;B690)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Iniciales'!$B:$B,D691)+SUMIFS($K$1:$K$1324,$C$1:$C$1324,C691,$D$1:$D$1324,D691,$B$1:$B$1324,"&lt;="&amp;B691)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Iniciales'!$B:$B,D692)+SUMIFS($K$1:$K$1324,$C$1:$C$1324,C692,$D$1:$D$1324,D692,$B$1:$B$1324,"&lt;="&amp;B692)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Iniciales'!$B:$B,D693)+SUMIFS($K$1:$K$1324,$C$1:$C$1324,C693,$D$1:$D$1324,D693,$B$1:$B$1324,"&lt;="&amp;B693)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Iniciales'!$B:$B,D694)+SUMIFS($K$1:$K$1324,$C$1:$C$1324,C694,$D$1:$D$1324,D694,$B$1:$B$1324,"&lt;="&amp;B694)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Iniciales'!$B:$B,D695)+SUMIFS($K$1:$K$1324,$C$1:$C$1324,C695,$D$1:$D$1324,D695,$B$1:$B$1324,"&lt;="&amp;B695)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Iniciales'!$B:$B,D696)+SUMIFS($K$1:$K$1324,$C$1:$C$1324,C696,$D$1:$D$1324,D696,$B$1:$B$1324,"&lt;="&amp;B696)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Iniciales'!$B:$B,D697)+SUMIFS($K$1:$K$1324,$C$1:$C$1324,C697,$D$1:$D$1324,D697,$B$1:$B$1324,"&lt;="&amp;B697)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Iniciales'!$B:$B,D698)+SUMIFS($K$1:$K$1324,$C$1:$C$1324,C698,$D$1:$D$1324,D698,$B$1:$B$1324,"&lt;="&amp;B698)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Iniciales'!$B:$B,D699)+SUMIFS($K$1:$K$1324,$C$1:$C$1324,C699,$D$1:$D$1324,D699,$B$1:$B$1324,"&lt;="&amp;B699)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Iniciales'!$B:$B,D700)+SUMIFS($K$1:$K$1324,$C$1:$C$1324,C700,$D$1:$D$1324,D700,$B$1:$B$1324,"&lt;="&amp;B700)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Iniciales'!$B:$B,D701)+SUMIFS($K$1:$K$1324,$C$1:$C$1324,C701,$D$1:$D$1324,D701,$B$1:$B$1324,"&lt;="&amp;B701)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Iniciales'!$B:$B,D702)+SUMIFS($K$1:$K$1324,$C$1:$C$1324,C702,$D$1:$D$1324,D702,$B$1:$B$1324,"&lt;="&amp;B702)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Iniciales'!$B:$B,D703)+SUMIFS($K$1:$K$1324,$C$1:$C$1324,C703,$D$1:$D$1324,D703,$B$1:$B$1324,"&lt;="&amp;B703)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Iniciales'!$B:$B,D704)+SUMIFS($K$1:$K$1324,$C$1:$C$1324,C704,$D$1:$D$1324,D704,$B$1:$B$1324,"&lt;="&amp;B704)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Iniciales'!$B:$B,D705)+SUMIFS($K$1:$K$1324,$C$1:$C$1324,C705,$D$1:$D$1324,D705,$B$1:$B$1324,"&lt;="&amp;B705)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ref="K706:K769" si="11">IF(F706="Ingreso",J706,-J706)</f>
        <v>20000</v>
      </c>
      <c r="L706" s="15" t="s">
        <v>132</v>
      </c>
      <c r="M706" s="44">
        <f>SUMIFS('Saldos Iniciales'!$D:$D,'Saldos Iniciales'!$A:$A,C706,'Saldos Iniciales'!$B:$B,D706)+SUMIFS($K$1:$K$1324,$C$1:$C$1324,C706,$D$1:$D$1324,D706,$B$1:$B$1324,"&lt;="&amp;B706)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si="11"/>
        <v>9280.15</v>
      </c>
      <c r="L707" s="15" t="s">
        <v>132</v>
      </c>
      <c r="M707" s="44">
        <f>SUMIFS('Saldos Iniciales'!$D:$D,'Saldos Iniciales'!$A:$A,C707,'Saldos Iniciales'!$B:$B,D707)+SUMIFS($K$1:$K$1324,$C$1:$C$1324,C707,$D$1:$D$1324,D707,$B$1:$B$1324,"&lt;="&amp;B707)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Iniciales'!$B:$B,D708)+SUMIFS($K$1:$K$1324,$C$1:$C$1324,C708,$D$1:$D$1324,D708,$B$1:$B$1324,"&lt;="&amp;B708)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Iniciales'!$B:$B,D709)+SUMIFS($K$1:$K$1324,$C$1:$C$1324,C709,$D$1:$D$1324,D709,$B$1:$B$1324,"&lt;="&amp;B709)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Iniciales'!$B:$B,D710)+SUMIFS($K$1:$K$1324,$C$1:$C$1324,C710,$D$1:$D$1324,D710,$B$1:$B$1324,"&lt;="&amp;B710)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Iniciales'!$B:$B,D711)+SUMIFS($K$1:$K$1324,$C$1:$C$1324,C711,$D$1:$D$1324,D711,$B$1:$B$1324,"&lt;="&amp;B711)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Iniciales'!$B:$B,D712)+SUMIFS($K$1:$K$1324,$C$1:$C$1324,C712,$D$1:$D$1324,D712,$B$1:$B$1324,"&lt;="&amp;B712)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Iniciales'!$B:$B,D713)+SUMIFS($K$1:$K$1324,$C$1:$C$1324,C713,$D$1:$D$1324,D713,$B$1:$B$1324,"&lt;="&amp;B713)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Iniciales'!$B:$B,D714)+SUMIFS($K$1:$K$1324,$C$1:$C$1324,C714,$D$1:$D$1324,D714,$B$1:$B$1324,"&lt;="&amp;B714)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Iniciales'!$B:$B,D715)+SUMIFS($K$1:$K$1324,$C$1:$C$1324,C715,$D$1:$D$1324,D715,$B$1:$B$1324,"&lt;="&amp;B715)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Iniciales'!$B:$B,D716)+SUMIFS($K$1:$K$1324,$C$1:$C$1324,C716,$D$1:$D$1324,D716,$B$1:$B$1324,"&lt;="&amp;B716)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Iniciales'!$B:$B,D717)+SUMIFS($K$1:$K$1324,$C$1:$C$1324,C717,$D$1:$D$1324,D717,$B$1:$B$1324,"&lt;="&amp;B717)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Iniciales'!$B:$B,D718)+SUMIFS($K$1:$K$1324,$C$1:$C$1324,C718,$D$1:$D$1324,D718,$B$1:$B$1324,"&lt;="&amp;B718)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Iniciales'!$B:$B,D719)+SUMIFS($K$1:$K$1324,$C$1:$C$1324,C719,$D$1:$D$1324,D719,$B$1:$B$1324,"&lt;="&amp;B719)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Iniciales'!$B:$B,D720)+SUMIFS($K$1:$K$1324,$C$1:$C$1324,C720,$D$1:$D$1324,D720,$B$1:$B$1324,"&lt;="&amp;B720)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Iniciales'!$B:$B,D721)+SUMIFS($K$1:$K$1324,$C$1:$C$1324,C721,$D$1:$D$1324,D721,$B$1:$B$1324,"&lt;="&amp;B721)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Iniciales'!$B:$B,D722)+SUMIFS($K$1:$K$1324,$C$1:$C$1324,C722,$D$1:$D$1324,D722,$B$1:$B$1324,"&lt;="&amp;B722)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Iniciales'!$B:$B,D723)+SUMIFS($K$1:$K$1324,$C$1:$C$1324,C723,$D$1:$D$1324,D723,$B$1:$B$1324,"&lt;="&amp;B723)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Iniciales'!$B:$B,D724)+SUMIFS($K$1:$K$1324,$C$1:$C$1324,C724,$D$1:$D$1324,D724,$B$1:$B$1324,"&lt;="&amp;B724)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Iniciales'!$B:$B,D725)+SUMIFS($K$1:$K$1324,$C$1:$C$1324,C725,$D$1:$D$1324,D725,$B$1:$B$1324,"&lt;="&amp;B725)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Iniciales'!$B:$B,D726)+SUMIFS($K$1:$K$1324,$C$1:$C$1324,C726,$D$1:$D$1324,D726,$B$1:$B$1324,"&lt;="&amp;B726)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Iniciales'!$B:$B,D727)+SUMIFS($K$1:$K$1324,$C$1:$C$1324,C727,$D$1:$D$1324,D727,$B$1:$B$1324,"&lt;="&amp;B727)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Iniciales'!$B:$B,D728)+SUMIFS($K$1:$K$1324,$C$1:$C$1324,C728,$D$1:$D$1324,D728,$B$1:$B$1324,"&lt;="&amp;B728)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Iniciales'!$B:$B,D729)+SUMIFS($K$1:$K$1324,$C$1:$C$1324,C729,$D$1:$D$1324,D729,$B$1:$B$1324,"&lt;="&amp;B729)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Iniciales'!$B:$B,D730)+SUMIFS($K$1:$K$1324,$C$1:$C$1324,C730,$D$1:$D$1324,D730,$B$1:$B$1324,"&lt;="&amp;B730)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Iniciales'!$B:$B,D731)+SUMIFS($K$1:$K$1324,$C$1:$C$1324,C731,$D$1:$D$1324,D731,$B$1:$B$1324,"&lt;="&amp;B731)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Iniciales'!$B:$B,D732)+SUMIFS($K$1:$K$1324,$C$1:$C$1324,C732,$D$1:$D$1324,D732,$B$1:$B$1324,"&lt;="&amp;B732)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Iniciales'!$B:$B,D733)+SUMIFS($K$1:$K$1324,$C$1:$C$1324,C733,$D$1:$D$1324,D733,$B$1:$B$1324,"&lt;="&amp;B733)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Iniciales'!$B:$B,D734)+SUMIFS($K$1:$K$1324,$C$1:$C$1324,C734,$D$1:$D$1324,D734,$B$1:$B$1324,"&lt;="&amp;B734)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Iniciales'!$B:$B,D735)+SUMIFS($K$1:$K$1324,$C$1:$C$1324,C735,$D$1:$D$1324,D735,$B$1:$B$1324,"&lt;="&amp;B735)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Iniciales'!$B:$B,D736)+SUMIFS($K$1:$K$1324,$C$1:$C$1324,C736,$D$1:$D$1324,D736,$B$1:$B$1324,"&lt;="&amp;B736)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Iniciales'!$B:$B,D737)+SUMIFS($K$1:$K$1324,$C$1:$C$1324,C737,$D$1:$D$1324,D737,$B$1:$B$1324,"&lt;="&amp;B737)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Iniciales'!$B:$B,D738)+SUMIFS($K$1:$K$1324,$C$1:$C$1324,C738,$D$1:$D$1324,D738,$B$1:$B$1324,"&lt;="&amp;B738)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Iniciales'!$B:$B,D739)+SUMIFS($K$1:$K$1324,$C$1:$C$1324,C739,$D$1:$D$1324,D739,$B$1:$B$1324,"&lt;="&amp;B739)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Iniciales'!$B:$B,D740)+SUMIFS($K$1:$K$1324,$C$1:$C$1324,C740,$D$1:$D$1324,D740,$B$1:$B$1324,"&lt;="&amp;B740)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Iniciales'!$B:$B,D741)+SUMIFS($K$1:$K$1324,$C$1:$C$1324,C741,$D$1:$D$1324,D741,$B$1:$B$1324,"&lt;="&amp;B741)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Iniciales'!$B:$B,D742)+SUMIFS($K$1:$K$1324,$C$1:$C$1324,C742,$D$1:$D$1324,D742,$B$1:$B$1324,"&lt;="&amp;B742)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Iniciales'!$B:$B,D743)+SUMIFS($K$1:$K$1324,$C$1:$C$1324,C743,$D$1:$D$1324,D743,$B$1:$B$1324,"&lt;="&amp;B743)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Iniciales'!$B:$B,D744)+SUMIFS($K$1:$K$1324,$C$1:$C$1324,C744,$D$1:$D$1324,D744,$B$1:$B$1324,"&lt;="&amp;B744)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Iniciales'!$B:$B,D745)+SUMIFS($K$1:$K$1324,$C$1:$C$1324,C745,$D$1:$D$1324,D745,$B$1:$B$1324,"&lt;="&amp;B745)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Iniciales'!$B:$B,D746)+SUMIFS($K$1:$K$1324,$C$1:$C$1324,C746,$D$1:$D$1324,D746,$B$1:$B$1324,"&lt;="&amp;B746)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Iniciales'!$B:$B,D747)+SUMIFS($K$1:$K$1324,$C$1:$C$1324,C747,$D$1:$D$1324,D747,$B$1:$B$1324,"&lt;="&amp;B747)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Iniciales'!$B:$B,D748)+SUMIFS($K$1:$K$1324,$C$1:$C$1324,C748,$D$1:$D$1324,D748,$B$1:$B$1324,"&lt;="&amp;B748)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Iniciales'!$B:$B,D749)+SUMIFS($K$1:$K$1324,$C$1:$C$1324,C749,$D$1:$D$1324,D749,$B$1:$B$1324,"&lt;="&amp;B749)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Iniciales'!$B:$B,D750)+SUMIFS($K$1:$K$1324,$C$1:$C$1324,C750,$D$1:$D$1324,D750,$B$1:$B$1324,"&lt;="&amp;B750)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Iniciales'!$B:$B,D751)+SUMIFS($K$1:$K$1324,$C$1:$C$1324,C751,$D$1:$D$1324,D751,$B$1:$B$1324,"&lt;="&amp;B751)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Iniciales'!$B:$B,D752)+SUMIFS($K$1:$K$1324,$C$1:$C$1324,C752,$D$1:$D$1324,D752,$B$1:$B$1324,"&lt;="&amp;B752)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Iniciales'!$B:$B,D753)+SUMIFS($K$1:$K$1324,$C$1:$C$1324,C753,$D$1:$D$1324,D753,$B$1:$B$1324,"&lt;="&amp;B753)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Iniciales'!$B:$B,D754)+SUMIFS($K$1:$K$1324,$C$1:$C$1324,C754,$D$1:$D$1324,D754,$B$1:$B$1324,"&lt;="&amp;B754)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Iniciales'!$B:$B,D755)+SUMIFS($K$1:$K$1324,$C$1:$C$1324,C755,$D$1:$D$1324,D755,$B$1:$B$1324,"&lt;="&amp;B755)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Iniciales'!$B:$B,D756)+SUMIFS($K$1:$K$1324,$C$1:$C$1324,C756,$D$1:$D$1324,D756,$B$1:$B$1324,"&lt;="&amp;B756)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Iniciales'!$B:$B,D757)+SUMIFS($K$1:$K$1324,$C$1:$C$1324,C757,$D$1:$D$1324,D757,$B$1:$B$1324,"&lt;="&amp;B757)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Iniciales'!$B:$B,D758)+SUMIFS($K$1:$K$1324,$C$1:$C$1324,C758,$D$1:$D$1324,D758,$B$1:$B$1324,"&lt;="&amp;B758)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Iniciales'!$B:$B,D759)+SUMIFS($K$1:$K$1324,$C$1:$C$1324,C759,$D$1:$D$1324,D759,$B$1:$B$1324,"&lt;="&amp;B759)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Iniciales'!$B:$B,D760)+SUMIFS($K$1:$K$1324,$C$1:$C$1324,C760,$D$1:$D$1324,D760,$B$1:$B$1324,"&lt;="&amp;B760)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Iniciales'!$B:$B,D761)+SUMIFS($K$1:$K$1324,$C$1:$C$1324,C761,$D$1:$D$1324,D761,$B$1:$B$1324,"&lt;="&amp;B761)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Iniciales'!$B:$B,D762)+SUMIFS($K$1:$K$1324,$C$1:$C$1324,C762,$D$1:$D$1324,D762,$B$1:$B$1324,"&lt;="&amp;B762)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Iniciales'!$B:$B,D763)+SUMIFS($K$1:$K$1324,$C$1:$C$1324,C763,$D$1:$D$1324,D763,$B$1:$B$1324,"&lt;="&amp;B763)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Iniciales'!$B:$B,D764)+SUMIFS($K$1:$K$1324,$C$1:$C$1324,C764,$D$1:$D$1324,D764,$B$1:$B$1324,"&lt;="&amp;B764)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Iniciales'!$B:$B,D765)+SUMIFS($K$1:$K$1324,$C$1:$C$1324,C765,$D$1:$D$1324,D765,$B$1:$B$1324,"&lt;="&amp;B765)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Iniciales'!$B:$B,D766)+SUMIFS($K$1:$K$1324,$C$1:$C$1324,C766,$D$1:$D$1324,D766,$B$1:$B$1324,"&lt;="&amp;B766)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Iniciales'!$B:$B,D767)+SUMIFS($K$1:$K$1324,$C$1:$C$1324,C767,$D$1:$D$1324,D767,$B$1:$B$1324,"&lt;="&amp;B767)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Iniciales'!$B:$B,D768)+SUMIFS($K$1:$K$1324,$C$1:$C$1324,C768,$D$1:$D$1324,D768,$B$1:$B$1324,"&lt;="&amp;B768)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Iniciales'!$B:$B,D769)+SUMIFS($K$1:$K$1324,$C$1:$C$1324,C769,$D$1:$D$1324,D769,$B$1:$B$1324,"&lt;="&amp;B769)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ref="K770:K833" si="12"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Iniciales'!$B:$B,D770)+SUMIFS($K$1:$K$1324,$C$1:$C$1324,C770,$D$1:$D$1324,D770,$B$1:$B$1324,"&lt;="&amp;B770)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si="12"/>
        <v>300000</v>
      </c>
      <c r="L771" s="15" t="s">
        <v>132</v>
      </c>
      <c r="M771" s="44">
        <f>SUMIFS('Saldos Iniciales'!$D:$D,'Saldos Iniciales'!$A:$A,C771,'Saldos Iniciales'!$B:$B,D771)+SUMIFS($K$1:$K$1324,$C$1:$C$1324,C771,$D$1:$D$1324,D771,$B$1:$B$1324,"&lt;="&amp;B771)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Iniciales'!$B:$B,D772)+SUMIFS($K$1:$K$1324,$C$1:$C$1324,C772,$D$1:$D$1324,D772,$B$1:$B$1324,"&lt;="&amp;B772)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Iniciales'!$B:$B,D773)+SUMIFS($K$1:$K$1324,$C$1:$C$1324,C773,$D$1:$D$1324,D773,$B$1:$B$1324,"&lt;="&amp;B773)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Iniciales'!$B:$B,D774)+SUMIFS($K$1:$K$1324,$C$1:$C$1324,C774,$D$1:$D$1324,D774,$B$1:$B$1324,"&lt;="&amp;B774)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Iniciales'!$B:$B,D775)+SUMIFS($K$1:$K$1324,$C$1:$C$1324,C775,$D$1:$D$1324,D775,$B$1:$B$1324,"&lt;="&amp;B775)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Iniciales'!$B:$B,D776)+SUMIFS($K$1:$K$1324,$C$1:$C$1324,C776,$D$1:$D$1324,D776,$B$1:$B$1324,"&lt;="&amp;B776)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Iniciales'!$B:$B,D777)+SUMIFS($K$1:$K$1324,$C$1:$C$1324,C777,$D$1:$D$1324,D777,$B$1:$B$1324,"&lt;="&amp;B777)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Iniciales'!$B:$B,D778)+SUMIFS($K$1:$K$1324,$C$1:$C$1324,C778,$D$1:$D$1324,D778,$B$1:$B$1324,"&lt;="&amp;B778)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Iniciales'!$B:$B,D779)+SUMIFS($K$1:$K$1324,$C$1:$C$1324,C779,$D$1:$D$1324,D779,$B$1:$B$1324,"&lt;="&amp;B779)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Iniciales'!$B:$B,D780)+SUMIFS($K$1:$K$1324,$C$1:$C$1324,C780,$D$1:$D$1324,D780,$B$1:$B$1324,"&lt;="&amp;B780)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Iniciales'!$B:$B,D781)+SUMIFS($K$1:$K$1324,$C$1:$C$1324,C781,$D$1:$D$1324,D781,$B$1:$B$1324,"&lt;="&amp;B781)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Iniciales'!$B:$B,D782)+SUMIFS($K$1:$K$1324,$C$1:$C$1324,C782,$D$1:$D$1324,D782,$B$1:$B$1324,"&lt;="&amp;B782)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Iniciales'!$B:$B,D783)+SUMIFS($K$1:$K$1324,$C$1:$C$1324,C783,$D$1:$D$1324,D783,$B$1:$B$1324,"&lt;="&amp;B783)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Iniciales'!$B:$B,D784)+SUMIFS($K$1:$K$1324,$C$1:$C$1324,C784,$D$1:$D$1324,D784,$B$1:$B$1324,"&lt;="&amp;B784)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Iniciales'!$B:$B,D785)+SUMIFS($K$1:$K$1324,$C$1:$C$1324,C785,$D$1:$D$1324,D785,$B$1:$B$1324,"&lt;="&amp;B785)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Iniciales'!$B:$B,D786)+SUMIFS($K$1:$K$1324,$C$1:$C$1324,C786,$D$1:$D$1324,D786,$B$1:$B$1324,"&lt;="&amp;B786)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Iniciales'!$B:$B,D787)+SUMIFS($K$1:$K$1324,$C$1:$C$1324,C787,$D$1:$D$1324,D787,$B$1:$B$1324,"&lt;="&amp;B787)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Iniciales'!$B:$B,D788)+SUMIFS($K$1:$K$1324,$C$1:$C$1324,C788,$D$1:$D$1324,D788,$B$1:$B$1324,"&lt;="&amp;B788)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Iniciales'!$B:$B,D789)+SUMIFS($K$1:$K$1324,$C$1:$C$1324,C789,$D$1:$D$1324,D789,$B$1:$B$1324,"&lt;="&amp;B789)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Iniciales'!$B:$B,D790)+SUMIFS($K$1:$K$1324,$C$1:$C$1324,C790,$D$1:$D$1324,D790,$B$1:$B$1324,"&lt;="&amp;B790)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Iniciales'!$B:$B,D791)+SUMIFS($K$1:$K$1324,$C$1:$C$1324,C791,$D$1:$D$1324,D791,$B$1:$B$1324,"&lt;="&amp;B791)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Iniciales'!$B:$B,D792)+SUMIFS($K$1:$K$1324,$C$1:$C$1324,C792,$D$1:$D$1324,D792,$B$1:$B$1324,"&lt;="&amp;B792)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Iniciales'!$B:$B,D793)+SUMIFS($K$1:$K$1324,$C$1:$C$1324,C793,$D$1:$D$1324,D793,$B$1:$B$1324,"&lt;="&amp;B793)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Iniciales'!$B:$B,D794)+SUMIFS($K$1:$K$1324,$C$1:$C$1324,C794,$D$1:$D$1324,D794,$B$1:$B$1324,"&lt;="&amp;B794)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Iniciales'!$B:$B,D795)+SUMIFS($K$1:$K$1324,$C$1:$C$1324,C795,$D$1:$D$1324,D795,$B$1:$B$1324,"&lt;="&amp;B795)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Iniciales'!$B:$B,D796)+SUMIFS($K$1:$K$1324,$C$1:$C$1324,C796,$D$1:$D$1324,D796,$B$1:$B$1324,"&lt;="&amp;B796)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Iniciales'!$B:$B,D797)+SUMIFS($K$1:$K$1324,$C$1:$C$1324,C797,$D$1:$D$1324,D797,$B$1:$B$1324,"&lt;="&amp;B797)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Iniciales'!$B:$B,D798)+SUMIFS($K$1:$K$1324,$C$1:$C$1324,C798,$D$1:$D$1324,D798,$B$1:$B$1324,"&lt;="&amp;B798)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Iniciales'!$B:$B,D799)+SUMIFS($K$1:$K$1324,$C$1:$C$1324,C799,$D$1:$D$1324,D799,$B$1:$B$1324,"&lt;="&amp;B799)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Iniciales'!$B:$B,D800)+SUMIFS($K$1:$K$1324,$C$1:$C$1324,C800,$D$1:$D$1324,D800,$B$1:$B$1324,"&lt;="&amp;B800)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Iniciales'!$B:$B,D801)+SUMIFS($K$1:$K$1324,$C$1:$C$1324,C801,$D$1:$D$1324,D801,$B$1:$B$1324,"&lt;="&amp;B801)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Iniciales'!$B:$B,D802)+SUMIFS($K$1:$K$1324,$C$1:$C$1324,C802,$D$1:$D$1324,D802,$B$1:$B$1324,"&lt;="&amp;B802)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Iniciales'!$B:$B,D803)+SUMIFS($K$1:$K$1324,$C$1:$C$1324,C803,$D$1:$D$1324,D803,$B$1:$B$1324,"&lt;="&amp;B803)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Iniciales'!$B:$B,D804)+SUMIFS($K$1:$K$1324,$C$1:$C$1324,C804,$D$1:$D$1324,D804,$B$1:$B$1324,"&lt;="&amp;B804)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Iniciales'!$B:$B,D805)+SUMIFS($K$1:$K$1324,$C$1:$C$1324,C805,$D$1:$D$1324,D805,$B$1:$B$1324,"&lt;="&amp;B805)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Iniciales'!$B:$B,D806)+SUMIFS($K$1:$K$1324,$C$1:$C$1324,C806,$D$1:$D$1324,D806,$B$1:$B$1324,"&lt;="&amp;B806)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Iniciales'!$B:$B,D807)+SUMIFS($K$1:$K$1324,$C$1:$C$1324,C807,$D$1:$D$1324,D807,$B$1:$B$1324,"&lt;="&amp;B807)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Iniciales'!$B:$B,D808)+SUMIFS($K$1:$K$1324,$C$1:$C$1324,C808,$D$1:$D$1324,D808,$B$1:$B$1324,"&lt;="&amp;B808)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Iniciales'!$B:$B,D809)+SUMIFS($K$1:$K$1324,$C$1:$C$1324,C809,$D$1:$D$1324,D809,$B$1:$B$1324,"&lt;="&amp;B809)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Iniciales'!$B:$B,D810)+SUMIFS($K$1:$K$1324,$C$1:$C$1324,C810,$D$1:$D$1324,D810,$B$1:$B$1324,"&lt;="&amp;B810)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Iniciales'!$B:$B,D811)+SUMIFS($K$1:$K$1324,$C$1:$C$1324,C811,$D$1:$D$1324,D811,$B$1:$B$1324,"&lt;="&amp;B811)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Iniciales'!$B:$B,D812)+SUMIFS($K$1:$K$1324,$C$1:$C$1324,C812,$D$1:$D$1324,D812,$B$1:$B$1324,"&lt;="&amp;B812)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Iniciales'!$B:$B,D813)+SUMIFS($K$1:$K$1324,$C$1:$C$1324,C813,$D$1:$D$1324,D813,$B$1:$B$1324,"&lt;="&amp;B813)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Iniciales'!$B:$B,D814)+SUMIFS($K$1:$K$1324,$C$1:$C$1324,C814,$D$1:$D$1324,D814,$B$1:$B$1324,"&lt;="&amp;B814)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Iniciales'!$B:$B,D815)+SUMIFS($K$1:$K$1324,$C$1:$C$1324,C815,$D$1:$D$1324,D815,$B$1:$B$1324,"&lt;="&amp;B815)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Iniciales'!$B:$B,D816)+SUMIFS($K$1:$K$1324,$C$1:$C$1324,C816,$D$1:$D$1324,D816,$B$1:$B$1324,"&lt;="&amp;B816)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Iniciales'!$B:$B,D817)+SUMIFS($K$1:$K$1324,$C$1:$C$1324,C817,$D$1:$D$1324,D817,$B$1:$B$1324,"&lt;="&amp;B817)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Iniciales'!$B:$B,D818)+SUMIFS($K$1:$K$1324,$C$1:$C$1324,C818,$D$1:$D$1324,D818,$B$1:$B$1324,"&lt;="&amp;B818)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Iniciales'!$B:$B,D819)+SUMIFS($K$1:$K$1324,$C$1:$C$1324,C819,$D$1:$D$1324,D819,$B$1:$B$1324,"&lt;="&amp;B819)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Iniciales'!$B:$B,D820)+SUMIFS($K$1:$K$1324,$C$1:$C$1324,C820,$D$1:$D$1324,D820,$B$1:$B$1324,"&lt;="&amp;B820)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Iniciales'!$B:$B,D821)+SUMIFS($K$1:$K$1324,$C$1:$C$1324,C821,$D$1:$D$1324,D821,$B$1:$B$1324,"&lt;="&amp;B821)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Iniciales'!$B:$B,D822)+SUMIFS($K$1:$K$1324,$C$1:$C$1324,C822,$D$1:$D$1324,D822,$B$1:$B$1324,"&lt;="&amp;B822)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Iniciales'!$B:$B,D823)+SUMIFS($K$1:$K$1324,$C$1:$C$1324,C823,$D$1:$D$1324,D823,$B$1:$B$1324,"&lt;="&amp;B823)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Iniciales'!$B:$B,D824)+SUMIFS($K$1:$K$1324,$C$1:$C$1324,C824,$D$1:$D$1324,D824,$B$1:$B$1324,"&lt;="&amp;B824)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Iniciales'!$B:$B,D825)+SUMIFS($K$1:$K$1324,$C$1:$C$1324,C825,$D$1:$D$1324,D825,$B$1:$B$1324,"&lt;="&amp;B825)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Iniciales'!$B:$B,D826)+SUMIFS($K$1:$K$1324,$C$1:$C$1324,C826,$D$1:$D$1324,D826,$B$1:$B$1324,"&lt;="&amp;B826)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Iniciales'!$B:$B,D827)+SUMIFS($K$1:$K$1324,$C$1:$C$1324,C827,$D$1:$D$1324,D827,$B$1:$B$1324,"&lt;="&amp;B827)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Iniciales'!$B:$B,D828)+SUMIFS($K$1:$K$1324,$C$1:$C$1324,C828,$D$1:$D$1324,D828,$B$1:$B$1324,"&lt;="&amp;B828)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Iniciales'!$B:$B,D829)+SUMIFS($K$1:$K$1324,$C$1:$C$1324,C829,$D$1:$D$1324,D829,$B$1:$B$1324,"&lt;="&amp;B829)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Iniciales'!$B:$B,D830)+SUMIFS($K$1:$K$1324,$C$1:$C$1324,C830,$D$1:$D$1324,D830,$B$1:$B$1324,"&lt;="&amp;B830)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Iniciales'!$B:$B,D831)+SUMIFS($K$1:$K$1324,$C$1:$C$1324,C831,$D$1:$D$1324,D831,$B$1:$B$1324,"&lt;="&amp;B831)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Iniciales'!$B:$B,D832)+SUMIFS($K$1:$K$1324,$C$1:$C$1324,C832,$D$1:$D$1324,D832,$B$1:$B$1324,"&lt;="&amp;B832)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Iniciales'!$B:$B,D833)+SUMIFS($K$1:$K$1324,$C$1:$C$1324,C833,$D$1:$D$1324,D833,$B$1:$B$1324,"&lt;="&amp;B833)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ref="K834:K897" si="13">IF(F834="Ingreso",J834,-J834)</f>
        <v>-200000</v>
      </c>
      <c r="L834" s="15" t="s">
        <v>132</v>
      </c>
      <c r="M834" s="44">
        <f>SUMIFS('Saldos Iniciales'!$D:$D,'Saldos Iniciales'!$A:$A,C834,'Saldos Iniciales'!$B:$B,D834)+SUMIFS($K$1:$K$1324,$C$1:$C$1324,C834,$D$1:$D$1324,D834,$B$1:$B$1324,"&lt;="&amp;B834)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si="13"/>
        <v>17345.61</v>
      </c>
      <c r="L835" s="15" t="s">
        <v>132</v>
      </c>
      <c r="M835" s="44">
        <f>SUMIFS('Saldos Iniciales'!$D:$D,'Saldos Iniciales'!$A:$A,C835,'Saldos Iniciales'!$B:$B,D835)+SUMIFS($K$1:$K$1324,$C$1:$C$1324,C835,$D$1:$D$1324,D835,$B$1:$B$1324,"&lt;="&amp;B835)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Iniciales'!$B:$B,D836)+SUMIFS($K$1:$K$1324,$C$1:$C$1324,C836,$D$1:$D$1324,D836,$B$1:$B$1324,"&lt;="&amp;B836)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Iniciales'!$B:$B,D837)+SUMIFS($K$1:$K$1324,$C$1:$C$1324,C837,$D$1:$D$1324,D837,$B$1:$B$1324,"&lt;="&amp;B837)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Iniciales'!$B:$B,D838)+SUMIFS($K$1:$K$1324,$C$1:$C$1324,C838,$D$1:$D$1324,D838,$B$1:$B$1324,"&lt;="&amp;B838)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Iniciales'!$B:$B,D839)+SUMIFS($K$1:$K$1324,$C$1:$C$1324,C839,$D$1:$D$1324,D839,$B$1:$B$1324,"&lt;="&amp;B839)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Iniciales'!$B:$B,D840)+SUMIFS($K$1:$K$1324,$C$1:$C$1324,C840,$D$1:$D$1324,D840,$B$1:$B$1324,"&lt;="&amp;B840)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Iniciales'!$B:$B,D841)+SUMIFS($K$1:$K$1324,$C$1:$C$1324,C841,$D$1:$D$1324,D841,$B$1:$B$1324,"&lt;="&amp;B841)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Iniciales'!$B:$B,D842)+SUMIFS($K$1:$K$1324,$C$1:$C$1324,C842,$D$1:$D$1324,D842,$B$1:$B$1324,"&lt;="&amp;B842)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Iniciales'!$B:$B,D843)+SUMIFS($K$1:$K$1324,$C$1:$C$1324,C843,$D$1:$D$1324,D843,$B$1:$B$1324,"&lt;="&amp;B843)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Iniciales'!$B:$B,D844)+SUMIFS($K$1:$K$1324,$C$1:$C$1324,C844,$D$1:$D$1324,D844,$B$1:$B$1324,"&lt;="&amp;B844)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Iniciales'!$B:$B,D845)+SUMIFS($K$1:$K$1324,$C$1:$C$1324,C845,$D$1:$D$1324,D845,$B$1:$B$1324,"&lt;="&amp;B845)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Iniciales'!$B:$B,D846)+SUMIFS($K$1:$K$1324,$C$1:$C$1324,C846,$D$1:$D$1324,D846,$B$1:$B$1324,"&lt;="&amp;B846)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Iniciales'!$B:$B,D847)+SUMIFS($K$1:$K$1324,$C$1:$C$1324,C847,$D$1:$D$1324,D847,$B$1:$B$1324,"&lt;="&amp;B847)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Iniciales'!$B:$B,D848)+SUMIFS($K$1:$K$1324,$C$1:$C$1324,C848,$D$1:$D$1324,D848,$B$1:$B$1324,"&lt;="&amp;B848)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Iniciales'!$B:$B,D849)+SUMIFS($K$1:$K$1324,$C$1:$C$1324,C849,$D$1:$D$1324,D849,$B$1:$B$1324,"&lt;="&amp;B849)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Iniciales'!$B:$B,D850)+SUMIFS($K$1:$K$1324,$C$1:$C$1324,C850,$D$1:$D$1324,D850,$B$1:$B$1324,"&lt;="&amp;B850)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Iniciales'!$B:$B,D851)+SUMIFS($K$1:$K$1324,$C$1:$C$1324,C851,$D$1:$D$1324,D851,$B$1:$B$1324,"&lt;="&amp;B851)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Iniciales'!$B:$B,D852)+SUMIFS($K$1:$K$1324,$C$1:$C$1324,C852,$D$1:$D$1324,D852,$B$1:$B$1324,"&lt;="&amp;B852)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Iniciales'!$B:$B,D853)+SUMIFS($K$1:$K$1324,$C$1:$C$1324,C853,$D$1:$D$1324,D853,$B$1:$B$1324,"&lt;="&amp;B853)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Iniciales'!$B:$B,D854)+SUMIFS($K$1:$K$1324,$C$1:$C$1324,C854,$D$1:$D$1324,D854,$B$1:$B$1324,"&lt;="&amp;B854)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Iniciales'!$B:$B,D855)+SUMIFS($K$1:$K$1324,$C$1:$C$1324,C855,$D$1:$D$1324,D855,$B$1:$B$1324,"&lt;="&amp;B855)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Iniciales'!$B:$B,D856)+SUMIFS($K$1:$K$1324,$C$1:$C$1324,C856,$D$1:$D$1324,D856,$B$1:$B$1324,"&lt;="&amp;B856)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Iniciales'!$B:$B,D857)+SUMIFS($K$1:$K$1324,$C$1:$C$1324,C857,$D$1:$D$1324,D857,$B$1:$B$1324,"&lt;="&amp;B857)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Iniciales'!$B:$B,D858)+SUMIFS($K$1:$K$1324,$C$1:$C$1324,C858,$D$1:$D$1324,D858,$B$1:$B$1324,"&lt;="&amp;B858)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Iniciales'!$B:$B,D859)+SUMIFS($K$1:$K$1324,$C$1:$C$1324,C859,$D$1:$D$1324,D859,$B$1:$B$1324,"&lt;="&amp;B859)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Iniciales'!$B:$B,D860)+SUMIFS($K$1:$K$1324,$C$1:$C$1324,C860,$D$1:$D$1324,D860,$B$1:$B$1324,"&lt;="&amp;B860)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Iniciales'!$B:$B,D861)+SUMIFS($K$1:$K$1324,$C$1:$C$1324,C861,$D$1:$D$1324,D861,$B$1:$B$1324,"&lt;="&amp;B861)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Iniciales'!$B:$B,D862)+SUMIFS($K$1:$K$1324,$C$1:$C$1324,C862,$D$1:$D$1324,D862,$B$1:$B$1324,"&lt;="&amp;B862)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Iniciales'!$B:$B,D863)+SUMIFS($K$1:$K$1324,$C$1:$C$1324,C863,$D$1:$D$1324,D863,$B$1:$B$1324,"&lt;="&amp;B863)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Iniciales'!$B:$B,D864)+SUMIFS($K$1:$K$1324,$C$1:$C$1324,C864,$D$1:$D$1324,D864,$B$1:$B$1324,"&lt;="&amp;B864)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Iniciales'!$B:$B,D865)+SUMIFS($K$1:$K$1324,$C$1:$C$1324,C865,$D$1:$D$1324,D865,$B$1:$B$1324,"&lt;="&amp;B865)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Iniciales'!$B:$B,D866)+SUMIFS($K$1:$K$1324,$C$1:$C$1324,C866,$D$1:$D$1324,D866,$B$1:$B$1324,"&lt;="&amp;B866)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Iniciales'!$B:$B,D867)+SUMIFS($K$1:$K$1324,$C$1:$C$1324,C867,$D$1:$D$1324,D867,$B$1:$B$1324,"&lt;="&amp;B867)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Iniciales'!$B:$B,D868)+SUMIFS($K$1:$K$1324,$C$1:$C$1324,C868,$D$1:$D$1324,D868,$B$1:$B$1324,"&lt;="&amp;B868)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Iniciales'!$B:$B,D869)+SUMIFS($K$1:$K$1324,$C$1:$C$1324,C869,$D$1:$D$1324,D869,$B$1:$B$1324,"&lt;="&amp;B869)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Iniciales'!$B:$B,D870)+SUMIFS($K$1:$K$1324,$C$1:$C$1324,C870,$D$1:$D$1324,D870,$B$1:$B$1324,"&lt;="&amp;B870)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Iniciales'!$B:$B,D871)+SUMIFS($K$1:$K$1324,$C$1:$C$1324,C871,$D$1:$D$1324,D871,$B$1:$B$1324,"&lt;="&amp;B871)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Iniciales'!$B:$B,D872)+SUMIFS($K$1:$K$1324,$C$1:$C$1324,C872,$D$1:$D$1324,D872,$B$1:$B$1324,"&lt;="&amp;B872)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Iniciales'!$B:$B,D873)+SUMIFS($K$1:$K$1324,$C$1:$C$1324,C873,$D$1:$D$1324,D873,$B$1:$B$1324,"&lt;="&amp;B873)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Iniciales'!$B:$B,D874)+SUMIFS($K$1:$K$1324,$C$1:$C$1324,C874,$D$1:$D$1324,D874,$B$1:$B$1324,"&lt;="&amp;B874)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Iniciales'!$B:$B,D875)+SUMIFS($K$1:$K$1324,$C$1:$C$1324,C875,$D$1:$D$1324,D875,$B$1:$B$1324,"&lt;="&amp;B875)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Iniciales'!$B:$B,D876)+SUMIFS($K$1:$K$1324,$C$1:$C$1324,C876,$D$1:$D$1324,D876,$B$1:$B$1324,"&lt;="&amp;B876)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Iniciales'!$B:$B,D877)+SUMIFS($K$1:$K$1324,$C$1:$C$1324,C877,$D$1:$D$1324,D877,$B$1:$B$1324,"&lt;="&amp;B877)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Iniciales'!$B:$B,D878)+SUMIFS($K$1:$K$1324,$C$1:$C$1324,C878,$D$1:$D$1324,D878,$B$1:$B$1324,"&lt;="&amp;B878)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Iniciales'!$B:$B,D879)+SUMIFS($K$1:$K$1324,$C$1:$C$1324,C879,$D$1:$D$1324,D879,$B$1:$B$1324,"&lt;="&amp;B879)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Iniciales'!$B:$B,D880)+SUMIFS($K$1:$K$1324,$C$1:$C$1324,C880,$D$1:$D$1324,D880,$B$1:$B$1324,"&lt;="&amp;B880)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Iniciales'!$B:$B,D881)+SUMIFS($K$1:$K$1324,$C$1:$C$1324,C881,$D$1:$D$1324,D881,$B$1:$B$1324,"&lt;="&amp;B881)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Iniciales'!$B:$B,D882)+SUMIFS($K$1:$K$1324,$C$1:$C$1324,C882,$D$1:$D$1324,D882,$B$1:$B$1324,"&lt;="&amp;B882)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Iniciales'!$B:$B,D883)+SUMIFS($K$1:$K$1324,$C$1:$C$1324,C883,$D$1:$D$1324,D883,$B$1:$B$1324,"&lt;="&amp;B883)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Iniciales'!$B:$B,D884)+SUMIFS($K$1:$K$1324,$C$1:$C$1324,C884,$D$1:$D$1324,D884,$B$1:$B$1324,"&lt;="&amp;B884)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Iniciales'!$B:$B,D885)+SUMIFS($K$1:$K$1324,$C$1:$C$1324,C885,$D$1:$D$1324,D885,$B$1:$B$1324,"&lt;="&amp;B885)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Iniciales'!$B:$B,D886)+SUMIFS($K$1:$K$1324,$C$1:$C$1324,C886,$D$1:$D$1324,D886,$B$1:$B$1324,"&lt;="&amp;B886)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Iniciales'!$B:$B,D887)+SUMIFS($K$1:$K$1324,$C$1:$C$1324,C887,$D$1:$D$1324,D887,$B$1:$B$1324,"&lt;="&amp;B887)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Iniciales'!$B:$B,D888)+SUMIFS($K$1:$K$1324,$C$1:$C$1324,C888,$D$1:$D$1324,D888,$B$1:$B$1324,"&lt;="&amp;B888)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Iniciales'!$B:$B,D889)+SUMIFS($K$1:$K$1324,$C$1:$C$1324,C889,$D$1:$D$1324,D889,$B$1:$B$1324,"&lt;="&amp;B889)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Iniciales'!$B:$B,D890)+SUMIFS($K$1:$K$1324,$C$1:$C$1324,C890,$D$1:$D$1324,D890,$B$1:$B$1324,"&lt;="&amp;B890)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Iniciales'!$B:$B,D891)+SUMIFS($K$1:$K$1324,$C$1:$C$1324,C891,$D$1:$D$1324,D891,$B$1:$B$1324,"&lt;="&amp;B891)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Iniciales'!$B:$B,D892)+SUMIFS($K$1:$K$1324,$C$1:$C$1324,C892,$D$1:$D$1324,D892,$B$1:$B$1324,"&lt;="&amp;B892)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 t="shared" si="13"/>
        <v>-30792.86</v>
      </c>
      <c r="L893" s="74" t="s">
        <v>133</v>
      </c>
      <c r="M893" s="44">
        <f>SUMIFS('Saldos Iniciales'!$D:$D,'Saldos Iniciales'!$A:$A,C893,'Saldos Iniciales'!$B:$B,D893)+SUMIFS($K$1:$K$1324,$C$1:$C$1324,C893,$D$1:$D$1324,D893,$B$1:$B$1324,"&lt;="&amp;B893)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Iniciales'!$B:$B,D894)+SUMIFS($K$1:$K$1324,$C$1:$C$1324,C894,$D$1:$D$1324,D894,$B$1:$B$1324,"&lt;="&amp;B894)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Iniciales'!$B:$B,D895)+SUMIFS($K$1:$K$1324,$C$1:$C$1324,C895,$D$1:$D$1324,D895,$B$1:$B$1324,"&lt;="&amp;B895)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Iniciales'!$B:$B,D896)+SUMIFS($K$1:$K$1324,$C$1:$C$1324,C896,$D$1:$D$1324,D896,$B$1:$B$1324,"&lt;="&amp;B896)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Iniciales'!$B:$B,D897)+SUMIFS($K$1:$K$1324,$C$1:$C$1324,C897,$D$1:$D$1324,D897,$B$1:$B$1324,"&lt;="&amp;B897)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ref="K898:K961" si="14">IF(F898="Ingreso",J898,-J898)</f>
        <v>-16</v>
      </c>
      <c r="L898" s="15" t="s">
        <v>133</v>
      </c>
      <c r="M898" s="44">
        <f>SUMIFS('Saldos Iniciales'!$D:$D,'Saldos Iniciales'!$A:$A,C898,'Saldos Iniciales'!$B:$B,D898)+SUMIFS($K$1:$K$1324,$C$1:$C$1324,C898,$D$1:$D$1324,D898,$B$1:$B$1324,"&lt;="&amp;B898)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si="14"/>
        <v>1905</v>
      </c>
      <c r="L899" s="15" t="s">
        <v>133</v>
      </c>
      <c r="M899" s="44">
        <f>SUMIFS('Saldos Iniciales'!$D:$D,'Saldos Iniciales'!$A:$A,C899,'Saldos Iniciales'!$B:$B,D899)+SUMIFS($K$1:$K$1324,$C$1:$C$1324,C899,$D$1:$D$1324,D899,$B$1:$B$1324,"&lt;="&amp;B899)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Iniciales'!$B:$B,D900)+SUMIFS($K$1:$K$1324,$C$1:$C$1324,C900,$D$1:$D$1324,D900,$B$1:$B$1324,"&lt;="&amp;B900)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Iniciales'!$B:$B,D901)+SUMIFS($K$1:$K$1324,$C$1:$C$1324,C901,$D$1:$D$1324,D901,$B$1:$B$1324,"&lt;="&amp;B901)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Iniciales'!$B:$B,D902)+SUMIFS($K$1:$K$1324,$C$1:$C$1324,C902,$D$1:$D$1324,D902,$B$1:$B$1324,"&lt;="&amp;B902)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Iniciales'!$B:$B,D903)+SUMIFS($K$1:$K$1324,$C$1:$C$1324,C903,$D$1:$D$1324,D903,$B$1:$B$1324,"&lt;="&amp;B903)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0</v>
      </c>
      <c r="K904" s="5">
        <f t="shared" si="14"/>
        <v>0</v>
      </c>
      <c r="L904" s="15" t="s">
        <v>133</v>
      </c>
      <c r="M904" s="44">
        <f>SUMIFS('Saldos Iniciales'!$D:$D,'Saldos Iniciales'!$A:$A,C904,'Saldos Iniciales'!$B:$B,D904)+SUMIFS($K$1:$K$1324,$C$1:$C$1324,C904,$D$1:$D$1324,D904,$B$1:$B$1324,"&lt;="&amp;B904)</f>
        <v>31093.71</v>
      </c>
      <c r="N904" s="61">
        <f>IF(tblMovimientos[[#This Row],[Tipo de Movimiento]]="Ingreso",tblMovimientos[[#This Row],[Monto (S/)]],"0")</f>
        <v>0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0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Iniciales'!$B:$B,D905)+SUMIFS($K$1:$K$1324,$C$1:$C$1324,C905,$D$1:$D$1324,D905,$B$1:$B$1324,"&lt;="&amp;B905)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Iniciales'!$B:$B,D906)+SUMIFS($K$1:$K$1324,$C$1:$C$1324,C906,$D$1:$D$1324,D906,$B$1:$B$1324,"&lt;="&amp;B906)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Iniciales'!$B:$B,D907)+SUMIFS($K$1:$K$1324,$C$1:$C$1324,C907,$D$1:$D$1324,D907,$B$1:$B$1324,"&lt;="&amp;B907)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Iniciales'!$B:$B,D908)+SUMIFS($K$1:$K$1324,$C$1:$C$1324,C908,$D$1:$D$1324,D908,$B$1:$B$1324,"&lt;="&amp;B908)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Iniciales'!$B:$B,D909)+SUMIFS($K$1:$K$1324,$C$1:$C$1324,C909,$D$1:$D$1324,D909,$B$1:$B$1324,"&lt;="&amp;B909)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Iniciales'!$B:$B,D910)+SUMIFS($K$1:$K$1324,$C$1:$C$1324,C910,$D$1:$D$1324,D910,$B$1:$B$1324,"&lt;="&amp;B910)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Iniciales'!$B:$B,D911)+SUMIFS($K$1:$K$1324,$C$1:$C$1324,C911,$D$1:$D$1324,D911,$B$1:$B$1324,"&lt;="&amp;B911)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Iniciales'!$B:$B,D912)+SUMIFS($K$1:$K$1324,$C$1:$C$1324,C912,$D$1:$D$1324,D912,$B$1:$B$1324,"&lt;="&amp;B912)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Iniciales'!$B:$B,D913)+SUMIFS($K$1:$K$1324,$C$1:$C$1324,C913,$D$1:$D$1324,D913,$B$1:$B$1324,"&lt;="&amp;B913)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Iniciales'!$B:$B,D914)+SUMIFS($K$1:$K$1324,$C$1:$C$1324,C914,$D$1:$D$1324,D914,$B$1:$B$1324,"&lt;="&amp;B914)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Iniciales'!$B:$B,D915)+SUMIFS($K$1:$K$1324,$C$1:$C$1324,C915,$D$1:$D$1324,D915,$B$1:$B$1324,"&lt;="&amp;B915)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Iniciales'!$B:$B,D916)+SUMIFS($K$1:$K$1324,$C$1:$C$1324,C916,$D$1:$D$1324,D916,$B$1:$B$1324,"&lt;="&amp;B916)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Iniciales'!$B:$B,D917)+SUMIFS($K$1:$K$1324,$C$1:$C$1324,C917,$D$1:$D$1324,D917,$B$1:$B$1324,"&lt;="&amp;B917)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Iniciales'!$B:$B,D918)+SUMIFS($K$1:$K$1324,$C$1:$C$1324,C918,$D$1:$D$1324,D918,$B$1:$B$1324,"&lt;="&amp;B918)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Iniciales'!$B:$B,D919)+SUMIFS($K$1:$K$1324,$C$1:$C$1324,C919,$D$1:$D$1324,D919,$B$1:$B$1324,"&lt;="&amp;B919)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Iniciales'!$B:$B,D920)+SUMIFS($K$1:$K$1324,$C$1:$C$1324,C920,$D$1:$D$1324,D920,$B$1:$B$1324,"&lt;="&amp;B920)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Iniciales'!$B:$B,D921)+SUMIFS($K$1:$K$1324,$C$1:$C$1324,C921,$D$1:$D$1324,D921,$B$1:$B$1324,"&lt;="&amp;B921)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Iniciales'!$B:$B,D922)+SUMIFS($K$1:$K$1324,$C$1:$C$1324,C922,$D$1:$D$1324,D922,$B$1:$B$1324,"&lt;="&amp;B922)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Iniciales'!$B:$B,D923)+SUMIFS($K$1:$K$1324,$C$1:$C$1324,C923,$D$1:$D$1324,D923,$B$1:$B$1324,"&lt;="&amp;B923)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Iniciales'!$B:$B,D924)+SUMIFS($K$1:$K$1324,$C$1:$C$1324,C924,$D$1:$D$1324,D924,$B$1:$B$1324,"&lt;="&amp;B924)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Iniciales'!$B:$B,D925)+SUMIFS($K$1:$K$1324,$C$1:$C$1324,C925,$D$1:$D$1324,D925,$B$1:$B$1324,"&lt;="&amp;B925)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Iniciales'!$B:$B,D926)+SUMIFS($K$1:$K$1324,$C$1:$C$1324,C926,$D$1:$D$1324,D926,$B$1:$B$1324,"&lt;="&amp;B926)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Iniciales'!$B:$B,D927)+SUMIFS($K$1:$K$1324,$C$1:$C$1324,C927,$D$1:$D$1324,D927,$B$1:$B$1324,"&lt;="&amp;B927)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Iniciales'!$B:$B,D928)+SUMIFS($K$1:$K$1324,$C$1:$C$1324,C928,$D$1:$D$1324,D928,$B$1:$B$1324,"&lt;="&amp;B928)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Iniciales'!$B:$B,D929)+SUMIFS($K$1:$K$1324,$C$1:$C$1324,C929,$D$1:$D$1324,D929,$B$1:$B$1324,"&lt;="&amp;B929)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Iniciales'!$B:$B,D930)+SUMIFS($K$1:$K$1324,$C$1:$C$1324,C930,$D$1:$D$1324,D930,$B$1:$B$1324,"&lt;="&amp;B930)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Iniciales'!$B:$B,D931)+SUMIFS($K$1:$K$1324,$C$1:$C$1324,C931,$D$1:$D$1324,D931,$B$1:$B$1324,"&lt;="&amp;B931)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Iniciales'!$B:$B,D932)+SUMIFS($K$1:$K$1324,$C$1:$C$1324,C932,$D$1:$D$1324,D932,$B$1:$B$1324,"&lt;="&amp;B932)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Iniciales'!$B:$B,D933)+SUMIFS($K$1:$K$1324,$C$1:$C$1324,C933,$D$1:$D$1324,D933,$B$1:$B$1324,"&lt;="&amp;B933)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Iniciales'!$B:$B,D934)+SUMIFS($K$1:$K$1324,$C$1:$C$1324,C934,$D$1:$D$1324,D934,$B$1:$B$1324,"&lt;="&amp;B934)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Iniciales'!$B:$B,D935)+SUMIFS($K$1:$K$1324,$C$1:$C$1324,C935,$D$1:$D$1324,D935,$B$1:$B$1324,"&lt;="&amp;B935)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Iniciales'!$B:$B,D936)+SUMIFS($K$1:$K$1324,$C$1:$C$1324,C936,$D$1:$D$1324,D936,$B$1:$B$1324,"&lt;="&amp;B936)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 t="shared" si="14"/>
        <v>-1993.01</v>
      </c>
      <c r="L937" s="74" t="s">
        <v>133</v>
      </c>
      <c r="M937" s="44">
        <f>SUMIFS('Saldos Iniciales'!$D:$D,'Saldos Iniciales'!$A:$A,C937,'Saldos Iniciales'!$B:$B,D937)+SUMIFS($K$1:$K$1324,$C$1:$C$1324,C937,$D$1:$D$1324,D937,$B$1:$B$1324,"&lt;="&amp;B937)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Iniciales'!$B:$B,D938)+SUMIFS($K$1:$K$1324,$C$1:$C$1324,C938,$D$1:$D$1324,D938,$B$1:$B$1324,"&lt;="&amp;B938)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 t="shared" si="14"/>
        <v>-1698.63</v>
      </c>
      <c r="L939" s="74" t="s">
        <v>133</v>
      </c>
      <c r="M939" s="44">
        <f>SUMIFS('Saldos Iniciales'!$D:$D,'Saldos Iniciales'!$A:$A,C939,'Saldos Iniciales'!$B:$B,D939)+SUMIFS($K$1:$K$1324,$C$1:$C$1324,C939,$D$1:$D$1324,D939,$B$1:$B$1324,"&lt;="&amp;B939)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Iniciales'!$B:$B,D940)+SUMIFS($K$1:$K$1324,$C$1:$C$1324,C940,$D$1:$D$1324,D940,$B$1:$B$1324,"&lt;="&amp;B940)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Iniciales'!$B:$B,D941)+SUMIFS($K$1:$K$1324,$C$1:$C$1324,C941,$D$1:$D$1324,D941,$B$1:$B$1324,"&lt;="&amp;B941)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Iniciales'!$B:$B,D942)+SUMIFS($K$1:$K$1324,$C$1:$C$1324,C942,$D$1:$D$1324,D942,$B$1:$B$1324,"&lt;="&amp;B942)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Iniciales'!$B:$B,D943)+SUMIFS($K$1:$K$1324,$C$1:$C$1324,C943,$D$1:$D$1324,D943,$B$1:$B$1324,"&lt;="&amp;B943)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Iniciales'!$B:$B,D944)+SUMIFS($K$1:$K$1324,$C$1:$C$1324,C944,$D$1:$D$1324,D944,$B$1:$B$1324,"&lt;="&amp;B944)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Iniciales'!$B:$B,D945)+SUMIFS($K$1:$K$1324,$C$1:$C$1324,C945,$D$1:$D$1324,D945,$B$1:$B$1324,"&lt;="&amp;B945)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Iniciales'!$B:$B,D946)+SUMIFS($K$1:$K$1324,$C$1:$C$1324,C946,$D$1:$D$1324,D946,$B$1:$B$1324,"&lt;="&amp;B946)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Iniciales'!$B:$B,D947)+SUMIFS($K$1:$K$1324,$C$1:$C$1324,C947,$D$1:$D$1324,D947,$B$1:$B$1324,"&lt;="&amp;B947)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Iniciales'!$B:$B,D948)+SUMIFS($K$1:$K$1324,$C$1:$C$1324,C948,$D$1:$D$1324,D948,$B$1:$B$1324,"&lt;="&amp;B948)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Iniciales'!$B:$B,D949)+SUMIFS($K$1:$K$1324,$C$1:$C$1324,C949,$D$1:$D$1324,D949,$B$1:$B$1324,"&lt;="&amp;B949)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Iniciales'!$B:$B,D950)+SUMIFS($K$1:$K$1324,$C$1:$C$1324,C950,$D$1:$D$1324,D950,$B$1:$B$1324,"&lt;="&amp;B950)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Iniciales'!$B:$B,D951)+SUMIFS($K$1:$K$1324,$C$1:$C$1324,C951,$D$1:$D$1324,D951,$B$1:$B$1324,"&lt;="&amp;B951)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Iniciales'!$B:$B,D952)+SUMIFS($K$1:$K$1324,$C$1:$C$1324,C952,$D$1:$D$1324,D952,$B$1:$B$1324,"&lt;="&amp;B952)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Iniciales'!$B:$B,D953)+SUMIFS($K$1:$K$1324,$C$1:$C$1324,C953,$D$1:$D$1324,D953,$B$1:$B$1324,"&lt;="&amp;B953)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Iniciales'!$B:$B,D954)+SUMIFS($K$1:$K$1324,$C$1:$C$1324,C954,$D$1:$D$1324,D954,$B$1:$B$1324,"&lt;="&amp;B954)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Iniciales'!$B:$B,D955)+SUMIFS($K$1:$K$1324,$C$1:$C$1324,C955,$D$1:$D$1324,D955,$B$1:$B$1324,"&lt;="&amp;B955)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Iniciales'!$B:$B,D956)+SUMIFS($K$1:$K$1324,$C$1:$C$1324,C956,$D$1:$D$1324,D956,$B$1:$B$1324,"&lt;="&amp;B956)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Iniciales'!$B:$B,D957)+SUMIFS($K$1:$K$1324,$C$1:$C$1324,C957,$D$1:$D$1324,D957,$B$1:$B$1324,"&lt;="&amp;B957)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Iniciales'!$B:$B,D958)+SUMIFS($K$1:$K$1324,$C$1:$C$1324,C958,$D$1:$D$1324,D958,$B$1:$B$1324,"&lt;="&amp;B958)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Iniciales'!$B:$B,D959)+SUMIFS($K$1:$K$1324,$C$1:$C$1324,C959,$D$1:$D$1324,D959,$B$1:$B$1324,"&lt;="&amp;B959)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Iniciales'!$B:$B,D960)+SUMIFS($K$1:$K$1324,$C$1:$C$1324,C960,$D$1:$D$1324,D960,$B$1:$B$1324,"&lt;="&amp;B960)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Iniciales'!$B:$B,D961)+SUMIFS($K$1:$K$1324,$C$1:$C$1324,C961,$D$1:$D$1324,D961,$B$1:$B$1324,"&lt;="&amp;B961)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ref="K962:K1025" si="15">IF(F962="Ingreso",J962,-J962)</f>
        <v>-47.06</v>
      </c>
      <c r="L962" s="15" t="s">
        <v>133</v>
      </c>
      <c r="M962" s="44">
        <f>SUMIFS('Saldos Iniciales'!$D:$D,'Saldos Iniciales'!$A:$A,C962,'Saldos Iniciales'!$B:$B,D962)+SUMIFS($K$1:$K$1324,$C$1:$C$1324,C962,$D$1:$D$1324,D962,$B$1:$B$1324,"&lt;="&amp;B962)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 t="shared" si="15"/>
        <v>-1270.1300000000001</v>
      </c>
      <c r="L963" s="15" t="s">
        <v>133</v>
      </c>
      <c r="M963" s="44">
        <f>SUMIFS('Saldos Iniciales'!$D:$D,'Saldos Iniciales'!$A:$A,C963,'Saldos Iniciales'!$B:$B,D963)+SUMIFS($K$1:$K$1324,$C$1:$C$1324,C963,$D$1:$D$1324,D963,$B$1:$B$1324,"&lt;="&amp;B963)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Iniciales'!$B:$B,D964)+SUMIFS($K$1:$K$1324,$C$1:$C$1324,C964,$D$1:$D$1324,D964,$B$1:$B$1324,"&lt;="&amp;B964)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Iniciales'!$B:$B,D965)+SUMIFS($K$1:$K$1324,$C$1:$C$1324,C965,$D$1:$D$1324,D965,$B$1:$B$1324,"&lt;="&amp;B965)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Iniciales'!$B:$B,D966)+SUMIFS($K$1:$K$1324,$C$1:$C$1324,C966,$D$1:$D$1324,D966,$B$1:$B$1324,"&lt;="&amp;B966)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Iniciales'!$B:$B,D967)+SUMIFS($K$1:$K$1324,$C$1:$C$1324,C967,$D$1:$D$1324,D967,$B$1:$B$1324,"&lt;="&amp;B967)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Iniciales'!$B:$B,D968)+SUMIFS($K$1:$K$1324,$C$1:$C$1324,C968,$D$1:$D$1324,D968,$B$1:$B$1324,"&lt;="&amp;B968)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Iniciales'!$B:$B,D969)+SUMIFS($K$1:$K$1324,$C$1:$C$1324,C969,$D$1:$D$1324,D969,$B$1:$B$1324,"&lt;="&amp;B969)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Iniciales'!$B:$B,D970)+SUMIFS($K$1:$K$1324,$C$1:$C$1324,C970,$D$1:$D$1324,D970,$B$1:$B$1324,"&lt;="&amp;B970)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Iniciales'!$B:$B,D971)+SUMIFS($K$1:$K$1324,$C$1:$C$1324,C971,$D$1:$D$1324,D971,$B$1:$B$1324,"&lt;="&amp;B971)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Iniciales'!$B:$B,D972)+SUMIFS($K$1:$K$1324,$C$1:$C$1324,C972,$D$1:$D$1324,D972,$B$1:$B$1324,"&lt;="&amp;B972)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Iniciales'!$B:$B,D973)+SUMIFS($K$1:$K$1324,$C$1:$C$1324,C973,$D$1:$D$1324,D973,$B$1:$B$1324,"&lt;="&amp;B973)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Iniciales'!$B:$B,D974)+SUMIFS($K$1:$K$1324,$C$1:$C$1324,C974,$D$1:$D$1324,D974,$B$1:$B$1324,"&lt;="&amp;B974)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Iniciales'!$B:$B,D975)+SUMIFS($K$1:$K$1324,$C$1:$C$1324,C975,$D$1:$D$1324,D975,$B$1:$B$1324,"&lt;="&amp;B975)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Iniciales'!$B:$B,D976)+SUMIFS($K$1:$K$1324,$C$1:$C$1324,C976,$D$1:$D$1324,D976,$B$1:$B$1324,"&lt;="&amp;B976)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Iniciales'!$B:$B,D977)+SUMIFS($K$1:$K$1324,$C$1:$C$1324,C977,$D$1:$D$1324,D977,$B$1:$B$1324,"&lt;="&amp;B977)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Iniciales'!$B:$B,D978)+SUMIFS($K$1:$K$1324,$C$1:$C$1324,C978,$D$1:$D$1324,D978,$B$1:$B$1324,"&lt;="&amp;B978)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Iniciales'!$B:$B,D979)+SUMIFS($K$1:$K$1324,$C$1:$C$1324,C979,$D$1:$D$1324,D979,$B$1:$B$1324,"&lt;="&amp;B979)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Iniciales'!$B:$B,D980)+SUMIFS($K$1:$K$1324,$C$1:$C$1324,C980,$D$1:$D$1324,D980,$B$1:$B$1324,"&lt;="&amp;B980)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Iniciales'!$B:$B,D981)+SUMIFS($K$1:$K$1324,$C$1:$C$1324,C981,$D$1:$D$1324,D981,$B$1:$B$1324,"&lt;="&amp;B981)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Iniciales'!$B:$B,D982)+SUMIFS($K$1:$K$1324,$C$1:$C$1324,C982,$D$1:$D$1324,D982,$B$1:$B$1324,"&lt;="&amp;B982)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Iniciales'!$B:$B,D983)+SUMIFS($K$1:$K$1324,$C$1:$C$1324,C983,$D$1:$D$1324,D983,$B$1:$B$1324,"&lt;="&amp;B983)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Iniciales'!$B:$B,D984)+SUMIFS($K$1:$K$1324,$C$1:$C$1324,C984,$D$1:$D$1324,D984,$B$1:$B$1324,"&lt;="&amp;B984)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Iniciales'!$B:$B,D985)+SUMIFS($K$1:$K$1324,$C$1:$C$1324,C985,$D$1:$D$1324,D985,$B$1:$B$1324,"&lt;="&amp;B985)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Iniciales'!$B:$B,D986)+SUMIFS($K$1:$K$1324,$C$1:$C$1324,C986,$D$1:$D$1324,D986,$B$1:$B$1324,"&lt;="&amp;B986)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Iniciales'!$B:$B,D987)+SUMIFS($K$1:$K$1324,$C$1:$C$1324,C987,$D$1:$D$1324,D987,$B$1:$B$1324,"&lt;="&amp;B987)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Iniciales'!$B:$B,D988)+SUMIFS($K$1:$K$1324,$C$1:$C$1324,C988,$D$1:$D$1324,D988,$B$1:$B$1324,"&lt;="&amp;B988)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Iniciales'!$B:$B,D989)+SUMIFS($K$1:$K$1324,$C$1:$C$1324,C989,$D$1:$D$1324,D989,$B$1:$B$1324,"&lt;="&amp;B989)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Iniciales'!$B:$B,D990)+SUMIFS($K$1:$K$1324,$C$1:$C$1324,C990,$D$1:$D$1324,D990,$B$1:$B$1324,"&lt;="&amp;B990)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Iniciales'!$B:$B,D991)+SUMIFS($K$1:$K$1324,$C$1:$C$1324,C991,$D$1:$D$1324,D991,$B$1:$B$1324,"&lt;="&amp;B991)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Iniciales'!$B:$B,D992)+SUMIFS($K$1:$K$1324,$C$1:$C$1324,C992,$D$1:$D$1324,D992,$B$1:$B$1324,"&lt;="&amp;B992)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Iniciales'!$B:$B,D993)+SUMIFS($K$1:$K$1324,$C$1:$C$1324,C993,$D$1:$D$1324,D993,$B$1:$B$1324,"&lt;="&amp;B993)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Iniciales'!$B:$B,D994)+SUMIFS($K$1:$K$1324,$C$1:$C$1324,C994,$D$1:$D$1324,D994,$B$1:$B$1324,"&lt;="&amp;B994)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Iniciales'!$B:$B,D995)+SUMIFS($K$1:$K$1324,$C$1:$C$1324,C995,$D$1:$D$1324,D995,$B$1:$B$1324,"&lt;="&amp;B995)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Iniciales'!$B:$B,D996)+SUMIFS($K$1:$K$1324,$C$1:$C$1324,C996,$D$1:$D$1324,D996,$B$1:$B$1324,"&lt;="&amp;B996)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Iniciales'!$B:$B,D997)+SUMIFS($K$1:$K$1324,$C$1:$C$1324,C997,$D$1:$D$1324,D997,$B$1:$B$1324,"&lt;="&amp;B997)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Iniciales'!$B:$B,D998)+SUMIFS($K$1:$K$1324,$C$1:$C$1324,C998,$D$1:$D$1324,D998,$B$1:$B$1324,"&lt;="&amp;B998)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 t="shared" si="15"/>
        <v>50000</v>
      </c>
      <c r="L999" s="74" t="s">
        <v>133</v>
      </c>
      <c r="M999" s="44">
        <f>SUMIFS('Saldos Iniciales'!$D:$D,'Saldos Iniciales'!$A:$A,C999,'Saldos Iniciales'!$B:$B,D999)+SUMIFS($K$1:$K$1324,$C$1:$C$1324,C999,$D$1:$D$1324,D999,$B$1:$B$1324,"&lt;="&amp;B999)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Iniciales'!$B:$B,D1000)+SUMIFS($K$1:$K$1324,$C$1:$C$1324,C1000,$D$1:$D$1324,D1000,$B$1:$B$1324,"&lt;="&amp;B1000)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Iniciales'!$B:$B,D1001)+SUMIFS($K$1:$K$1324,$C$1:$C$1324,C1001,$D$1:$D$1324,D1001,$B$1:$B$1324,"&lt;="&amp;B1001)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x14ac:dyDescent="0.3">
      <c r="B1002" s="39">
        <v>46276</v>
      </c>
      <c r="C1002" s="4" t="str">
        <f>_xlfn.XLOOKUP(tblMovimientos[[#This Row],[Cuenta Bancaria]],Listas!$B:$B,Listas!$A:$A,"")</f>
        <v>A&amp;M Imports</v>
      </c>
      <c r="D1002" s="41" t="s">
        <v>100</v>
      </c>
      <c r="E1002" s="68" t="str">
        <f>_xlfn.XLOOKUP(tblMovimientos[[#This Row],[Cuenta Bancaria]],Listas!$B:$B,Listas!$C:$C,"")</f>
        <v>Bank of America</v>
      </c>
      <c r="F1002" s="41" t="s">
        <v>10</v>
      </c>
      <c r="G1002" s="41" t="s">
        <v>45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45</v>
      </c>
      <c r="K1002" s="5">
        <f t="shared" si="15"/>
        <v>-45</v>
      </c>
      <c r="L1002" s="15" t="s">
        <v>133</v>
      </c>
      <c r="M1002" s="44">
        <f>SUMIFS('Saldos Iniciales'!$D:$D,'Saldos Iniciales'!$A:$A,C1002,'Saldos Iniciales'!$B:$B,D1002)+SUMIFS($K$1:$K$1324,$C$1:$C$1324,C1002,$D$1:$D$1324,D1002,$B$1:$B$1324,"&lt;="&amp;B1002)</f>
        <v>1089124.99</v>
      </c>
      <c r="N1002" s="61" t="str">
        <f>IF(tblMovimientos[[#This Row],[Tipo de Movimiento]]="Ingreso",tblMovimientos[[#This Row],[Monto (S/)]],"0")</f>
        <v>0</v>
      </c>
      <c r="O1002" s="61">
        <f>IF(tblMovimientos[[#This Row],[Tipo de Movimiento]]="Egreso",tblMovimientos[[#This Row],[Monto (S/)]],"0")</f>
        <v>45</v>
      </c>
      <c r="P1002" s="28">
        <f>IF(tblMovimientos[[#This Row],[Tipo de Movimiento]]="Ingreso",tblMovimientos[[#This Row],[Ingreso]],-tblMovimientos[[#This Row],[Egreso]])</f>
        <v>-45</v>
      </c>
      <c r="Q1002" s="78" t="str">
        <f>_xlfn.XLOOKUP(tblMovimientos[[#This Row],[Cuenta Bancaria]],Cuentas!$C:$C,Cuentas!$A:$A,"")&amp;""</f>
        <v>SSP Group</v>
      </c>
      <c r="R1002" s="78" t="str">
        <f>_xlfn.XLOOKUP(tblMovimientos[[#This Row],[Cuenta Bancaria]],Cuentas!$C:$C,Cuentas!$B:$B,"",0,-1)&amp;""</f>
        <v/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CFT Group</v>
      </c>
      <c r="D1003" s="41" t="s">
        <v>94</v>
      </c>
      <c r="E1003" s="68" t="str">
        <f>_xlfn.XLOOKUP(tblMovimientos[[#This Row],[Cuenta Bancaria]],Listas!$B:$B,Listas!$C:$C,"")</f>
        <v>Bank of America</v>
      </c>
      <c r="F1003" s="41" t="s">
        <v>9</v>
      </c>
      <c r="G1003" s="41" t="s">
        <v>68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80126.2</v>
      </c>
      <c r="K1003" s="5">
        <f t="shared" si="15"/>
        <v>80126.2</v>
      </c>
      <c r="L1003" s="15" t="s">
        <v>133</v>
      </c>
      <c r="M1003" s="44">
        <f>SUMIFS('Saldos Iniciales'!$D:$D,'Saldos Iniciales'!$A:$A,C1003,'Saldos Iniciales'!$B:$B,D1003)+SUMIFS($K$1:$K$1324,$C$1:$C$1324,C1003,$D$1:$D$1324,D1003,$B$1:$B$1324,"&lt;="&amp;B1003)</f>
        <v>372222.02999999997</v>
      </c>
      <c r="N1003" s="61">
        <f>IF(tblMovimientos[[#This Row],[Tipo de Movimiento]]="Ingreso",tblMovimientos[[#This Row],[Monto (S/)]],"0")</f>
        <v>80126.2</v>
      </c>
      <c r="O1003" s="61" t="str">
        <f>IF(tblMovimientos[[#This Row],[Tipo de Movimiento]]="Egreso",tblMovimientos[[#This Row],[Monto (S/)]],"0")</f>
        <v>0</v>
      </c>
      <c r="P1003" s="28">
        <f>IF(tblMovimientos[[#This Row],[Tipo de Movimiento]]="Ingreso",tblMovimientos[[#This Row],[Ingreso]],-tblMovimientos[[#This Row],[Egreso]])</f>
        <v>80126.2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124724.8</v>
      </c>
      <c r="K1004" s="5">
        <f t="shared" si="15"/>
        <v>124724.8</v>
      </c>
      <c r="L1004" s="15" t="s">
        <v>133</v>
      </c>
      <c r="M1004" s="44">
        <f>SUMIFS('Saldos Iniciales'!$D:$D,'Saldos Iniciales'!$A:$A,C1004,'Saldos Iniciales'!$B:$B,D1004)+SUMIFS($K$1:$K$1324,$C$1:$C$1324,C1004,$D$1:$D$1324,D1004,$B$1:$B$1324,"&lt;="&amp;B1004)</f>
        <v>372222.02999999997</v>
      </c>
      <c r="N1004" s="61">
        <f>IF(tblMovimientos[[#This Row],[Tipo de Movimiento]]="Ingreso",tblMovimientos[[#This Row],[Monto (S/)]],"0")</f>
        <v>124724.8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124724.8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112 Florida Ave</v>
      </c>
      <c r="D1005" s="41" t="s">
        <v>123</v>
      </c>
      <c r="E1005" s="68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477.91</v>
      </c>
      <c r="K1005" s="5">
        <f t="shared" si="15"/>
        <v>-477.91</v>
      </c>
      <c r="L1005" s="15" t="s">
        <v>133</v>
      </c>
      <c r="M1005" s="44">
        <f>SUMIFS('Saldos Iniciales'!$D:$D,'Saldos Iniciales'!$A:$A,C1005,'Saldos Iniciales'!$B:$B,D1005)+SUMIFS($K$1:$K$1324,$C$1:$C$1324,C1005,$D$1:$D$1324,D1005,$B$1:$B$1324,"&lt;="&amp;B1005)</f>
        <v>16282.630000000006</v>
      </c>
      <c r="N1005" s="61" t="str">
        <f>IF(tblMovimientos[[#This Row],[Tipo de Movimiento]]="Ingreso",tblMovimientos[[#This Row],[Monto (S/)]],"0")</f>
        <v>0</v>
      </c>
      <c r="O1005" s="61">
        <f>IF(tblMovimientos[[#This Row],[Tipo de Movimiento]]="Egreso",tblMovimientos[[#This Row],[Monto (S/)]],"0")</f>
        <v>477.91</v>
      </c>
      <c r="P1005" s="28">
        <f>IF(tblMovimientos[[#This Row],[Tipo de Movimiento]]="Ingreso",tblMovimientos[[#This Row],[Ingreso]],-tblMovimientos[[#This Row],[Egreso]])</f>
        <v>-477.91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3628 Thomas Ave</v>
      </c>
      <c r="D1006" s="41" t="s">
        <v>124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Iniciales'!$B:$B,D1006)+SUMIFS($K$1:$K$1324,$C$1:$C$1324,C1006,$D$1:$D$1324,D1006,$B$1:$B$1324,"&lt;="&amp;B1006)</f>
        <v>13339.389999999996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345.7</v>
      </c>
      <c r="K1007" s="5">
        <f t="shared" si="15"/>
        <v>-345.7</v>
      </c>
      <c r="L1007" s="15" t="s">
        <v>133</v>
      </c>
      <c r="M1007" s="44">
        <f>SUMIFS('Saldos Iniciales'!$D:$D,'Saldos Iniciales'!$A:$A,C1007,'Saldos Iniciales'!$B:$B,D1007)+SUMIFS($K$1:$K$1324,$C$1:$C$1324,C1007,$D$1:$D$1324,D1007,$B$1:$B$1324,"&lt;="&amp;B1007)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345.7</v>
      </c>
      <c r="P1007" s="28">
        <f>IF(tblMovimientos[[#This Row],[Tipo de Movimiento]]="Ingreso",tblMovimientos[[#This Row],[Ingreso]],-tblMovimientos[[#This Row],[Egreso]])</f>
        <v>-345.7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Go Blue</v>
      </c>
      <c r="D1008" s="41" t="s">
        <v>165</v>
      </c>
      <c r="E1008" s="68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102.27</v>
      </c>
      <c r="K1008" s="5">
        <f t="shared" si="15"/>
        <v>-102.27</v>
      </c>
      <c r="L1008" s="15" t="s">
        <v>133</v>
      </c>
      <c r="M1008" s="44">
        <f>SUMIFS('Saldos Iniciales'!$D:$D,'Saldos Iniciales'!$A:$A,C1008,'Saldos Iniciales'!$B:$B,D1008)+SUMIFS($K$1:$K$1324,$C$1:$C$1324,C1008,$D$1:$D$1324,D1008,$B$1:$B$1324,"&lt;="&amp;B1008)</f>
        <v>6892.550000000002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102.27</v>
      </c>
      <c r="P1008" s="28">
        <f>IF(tblMovimientos[[#This Row],[Tipo de Movimiento]]="Ingreso",tblMovimientos[[#This Row],[Ingreso]],-tblMovimientos[[#This Row],[Egreso]])</f>
        <v>-102.27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CFT Group</v>
      </c>
      <c r="D1009" s="41" t="s">
        <v>95</v>
      </c>
      <c r="E1009" s="68" t="str">
        <f>_xlfn.XLOOKUP(tblMovimientos[[#This Row],[Cuenta Bancaria]],Listas!$B:$B,Listas!$C:$C,"")</f>
        <v xml:space="preserve">Amerant Bank </v>
      </c>
      <c r="F1009" s="41" t="s">
        <v>9</v>
      </c>
      <c r="G1009" s="41" t="s">
        <v>75</v>
      </c>
      <c r="H1009" s="4" t="str">
        <f>IFERROR(_xlfn.XLOOKUP(G1009,Listas!E:E,Listas!F:F,""),"")</f>
        <v>Financiamiento</v>
      </c>
      <c r="I1009" s="46" t="str">
        <f>IFERROR(_xlfn.XLOOKUP(G1009,Listas!E:E,Listas!G:G,""),"")</f>
        <v>Interno</v>
      </c>
      <c r="J1009" s="43">
        <v>350000</v>
      </c>
      <c r="K1009" s="5">
        <f t="shared" si="15"/>
        <v>350000</v>
      </c>
      <c r="L1009" s="15" t="s">
        <v>133</v>
      </c>
      <c r="M1009" s="44">
        <f>SUMIFS('Saldos Iniciales'!$D:$D,'Saldos Iniciales'!$A:$A,C1009,'Saldos Iniciales'!$B:$B,D1009)+SUMIFS($K$1:$K$1324,$C$1:$C$1324,C1009,$D$1:$D$1324,D1009,$B$1:$B$1324,"&lt;="&amp;B1009)</f>
        <v>1515508.1300000011</v>
      </c>
      <c r="N1009" s="61">
        <f>IF(tblMovimientos[[#This Row],[Tipo de Movimiento]]="Ingreso",tblMovimientos[[#This Row],[Monto (S/)]],"0")</f>
        <v>350000</v>
      </c>
      <c r="O1009" s="61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350000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Pacha Ventures LLC</v>
      </c>
      <c r="D1010" s="41" t="s">
        <v>187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78</v>
      </c>
      <c r="H1010" s="4" t="str">
        <f>IFERROR(_xlfn.XLOOKUP(G1010,Listas!E:E,Listas!F:F,""),"")</f>
        <v>Inversion</v>
      </c>
      <c r="I1010" s="46" t="str">
        <f>IFERROR(_xlfn.XLOOKUP(G1010,Listas!E:E,Listas!G:G,""),"")</f>
        <v>Externo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Iniciales'!$B:$B,D1010)+SUMIFS($K$1:$K$1324,$C$1:$C$1324,C1010,$D$1:$D$1324,D1010,$B$1:$B$1324,"&lt;="&amp;B1010)</f>
        <v>298792.34000000003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Michael Cross</v>
      </c>
      <c r="R1010" s="78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62</v>
      </c>
      <c r="H1011" s="4" t="str">
        <f>IFERROR(_xlfn.XLOOKUP(G1011,Listas!E:E,Listas!F:F,""),"")</f>
        <v>Operativo</v>
      </c>
      <c r="I1011" s="46" t="str">
        <f>IFERROR(_xlfn.XLOOKUP(G1011,Listas!E:E,Listas!G:G,""),"")</f>
        <v>Interno</v>
      </c>
      <c r="J1011" s="43">
        <v>350000</v>
      </c>
      <c r="K1011" s="5">
        <f t="shared" si="15"/>
        <v>-350000</v>
      </c>
      <c r="L1011" s="15" t="s">
        <v>133</v>
      </c>
      <c r="M1011" s="44">
        <f>SUMIFS('Saldos Iniciales'!$D:$D,'Saldos Iniciales'!$A:$A,C1011,'Saldos Iniciales'!$B:$B,D1011)+SUMIFS($K$1:$K$1324,$C$1:$C$1324,C1011,$D$1:$D$1324,D1011,$B$1:$B$1324,"&lt;="&amp;B1011)</f>
        <v>298792.34000000003</v>
      </c>
      <c r="N1011" s="61" t="str">
        <f>IF(tblMovimientos[[#This Row],[Tipo de Movimiento]]="Ingreso",tblMovimientos[[#This Row],[Monto (S/)]],"0")</f>
        <v>0</v>
      </c>
      <c r="O1011" s="61">
        <f>IF(tblMovimientos[[#This Row],[Tipo de Movimiento]]="Egreso",tblMovimientos[[#This Row],[Monto (S/)]],"0")</f>
        <v>350000</v>
      </c>
      <c r="P1011" s="28">
        <f>IF(tblMovimientos[[#This Row],[Tipo de Movimiento]]="Ingreso",tblMovimientos[[#This Row],[Ingreso]],-tblMovimientos[[#This Row],[Egreso]])</f>
        <v>-350000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Prendamas SRL</v>
      </c>
      <c r="D1012" s="41" t="s">
        <v>186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477.1</v>
      </c>
      <c r="K1012" s="5">
        <f t="shared" si="15"/>
        <v>-477.1</v>
      </c>
      <c r="L1012" s="15" t="s">
        <v>133</v>
      </c>
      <c r="M1012" s="44">
        <f>SUMIFS('Saldos Iniciales'!$D:$D,'Saldos Iniciales'!$A:$A,C1012,'Saldos Iniciales'!$B:$B,D1012)+SUMIFS($K$1:$K$1324,$C$1:$C$1324,C1012,$D$1:$D$1324,D1012,$B$1:$B$1324,"&lt;="&amp;B1012)</f>
        <v>31621.50999999998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477.1</v>
      </c>
      <c r="P1012" s="28">
        <f>IF(tblMovimientos[[#This Row],[Tipo de Movimiento]]="Ingreso",tblMovimientos[[#This Row],[Ingreso]],-tblMovimientos[[#This Row],[Egreso]])</f>
        <v>-477.1</v>
      </c>
      <c r="Q1012" s="78" t="str">
        <f>_xlfn.XLOOKUP(tblMovimientos[[#This Row],[Cuenta Bancaria]],Cuentas!$C:$C,Cuentas!$A:$A,"")&amp;""</f>
        <v>Unidades de Negocio</v>
      </c>
      <c r="R1012" s="78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44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14.31</v>
      </c>
      <c r="K1013" s="5">
        <f t="shared" si="15"/>
        <v>-14.31</v>
      </c>
      <c r="L1013" s="15" t="s">
        <v>133</v>
      </c>
      <c r="M1013" s="44">
        <f>SUMIFS('Saldos Iniciales'!$D:$D,'Saldos Iniciales'!$A:$A,C1013,'Saldos Iniciales'!$B:$B,D1013)+SUMIFS($K$1:$K$1324,$C$1:$C$1324,C1013,$D$1:$D$1324,D1013,$B$1:$B$1324,"&lt;="&amp;B1013)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14.31</v>
      </c>
      <c r="P1013" s="28">
        <f>IF(tblMovimientos[[#This Row],[Tipo de Movimiento]]="Ingreso",tblMovimientos[[#This Row],[Ingreso]],-tblMovimientos[[#This Row],[Egreso]])</f>
        <v>-14.31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Nobe Aparments</v>
      </c>
      <c r="D1014" s="41" t="s">
        <v>191</v>
      </c>
      <c r="E1014" s="68" t="str">
        <f>_xlfn.XLOOKUP(tblMovimientos[[#This Row],[Cuenta Bancaria]],Listas!$B:$B,Listas!$C:$C,"")</f>
        <v>Bank of America</v>
      </c>
      <c r="F1014" s="41" t="s">
        <v>10</v>
      </c>
      <c r="G1014" s="41" t="s">
        <v>38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831.16</v>
      </c>
      <c r="K1014" s="5">
        <f t="shared" si="15"/>
        <v>-831.16</v>
      </c>
      <c r="L1014" s="15" t="s">
        <v>133</v>
      </c>
      <c r="M1014" s="44">
        <f>SUMIFS('Saldos Iniciales'!$D:$D,'Saldos Iniciales'!$A:$A,C1014,'Saldos Iniciales'!$B:$B,D1014)+SUMIFS($K$1:$K$1324,$C$1:$C$1324,C1014,$D$1:$D$1324,D1014,$B$1:$B$1324,"&lt;="&amp;B1014)</f>
        <v>209364.52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831.16</v>
      </c>
      <c r="P1014" s="28">
        <f>IF(tblMovimientos[[#This Row],[Tipo de Movimiento]]="Ingreso",tblMovimientos[[#This Row],[Ingreso]],-tblMovimientos[[#This Row],[Egreso]])</f>
        <v>-831.16</v>
      </c>
      <c r="Q1014" s="78" t="str">
        <f>_xlfn.XLOOKUP(tblMovimientos[[#This Row],[Cuenta Bancaria]],Cuentas!$C:$C,Cuentas!$A:$A,"")&amp;""</f>
        <v>Estate</v>
      </c>
      <c r="R1014" s="78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600</v>
      </c>
      <c r="K1015" s="5">
        <f t="shared" si="15"/>
        <v>-600</v>
      </c>
      <c r="L1015" s="15" t="s">
        <v>133</v>
      </c>
      <c r="M1015" s="44">
        <f>SUMIFS('Saldos Iniciales'!$D:$D,'Saldos Iniciales'!$A:$A,C1015,'Saldos Iniciales'!$B:$B,D1015)+SUMIFS($K$1:$K$1324,$C$1:$C$1324,C1015,$D$1:$D$1324,D1015,$B$1:$B$1324,"&lt;="&amp;B1015)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600</v>
      </c>
      <c r="P1015" s="28">
        <f>IF(tblMovimientos[[#This Row],[Tipo de Movimiento]]="Ingreso",tblMovimientos[[#This Row],[Ingreso]],-tblMovimientos[[#This Row],[Egreso]])</f>
        <v>-600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SSP Capital</v>
      </c>
      <c r="D1016" s="41" t="s">
        <v>105</v>
      </c>
      <c r="E1016" s="68" t="str">
        <f>_xlfn.XLOOKUP(tblMovimientos[[#This Row],[Cuenta Bancaria]],Listas!$B:$B,Listas!$C:$C,"")</f>
        <v>Northern Trust</v>
      </c>
      <c r="F1016" s="41" t="s">
        <v>10</v>
      </c>
      <c r="G1016" s="41" t="s">
        <v>44</v>
      </c>
      <c r="H1016" s="4" t="str">
        <f>IFERROR(_xlfn.XLOOKUP(G1016,Listas!E:E,Listas!F:F,""),"")</f>
        <v>Operativo</v>
      </c>
      <c r="I1016" s="69" t="str">
        <f>IFERROR(_xlfn.XLOOKUP(G1016,Listas!E:E,Listas!G:G,""),"")</f>
        <v>Externo</v>
      </c>
      <c r="J1016" s="43">
        <v>108.97</v>
      </c>
      <c r="K1016" s="5">
        <f t="shared" si="15"/>
        <v>-108.97</v>
      </c>
      <c r="L1016" s="15" t="s">
        <v>133</v>
      </c>
      <c r="M1016" s="44">
        <f>SUMIFS('Saldos Iniciales'!$D:$D,'Saldos Iniciales'!$A:$A,C1016,'Saldos Iniciales'!$B:$B,D1016)+SUMIFS($K$1:$K$1324,$C$1:$C$1324,C1016,$D$1:$D$1324,D1016,$B$1:$B$1324,"&lt;="&amp;B1016)</f>
        <v>4543.28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108.97</v>
      </c>
      <c r="P1016" s="28">
        <f>IF(tblMovimientos[[#This Row],[Tipo de Movimiento]]="Ingreso",tblMovimientos[[#This Row],[Ingreso]],-tblMovimientos[[#This Row],[Egreso]])</f>
        <v>-108.97</v>
      </c>
      <c r="Q1016" s="78" t="str">
        <f>_xlfn.XLOOKUP(tblMovimientos[[#This Row],[Cuenta Bancaria]],Cuentas!$C:$C,Cuentas!$A:$A,"")&amp;""</f>
        <v>SSP Group</v>
      </c>
      <c r="R1016" s="78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CFT Group</v>
      </c>
      <c r="D1017" s="41" t="s">
        <v>96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18.8</v>
      </c>
      <c r="K1017" s="5">
        <f t="shared" si="15"/>
        <v>-18.8</v>
      </c>
      <c r="L1017" s="15" t="s">
        <v>133</v>
      </c>
      <c r="M1017" s="44">
        <f>SUMIFS('Saldos Iniciales'!$D:$D,'Saldos Iniciales'!$A:$A,C1017,'Saldos Iniciales'!$B:$B,D1017)+SUMIFS($K$1:$K$1324,$C$1:$C$1324,C1017,$D$1:$D$1324,D1017,$B$1:$B$1324,"&lt;="&amp;B1017)</f>
        <v>5218.43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18.8</v>
      </c>
      <c r="P1017" s="28">
        <f>IF(tblMovimientos[[#This Row],[Tipo de Movimiento]]="Ingreso",tblMovimientos[[#This Row],[Ingreso]],-tblMovimientos[[#This Row],[Egreso]])</f>
        <v>-18.8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x14ac:dyDescent="0.3">
      <c r="B1018" s="39">
        <v>46279</v>
      </c>
      <c r="C1018" s="4" t="str">
        <f>_xlfn.XLOOKUP(tblMovimientos[[#This Row],[Cuenta Bancaria]],Listas!$B:$B,Listas!$A:$A,"")</f>
        <v>SSP Capital</v>
      </c>
      <c r="D1018" s="41" t="s">
        <v>101</v>
      </c>
      <c r="E1018" s="68" t="str">
        <f>_xlfn.XLOOKUP(tblMovimientos[[#This Row],[Cuenta Bancaria]],Listas!$B:$B,Listas!$C:$C,"")</f>
        <v>Bank of America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1413.5</v>
      </c>
      <c r="K1018" s="5">
        <f t="shared" si="15"/>
        <v>-1413.5</v>
      </c>
      <c r="L1018" s="15" t="s">
        <v>133</v>
      </c>
      <c r="M1018" s="44">
        <f>SUMIFS('Saldos Iniciales'!$D:$D,'Saldos Iniciales'!$A:$A,C1018,'Saldos Iniciales'!$B:$B,D1018)+SUMIFS($K$1:$K$1324,$C$1:$C$1324,C1018,$D$1:$D$1324,D1018,$B$1:$B$1324,"&lt;="&amp;B1018)</f>
        <v>29072.080000000002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1413.5</v>
      </c>
      <c r="P1018" s="28">
        <f>IF(tblMovimientos[[#This Row],[Tipo de Movimiento]]="Ingreso",tblMovimientos[[#This Row],[Ingreso]],-tblMovimientos[[#This Row],[Egreso]])</f>
        <v>-1413.5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A&amp;M Imports</v>
      </c>
      <c r="D1019" s="41" t="s">
        <v>100</v>
      </c>
      <c r="E1019" s="68" t="str">
        <f>_xlfn.XLOOKUP(tblMovimientos[[#This Row],[Cuenta Bancaria]],Listas!$B:$B,Listas!$C:$C,"")</f>
        <v>Bank of America</v>
      </c>
      <c r="F1019" s="41" t="s">
        <v>9</v>
      </c>
      <c r="G1019" s="41" t="s">
        <v>68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16785.27</v>
      </c>
      <c r="K1019" s="5">
        <f t="shared" si="15"/>
        <v>16785.27</v>
      </c>
      <c r="L1019" s="15" t="s">
        <v>133</v>
      </c>
      <c r="M1019" s="44">
        <f>SUMIFS('Saldos Iniciales'!$D:$D,'Saldos Iniciales'!$A:$A,C1019,'Saldos Iniciales'!$B:$B,D1019)+SUMIFS($K$1:$K$1324,$C$1:$C$1324,C1019,$D$1:$D$1324,D1019,$B$1:$B$1324,"&lt;="&amp;B1019)</f>
        <v>1105910.26</v>
      </c>
      <c r="N1019" s="61">
        <f>IF(tblMovimientos[[#This Row],[Tipo de Movimiento]]="Ingreso",tblMovimientos[[#This Row],[Monto (S/)]],"0")</f>
        <v>16785.27</v>
      </c>
      <c r="O1019" s="61" t="str">
        <f>IF(tblMovimientos[[#This Row],[Tipo de Movimiento]]="Egreso",tblMovimientos[[#This Row],[Monto (S/)]],"0")</f>
        <v>0</v>
      </c>
      <c r="P1019" s="28">
        <f>IF(tblMovimientos[[#This Row],[Tipo de Movimiento]]="Ingreso",tblMovimientos[[#This Row],[Ingreso]],-tblMovimientos[[#This Row],[Egreso]])</f>
        <v>16785.27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3628 Thomas Ave</v>
      </c>
      <c r="D1020" s="41" t="s">
        <v>124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82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346.61</v>
      </c>
      <c r="K1020" s="5">
        <f t="shared" si="15"/>
        <v>346.61</v>
      </c>
      <c r="L1020" s="15" t="s">
        <v>133</v>
      </c>
      <c r="M1020" s="44">
        <f>SUMIFS('Saldos Iniciales'!$D:$D,'Saldos Iniciales'!$A:$A,C1020,'Saldos Iniciales'!$B:$B,D1020)+SUMIFS($K$1:$K$1324,$C$1:$C$1324,C1020,$D$1:$D$1324,D1020,$B$1:$B$1324,"&lt;="&amp;B1020)</f>
        <v>13685.999999999996</v>
      </c>
      <c r="N1020" s="61">
        <f>IF(tblMovimientos[[#This Row],[Tipo de Movimiento]]="Ingreso",tblMovimientos[[#This Row],[Monto (S/)]],"0")</f>
        <v>346.61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346.61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Go Blue</v>
      </c>
      <c r="D1021" s="41" t="s">
        <v>165</v>
      </c>
      <c r="E1021" s="68" t="str">
        <f>_xlfn.XLOOKUP(tblMovimientos[[#This Row],[Cuenta Bancaria]],Listas!$B:$B,Listas!$C:$C,"")</f>
        <v xml:space="preserve">Amerant Bank </v>
      </c>
      <c r="F1021" s="41" t="s">
        <v>9</v>
      </c>
      <c r="G1021" s="41" t="s">
        <v>75</v>
      </c>
      <c r="H1021" s="4" t="str">
        <f>IFERROR(_xlfn.XLOOKUP(G1021,Listas!E:E,Listas!F:F,""),"")</f>
        <v>Financiamiento</v>
      </c>
      <c r="I1021" s="46" t="str">
        <f>IFERROR(_xlfn.XLOOKUP(G1021,Listas!E:E,Listas!G:G,""),"")</f>
        <v>Interno</v>
      </c>
      <c r="J1021" s="43">
        <v>1500</v>
      </c>
      <c r="K1021" s="5">
        <f t="shared" si="15"/>
        <v>1500</v>
      </c>
      <c r="L1021" s="15" t="s">
        <v>133</v>
      </c>
      <c r="M1021" s="44">
        <f>SUMIFS('Saldos Iniciales'!$D:$D,'Saldos Iniciales'!$A:$A,C1021,'Saldos Iniciales'!$B:$B,D1021)+SUMIFS($K$1:$K$1324,$C$1:$C$1324,C1021,$D$1:$D$1324,D1021,$B$1:$B$1324,"&lt;="&amp;B1021)</f>
        <v>2097.760000000002</v>
      </c>
      <c r="N1021" s="61">
        <f>IF(tblMovimientos[[#This Row],[Tipo de Movimiento]]="Ingreso",tblMovimientos[[#This Row],[Monto (S/)]],"0")</f>
        <v>1500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1500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10</v>
      </c>
      <c r="G1022" s="41" t="s">
        <v>38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4647.01</v>
      </c>
      <c r="K1022" s="5">
        <f t="shared" si="15"/>
        <v>-4647.01</v>
      </c>
      <c r="L1022" s="15" t="s">
        <v>133</v>
      </c>
      <c r="M1022" s="44">
        <f>SUMIFS('Saldos Iniciales'!$D:$D,'Saldos Iniciales'!$A:$A,C1022,'Saldos Iniciales'!$B:$B,D1022)+SUMIFS($K$1:$K$1324,$C$1:$C$1324,C1022,$D$1:$D$1324,D1022,$B$1:$B$1324,"&lt;="&amp;B1022)</f>
        <v>2097.760000000002</v>
      </c>
      <c r="N1022" s="61" t="str">
        <f>IF(tblMovimientos[[#This Row],[Tipo de Movimiento]]="Ingreso",tblMovimientos[[#This Row],[Monto (S/)]],"0")</f>
        <v>0</v>
      </c>
      <c r="O1022" s="61">
        <f>IF(tblMovimientos[[#This Row],[Tipo de Movimiento]]="Egreso",tblMovimientos[[#This Row],[Monto (S/)]],"0")</f>
        <v>4647.01</v>
      </c>
      <c r="P1022" s="28">
        <f>IF(tblMovimientos[[#This Row],[Tipo de Movimiento]]="Ingreso",tblMovimientos[[#This Row],[Ingreso]],-tblMovimientos[[#This Row],[Egreso]])</f>
        <v>-4647.01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1647.78</v>
      </c>
      <c r="K1023" s="5">
        <f t="shared" si="15"/>
        <v>-1647.78</v>
      </c>
      <c r="L1023" s="15" t="s">
        <v>133</v>
      </c>
      <c r="M1023" s="44">
        <f>SUMIFS('Saldos Iniciales'!$D:$D,'Saldos Iniciales'!$A:$A,C1023,'Saldos Iniciales'!$B:$B,D1023)+SUMIFS($K$1:$K$1324,$C$1:$C$1324,C1023,$D$1:$D$1324,D1023,$B$1:$B$1324,"&lt;="&amp;B1023)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1647.78</v>
      </c>
      <c r="P1023" s="28">
        <f>IF(tblMovimientos[[#This Row],[Tipo de Movimiento]]="Ingreso",tblMovimientos[[#This Row],[Ingreso]],-tblMovimientos[[#This Row],[Egreso]])</f>
        <v>-1647.78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CFT Group</v>
      </c>
      <c r="D1024" s="41" t="s">
        <v>95</v>
      </c>
      <c r="E1024" s="68" t="str">
        <f>_xlfn.XLOOKUP(tblMovimientos[[#This Row],[Cuenta Bancaria]],Listas!$B:$B,Listas!$C:$C,"")</f>
        <v xml:space="preserve">Amerant Bank </v>
      </c>
      <c r="F1024" s="41" t="s">
        <v>9</v>
      </c>
      <c r="G1024" s="41" t="s">
        <v>76</v>
      </c>
      <c r="H1024" s="4" t="str">
        <f>IFERROR(_xlfn.XLOOKUP(G1024,Listas!E:E,Listas!F:F,""),"")</f>
        <v>Financiamiento</v>
      </c>
      <c r="I1024" s="46" t="str">
        <f>IFERROR(_xlfn.XLOOKUP(G1024,Listas!E:E,Listas!G:G,""),"")</f>
        <v>Externo</v>
      </c>
      <c r="J1024" s="43">
        <v>150000</v>
      </c>
      <c r="K1024" s="5">
        <f t="shared" si="15"/>
        <v>150000</v>
      </c>
      <c r="L1024" s="15" t="s">
        <v>133</v>
      </c>
      <c r="M1024" s="44">
        <f>SUMIFS('Saldos Iniciales'!$D:$D,'Saldos Iniciales'!$A:$A,C1024,'Saldos Iniciales'!$B:$B,D1024)+SUMIFS($K$1:$K$1324,$C$1:$C$1324,C1024,$D$1:$D$1324,D1024,$B$1:$B$1324,"&lt;="&amp;B1024)</f>
        <v>1665508.1300000011</v>
      </c>
      <c r="N1024" s="61">
        <f>IF(tblMovimientos[[#This Row],[Tipo de Movimiento]]="Ingreso",tblMovimientos[[#This Row],[Monto (S/)]],"0")</f>
        <v>150000</v>
      </c>
      <c r="O1024" s="61" t="str">
        <f>IF(tblMovimientos[[#This Row],[Tipo de Movimiento]]="Egreso",tblMovimientos[[#This Row],[Monto (S/)]],"0")</f>
        <v>0</v>
      </c>
      <c r="P1024" s="28">
        <f>IF(tblMovimientos[[#This Row],[Tipo de Movimiento]]="Ingreso",tblMovimientos[[#This Row],[Ingreso]],-tblMovimientos[[#This Row],[Egreso]])</f>
        <v>150000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SSP Capital</v>
      </c>
      <c r="D1025" s="41" t="s">
        <v>104</v>
      </c>
      <c r="E1025" s="68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39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40310.81</v>
      </c>
      <c r="K1025" s="5">
        <f t="shared" si="15"/>
        <v>-40310.81</v>
      </c>
      <c r="L1025" s="15" t="s">
        <v>133</v>
      </c>
      <c r="M1025" s="44">
        <f>SUMIFS('Saldos Iniciales'!$D:$D,'Saldos Iniciales'!$A:$A,C1025,'Saldos Iniciales'!$B:$B,D1025)+SUMIFS($K$1:$K$1324,$C$1:$C$1324,C1025,$D$1:$D$1324,D1025,$B$1:$B$1324,"&lt;="&amp;B1025)</f>
        <v>340825.51999999926</v>
      </c>
      <c r="N1025" s="61" t="str">
        <f>IF(tblMovimientos[[#This Row],[Tipo de Movimiento]]="Ingreso",tblMovimientos[[#This Row],[Monto (S/)]],"0")</f>
        <v>0</v>
      </c>
      <c r="O1025" s="61">
        <f>IF(tblMovimientos[[#This Row],[Tipo de Movimiento]]="Egreso",tblMovimientos[[#This Row],[Monto (S/)]],"0")</f>
        <v>40310.81</v>
      </c>
      <c r="P1025" s="28">
        <f>IF(tblMovimientos[[#This Row],[Tipo de Movimiento]]="Ingreso",tblMovimientos[[#This Row],[Ingreso]],-tblMovimientos[[#This Row],[Egreso]])</f>
        <v>-40310.81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Go Blue</v>
      </c>
      <c r="D1026" s="41" t="s">
        <v>126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62</v>
      </c>
      <c r="H1026" s="46" t="str">
        <f>IFERROR(_xlfn.XLOOKUP(G1026,Listas!E:E,Listas!F:F,""),"")</f>
        <v>Operativo</v>
      </c>
      <c r="I1026" s="46" t="str">
        <f>IFERROR(_xlfn.XLOOKUP(G1026,Listas!E:E,Listas!G:G,""),"")</f>
        <v>Interno</v>
      </c>
      <c r="J1026" s="43">
        <v>1500</v>
      </c>
      <c r="K1026" s="5">
        <f t="shared" ref="K1026:K1089" si="16">IF(F1026="Ingreso",J1026,-J1026)</f>
        <v>-1500</v>
      </c>
      <c r="L1026" s="15" t="s">
        <v>133</v>
      </c>
      <c r="M1026" s="44">
        <f>SUMIFS('Saldos Iniciales'!$D:$D,'Saldos Iniciales'!$A:$A,C1026,'Saldos Iniciales'!$B:$B,D1026)+SUMIFS($K$1:$K$1324,$C$1:$C$1324,C1026,$D$1:$D$1324,D1026,$B$1:$B$1324,"&lt;="&amp;B1026)</f>
        <v>14664.689999999999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1500</v>
      </c>
      <c r="P1026" s="28">
        <f>IF(tblMovimientos[[#This Row],[Tipo de Movimiento]]="Ingreso",tblMovimientos[[#This Row],[Ingreso]],-tblMovimientos[[#This Row],[Egreso]])</f>
        <v>-1500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CFT1 Residence</v>
      </c>
      <c r="D1027" s="41" t="s">
        <v>184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38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282.8</v>
      </c>
      <c r="K1027" s="5">
        <f t="shared" si="16"/>
        <v>-282.8</v>
      </c>
      <c r="L1027" s="15" t="s">
        <v>133</v>
      </c>
      <c r="M1027" s="44">
        <f>SUMIFS('Saldos Iniciales'!$D:$D,'Saldos Iniciales'!$A:$A,C1027,'Saldos Iniciales'!$B:$B,D1027)+SUMIFS($K$1:$K$1324,$C$1:$C$1324,C1027,$D$1:$D$1324,D1027,$B$1:$B$1324,"&lt;="&amp;B1027)</f>
        <v>25545.46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282.8</v>
      </c>
      <c r="P1027" s="28">
        <f>IF(tblMovimientos[[#This Row],[Tipo de Movimiento]]="Ingreso",tblMovimientos[[#This Row],[Ingreso]],-tblMovimientos[[#This Row],[Egreso]])</f>
        <v>-282.8</v>
      </c>
      <c r="Q1027" s="78" t="str">
        <f>_xlfn.XLOOKUP(tblMovimientos[[#This Row],[Cuenta Bancaria]],Cuentas!$C:$C,Cuentas!$A:$A,"")&amp;""</f>
        <v>Carmen Cross Irrevocable Trust</v>
      </c>
      <c r="R1027" s="78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829.09</v>
      </c>
      <c r="K1028" s="5">
        <f t="shared" si="16"/>
        <v>-829.09</v>
      </c>
      <c r="L1028" s="15" t="s">
        <v>133</v>
      </c>
      <c r="M1028" s="44">
        <f>SUMIFS('Saldos Iniciales'!$D:$D,'Saldos Iniciales'!$A:$A,C1028,'Saldos Iniciales'!$B:$B,D1028)+SUMIFS($K$1:$K$1324,$C$1:$C$1324,C1028,$D$1:$D$1324,D1028,$B$1:$B$1324,"&lt;="&amp;B1028)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829.09</v>
      </c>
      <c r="P1028" s="28">
        <f>IF(tblMovimientos[[#This Row],[Tipo de Movimiento]]="Ingreso",tblMovimientos[[#This Row],[Ingreso]],-tblMovimientos[[#This Row],[Egreso]])</f>
        <v>-829.09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Prendamas SRL</v>
      </c>
      <c r="D1029" s="41" t="s">
        <v>186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499.34</v>
      </c>
      <c r="K1029" s="5">
        <f t="shared" si="16"/>
        <v>-499.34</v>
      </c>
      <c r="L1029" s="15" t="s">
        <v>133</v>
      </c>
      <c r="M1029" s="44">
        <f>SUMIFS('Saldos Iniciales'!$D:$D,'Saldos Iniciales'!$A:$A,C1029,'Saldos Iniciales'!$B:$B,D1029)+SUMIFS($K$1:$K$1324,$C$1:$C$1324,C1029,$D$1:$D$1324,D1029,$B$1:$B$1324,"&lt;="&amp;B1029)</f>
        <v>31107.189999999981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499.34</v>
      </c>
      <c r="P1029" s="28">
        <f>IF(tblMovimientos[[#This Row],[Tipo de Movimiento]]="Ingreso",tblMovimientos[[#This Row],[Ingreso]],-tblMovimientos[[#This Row],[Egreso]])</f>
        <v>-499.34</v>
      </c>
      <c r="Q1029" s="78" t="str">
        <f>_xlfn.XLOOKUP(tblMovimientos[[#This Row],[Cuenta Bancaria]],Cuentas!$C:$C,Cuentas!$A:$A,"")&amp;""</f>
        <v>Unidades de Negocio</v>
      </c>
      <c r="R1029" s="78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44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14.98</v>
      </c>
      <c r="K1030" s="5">
        <f t="shared" si="16"/>
        <v>-14.98</v>
      </c>
      <c r="L1030" s="15" t="s">
        <v>133</v>
      </c>
      <c r="M1030" s="44">
        <f>SUMIFS('Saldos Iniciales'!$D:$D,'Saldos Iniciales'!$A:$A,C1030,'Saldos Iniciales'!$B:$B,D1030)+SUMIFS($K$1:$K$1324,$C$1:$C$1324,C1030,$D$1:$D$1324,D1030,$B$1:$B$1324,"&lt;="&amp;B1030)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14.98</v>
      </c>
      <c r="P1030" s="28">
        <f>IF(tblMovimientos[[#This Row],[Tipo de Movimiento]]="Ingreso",tblMovimientos[[#This Row],[Ingreso]],-tblMovimientos[[#This Row],[Egreso]])</f>
        <v>-14.98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Nobe Aparments</v>
      </c>
      <c r="D1031" s="41" t="s">
        <v>191</v>
      </c>
      <c r="E1031" s="68" t="str">
        <f>_xlfn.XLOOKUP(tblMovimientos[[#This Row],[Cuenta Bancaria]],Listas!$B:$B,Listas!$C:$C,"")</f>
        <v>Bank of America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101.65</v>
      </c>
      <c r="K1031" s="5">
        <f t="shared" si="16"/>
        <v>-101.65</v>
      </c>
      <c r="L1031" s="15" t="s">
        <v>133</v>
      </c>
      <c r="M1031" s="44">
        <f>SUMIFS('Saldos Iniciales'!$D:$D,'Saldos Iniciales'!$A:$A,C1031,'Saldos Iniciales'!$B:$B,D1031)+SUMIFS($K$1:$K$1324,$C$1:$C$1324,C1031,$D$1:$D$1324,D1031,$B$1:$B$1324,"&lt;="&amp;B1031)</f>
        <v>209262.87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101.65</v>
      </c>
      <c r="P1031" s="28">
        <f>IF(tblMovimientos[[#This Row],[Tipo de Movimiento]]="Ingreso",tblMovimientos[[#This Row],[Ingreso]],-tblMovimientos[[#This Row],[Egreso]])</f>
        <v>-101.65</v>
      </c>
      <c r="Q1031" s="78" t="str">
        <f>_xlfn.XLOOKUP(tblMovimientos[[#This Row],[Cuenta Bancaria]],Cuentas!$C:$C,Cuentas!$A:$A,"")&amp;""</f>
        <v>Estate</v>
      </c>
      <c r="R1031" s="78" t="str">
        <f>_xlfn.XLOOKUP(tblMovimientos[[#This Row],[Cuenta Bancaria]],Cuentas!$C:$C,Cuentas!$B:$B,"",0,-1)&amp;""</f>
        <v/>
      </c>
    </row>
    <row r="1032" spans="1:18" x14ac:dyDescent="0.3">
      <c r="B1032" s="39">
        <v>46280</v>
      </c>
      <c r="C1032" s="4" t="str">
        <f>_xlfn.XLOOKUP(tblMovimientos[[#This Row],[Cuenta Bancaria]],Listas!$B:$B,Listas!$A:$A,"")</f>
        <v>SSP Capital</v>
      </c>
      <c r="D1032" s="41" t="s">
        <v>102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44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29.41</v>
      </c>
      <c r="K1032" s="5">
        <f t="shared" si="16"/>
        <v>-29.41</v>
      </c>
      <c r="L1032" s="15" t="s">
        <v>133</v>
      </c>
      <c r="M1032" s="44">
        <f>SUMIFS('Saldos Iniciales'!$D:$D,'Saldos Iniciales'!$A:$A,C1032,'Saldos Iniciales'!$B:$B,D1032)+SUMIFS($K$1:$K$1324,$C$1:$C$1324,C1032,$D$1:$D$1324,D1032,$B$1:$B$1324,"&lt;="&amp;B1032)</f>
        <v>945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29.41</v>
      </c>
      <c r="P1032" s="28">
        <f>IF(tblMovimientos[[#This Row],[Tipo de Movimiento]]="Ingreso",tblMovimientos[[#This Row],[Ingreso]],-tblMovimientos[[#This Row],[Egreso]])</f>
        <v>-29.41</v>
      </c>
      <c r="Q1032" s="78" t="str">
        <f>_xlfn.XLOOKUP(tblMovimientos[[#This Row],[Cuenta Bancaria]],Cuentas!$C:$C,Cuentas!$A:$A,"")&amp;""</f>
        <v>SSP Group</v>
      </c>
      <c r="R1032" s="78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A&amp;M Imports</v>
      </c>
      <c r="D1033" s="41" t="s">
        <v>100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375.62</v>
      </c>
      <c r="K1033" s="5">
        <f t="shared" si="16"/>
        <v>-375.62</v>
      </c>
      <c r="L1033" s="15" t="s">
        <v>133</v>
      </c>
      <c r="M1033" s="44">
        <f>SUMIFS('Saldos Iniciales'!$D:$D,'Saldos Iniciales'!$A:$A,C1033,'Saldos Iniciales'!$B:$B,D1033)+SUMIFS($K$1:$K$1324,$C$1:$C$1324,C1033,$D$1:$D$1324,D1033,$B$1:$B$1324,"&lt;="&amp;B1033)</f>
        <v>1105534.6399999999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375.62</v>
      </c>
      <c r="P1033" s="28">
        <f>IF(tblMovimientos[[#This Row],[Tipo de Movimiento]]="Ingreso",tblMovimientos[[#This Row],[Ingreso]],-tblMovimientos[[#This Row],[Egreso]])</f>
        <v>-375.62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M1B</v>
      </c>
      <c r="D1034" s="41" t="s">
        <v>97</v>
      </c>
      <c r="E1034" s="68" t="str">
        <f>_xlfn.XLOOKUP(tblMovimientos[[#This Row],[Cuenta Bancaria]],Listas!$B:$B,Listas!$C:$C,"")</f>
        <v xml:space="preserve">Amerant Bank 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6748.49</v>
      </c>
      <c r="K1034" s="5">
        <f t="shared" si="16"/>
        <v>6748.49</v>
      </c>
      <c r="L1034" s="15" t="s">
        <v>133</v>
      </c>
      <c r="M1034" s="44">
        <f>SUMIFS('Saldos Iniciales'!$D:$D,'Saldos Iniciales'!$A:$A,C1034,'Saldos Iniciales'!$B:$B,D1034)+SUMIFS($K$1:$K$1324,$C$1:$C$1324,C1034,$D$1:$D$1324,D1034,$B$1:$B$1324,"&lt;="&amp;B1034)</f>
        <v>95486.460000000166</v>
      </c>
      <c r="N1034" s="61">
        <f>IF(tblMovimientos[[#This Row],[Tipo de Movimiento]]="Ingreso",tblMovimientos[[#This Row],[Monto (S/)]],"0")</f>
        <v>6748.49</v>
      </c>
      <c r="O1034" s="61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6748.49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Go Blue</v>
      </c>
      <c r="D1035" s="41" t="s">
        <v>126</v>
      </c>
      <c r="E1035" s="68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38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175</v>
      </c>
      <c r="K1035" s="5">
        <f t="shared" si="16"/>
        <v>-175</v>
      </c>
      <c r="L1035" s="15" t="s">
        <v>133</v>
      </c>
      <c r="M1035" s="44">
        <f>SUMIFS('Saldos Iniciales'!$D:$D,'Saldos Iniciales'!$A:$A,C1035,'Saldos Iniciales'!$B:$B,D1035)+SUMIFS($K$1:$K$1324,$C$1:$C$1324,C1035,$D$1:$D$1324,D1035,$B$1:$B$1324,"&lt;="&amp;B1035)</f>
        <v>14489.689999999999</v>
      </c>
      <c r="N1035" s="61" t="str">
        <f>IF(tblMovimientos[[#This Row],[Tipo de Movimiento]]="Ingreso",tblMovimientos[[#This Row],[Monto (S/)]],"0")</f>
        <v>0</v>
      </c>
      <c r="O1035" s="61">
        <f>IF(tblMovimientos[[#This Row],[Tipo de Movimiento]]="Egreso",tblMovimientos[[#This Row],[Monto (S/)]],"0")</f>
        <v>175</v>
      </c>
      <c r="P1035" s="28">
        <f>IF(tblMovimientos[[#This Row],[Tipo de Movimiento]]="Ingreso",tblMovimientos[[#This Row],[Ingreso]],-tblMovimientos[[#This Row],[Egreso]])</f>
        <v>-175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Prendamas SRL</v>
      </c>
      <c r="D1036" s="41" t="s">
        <v>186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499.34</v>
      </c>
      <c r="K1036" s="5">
        <f t="shared" si="16"/>
        <v>-499.34</v>
      </c>
      <c r="L1036" s="15" t="s">
        <v>133</v>
      </c>
      <c r="M1036" s="44">
        <f>SUMIFS('Saldos Iniciales'!$D:$D,'Saldos Iniciales'!$A:$A,C1036,'Saldos Iniciales'!$B:$B,D1036)+SUMIFS($K$1:$K$1324,$C$1:$C$1324,C1036,$D$1:$D$1324,D1036,$B$1:$B$1324,"&lt;="&amp;B1036)</f>
        <v>30592.869999999981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499.34</v>
      </c>
      <c r="P1036" s="28">
        <f>IF(tblMovimientos[[#This Row],[Tipo de Movimiento]]="Ingreso",tblMovimientos[[#This Row],[Ingreso]],-tblMovimientos[[#This Row],[Egreso]])</f>
        <v>-499.34</v>
      </c>
      <c r="Q1036" s="78" t="str">
        <f>_xlfn.XLOOKUP(tblMovimientos[[#This Row],[Cuenta Bancaria]],Cuentas!$C:$C,Cuentas!$A:$A,"")&amp;""</f>
        <v>Unidades de Negocio</v>
      </c>
      <c r="R1036" s="78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44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14.98</v>
      </c>
      <c r="K1037" s="5">
        <f t="shared" si="16"/>
        <v>-14.98</v>
      </c>
      <c r="L1037" s="15" t="s">
        <v>133</v>
      </c>
      <c r="M1037" s="44">
        <f>SUMIFS('Saldos Iniciales'!$D:$D,'Saldos Iniciales'!$A:$A,C1037,'Saldos Iniciales'!$B:$B,D1037)+SUMIFS($K$1:$K$1324,$C$1:$C$1324,C1037,$D$1:$D$1324,D1037,$B$1:$B$1324,"&lt;="&amp;B1037)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14.98</v>
      </c>
      <c r="P1037" s="28">
        <f>IF(tblMovimientos[[#This Row],[Tipo de Movimiento]]="Ingreso",tblMovimientos[[#This Row],[Ingreso]],-tblMovimientos[[#This Row],[Egreso]])</f>
        <v>-14.98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Cross Security Trust</v>
      </c>
      <c r="D1038" s="41" t="s">
        <v>112</v>
      </c>
      <c r="E1038" s="68" t="str">
        <f>_xlfn.XLOOKUP(tblMovimientos[[#This Row],[Cuenta Bancaria]],Listas!$B:$B,Listas!$C:$C,"")</f>
        <v>Bank of America</v>
      </c>
      <c r="F1038" s="41" t="s">
        <v>9</v>
      </c>
      <c r="G1038" s="41" t="s">
        <v>84</v>
      </c>
      <c r="H1038" s="4" t="str">
        <f>IFERROR(_xlfn.XLOOKUP(G1038,Listas!E:E,Listas!F:F,""),"")</f>
        <v>Operativo</v>
      </c>
      <c r="I1038" s="69" t="str">
        <f>IFERROR(_xlfn.XLOOKUP(G1038,Listas!E:E,Listas!G:G,""),"")</f>
        <v>Externo</v>
      </c>
      <c r="J1038" s="43">
        <v>4.24</v>
      </c>
      <c r="K1038" s="5">
        <f t="shared" si="16"/>
        <v>4.24</v>
      </c>
      <c r="L1038" s="15" t="s">
        <v>133</v>
      </c>
      <c r="M1038" s="44">
        <f>SUMIFS('Saldos Iniciales'!$D:$D,'Saldos Iniciales'!$A:$A,C1038,'Saldos Iniciales'!$B:$B,D1038)+SUMIFS($K$1:$K$1324,$C$1:$C$1324,C1038,$D$1:$D$1324,D1038,$B$1:$B$1324,"&lt;="&amp;B1038)</f>
        <v>217688.58</v>
      </c>
      <c r="N1038" s="61">
        <f>IF(tblMovimientos[[#This Row],[Tipo de Movimiento]]="Ingreso",tblMovimientos[[#This Row],[Monto (S/)]],"0")</f>
        <v>4.24</v>
      </c>
      <c r="O1038" s="61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4.24</v>
      </c>
      <c r="Q1038" s="78" t="str">
        <f>_xlfn.XLOOKUP(tblMovimientos[[#This Row],[Cuenta Bancaria]],Cuentas!$C:$C,Cuentas!$A:$A,"")&amp;""</f>
        <v>SSP Group</v>
      </c>
      <c r="R1038" s="78" t="str">
        <f>_xlfn.XLOOKUP(tblMovimientos[[#This Row],[Cuenta Bancaria]],Cuentas!$C:$C,Cuentas!$B:$B,"",0,-1)&amp;""</f>
        <v>Trust</v>
      </c>
    </row>
    <row r="1039" spans="1:18" x14ac:dyDescent="0.3">
      <c r="B1039" s="39">
        <v>46281</v>
      </c>
      <c r="C1039" s="4" t="str">
        <f>_xlfn.XLOOKUP(tblMovimientos[[#This Row],[Cuenta Bancaria]],Listas!$B:$B,Listas!$A:$A,"")</f>
        <v>SSP Capital</v>
      </c>
      <c r="D1039" s="41" t="s">
        <v>101</v>
      </c>
      <c r="E1039" s="68" t="str">
        <f>_xlfn.XLOOKUP(tblMovimientos[[#This Row],[Cuenta Bancaria]],Listas!$B:$B,Listas!$C:$C,"")</f>
        <v>Bank of America</v>
      </c>
      <c r="F1039" s="41" t="s">
        <v>10</v>
      </c>
      <c r="G1039" s="41" t="s">
        <v>38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2490.36</v>
      </c>
      <c r="K1039" s="5">
        <f t="shared" si="16"/>
        <v>-2490.36</v>
      </c>
      <c r="L1039" s="15" t="s">
        <v>133</v>
      </c>
      <c r="M1039" s="44">
        <f>SUMIFS('Saldos Iniciales'!$D:$D,'Saldos Iniciales'!$A:$A,C1039,'Saldos Iniciales'!$B:$B,D1039)+SUMIFS($K$1:$K$1324,$C$1:$C$1324,C1039,$D$1:$D$1324,D1039,$B$1:$B$1324,"&lt;="&amp;B1039)</f>
        <v>26581.72</v>
      </c>
      <c r="N1039" s="61" t="str">
        <f>IF(tblMovimientos[[#This Row],[Tipo de Movimiento]]="Ingreso",tblMovimientos[[#This Row],[Monto (S/)]],"0")</f>
        <v>0</v>
      </c>
      <c r="O1039" s="61">
        <f>IF(tblMovimientos[[#This Row],[Tipo de Movimiento]]="Egreso",tblMovimientos[[#This Row],[Monto (S/)]],"0")</f>
        <v>2490.36</v>
      </c>
      <c r="P1039" s="28">
        <f>IF(tblMovimientos[[#This Row],[Tipo de Movimiento]]="Ingreso",tblMovimientos[[#This Row],[Ingreso]],-tblMovimientos[[#This Row],[Egreso]])</f>
        <v>-2490.36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/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Go Blue</v>
      </c>
      <c r="D1040" s="41" t="s">
        <v>165</v>
      </c>
      <c r="E1040" s="68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203</v>
      </c>
      <c r="K1040" s="5">
        <f t="shared" si="16"/>
        <v>-203</v>
      </c>
      <c r="L1040" s="15" t="s">
        <v>133</v>
      </c>
      <c r="M1040" s="44">
        <f>SUMIFS('Saldos Iniciales'!$D:$D,'Saldos Iniciales'!$A:$A,C1040,'Saldos Iniciales'!$B:$B,D1040)+SUMIFS($K$1:$K$1324,$C$1:$C$1324,C1040,$D$1:$D$1324,D1040,$B$1:$B$1324,"&lt;="&amp;B1040)</f>
        <v>1894.760000000002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203</v>
      </c>
      <c r="P1040" s="28">
        <f>IF(tblMovimientos[[#This Row],[Tipo de Movimiento]]="Ingreso",tblMovimientos[[#This Row],[Ingreso]],-tblMovimientos[[#This Row],[Egreso]])</f>
        <v>-203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Prendamas SRL</v>
      </c>
      <c r="D1041" s="41" t="s">
        <v>186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715</v>
      </c>
      <c r="K1041" s="5">
        <f t="shared" si="16"/>
        <v>-715</v>
      </c>
      <c r="L1041" s="15" t="s">
        <v>133</v>
      </c>
      <c r="M1041" s="44">
        <f>SUMIFS('Saldos Iniciales'!$D:$D,'Saldos Iniciales'!$A:$A,C1041,'Saldos Iniciales'!$B:$B,D1041)+SUMIFS($K$1:$K$1324,$C$1:$C$1324,C1041,$D$1:$D$1324,D1041,$B$1:$B$1324,"&lt;="&amp;B1041)</f>
        <v>29877.869999999981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715</v>
      </c>
      <c r="P1041" s="28">
        <f>IF(tblMovimientos[[#This Row],[Tipo de Movimiento]]="Ingreso",tblMovimientos[[#This Row],[Ingreso]],-tblMovimientos[[#This Row],[Egreso]])</f>
        <v>-715</v>
      </c>
      <c r="Q1041" s="78" t="str">
        <f>_xlfn.XLOOKUP(tblMovimientos[[#This Row],[Cuenta Bancaria]],Cuentas!$C:$C,Cuentas!$A:$A,"")&amp;""</f>
        <v>Unidades de Negocio</v>
      </c>
      <c r="R1041" s="78" t="str">
        <f>_xlfn.XLOOKUP(tblMovimientos[[#This Row],[Cuenta Bancaria]],Cuentas!$C:$C,Cuentas!$B:$B,"",0,-1)&amp;""</f>
        <v/>
      </c>
    </row>
    <row r="1042" spans="2:18" x14ac:dyDescent="0.3">
      <c r="B1042" s="39">
        <v>46282</v>
      </c>
      <c r="C1042" s="4" t="str">
        <f>_xlfn.XLOOKUP(tblMovimientos[[#This Row],[Cuenta Bancaria]],Listas!$B:$B,Listas!$A:$A,"")</f>
        <v>A&amp;M Imports</v>
      </c>
      <c r="D1042" s="41" t="s">
        <v>100</v>
      </c>
      <c r="E1042" s="68" t="str">
        <f>_xlfn.XLOOKUP(tblMovimientos[[#This Row],[Cuenta Bancaria]],Listas!$B:$B,Listas!$C:$C,"")</f>
        <v>Bank of America</v>
      </c>
      <c r="F1042" s="41" t="s">
        <v>10</v>
      </c>
      <c r="G1042" s="41" t="s">
        <v>62</v>
      </c>
      <c r="H1042" s="4" t="str">
        <f>IFERROR(_xlfn.XLOOKUP(G1042,Listas!E:E,Listas!F:F,""),"")</f>
        <v>Operativo</v>
      </c>
      <c r="I1042" s="46" t="str">
        <f>IFERROR(_xlfn.XLOOKUP(G1042,Listas!E:E,Listas!G:G,""),"")</f>
        <v>Interno</v>
      </c>
      <c r="J1042" s="43">
        <v>60000</v>
      </c>
      <c r="K1042" s="5">
        <f t="shared" si="16"/>
        <v>-60000</v>
      </c>
      <c r="L1042" s="15" t="s">
        <v>133</v>
      </c>
      <c r="M1042" s="44">
        <f>SUMIFS('Saldos Iniciales'!$D:$D,'Saldos Iniciales'!$A:$A,C1042,'Saldos Iniciales'!$B:$B,D1042)+SUMIFS($K$1:$K$1324,$C$1:$C$1324,C1042,$D$1:$D$1324,D1042,$B$1:$B$1324,"&lt;="&amp;B1042)</f>
        <v>975534.6399999999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  <c r="Q1042" s="78" t="str">
        <f>_xlfn.XLOOKUP(tblMovimientos[[#This Row],[Cuenta Bancaria]],Cuentas!$C:$C,Cuentas!$A:$A,"")&amp;""</f>
        <v>SSP Group</v>
      </c>
      <c r="R1042" s="78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70000</v>
      </c>
      <c r="K1043" s="5">
        <f t="shared" si="16"/>
        <v>-70000</v>
      </c>
      <c r="L1043" s="15" t="s">
        <v>133</v>
      </c>
      <c r="M1043" s="44">
        <f>SUMIFS('Saldos Iniciales'!$D:$D,'Saldos Iniciales'!$A:$A,C1043,'Saldos Iniciales'!$B:$B,D1043)+SUMIFS($K$1:$K$1324,$C$1:$C$1324,C1043,$D$1:$D$1324,D1043,$B$1:$B$1324,"&lt;="&amp;B1043)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70000</v>
      </c>
      <c r="P1043" s="28">
        <f>IF(tblMovimientos[[#This Row],[Tipo de Movimiento]]="Ingreso",tblMovimientos[[#This Row],[Ingreso]],-tblMovimientos[[#This Row],[Egreso]])</f>
        <v>-70000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Go Blue</v>
      </c>
      <c r="D1044" s="41" t="s">
        <v>165</v>
      </c>
      <c r="E1044" s="68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38</v>
      </c>
      <c r="H1044" s="4" t="str">
        <f>IFERROR(_xlfn.XLOOKUP(G1044,Listas!E:E,Listas!F:F,""),"")</f>
        <v>Operativo</v>
      </c>
      <c r="I1044" s="46" t="str">
        <f>IFERROR(_xlfn.XLOOKUP(G1044,Listas!E:E,Listas!G:G,""),"")</f>
        <v>Externo</v>
      </c>
      <c r="J1044" s="43">
        <v>220.01</v>
      </c>
      <c r="K1044" s="5">
        <f t="shared" si="16"/>
        <v>-220.01</v>
      </c>
      <c r="L1044" s="15" t="s">
        <v>133</v>
      </c>
      <c r="M1044" s="44">
        <f>SUMIFS('Saldos Iniciales'!$D:$D,'Saldos Iniciales'!$A:$A,C1044,'Saldos Iniciales'!$B:$B,D1044)+SUMIFS($K$1:$K$1324,$C$1:$C$1324,C1044,$D$1:$D$1324,D1044,$B$1:$B$1324,"&lt;="&amp;B1044)</f>
        <v>1674.7500000000018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220.01</v>
      </c>
      <c r="P1044" s="28">
        <f>IF(tblMovimientos[[#This Row],[Tipo de Movimiento]]="Ingreso",tblMovimientos[[#This Row],[Ingreso]],-tblMovimientos[[#This Row],[Egreso]])</f>
        <v>-220.01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CFT Group</v>
      </c>
      <c r="D1045" s="41" t="s">
        <v>95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46</v>
      </c>
      <c r="H1045" s="4" t="str">
        <f>IFERROR(_xlfn.XLOOKUP(G1045,Listas!E:E,Listas!F:F,""),"")</f>
        <v>Financiamiento</v>
      </c>
      <c r="I1045" s="46" t="str">
        <f>IFERROR(_xlfn.XLOOKUP(G1045,Listas!E:E,Listas!G:G,""),"")</f>
        <v>Externo</v>
      </c>
      <c r="J1045" s="43">
        <v>2916.67</v>
      </c>
      <c r="K1045" s="5">
        <f t="shared" si="16"/>
        <v>-2916.67</v>
      </c>
      <c r="L1045" s="15" t="s">
        <v>133</v>
      </c>
      <c r="M1045" s="44">
        <f>SUMIFS('Saldos Iniciales'!$D:$D,'Saldos Iniciales'!$A:$A,C1045,'Saldos Iniciales'!$B:$B,D1045)+SUMIFS($K$1:$K$1324,$C$1:$C$1324,C1045,$D$1:$D$1324,D1045,$B$1:$B$1324,"&lt;="&amp;B1045)</f>
        <v>1534879.790000001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2916.67</v>
      </c>
      <c r="P1045" s="28">
        <f>IF(tblMovimientos[[#This Row],[Tipo de Movimiento]]="Ingreso",tblMovimientos[[#This Row],[Ingreso]],-tblMovimientos[[#This Row],[Egreso]])</f>
        <v>-2916.67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3908.33</v>
      </c>
      <c r="K1046" s="5">
        <f t="shared" si="16"/>
        <v>-3908.33</v>
      </c>
      <c r="L1046" s="15" t="s">
        <v>133</v>
      </c>
      <c r="M1046" s="44">
        <f>SUMIFS('Saldos Iniciales'!$D:$D,'Saldos Iniciales'!$A:$A,C1046,'Saldos Iniciales'!$B:$B,D1046)+SUMIFS($K$1:$K$1324,$C$1:$C$1324,C1046,$D$1:$D$1324,D1046,$B$1:$B$1324,"&lt;="&amp;B1046)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3908.33</v>
      </c>
      <c r="P1046" s="28">
        <f>IF(tblMovimientos[[#This Row],[Tipo de Movimiento]]="Ingreso",tblMovimientos[[#This Row],[Ingreso]],-tblMovimientos[[#This Row],[Egreso]])</f>
        <v>-3908.33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12055.56</v>
      </c>
      <c r="K1047" s="5">
        <f t="shared" si="16"/>
        <v>-12055.56</v>
      </c>
      <c r="L1047" s="15" t="s">
        <v>133</v>
      </c>
      <c r="M1047" s="44">
        <f>SUMIFS('Saldos Iniciales'!$D:$D,'Saldos Iniciales'!$A:$A,C1047,'Saldos Iniciales'!$B:$B,D1047)+SUMIFS($K$1:$K$1324,$C$1:$C$1324,C1047,$D$1:$D$1324,D1047,$B$1:$B$1324,"&lt;="&amp;B1047)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12055.56</v>
      </c>
      <c r="P1047" s="28">
        <f>IF(tblMovimientos[[#This Row],[Tipo de Movimiento]]="Ingreso",tblMovimientos[[#This Row],[Ingreso]],-tblMovimientos[[#This Row],[Egreso]])</f>
        <v>-12055.56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13622.78</v>
      </c>
      <c r="K1048" s="5">
        <f t="shared" si="16"/>
        <v>-13622.78</v>
      </c>
      <c r="L1048" s="15" t="s">
        <v>133</v>
      </c>
      <c r="M1048" s="44">
        <f>SUMIFS('Saldos Iniciales'!$D:$D,'Saldos Iniciales'!$A:$A,C1048,'Saldos Iniciales'!$B:$B,D1048)+SUMIFS($K$1:$K$1324,$C$1:$C$1324,C1048,$D$1:$D$1324,D1048,$B$1:$B$1324,"&lt;="&amp;B1048)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13622.78</v>
      </c>
      <c r="P1048" s="28">
        <f>IF(tblMovimientos[[#This Row],[Tipo de Movimiento]]="Ingreso",tblMovimientos[[#This Row],[Ingreso]],-tblMovimientos[[#This Row],[Egreso]])</f>
        <v>-13622.78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27083.33</v>
      </c>
      <c r="K1049" s="5">
        <f t="shared" si="16"/>
        <v>-27083.33</v>
      </c>
      <c r="L1049" s="15" t="s">
        <v>133</v>
      </c>
      <c r="M1049" s="44">
        <f>SUMIFS('Saldos Iniciales'!$D:$D,'Saldos Iniciales'!$A:$A,C1049,'Saldos Iniciales'!$B:$B,D1049)+SUMIFS($K$1:$K$1324,$C$1:$C$1324,C1049,$D$1:$D$1324,D1049,$B$1:$B$1324,"&lt;="&amp;B1049)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27083.33</v>
      </c>
      <c r="P1049" s="28">
        <f>IF(tblMovimientos[[#This Row],[Tipo de Movimiento]]="Ingreso",tblMovimientos[[#This Row],[Ingreso]],-tblMovimientos[[#This Row],[Egreso]])</f>
        <v>-27083.33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71041.67</v>
      </c>
      <c r="K1050" s="5">
        <f t="shared" si="16"/>
        <v>-71041.67</v>
      </c>
      <c r="L1050" s="15" t="s">
        <v>133</v>
      </c>
      <c r="M1050" s="44">
        <f>SUMIFS('Saldos Iniciales'!$D:$D,'Saldos Iniciales'!$A:$A,C1050,'Saldos Iniciales'!$B:$B,D1050)+SUMIFS($K$1:$K$1324,$C$1:$C$1324,C1050,$D$1:$D$1324,D1050,$B$1:$B$1324,"&lt;="&amp;B1050)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71041.67</v>
      </c>
      <c r="P1050" s="28">
        <f>IF(tblMovimientos[[#This Row],[Tipo de Movimiento]]="Ingreso",tblMovimientos[[#This Row],[Ingreso]],-tblMovimientos[[#This Row],[Egreso]])</f>
        <v>-71041.67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SSP Capital</v>
      </c>
      <c r="D1051" s="41" t="s">
        <v>104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5597.22</v>
      </c>
      <c r="K1051" s="5">
        <f t="shared" si="16"/>
        <v>-5597.22</v>
      </c>
      <c r="L1051" s="15" t="s">
        <v>133</v>
      </c>
      <c r="M1051" s="44">
        <f>SUMIFS('Saldos Iniciales'!$D:$D,'Saldos Iniciales'!$A:$A,C1051,'Saldos Iniciales'!$B:$B,D1051)+SUMIFS($K$1:$K$1324,$C$1:$C$1324,C1051,$D$1:$D$1324,D1051,$B$1:$B$1324,"&lt;="&amp;B1051)</f>
        <v>222033.84999999928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5597.22</v>
      </c>
      <c r="P1051" s="28">
        <f>IF(tblMovimientos[[#This Row],[Tipo de Movimiento]]="Ingreso",tblMovimientos[[#This Row],[Ingreso]],-tblMovimientos[[#This Row],[Egreso]])</f>
        <v>-5597.22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26250</v>
      </c>
      <c r="K1052" s="5">
        <f t="shared" si="16"/>
        <v>-26250</v>
      </c>
      <c r="L1052" s="15" t="s">
        <v>133</v>
      </c>
      <c r="M1052" s="44">
        <f>SUMIFS('Saldos Iniciales'!$D:$D,'Saldos Iniciales'!$A:$A,C1052,'Saldos Iniciales'!$B:$B,D1052)+SUMIFS($K$1:$K$1324,$C$1:$C$1324,C1052,$D$1:$D$1324,D1052,$B$1:$B$1324,"&lt;="&amp;B1052)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26250</v>
      </c>
      <c r="P1052" s="28">
        <f>IF(tblMovimientos[[#This Row],[Tipo de Movimiento]]="Ingreso",tblMovimientos[[#This Row],[Ingreso]],-tblMovimientos[[#This Row],[Egreso]])</f>
        <v>-26250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39583.339999999997</v>
      </c>
      <c r="K1053" s="5">
        <f t="shared" si="16"/>
        <v>-39583.339999999997</v>
      </c>
      <c r="L1053" s="15" t="s">
        <v>133</v>
      </c>
      <c r="M1053" s="44">
        <f>SUMIFS('Saldos Iniciales'!$D:$D,'Saldos Iniciales'!$A:$A,C1053,'Saldos Iniciales'!$B:$B,D1053)+SUMIFS($K$1:$K$1324,$C$1:$C$1324,C1053,$D$1:$D$1324,D1053,$B$1:$B$1324,"&lt;="&amp;B1053)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39583.339999999997</v>
      </c>
      <c r="P1053" s="28">
        <f>IF(tblMovimientos[[#This Row],[Tipo de Movimiento]]="Ingreso",tblMovimientos[[#This Row],[Ingreso]],-tblMovimientos[[#This Row],[Egreso]])</f>
        <v>-39583.339999999997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47361.11</v>
      </c>
      <c r="K1054" s="5">
        <f t="shared" si="16"/>
        <v>-47361.11</v>
      </c>
      <c r="L1054" s="15" t="s">
        <v>133</v>
      </c>
      <c r="M1054" s="44">
        <f>SUMIFS('Saldos Iniciales'!$D:$D,'Saldos Iniciales'!$A:$A,C1054,'Saldos Iniciales'!$B:$B,D1054)+SUMIFS($K$1:$K$1324,$C$1:$C$1324,C1054,$D$1:$D$1324,D1054,$B$1:$B$1324,"&lt;="&amp;B1054)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47361.11</v>
      </c>
      <c r="P1054" s="28">
        <f>IF(tblMovimientos[[#This Row],[Tipo de Movimiento]]="Ingreso",tblMovimientos[[#This Row],[Ingreso]],-tblMovimientos[[#This Row],[Egreso]])</f>
        <v>-47361.11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Pacha Ventures LLC</v>
      </c>
      <c r="D1055" s="41" t="s">
        <v>187</v>
      </c>
      <c r="E1055" s="68" t="str">
        <f>_xlfn.XLOOKUP(tblMovimientos[[#This Row],[Cuenta Bancaria]],Listas!$B:$B,Listas!$C:$C,"")</f>
        <v xml:space="preserve">Amerant Bank </v>
      </c>
      <c r="F1055" s="41" t="s">
        <v>9</v>
      </c>
      <c r="G1055" s="41" t="s">
        <v>69</v>
      </c>
      <c r="H1055" s="4" t="str">
        <f>IFERROR(_xlfn.XLOOKUP(G1055,Listas!E:E,Listas!F:F,""),"")</f>
        <v>Operativo</v>
      </c>
      <c r="I1055" s="46" t="str">
        <f>IFERROR(_xlfn.XLOOKUP(G1055,Listas!E:E,Listas!G:G,""),"")</f>
        <v>Interno</v>
      </c>
      <c r="J1055" s="43">
        <v>13622.78</v>
      </c>
      <c r="K1055" s="5">
        <f t="shared" si="16"/>
        <v>13622.78</v>
      </c>
      <c r="L1055" s="15" t="s">
        <v>133</v>
      </c>
      <c r="M1055" s="44">
        <f>SUMIFS('Saldos Iniciales'!$D:$D,'Saldos Iniciales'!$A:$A,C1055,'Saldos Iniciales'!$B:$B,D1055)+SUMIFS($K$1:$K$1324,$C$1:$C$1324,C1055,$D$1:$D$1324,D1055,$B$1:$B$1324,"&lt;="&amp;B1055)</f>
        <v>312415.12000000005</v>
      </c>
      <c r="N1055" s="61">
        <f>IF(tblMovimientos[[#This Row],[Tipo de Movimiento]]="Ingreso",tblMovimientos[[#This Row],[Monto (S/)]],"0")</f>
        <v>13622.78</v>
      </c>
      <c r="O1055" s="61" t="str">
        <f>IF(tblMovimientos[[#This Row],[Tipo de Movimiento]]="Egreso",tblMovimientos[[#This Row],[Monto (S/)]],"0")</f>
        <v>0</v>
      </c>
      <c r="P1055" s="28">
        <f>IF(tblMovimientos[[#This Row],[Tipo de Movimiento]]="Ingreso",tblMovimientos[[#This Row],[Ingreso]],-tblMovimientos[[#This Row],[Egreso]])</f>
        <v>13622.78</v>
      </c>
      <c r="Q1055" s="78" t="str">
        <f>_xlfn.XLOOKUP(tblMovimientos[[#This Row],[Cuenta Bancaria]],Cuentas!$C:$C,Cuentas!$A:$A,"")&amp;""</f>
        <v>Michael Cross</v>
      </c>
      <c r="R1055" s="78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CFT1 Residence</v>
      </c>
      <c r="D1056" s="41" t="s">
        <v>184</v>
      </c>
      <c r="E1056" s="68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9767.73</v>
      </c>
      <c r="K1056" s="5">
        <f t="shared" si="16"/>
        <v>-9767.73</v>
      </c>
      <c r="L1056" s="15" t="s">
        <v>133</v>
      </c>
      <c r="M1056" s="44">
        <f>SUMIFS('Saldos Iniciales'!$D:$D,'Saldos Iniciales'!$A:$A,C1056,'Saldos Iniciales'!$B:$B,D1056)+SUMIFS($K$1:$K$1324,$C$1:$C$1324,C1056,$D$1:$D$1324,D1056,$B$1:$B$1324,"&lt;="&amp;B1056)</f>
        <v>15777.729999999996</v>
      </c>
      <c r="N1056" s="61" t="str">
        <f>IF(tblMovimientos[[#This Row],[Tipo de Movimiento]]="Ingreso",tblMovimientos[[#This Row],[Monto (S/)]],"0")</f>
        <v>0</v>
      </c>
      <c r="O1056" s="61">
        <f>IF(tblMovimientos[[#This Row],[Tipo de Movimiento]]="Egreso",tblMovimientos[[#This Row],[Monto (S/)]],"0")</f>
        <v>9767.73</v>
      </c>
      <c r="P1056" s="28">
        <f>IF(tblMovimientos[[#This Row],[Tipo de Movimiento]]="Ingreso",tblMovimientos[[#This Row],[Ingreso]],-tblMovimientos[[#This Row],[Egreso]])</f>
        <v>-9767.73</v>
      </c>
      <c r="Q1056" s="78" t="str">
        <f>_xlfn.XLOOKUP(tblMovimientos[[#This Row],[Cuenta Bancaria]],Cuentas!$C:$C,Cuentas!$A:$A,"")&amp;""</f>
        <v>Carmen Cross Irrevocable Trust</v>
      </c>
      <c r="R1056" s="78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Prendamas SRL</v>
      </c>
      <c r="D1057" s="41" t="s">
        <v>186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547.04</v>
      </c>
      <c r="K1057" s="5">
        <f t="shared" si="16"/>
        <v>-547.04</v>
      </c>
      <c r="L1057" s="15" t="s">
        <v>133</v>
      </c>
      <c r="M1057" s="44">
        <f>SUMIFS('Saldos Iniciales'!$D:$D,'Saldos Iniciales'!$A:$A,C1057,'Saldos Iniciales'!$B:$B,D1057)+SUMIFS($K$1:$K$1324,$C$1:$C$1324,C1057,$D$1:$D$1324,D1057,$B$1:$B$1324,"&lt;="&amp;B1057)</f>
        <v>26755.729999999981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547.04</v>
      </c>
      <c r="P1057" s="28">
        <f>IF(tblMovimientos[[#This Row],[Tipo de Movimiento]]="Ingreso",tblMovimientos[[#This Row],[Ingreso]],-tblMovimientos[[#This Row],[Egreso]])</f>
        <v>-547.04</v>
      </c>
      <c r="Q1057" s="78" t="str">
        <f>_xlfn.XLOOKUP(tblMovimientos[[#This Row],[Cuenta Bancaria]],Cuentas!$C:$C,Cuentas!$A:$A,"")&amp;""</f>
        <v>Unidades de Negocio</v>
      </c>
      <c r="R1057" s="78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2518.69</v>
      </c>
      <c r="K1058" s="5">
        <f t="shared" si="16"/>
        <v>-2518.69</v>
      </c>
      <c r="L1058" s="15" t="s">
        <v>133</v>
      </c>
      <c r="M1058" s="44">
        <f>SUMIFS('Saldos Iniciales'!$D:$D,'Saldos Iniciales'!$A:$A,C1058,'Saldos Iniciales'!$B:$B,D1058)+SUMIFS($K$1:$K$1324,$C$1:$C$1324,C1058,$D$1:$D$1324,D1058,$B$1:$B$1324,"&lt;="&amp;B1058)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2518.69</v>
      </c>
      <c r="P1058" s="28">
        <f>IF(tblMovimientos[[#This Row],[Tipo de Movimiento]]="Ingreso",tblMovimientos[[#This Row],[Ingreso]],-tblMovimientos[[#This Row],[Egreso]])</f>
        <v>-2518.69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44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40</v>
      </c>
      <c r="K1059" s="5">
        <f t="shared" si="16"/>
        <v>-40</v>
      </c>
      <c r="L1059" s="15" t="s">
        <v>133</v>
      </c>
      <c r="M1059" s="44">
        <f>SUMIFS('Saldos Iniciales'!$D:$D,'Saldos Iniciales'!$A:$A,C1059,'Saldos Iniciales'!$B:$B,D1059)+SUMIFS($K$1:$K$1324,$C$1:$C$1324,C1059,$D$1:$D$1324,D1059,$B$1:$B$1324,"&lt;="&amp;B1059)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40</v>
      </c>
      <c r="P1059" s="28">
        <f>IF(tblMovimientos[[#This Row],[Tipo de Movimiento]]="Ingreso",tblMovimientos[[#This Row],[Ingreso]],-tblMovimientos[[#This Row],[Egreso]])</f>
        <v>-40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16.41</v>
      </c>
      <c r="K1060" s="5">
        <f t="shared" si="16"/>
        <v>-16.41</v>
      </c>
      <c r="L1060" s="15" t="s">
        <v>133</v>
      </c>
      <c r="M1060" s="44">
        <f>SUMIFS('Saldos Iniciales'!$D:$D,'Saldos Iniciales'!$A:$A,C1060,'Saldos Iniciales'!$B:$B,D1060)+SUMIFS($K$1:$K$1324,$C$1:$C$1324,C1060,$D$1:$D$1324,D1060,$B$1:$B$1324,"&lt;="&amp;B1060)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16.41</v>
      </c>
      <c r="P1060" s="28">
        <f>IF(tblMovimientos[[#This Row],[Tipo de Movimiento]]="Ingreso",tblMovimientos[[#This Row],[Ingreso]],-tblMovimientos[[#This Row],[Egreso]])</f>
        <v>-16.41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x14ac:dyDescent="0.3">
      <c r="B1061" s="39">
        <v>46283</v>
      </c>
      <c r="C1061" s="4" t="str">
        <f>_xlfn.XLOOKUP(tblMovimientos[[#This Row],[Cuenta Bancaria]],Listas!$B:$B,Listas!$A:$A,"")</f>
        <v>SSP Capital</v>
      </c>
      <c r="D1061" s="41" t="s">
        <v>102</v>
      </c>
      <c r="E1061" s="68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166.66</v>
      </c>
      <c r="K1061" s="5">
        <f t="shared" si="16"/>
        <v>-166.66</v>
      </c>
      <c r="L1061" s="15" t="s">
        <v>133</v>
      </c>
      <c r="M1061" s="44">
        <f>SUMIFS('Saldos Iniciales'!$D:$D,'Saldos Iniciales'!$A:$A,C1061,'Saldos Iniciales'!$B:$B,D1061)+SUMIFS($K$1:$K$1324,$C$1:$C$1324,C1061,$D$1:$D$1324,D1061,$B$1:$B$1324,"&lt;="&amp;B1061)</f>
        <v>778.34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166.66</v>
      </c>
      <c r="P1061" s="28">
        <f>IF(tblMovimientos[[#This Row],[Tipo de Movimiento]]="Ingreso",tblMovimientos[[#This Row],[Ingreso]],-tblMovimientos[[#This Row],[Egreso]])</f>
        <v>-166.66</v>
      </c>
      <c r="Q1061" s="78" t="str">
        <f>_xlfn.XLOOKUP(tblMovimientos[[#This Row],[Cuenta Bancaria]],Cuentas!$C:$C,Cuentas!$A:$A,"")&amp;""</f>
        <v>SSP Group</v>
      </c>
      <c r="R1061" s="78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A&amp;M Imports</v>
      </c>
      <c r="D1062" s="41" t="s">
        <v>100</v>
      </c>
      <c r="E1062" s="68" t="str">
        <f>_xlfn.XLOOKUP(tblMovimientos[[#This Row],[Cuenta Bancaria]],Listas!$B:$B,Listas!$C:$C,"")</f>
        <v>Bank of America</v>
      </c>
      <c r="F1062" s="41" t="s">
        <v>9</v>
      </c>
      <c r="G1062" s="41" t="s">
        <v>80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450000</v>
      </c>
      <c r="K1062" s="5">
        <f t="shared" si="16"/>
        <v>450000</v>
      </c>
      <c r="L1062" s="15" t="s">
        <v>133</v>
      </c>
      <c r="M1062" s="44">
        <f>SUMIFS('Saldos Iniciales'!$D:$D,'Saldos Iniciales'!$A:$A,C1062,'Saldos Iniciales'!$B:$B,D1062)+SUMIFS($K$1:$K$1324,$C$1:$C$1324,C1062,$D$1:$D$1324,D1062,$B$1:$B$1324,"&lt;="&amp;B1062)</f>
        <v>1425534.64</v>
      </c>
      <c r="N1062" s="61">
        <f>IF(tblMovimientos[[#This Row],[Tipo de Movimiento]]="Ingreso",tblMovimientos[[#This Row],[Monto (S/)]],"0")</f>
        <v>450000</v>
      </c>
      <c r="O1062" s="61" t="str">
        <f>IF(tblMovimientos[[#This Row],[Tipo de Movimiento]]="Egreso",tblMovimientos[[#This Row],[Monto (S/)]],"0")</f>
        <v>0</v>
      </c>
      <c r="P1062" s="28">
        <f>IF(tblMovimientos[[#This Row],[Tipo de Movimiento]]="Ingreso",tblMovimientos[[#This Row],[Ingreso]],-tblMovimientos[[#This Row],[Egreso]])</f>
        <v>450000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2515 Overbrook</v>
      </c>
      <c r="D1063" s="41" t="s">
        <v>121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87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5250</v>
      </c>
      <c r="K1063" s="5">
        <f t="shared" si="16"/>
        <v>5250</v>
      </c>
      <c r="L1063" s="15" t="s">
        <v>133</v>
      </c>
      <c r="M1063" s="44">
        <f>SUMIFS('Saldos Iniciales'!$D:$D,'Saldos Iniciales'!$A:$A,C1063,'Saldos Iniciales'!$B:$B,D1063)+SUMIFS($K$1:$K$1324,$C$1:$C$1324,C1063,$D$1:$D$1324,D1063,$B$1:$B$1324,"&lt;="&amp;B1063)</f>
        <v>29976.959999999963</v>
      </c>
      <c r="N1063" s="61">
        <f>IF(tblMovimientos[[#This Row],[Tipo de Movimiento]]="Ingreso",tblMovimientos[[#This Row],[Monto (S/)]],"0")</f>
        <v>5250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5250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CFT Group</v>
      </c>
      <c r="D1064" s="41" t="s">
        <v>95</v>
      </c>
      <c r="E1064" s="68" t="str">
        <f>_xlfn.XLOOKUP(tblMovimientos[[#This Row],[Cuenta Bancaria]],Listas!$B:$B,Listas!$C:$C,"")</f>
        <v xml:space="preserve">Amerant Bank </v>
      </c>
      <c r="F1064" s="41" t="s">
        <v>9</v>
      </c>
      <c r="G1064" s="41" t="s">
        <v>70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410000</v>
      </c>
      <c r="K1064" s="5">
        <f t="shared" si="16"/>
        <v>410000</v>
      </c>
      <c r="L1064" s="15" t="s">
        <v>133</v>
      </c>
      <c r="M1064" s="44">
        <f>SUMIFS('Saldos Iniciales'!$D:$D,'Saldos Iniciales'!$A:$A,C1064,'Saldos Iniciales'!$B:$B,D1064)+SUMIFS($K$1:$K$1324,$C$1:$C$1324,C1064,$D$1:$D$1324,D1064,$B$1:$B$1324,"&lt;="&amp;B1064)</f>
        <v>1944879.790000001</v>
      </c>
      <c r="N1064" s="61">
        <f>IF(tblMovimientos[[#This Row],[Tipo de Movimiento]]="Ingreso",tblMovimientos[[#This Row],[Monto (S/)]],"0")</f>
        <v>410000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410000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CFT1 Residence</v>
      </c>
      <c r="D1065" s="41" t="s">
        <v>184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87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87518.74</v>
      </c>
      <c r="K1065" s="5">
        <f t="shared" si="16"/>
        <v>87518.74</v>
      </c>
      <c r="L1065" s="15" t="s">
        <v>133</v>
      </c>
      <c r="M1065" s="44">
        <f>SUMIFS('Saldos Iniciales'!$D:$D,'Saldos Iniciales'!$A:$A,C1065,'Saldos Iniciales'!$B:$B,D1065)+SUMIFS($K$1:$K$1324,$C$1:$C$1324,C1065,$D$1:$D$1324,D1065,$B$1:$B$1324,"&lt;="&amp;B1065)</f>
        <v>102213.31</v>
      </c>
      <c r="N1065" s="61">
        <f>IF(tblMovimientos[[#This Row],[Tipo de Movimiento]]="Ingreso",tblMovimientos[[#This Row],[Monto (S/)]],"0")</f>
        <v>87518.74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87518.74</v>
      </c>
      <c r="Q1065" s="78" t="str">
        <f>_xlfn.XLOOKUP(tblMovimientos[[#This Row],[Cuenta Bancaria]],Cuentas!$C:$C,Cuentas!$A:$A,"")&amp;""</f>
        <v>Carmen Cross Irrevocable Trust</v>
      </c>
      <c r="R1065" s="78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1083.1600000000001</v>
      </c>
      <c r="K1066" s="5">
        <f t="shared" si="16"/>
        <v>-1083.1600000000001</v>
      </c>
      <c r="L1066" s="15" t="s">
        <v>133</v>
      </c>
      <c r="M1066" s="44">
        <f>SUMIFS('Saldos Iniciales'!$D:$D,'Saldos Iniciales'!$A:$A,C1066,'Saldos Iniciales'!$B:$B,D1066)+SUMIFS($K$1:$K$1324,$C$1:$C$1324,C1066,$D$1:$D$1324,D1066,$B$1:$B$1324,"&lt;="&amp;B1066)</f>
        <v>102213.31</v>
      </c>
      <c r="N1066" s="61" t="str">
        <f>IF(tblMovimientos[[#This Row],[Tipo de Movimiento]]="Ingreso",tblMovimientos[[#This Row],[Monto (S/)]],"0")</f>
        <v>0</v>
      </c>
      <c r="O1066" s="61">
        <f>IF(tblMovimientos[[#This Row],[Tipo de Movimiento]]="Egreso",tblMovimientos[[#This Row],[Monto (S/)]],"0")</f>
        <v>1083.1600000000001</v>
      </c>
      <c r="P1066" s="28">
        <f>IF(tblMovimientos[[#This Row],[Tipo de Movimiento]]="Ingreso",tblMovimientos[[#This Row],[Ingreso]],-tblMovimientos[[#This Row],[Egreso]])</f>
        <v>-1083.1600000000001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Go Blue</v>
      </c>
      <c r="D1067" s="41" t="s">
        <v>165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43.78</v>
      </c>
      <c r="K1067" s="5">
        <f t="shared" si="16"/>
        <v>-43.78</v>
      </c>
      <c r="L1067" s="15" t="s">
        <v>134</v>
      </c>
      <c r="M1067" s="44">
        <f>SUMIFS('Saldos Iniciales'!$D:$D,'Saldos Iniciales'!$A:$A,C1067,'Saldos Iniciales'!$B:$B,D1067)+SUMIFS($K$1:$K$1324,$C$1:$C$1324,C1067,$D$1:$D$1324,D1067,$B$1:$B$1324,"&lt;="&amp;B1067)</f>
        <v>1630.9700000000016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43.78</v>
      </c>
      <c r="P1067" s="28">
        <f>IF(tblMovimientos[[#This Row],[Tipo de Movimiento]]="Ingreso",tblMovimientos[[#This Row],[Ingreso]],-tblMovimientos[[#This Row],[Egreso]])</f>
        <v>-43.78</v>
      </c>
      <c r="Q1067" s="78" t="str">
        <f>_xlfn.XLOOKUP(tblMovimientos[[#This Row],[Cuenta Bancaria]],Cuentas!$C:$C,Cuentas!$A:$A,"")&amp;""</f>
        <v>SSP Group</v>
      </c>
      <c r="R1067" s="78" t="str">
        <f>_xlfn.XLOOKUP(tblMovimientos[[#This Row],[Cuenta Bancaria]],Cuentas!$C:$C,Cuentas!$B:$B,"",0,-1)&amp;""</f>
        <v/>
      </c>
    </row>
    <row r="1068" spans="2:18" x14ac:dyDescent="0.3">
      <c r="B1068" s="39">
        <v>46286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749</v>
      </c>
      <c r="K1068" s="5">
        <f t="shared" si="16"/>
        <v>-749</v>
      </c>
      <c r="L1068" s="15" t="s">
        <v>133</v>
      </c>
      <c r="M1068" s="44">
        <f>SUMIFS('Saldos Iniciales'!$D:$D,'Saldos Iniciales'!$A:$A,C1068,'Saldos Iniciales'!$B:$B,D1068)+SUMIFS($K$1:$K$1324,$C$1:$C$1324,C1068,$D$1:$D$1324,D1068,$B$1:$B$1324,"&lt;="&amp;B1068)</f>
        <v>859.50000000000091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749</v>
      </c>
      <c r="P1068" s="28">
        <f>IF(tblMovimientos[[#This Row],[Tipo de Movimiento]]="Ingreso",tblMovimientos[[#This Row],[Ingreso]],-tblMovimientos[[#This Row],[Egreso]])</f>
        <v>-749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44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22.47</v>
      </c>
      <c r="K1069" s="5">
        <f t="shared" si="16"/>
        <v>-22.47</v>
      </c>
      <c r="L1069" s="15" t="s">
        <v>133</v>
      </c>
      <c r="M1069" s="44">
        <f>SUMIFS('Saldos Iniciales'!$D:$D,'Saldos Iniciales'!$A:$A,C1069,'Saldos Iniciales'!$B:$B,D1069)+SUMIFS($K$1:$K$1324,$C$1:$C$1324,C1069,$D$1:$D$1324,D1069,$B$1:$B$1324,"&lt;="&amp;B1069)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22.47</v>
      </c>
      <c r="P1069" s="28">
        <f>IF(tblMovimientos[[#This Row],[Tipo de Movimiento]]="Ingreso",tblMovimientos[[#This Row],[Ingreso]],-tblMovimientos[[#This Row],[Egreso]])</f>
        <v>-22.47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SSP Capital</v>
      </c>
      <c r="D1070" s="41" t="s">
        <v>101</v>
      </c>
      <c r="E1070" s="68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2463.8000000000002</v>
      </c>
      <c r="K1070" s="5">
        <f t="shared" si="16"/>
        <v>-2463.8000000000002</v>
      </c>
      <c r="L1070" s="15" t="s">
        <v>133</v>
      </c>
      <c r="M1070" s="44">
        <f>SUMIFS('Saldos Iniciales'!$D:$D,'Saldos Iniciales'!$A:$A,C1070,'Saldos Iniciales'!$B:$B,D1070)+SUMIFS($K$1:$K$1324,$C$1:$C$1324,C1070,$D$1:$D$1324,D1070,$B$1:$B$1324,"&lt;="&amp;B1070)</f>
        <v>22599.980000000003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2463.8000000000002</v>
      </c>
      <c r="P1070" s="28">
        <f>IF(tblMovimientos[[#This Row],[Tipo de Movimiento]]="Ingreso",tblMovimientos[[#This Row],[Ingreso]],-tblMovimientos[[#This Row],[Egreso]])</f>
        <v>-2463.8000000000002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41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780.9</v>
      </c>
      <c r="K1071" s="5">
        <f t="shared" si="16"/>
        <v>-780.9</v>
      </c>
      <c r="L1071" s="15" t="s">
        <v>133</v>
      </c>
      <c r="M1071" s="44">
        <f>SUMIFS('Saldos Iniciales'!$D:$D,'Saldos Iniciales'!$A:$A,C1071,'Saldos Iniciales'!$B:$B,D1071)+SUMIFS($K$1:$K$1324,$C$1:$C$1324,C1071,$D$1:$D$1324,D1071,$B$1:$B$1324,"&lt;="&amp;B1071)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780.9</v>
      </c>
      <c r="P1071" s="28">
        <f>IF(tblMovimientos[[#This Row],[Tipo de Movimiento]]="Ingreso",tblMovimientos[[#This Row],[Ingreso]],-tblMovimientos[[#This Row],[Egreso]])</f>
        <v>-780.9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737.04</v>
      </c>
      <c r="K1072" s="5">
        <f t="shared" si="16"/>
        <v>-737.04</v>
      </c>
      <c r="L1072" s="15" t="s">
        <v>133</v>
      </c>
      <c r="M1072" s="44">
        <f>SUMIFS('Saldos Iniciales'!$D:$D,'Saldos Iniciales'!$A:$A,C1072,'Saldos Iniciales'!$B:$B,D1072)+SUMIFS($K$1:$K$1324,$C$1:$C$1324,C1072,$D$1:$D$1324,D1072,$B$1:$B$1324,"&lt;="&amp;B1072)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737.04</v>
      </c>
      <c r="P1072" s="28">
        <f>IF(tblMovimientos[[#This Row],[Tipo de Movimiento]]="Ingreso",tblMovimientos[[#This Row],[Ingreso]],-tblMovimientos[[#This Row],[Egreso]])</f>
        <v>-737.04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A&amp;M Imports</v>
      </c>
      <c r="D1073" s="41" t="s">
        <v>100</v>
      </c>
      <c r="E1073" s="68" t="str">
        <f>_xlfn.XLOOKUP(tblMovimientos[[#This Row],[Cuenta Bancaria]],Listas!$B:$B,Listas!$C:$C,"")</f>
        <v>Bank of America</v>
      </c>
      <c r="F1073" s="41" t="s">
        <v>9</v>
      </c>
      <c r="G1073" s="41" t="s">
        <v>80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28068.720000000001</v>
      </c>
      <c r="K1073" s="5">
        <f t="shared" si="16"/>
        <v>28068.720000000001</v>
      </c>
      <c r="L1073" s="15" t="s">
        <v>133</v>
      </c>
      <c r="M1073" s="44">
        <f>SUMIFS('Saldos Iniciales'!$D:$D,'Saldos Iniciales'!$A:$A,C1073,'Saldos Iniciales'!$B:$B,D1073)+SUMIFS($K$1:$K$1324,$C$1:$C$1324,C1073,$D$1:$D$1324,D1073,$B$1:$B$1324,"&lt;="&amp;B1073)</f>
        <v>1453603.3599999999</v>
      </c>
      <c r="N1073" s="61">
        <f>IF(tblMovimientos[[#This Row],[Tipo de Movimiento]]="Ingreso",tblMovimientos[[#This Row],[Monto (S/)]],"0")</f>
        <v>28068.720000000001</v>
      </c>
      <c r="O1073" s="61" t="str">
        <f>IF(tblMovimientos[[#This Row],[Tipo de Movimiento]]="Egreso",tblMovimientos[[#This Row],[Monto (S/)]],"0")</f>
        <v>0</v>
      </c>
      <c r="P1073" s="28">
        <f>IF(tblMovimientos[[#This Row],[Tipo de Movimiento]]="Ingreso",tblMovimientos[[#This Row],[Ingreso]],-tblMovimientos[[#This Row],[Egreso]])</f>
        <v>28068.720000000001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Prendamas SRL</v>
      </c>
      <c r="D1074" s="41" t="s">
        <v>186</v>
      </c>
      <c r="E1074" s="68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611.6</v>
      </c>
      <c r="K1074" s="5">
        <f t="shared" si="16"/>
        <v>-611.6</v>
      </c>
      <c r="L1074" s="15" t="s">
        <v>133</v>
      </c>
      <c r="M1074" s="44">
        <f>SUMIFS('Saldos Iniciales'!$D:$D,'Saldos Iniciales'!$A:$A,C1074,'Saldos Iniciales'!$B:$B,D1074)+SUMIFS($K$1:$K$1324,$C$1:$C$1324,C1074,$D$1:$D$1324,D1074,$B$1:$B$1324,"&lt;="&amp;B1074)</f>
        <v>25507.15999999996</v>
      </c>
      <c r="N1074" s="61" t="str">
        <f>IF(tblMovimientos[[#This Row],[Tipo de Movimiento]]="Ingreso",tblMovimientos[[#This Row],[Monto (S/)]],"0")</f>
        <v>0</v>
      </c>
      <c r="O1074" s="61">
        <f>IF(tblMovimientos[[#This Row],[Tipo de Movimiento]]="Egreso",tblMovimientos[[#This Row],[Monto (S/)]],"0")</f>
        <v>611.6</v>
      </c>
      <c r="P1074" s="28">
        <f>IF(tblMovimientos[[#This Row],[Tipo de Movimiento]]="Ingreso",tblMovimientos[[#This Row],[Ingreso]],-tblMovimientos[[#This Row],[Egreso]])</f>
        <v>-611.6</v>
      </c>
      <c r="Q1074" s="78" t="str">
        <f>_xlfn.XLOOKUP(tblMovimientos[[#This Row],[Cuenta Bancaria]],Cuentas!$C:$C,Cuentas!$A:$A,"")&amp;""</f>
        <v>Unidades de Negocio</v>
      </c>
      <c r="R1074" s="78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600.6</v>
      </c>
      <c r="K1075" s="5">
        <f t="shared" si="16"/>
        <v>-600.6</v>
      </c>
      <c r="L1075" s="15" t="s">
        <v>133</v>
      </c>
      <c r="M1075" s="44">
        <f>SUMIFS('Saldos Iniciales'!$D:$D,'Saldos Iniciales'!$A:$A,C1075,'Saldos Iniciales'!$B:$B,D1075)+SUMIFS($K$1:$K$1324,$C$1:$C$1324,C1075,$D$1:$D$1324,D1075,$B$1:$B$1324,"&lt;="&amp;B1075)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600.6</v>
      </c>
      <c r="P1075" s="28">
        <f>IF(tblMovimientos[[#This Row],[Tipo de Movimiento]]="Ingreso",tblMovimientos[[#This Row],[Ingreso]],-tblMovimientos[[#This Row],[Egreso]])</f>
        <v>-600.6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44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18.02</v>
      </c>
      <c r="K1076" s="5">
        <f t="shared" si="16"/>
        <v>-18.02</v>
      </c>
      <c r="L1076" s="15" t="s">
        <v>133</v>
      </c>
      <c r="M1076" s="44">
        <f>SUMIFS('Saldos Iniciales'!$D:$D,'Saldos Iniciales'!$A:$A,C1076,'Saldos Iniciales'!$B:$B,D1076)+SUMIFS($K$1:$K$1324,$C$1:$C$1324,C1076,$D$1:$D$1324,D1076,$B$1:$B$1324,"&lt;="&amp;B1076)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18.02</v>
      </c>
      <c r="P1076" s="28">
        <f>IF(tblMovimientos[[#This Row],[Tipo de Movimiento]]="Ingreso",tblMovimientos[[#This Row],[Ingreso]],-tblMovimientos[[#This Row],[Egreso]])</f>
        <v>-18.02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18.350000000000001</v>
      </c>
      <c r="K1077" s="5">
        <f t="shared" si="16"/>
        <v>-18.350000000000001</v>
      </c>
      <c r="L1077" s="15" t="s">
        <v>133</v>
      </c>
      <c r="M1077" s="44">
        <f>SUMIFS('Saldos Iniciales'!$D:$D,'Saldos Iniciales'!$A:$A,C1077,'Saldos Iniciales'!$B:$B,D1077)+SUMIFS($K$1:$K$1324,$C$1:$C$1324,C1077,$D$1:$D$1324,D1077,$B$1:$B$1324,"&lt;="&amp;B1077)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18.350000000000001</v>
      </c>
      <c r="P1077" s="28">
        <f>IF(tblMovimientos[[#This Row],[Tipo de Movimiento]]="Ingreso",tblMovimientos[[#This Row],[Ingreso]],-tblMovimientos[[#This Row],[Egreso]])</f>
        <v>-18.350000000000001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Nobe Aparments</v>
      </c>
      <c r="D1078" s="41" t="s">
        <v>191</v>
      </c>
      <c r="E1078" s="68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405.74</v>
      </c>
      <c r="K1078" s="5">
        <f t="shared" si="16"/>
        <v>-405.74</v>
      </c>
      <c r="L1078" s="15" t="s">
        <v>133</v>
      </c>
      <c r="M1078" s="44">
        <f>SUMIFS('Saldos Iniciales'!$D:$D,'Saldos Iniciales'!$A:$A,C1078,'Saldos Iniciales'!$B:$B,D1078)+SUMIFS($K$1:$K$1324,$C$1:$C$1324,C1078,$D$1:$D$1324,D1078,$B$1:$B$1324,"&lt;="&amp;B1078)</f>
        <v>208857.13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405.74</v>
      </c>
      <c r="P1078" s="28">
        <f>IF(tblMovimientos[[#This Row],[Tipo de Movimiento]]="Ingreso",tblMovimientos[[#This Row],[Ingreso]],-tblMovimientos[[#This Row],[Egreso]])</f>
        <v>-405.74</v>
      </c>
      <c r="Q1078" s="78" t="str">
        <f>_xlfn.XLOOKUP(tblMovimientos[[#This Row],[Cuenta Bancaria]],Cuentas!$C:$C,Cuentas!$A:$A,"")&amp;""</f>
        <v>Estate</v>
      </c>
      <c r="R1078" s="78" t="str">
        <f>_xlfn.XLOOKUP(tblMovimientos[[#This Row],[Cuenta Bancaria]],Cuentas!$C:$C,Cuentas!$B:$B,"",0,-1)&amp;""</f>
        <v/>
      </c>
    </row>
    <row r="1079" spans="1:18" x14ac:dyDescent="0.3">
      <c r="B1079" s="39">
        <v>46287</v>
      </c>
      <c r="C1079" s="4" t="str">
        <f>_xlfn.XLOOKUP(tblMovimientos[[#This Row],[Cuenta Bancaria]],Listas!$B:$B,Listas!$A:$A,"")</f>
        <v>SSP Capital</v>
      </c>
      <c r="D1079" s="41" t="s">
        <v>101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762.99</v>
      </c>
      <c r="K1079" s="5">
        <f t="shared" si="16"/>
        <v>-762.99</v>
      </c>
      <c r="L1079" s="15" t="s">
        <v>133</v>
      </c>
      <c r="M1079" s="44">
        <f>SUMIFS('Saldos Iniciales'!$D:$D,'Saldos Iniciales'!$A:$A,C1079,'Saldos Iniciales'!$B:$B,D1079)+SUMIFS($K$1:$K$1324,$C$1:$C$1324,C1079,$D$1:$D$1324,D1079,$B$1:$B$1324,"&lt;="&amp;B1079)</f>
        <v>21836.990000000005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762.99</v>
      </c>
      <c r="P1079" s="28">
        <f>IF(tblMovimientos[[#This Row],[Tipo de Movimiento]]="Ingreso",tblMovimientos[[#This Row],[Ingreso]],-tblMovimientos[[#This Row],[Egreso]])</f>
        <v>-762.99</v>
      </c>
      <c r="Q1079" s="78" t="str">
        <f>_xlfn.XLOOKUP(tblMovimientos[[#This Row],[Cuenta Bancaria]],Cuentas!$C:$C,Cuentas!$A:$A,"")&amp;""</f>
        <v>SSP Group</v>
      </c>
      <c r="R1079" s="78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2515 Overbrook</v>
      </c>
      <c r="D1080" s="41" t="s">
        <v>121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262.5</v>
      </c>
      <c r="K1080" s="5">
        <f t="shared" si="16"/>
        <v>-262.5</v>
      </c>
      <c r="L1080" s="15" t="s">
        <v>133</v>
      </c>
      <c r="M1080" s="44">
        <f>SUMIFS('Saldos Iniciales'!$D:$D,'Saldos Iniciales'!$A:$A,C1080,'Saldos Iniciales'!$B:$B,D1080)+SUMIFS($K$1:$K$1324,$C$1:$C$1324,C1080,$D$1:$D$1324,D1080,$B$1:$B$1324,"&lt;="&amp;B1080)</f>
        <v>28414.459999999963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262.5</v>
      </c>
      <c r="P1080" s="28">
        <f>IF(tblMovimientos[[#This Row],[Tipo de Movimiento]]="Ingreso",tblMovimientos[[#This Row],[Ingreso]],-tblMovimientos[[#This Row],[Egreso]])</f>
        <v>-262.5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1300</v>
      </c>
      <c r="K1081" s="5">
        <f t="shared" si="16"/>
        <v>-1300</v>
      </c>
      <c r="L1081" s="15" t="s">
        <v>133</v>
      </c>
      <c r="M1081" s="44">
        <f>SUMIFS('Saldos Iniciales'!$D:$D,'Saldos Iniciales'!$A:$A,C1081,'Saldos Iniciales'!$B:$B,D1081)+SUMIFS($K$1:$K$1324,$C$1:$C$1324,C1081,$D$1:$D$1324,D1081,$B$1:$B$1324,"&lt;="&amp;B1081)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1300</v>
      </c>
      <c r="P1081" s="28">
        <f>IF(tblMovimientos[[#This Row],[Tipo de Movimiento]]="Ingreso",tblMovimientos[[#This Row],[Ingreso]],-tblMovimientos[[#This Row],[Egreso]])</f>
        <v>-1300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112 Florida Ave</v>
      </c>
      <c r="D1082" s="41" t="s">
        <v>123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1120.03</v>
      </c>
      <c r="K1082" s="5">
        <f t="shared" si="16"/>
        <v>-1120.03</v>
      </c>
      <c r="L1082" s="15" t="s">
        <v>133</v>
      </c>
      <c r="M1082" s="44">
        <f>SUMIFS('Saldos Iniciales'!$D:$D,'Saldos Iniciales'!$A:$A,C1082,'Saldos Iniciales'!$B:$B,D1082)+SUMIFS($K$1:$K$1324,$C$1:$C$1324,C1082,$D$1:$D$1324,D1082,$B$1:$B$1324,"&lt;="&amp;B1082)</f>
        <v>15162.600000000006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1120.03</v>
      </c>
      <c r="P1082" s="28">
        <f>IF(tblMovimientos[[#This Row],[Tipo de Movimiento]]="Ingreso",tblMovimientos[[#This Row],[Ingreso]],-tblMovimientos[[#This Row],[Egreso]])</f>
        <v>-1120.03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3628 Thomas Ave</v>
      </c>
      <c r="D1083" s="41" t="s">
        <v>124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231.3</v>
      </c>
      <c r="K1083" s="5">
        <f t="shared" si="16"/>
        <v>-231.3</v>
      </c>
      <c r="L1083" s="15" t="s">
        <v>133</v>
      </c>
      <c r="M1083" s="44">
        <f>SUMIFS('Saldos Iniciales'!$D:$D,'Saldos Iniciales'!$A:$A,C1083,'Saldos Iniciales'!$B:$B,D1083)+SUMIFS($K$1:$K$1324,$C$1:$C$1324,C1083,$D$1:$D$1324,D1083,$B$1:$B$1324,"&lt;="&amp;B1083)</f>
        <v>12937.859999999997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231.3</v>
      </c>
      <c r="P1083" s="28">
        <f>IF(tblMovimientos[[#This Row],[Tipo de Movimiento]]="Ingreso",tblMovimientos[[#This Row],[Ingreso]],-tblMovimientos[[#This Row],[Egreso]])</f>
        <v>-231.3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46.84</v>
      </c>
      <c r="K1084" s="5">
        <f t="shared" si="16"/>
        <v>-46.84</v>
      </c>
      <c r="L1084" s="15" t="s">
        <v>133</v>
      </c>
      <c r="M1084" s="44">
        <f>SUMIFS('Saldos Iniciales'!$D:$D,'Saldos Iniciales'!$A:$A,C1084,'Saldos Iniciales'!$B:$B,D1084)+SUMIFS($K$1:$K$1324,$C$1:$C$1324,C1084,$D$1:$D$1324,D1084,$B$1:$B$1324,"&lt;="&amp;B1084)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46.84</v>
      </c>
      <c r="P1084" s="28">
        <f>IF(tblMovimientos[[#This Row],[Tipo de Movimiento]]="Ingreso",tblMovimientos[[#This Row],[Ingreso]],-tblMovimientos[[#This Row],[Egreso]])</f>
        <v>-46.84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470</v>
      </c>
      <c r="K1085" s="5">
        <f t="shared" si="16"/>
        <v>-470</v>
      </c>
      <c r="L1085" s="15" t="s">
        <v>133</v>
      </c>
      <c r="M1085" s="44">
        <f>SUMIFS('Saldos Iniciales'!$D:$D,'Saldos Iniciales'!$A:$A,C1085,'Saldos Iniciales'!$B:$B,D1085)+SUMIFS($K$1:$K$1324,$C$1:$C$1324,C1085,$D$1:$D$1324,D1085,$B$1:$B$1324,"&lt;="&amp;B1085)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470</v>
      </c>
      <c r="P1085" s="28">
        <f>IF(tblMovimientos[[#This Row],[Tipo de Movimiento]]="Ingreso",tblMovimientos[[#This Row],[Ingreso]],-tblMovimientos[[#This Row],[Egreso]])</f>
        <v>-470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Prendamas SRL</v>
      </c>
      <c r="D1086" s="41" t="s">
        <v>186</v>
      </c>
      <c r="E1086" s="68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546.54</v>
      </c>
      <c r="K1086" s="5">
        <f t="shared" si="16"/>
        <v>-546.54</v>
      </c>
      <c r="L1086" s="15" t="s">
        <v>133</v>
      </c>
      <c r="M1086" s="44">
        <f>SUMIFS('Saldos Iniciales'!$D:$D,'Saldos Iniciales'!$A:$A,C1086,'Saldos Iniciales'!$B:$B,D1086)+SUMIFS($K$1:$K$1324,$C$1:$C$1324,C1086,$D$1:$D$1324,D1086,$B$1:$B$1324,"&lt;="&amp;B1086)</f>
        <v>24944.219999999972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546.54</v>
      </c>
      <c r="P1086" s="28">
        <f>IF(tblMovimientos[[#This Row],[Tipo de Movimiento]]="Ingreso",tblMovimientos[[#This Row],[Ingreso]],-tblMovimientos[[#This Row],[Egreso]])</f>
        <v>-546.54</v>
      </c>
      <c r="Q1086" s="78" t="str">
        <f>_xlfn.XLOOKUP(tblMovimientos[[#This Row],[Cuenta Bancaria]],Cuentas!$C:$C,Cuentas!$A:$A,"")&amp;""</f>
        <v>Unidades de Negocio</v>
      </c>
      <c r="R1086" s="78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44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16.399999999999999</v>
      </c>
      <c r="K1087" s="5">
        <f t="shared" si="16"/>
        <v>-16.399999999999999</v>
      </c>
      <c r="L1087" s="15" t="s">
        <v>133</v>
      </c>
      <c r="M1087" s="44">
        <f>SUMIFS('Saldos Iniciales'!$D:$D,'Saldos Iniciales'!$A:$A,C1087,'Saldos Iniciales'!$B:$B,D1087)+SUMIFS($K$1:$K$1324,$C$1:$C$1324,C1087,$D$1:$D$1324,D1087,$B$1:$B$1324,"&lt;="&amp;B1087)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16.399999999999999</v>
      </c>
      <c r="P1087" s="28">
        <f>IF(tblMovimientos[[#This Row],[Tipo de Movimiento]]="Ingreso",tblMovimientos[[#This Row],[Ingreso]],-tblMovimientos[[#This Row],[Egreso]])</f>
        <v>-16.399999999999999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Nobe Aparments</v>
      </c>
      <c r="D1088" s="41" t="s">
        <v>191</v>
      </c>
      <c r="E1088" s="68" t="str">
        <f>_xlfn.XLOOKUP(tblMovimientos[[#This Row],[Cuenta Bancaria]],Listas!$B:$B,Listas!$C:$C,"")</f>
        <v>Bank of America</v>
      </c>
      <c r="F1088" s="41" t="s">
        <v>10</v>
      </c>
      <c r="G1088" s="41" t="s">
        <v>38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2812.67</v>
      </c>
      <c r="K1088" s="5">
        <f t="shared" si="16"/>
        <v>-2812.67</v>
      </c>
      <c r="L1088" s="15" t="s">
        <v>133</v>
      </c>
      <c r="M1088" s="44">
        <f>SUMIFS('Saldos Iniciales'!$D:$D,'Saldos Iniciales'!$A:$A,C1088,'Saldos Iniciales'!$B:$B,D1088)+SUMIFS($K$1:$K$1324,$C$1:$C$1324,C1088,$D$1:$D$1324,D1088,$B$1:$B$1324,"&lt;="&amp;B1088)</f>
        <v>203099.46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2812.67</v>
      </c>
      <c r="P1088" s="28">
        <f>IF(tblMovimientos[[#This Row],[Tipo de Movimiento]]="Ingreso",tblMovimientos[[#This Row],[Ingreso]],-tblMovimientos[[#This Row],[Egreso]])</f>
        <v>-2812.67</v>
      </c>
      <c r="Q1088" s="78" t="str">
        <f>_xlfn.XLOOKUP(tblMovimientos[[#This Row],[Cuenta Bancaria]],Cuentas!$C:$C,Cuentas!$A:$A,"")&amp;""</f>
        <v>Estate</v>
      </c>
      <c r="R1088" s="78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660</v>
      </c>
      <c r="K1089" s="5">
        <f t="shared" si="16"/>
        <v>-660</v>
      </c>
      <c r="L1089" s="15" t="s">
        <v>133</v>
      </c>
      <c r="M1089" s="44">
        <f>SUMIFS('Saldos Iniciales'!$D:$D,'Saldos Iniciales'!$A:$A,C1089,'Saldos Iniciales'!$B:$B,D1089)+SUMIFS($K$1:$K$1324,$C$1:$C$1324,C1089,$D$1:$D$1324,D1089,$B$1:$B$1324,"&lt;="&amp;B1089)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660</v>
      </c>
      <c r="P1089" s="28">
        <f>IF(tblMovimientos[[#This Row],[Tipo de Movimiento]]="Ingreso",tblMovimientos[[#This Row],[Ingreso]],-tblMovimientos[[#This Row],[Egreso]])</f>
        <v>-660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2285</v>
      </c>
      <c r="K1090" s="5">
        <f t="shared" ref="K1090:K1153" si="17">IF(F1090="Ingreso",J1090,-J1090)</f>
        <v>-2285</v>
      </c>
      <c r="L1090" s="15" t="s">
        <v>133</v>
      </c>
      <c r="M1090" s="44">
        <f>SUMIFS('Saldos Iniciales'!$D:$D,'Saldos Iniciales'!$A:$A,C1090,'Saldos Iniciales'!$B:$B,D1090)+SUMIFS($K$1:$K$1324,$C$1:$C$1324,C1090,$D$1:$D$1324,D1090,$B$1:$B$1324,"&lt;="&amp;B1090)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2285</v>
      </c>
      <c r="P1090" s="28">
        <f>IF(tblMovimientos[[#This Row],[Tipo de Movimiento]]="Ingreso",tblMovimientos[[#This Row],[Ingreso]],-tblMovimientos[[#This Row],[Egreso]])</f>
        <v>-2285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x14ac:dyDescent="0.3">
      <c r="B1091" s="39">
        <v>46288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9</v>
      </c>
      <c r="G1091" s="41" t="s">
        <v>81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1905</v>
      </c>
      <c r="K1091" s="5">
        <f t="shared" si="17"/>
        <v>1905</v>
      </c>
      <c r="L1091" s="15" t="s">
        <v>133</v>
      </c>
      <c r="M1091" s="44">
        <f>SUMIFS('Saldos Iniciales'!$D:$D,'Saldos Iniciales'!$A:$A,C1091,'Saldos Iniciales'!$B:$B,D1091)+SUMIFS($K$1:$K$1324,$C$1:$C$1324,C1091,$D$1:$D$1324,D1091,$B$1:$B$1324,"&lt;="&amp;B1091)</f>
        <v>204999.46</v>
      </c>
      <c r="N1091" s="61">
        <f>IF(tblMovimientos[[#This Row],[Tipo de Movimiento]]="Ingreso",tblMovimientos[[#This Row],[Monto (S/)]],"0")</f>
        <v>1905</v>
      </c>
      <c r="O1091" s="61" t="str">
        <f>IF(tblMovimientos[[#This Row],[Tipo de Movimiento]]="Egreso",tblMovimientos[[#This Row],[Monto (S/)]],"0")</f>
        <v>0</v>
      </c>
      <c r="P1091" s="28">
        <f>IF(tblMovimientos[[#This Row],[Tipo de Movimiento]]="Ingreso",tblMovimientos[[#This Row],[Ingreso]],-tblMovimientos[[#This Row],[Egreso]])</f>
        <v>1905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10</v>
      </c>
      <c r="G1092" s="41" t="s">
        <v>44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5</v>
      </c>
      <c r="K1092" s="5">
        <f t="shared" si="17"/>
        <v>-5</v>
      </c>
      <c r="L1092" s="15" t="s">
        <v>133</v>
      </c>
      <c r="M1092" s="44">
        <f>SUMIFS('Saldos Iniciales'!$D:$D,'Saldos Iniciales'!$A:$A,C1092,'Saldos Iniciales'!$B:$B,D1092)+SUMIFS($K$1:$K$1324,$C$1:$C$1324,C1092,$D$1:$D$1324,D1092,$B$1:$B$1324,"&lt;="&amp;B1092)</f>
        <v>204999.46</v>
      </c>
      <c r="N1092" s="61" t="str">
        <f>IF(tblMovimientos[[#This Row],[Tipo de Movimiento]]="Ingreso",tblMovimientos[[#This Row],[Monto (S/)]],"0")</f>
        <v>0</v>
      </c>
      <c r="O1092" s="61">
        <f>IF(tblMovimientos[[#This Row],[Tipo de Movimiento]]="Egreso",tblMovimientos[[#This Row],[Monto (S/)]],"0")</f>
        <v>5</v>
      </c>
      <c r="P1092" s="28">
        <f>IF(tblMovimientos[[#This Row],[Tipo de Movimiento]]="Ingreso",tblMovimientos[[#This Row],[Ingreso]],-tblMovimientos[[#This Row],[Egreso]])</f>
        <v>-5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x14ac:dyDescent="0.3">
      <c r="B1093" s="39">
        <v>46289</v>
      </c>
      <c r="C1093" s="4" t="str">
        <f>_xlfn.XLOOKUP(tblMovimientos[[#This Row],[Cuenta Bancaria]],Listas!$B:$B,Listas!$A:$A,"")</f>
        <v>Prendamas SRL</v>
      </c>
      <c r="D1093" s="41" t="s">
        <v>186</v>
      </c>
      <c r="E1093" s="68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38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498.51</v>
      </c>
      <c r="K1093" s="5">
        <f t="shared" si="17"/>
        <v>-498.51</v>
      </c>
      <c r="L1093" s="15" t="s">
        <v>133</v>
      </c>
      <c r="M1093" s="44">
        <f>SUMIFS('Saldos Iniciales'!$D:$D,'Saldos Iniciales'!$A:$A,C1093,'Saldos Iniciales'!$B:$B,D1093)+SUMIFS($K$1:$K$1324,$C$1:$C$1324,C1093,$D$1:$D$1324,D1093,$B$1:$B$1324,"&lt;="&amp;B1093)</f>
        <v>24430.749999999971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498.51</v>
      </c>
      <c r="P1093" s="28">
        <f>IF(tblMovimientos[[#This Row],[Tipo de Movimiento]]="Ingreso",tblMovimientos[[#This Row],[Ingreso]],-tblMovimientos[[#This Row],[Egreso]])</f>
        <v>-498.51</v>
      </c>
      <c r="Q1093" s="78" t="str">
        <f>_xlfn.XLOOKUP(tblMovimientos[[#This Row],[Cuenta Bancaria]],Cuentas!$C:$C,Cuentas!$A:$A,"")&amp;""</f>
        <v>Unidades de Negocio</v>
      </c>
      <c r="R1093" s="78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14.96</v>
      </c>
      <c r="K1094" s="5">
        <f t="shared" si="17"/>
        <v>-14.96</v>
      </c>
      <c r="L1094" s="15" t="s">
        <v>133</v>
      </c>
      <c r="M1094" s="44">
        <f>SUMIFS('Saldos Iniciales'!$D:$D,'Saldos Iniciales'!$A:$A,C1094,'Saldos Iniciales'!$B:$B,D1094)+SUMIFS($K$1:$K$1324,$C$1:$C$1324,C1094,$D$1:$D$1324,D1094,$B$1:$B$1324,"&lt;="&amp;B1094)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14.96</v>
      </c>
      <c r="P1094" s="28">
        <f>IF(tblMovimientos[[#This Row],[Tipo de Movimiento]]="Ingreso",tblMovimientos[[#This Row],[Ingreso]],-tblMovimientos[[#This Row],[Egreso]])</f>
        <v>-14.96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x14ac:dyDescent="0.3">
      <c r="B1095" s="39">
        <v>46290</v>
      </c>
      <c r="C1095" s="4" t="str">
        <f>_xlfn.XLOOKUP(tblMovimientos[[#This Row],[Cuenta Bancaria]],Listas!$B:$B,Listas!$A:$A,"")</f>
        <v>A&amp;M Imports</v>
      </c>
      <c r="D1095" s="41" t="s">
        <v>100</v>
      </c>
      <c r="E1095" s="68" t="str">
        <f>_xlfn.XLOOKUP(tblMovimientos[[#This Row],[Cuenta Bancaria]],Listas!$B:$B,Listas!$C:$C,"")</f>
        <v>Bank of America</v>
      </c>
      <c r="F1095" s="41" t="s">
        <v>10</v>
      </c>
      <c r="G1095" s="41" t="s">
        <v>61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60000</v>
      </c>
      <c r="K1095" s="5">
        <f t="shared" si="17"/>
        <v>-60000</v>
      </c>
      <c r="L1095" s="15" t="s">
        <v>133</v>
      </c>
      <c r="M1095" s="44">
        <f>SUMIFS('Saldos Iniciales'!$D:$D,'Saldos Iniciales'!$A:$A,C1095,'Saldos Iniciales'!$B:$B,D1095)+SUMIFS($K$1:$K$1324,$C$1:$C$1324,C1095,$D$1:$D$1324,D1095,$B$1:$B$1324,"&lt;="&amp;B1095)</f>
        <v>1313603.3599999999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60000</v>
      </c>
      <c r="P1095" s="28">
        <f>IF(tblMovimientos[[#This Row],[Tipo de Movimiento]]="Ingreso",tblMovimientos[[#This Row],[Ingreso]],-tblMovimientos[[#This Row],[Egreso]])</f>
        <v>-60000</v>
      </c>
      <c r="Q1095" s="78" t="str">
        <f>_xlfn.XLOOKUP(tblMovimientos[[#This Row],[Cuenta Bancaria]],Cuentas!$C:$C,Cuentas!$A:$A,"")&amp;""</f>
        <v>SSP Group</v>
      </c>
      <c r="R1095" s="78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80000</v>
      </c>
      <c r="K1096" s="5">
        <f t="shared" si="17"/>
        <v>-80000</v>
      </c>
      <c r="L1096" s="15" t="s">
        <v>133</v>
      </c>
      <c r="M1096" s="44">
        <f>SUMIFS('Saldos Iniciales'!$D:$D,'Saldos Iniciales'!$A:$A,C1096,'Saldos Iniciales'!$B:$B,D1096)+SUMIFS($K$1:$K$1324,$C$1:$C$1324,C1096,$D$1:$D$1324,D1096,$B$1:$B$1324,"&lt;="&amp;B1096)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80000</v>
      </c>
      <c r="P1096" s="28">
        <f>IF(tblMovimientos[[#This Row],[Tipo de Movimiento]]="Ingreso",tblMovimientos[[#This Row],[Ingreso]],-tblMovimientos[[#This Row],[Egreso]])</f>
        <v>-80000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112 Florida Ave</v>
      </c>
      <c r="D1097" s="41" t="s">
        <v>123</v>
      </c>
      <c r="E1097" s="68" t="str">
        <f>_xlfn.XLOOKUP(tblMovimientos[[#This Row],[Cuenta Bancaria]],Listas!$B:$B,Listas!$C:$C,"")</f>
        <v>Bank of America</v>
      </c>
      <c r="F1097" s="41" t="s">
        <v>9</v>
      </c>
      <c r="G1097" s="41" t="s">
        <v>71</v>
      </c>
      <c r="H1097" s="4" t="str">
        <f>IFERROR(_xlfn.XLOOKUP(G1097,Listas!E:E,Listas!F:F,""),"")</f>
        <v>Operativo</v>
      </c>
      <c r="I1097" s="46" t="str">
        <f>IFERROR(_xlfn.XLOOKUP(G1097,Listas!E:E,Listas!G:G,""),"")</f>
        <v>Interno</v>
      </c>
      <c r="J1097" s="43">
        <v>8227.09</v>
      </c>
      <c r="K1097" s="5">
        <f t="shared" si="17"/>
        <v>8227.09</v>
      </c>
      <c r="L1097" s="15" t="s">
        <v>133</v>
      </c>
      <c r="M1097" s="44">
        <f>SUMIFS('Saldos Iniciales'!$D:$D,'Saldos Iniciales'!$A:$A,C1097,'Saldos Iniciales'!$B:$B,D1097)+SUMIFS($K$1:$K$1324,$C$1:$C$1324,C1097,$D$1:$D$1324,D1097,$B$1:$B$1324,"&lt;="&amp;B1097)</f>
        <v>23389.690000000006</v>
      </c>
      <c r="N1097" s="61">
        <f>IF(tblMovimientos[[#This Row],[Tipo de Movimiento]]="Ingreso",tblMovimientos[[#This Row],[Monto (S/)]],"0")</f>
        <v>8227.09</v>
      </c>
      <c r="O1097" s="61" t="str">
        <f>IF(tblMovimientos[[#This Row],[Tipo de Movimiento]]="Egreso",tblMovimientos[[#This Row],[Monto (S/)]],"0")</f>
        <v>0</v>
      </c>
      <c r="P1097" s="28">
        <f>IF(tblMovimientos[[#This Row],[Tipo de Movimiento]]="Ingreso",tblMovimientos[[#This Row],[Ingreso]],-tblMovimientos[[#This Row],[Egreso]])</f>
        <v>8227.09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3628 Thomas Ave</v>
      </c>
      <c r="D1098" s="41" t="s">
        <v>124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3958.2</v>
      </c>
      <c r="K1098" s="5">
        <f t="shared" si="17"/>
        <v>3958.2</v>
      </c>
      <c r="L1098" s="15" t="s">
        <v>133</v>
      </c>
      <c r="M1098" s="44">
        <f>SUMIFS('Saldos Iniciales'!$D:$D,'Saldos Iniciales'!$A:$A,C1098,'Saldos Iniciales'!$B:$B,D1098)+SUMIFS($K$1:$K$1324,$C$1:$C$1324,C1098,$D$1:$D$1324,D1098,$B$1:$B$1324,"&lt;="&amp;B1098)</f>
        <v>16896.059999999998</v>
      </c>
      <c r="N1098" s="61">
        <f>IF(tblMovimientos[[#This Row],[Tipo de Movimiento]]="Ingreso",tblMovimientos[[#This Row],[Monto (S/)]],"0")</f>
        <v>3958.2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3958.2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CFT Group</v>
      </c>
      <c r="D1099" s="41" t="s">
        <v>95</v>
      </c>
      <c r="E1099" s="68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1108.79</v>
      </c>
      <c r="K1099" s="5">
        <f t="shared" si="17"/>
        <v>-1108.79</v>
      </c>
      <c r="L1099" s="15" t="s">
        <v>133</v>
      </c>
      <c r="M1099" s="44">
        <f>SUMIFS('Saldos Iniciales'!$D:$D,'Saldos Iniciales'!$A:$A,C1099,'Saldos Iniciales'!$B:$B,D1099)+SUMIFS($K$1:$K$1324,$C$1:$C$1324,C1099,$D$1:$D$1324,D1099,$B$1:$B$1324,"&lt;="&amp;B1099)</f>
        <v>1458385.7100000009</v>
      </c>
      <c r="N1099" s="61" t="str">
        <f>IF(tblMovimientos[[#This Row],[Tipo de Movimiento]]="Ingreso",tblMovimientos[[#This Row],[Monto (S/)]],"0")</f>
        <v>0</v>
      </c>
      <c r="O1099" s="61">
        <f>IF(tblMovimientos[[#This Row],[Tipo de Movimiento]]="Egreso",tblMovimientos[[#This Row],[Monto (S/)]],"0")</f>
        <v>1108.79</v>
      </c>
      <c r="P1099" s="28">
        <f>IF(tblMovimientos[[#This Row],[Tipo de Movimiento]]="Ingreso",tblMovimientos[[#This Row],[Ingreso]],-tblMovimientos[[#This Row],[Egreso]])</f>
        <v>-1108.79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2366.67</v>
      </c>
      <c r="K1100" s="5">
        <f t="shared" si="17"/>
        <v>-2366.67</v>
      </c>
      <c r="L1100" s="15" t="s">
        <v>133</v>
      </c>
      <c r="M1100" s="44">
        <f>SUMIFS('Saldos Iniciales'!$D:$D,'Saldos Iniciales'!$A:$A,C1100,'Saldos Iniciales'!$B:$B,D1100)+SUMIFS($K$1:$K$1324,$C$1:$C$1324,C1100,$D$1:$D$1324,D1100,$B$1:$B$1324,"&lt;="&amp;B1100)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2366.67</v>
      </c>
      <c r="P1100" s="28">
        <f>IF(tblMovimientos[[#This Row],[Tipo de Movimiento]]="Ingreso",tblMovimientos[[#This Row],[Ingreso]],-tblMovimientos[[#This Row],[Egreso]])</f>
        <v>-2366.67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50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3958.2</v>
      </c>
      <c r="K1101" s="5">
        <f t="shared" si="17"/>
        <v>-3958.2</v>
      </c>
      <c r="L1101" s="15" t="s">
        <v>133</v>
      </c>
      <c r="M1101" s="44">
        <f>SUMIFS('Saldos Iniciales'!$D:$D,'Saldos Iniciales'!$A:$A,C1101,'Saldos Iniciales'!$B:$B,D1101)+SUMIFS($K$1:$K$1324,$C$1:$C$1324,C1101,$D$1:$D$1324,D1101,$B$1:$B$1324,"&lt;="&amp;B1101)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3958.2</v>
      </c>
      <c r="P1101" s="28">
        <f>IF(tblMovimientos[[#This Row],[Tipo de Movimiento]]="Ingreso",tblMovimientos[[#This Row],[Ingreso]],-tblMovimientos[[#This Row],[Egreso]])</f>
        <v>-3958.2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8227.09</v>
      </c>
      <c r="K1102" s="5">
        <f t="shared" si="17"/>
        <v>-8227.09</v>
      </c>
      <c r="L1102" s="15" t="s">
        <v>133</v>
      </c>
      <c r="M1102" s="44">
        <f>SUMIFS('Saldos Iniciales'!$D:$D,'Saldos Iniciales'!$A:$A,C1102,'Saldos Iniciales'!$B:$B,D1102)+SUMIFS($K$1:$K$1324,$C$1:$C$1324,C1102,$D$1:$D$1324,D1102,$B$1:$B$1324,"&lt;="&amp;B1102)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8227.09</v>
      </c>
      <c r="P1102" s="28">
        <f>IF(tblMovimientos[[#This Row],[Tipo de Movimiento]]="Ingreso",tblMovimientos[[#This Row],[Ingreso]],-tblMovimientos[[#This Row],[Egreso]])</f>
        <v>-8227.09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46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10000</v>
      </c>
      <c r="K1103" s="5">
        <f t="shared" si="17"/>
        <v>-10000</v>
      </c>
      <c r="L1103" s="15" t="s">
        <v>133</v>
      </c>
      <c r="M1103" s="44">
        <f>SUMIFS('Saldos Iniciales'!$D:$D,'Saldos Iniciales'!$A:$A,C1103,'Saldos Iniciales'!$B:$B,D1103)+SUMIFS($K$1:$K$1324,$C$1:$C$1324,C1103,$D$1:$D$1324,D1103,$B$1:$B$1324,"&lt;="&amp;B1103)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10000</v>
      </c>
      <c r="P1103" s="28">
        <f>IF(tblMovimientos[[#This Row],[Tipo de Movimiento]]="Ingreso",tblMovimientos[[#This Row],[Ingreso]],-tblMovimientos[[#This Row],[Egreso]])</f>
        <v>-10000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10833.33</v>
      </c>
      <c r="K1104" s="5">
        <f t="shared" si="17"/>
        <v>-10833.33</v>
      </c>
      <c r="L1104" s="15" t="s">
        <v>133</v>
      </c>
      <c r="M1104" s="44">
        <f>SUMIFS('Saldos Iniciales'!$D:$D,'Saldos Iniciales'!$A:$A,C1104,'Saldos Iniciales'!$B:$B,D1104)+SUMIFS($K$1:$K$1324,$C$1:$C$1324,C1104,$D$1:$D$1324,D1104,$B$1:$B$1324,"&lt;="&amp;B1104)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10833.33</v>
      </c>
      <c r="P1104" s="28">
        <f>IF(tblMovimientos[[#This Row],[Tipo de Movimiento]]="Ingreso",tblMovimientos[[#This Row],[Ingreso]],-tblMovimientos[[#This Row],[Egreso]])</f>
        <v>-10833.33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61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100000</v>
      </c>
      <c r="K1105" s="5">
        <f t="shared" si="17"/>
        <v>-100000</v>
      </c>
      <c r="L1105" s="15" t="s">
        <v>133</v>
      </c>
      <c r="M1105" s="44">
        <f>SUMIFS('Saldos Iniciales'!$D:$D,'Saldos Iniciales'!$A:$A,C1105,'Saldos Iniciales'!$B:$B,D1105)+SUMIFS($K$1:$K$1324,$C$1:$C$1324,C1105,$D$1:$D$1324,D1105,$B$1:$B$1324,"&lt;="&amp;B1105)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100000</v>
      </c>
      <c r="P1105" s="28">
        <f>IF(tblMovimientos[[#This Row],[Tipo de Movimiento]]="Ingreso",tblMovimientos[[#This Row],[Ingreso]],-tblMovimientos[[#This Row],[Egreso]])</f>
        <v>-100000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62</v>
      </c>
      <c r="H1106" s="4" t="str">
        <f>IFERROR(_xlfn.XLOOKUP(G1106,Listas!E:E,Listas!F:F,""),"")</f>
        <v>Operativo</v>
      </c>
      <c r="I1106" s="46" t="str">
        <f>IFERROR(_xlfn.XLOOKUP(G1106,Listas!E:E,Listas!G:G,""),"")</f>
        <v>Interno</v>
      </c>
      <c r="J1106" s="43">
        <v>350000</v>
      </c>
      <c r="K1106" s="5">
        <f t="shared" si="17"/>
        <v>-350000</v>
      </c>
      <c r="L1106" s="15" t="s">
        <v>133</v>
      </c>
      <c r="M1106" s="44">
        <f>SUMIFS('Saldos Iniciales'!$D:$D,'Saldos Iniciales'!$A:$A,C1106,'Saldos Iniciales'!$B:$B,D1106)+SUMIFS($K$1:$K$1324,$C$1:$C$1324,C1106,$D$1:$D$1324,D1106,$B$1:$B$1324,"&lt;="&amp;B1106)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350000</v>
      </c>
      <c r="P1106" s="28">
        <f>IF(tblMovimientos[[#This Row],[Tipo de Movimiento]]="Ingreso",tblMovimientos[[#This Row],[Ingreso]],-tblMovimientos[[#This Row],[Egreso]])</f>
        <v>-350000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SSP Capital</v>
      </c>
      <c r="D1107" s="41" t="s">
        <v>104</v>
      </c>
      <c r="E1107" s="68" t="str">
        <f>_xlfn.XLOOKUP(tblMovimientos[[#This Row],[Cuenta Bancaria]],Listas!$B:$B,Listas!$C:$C,"")</f>
        <v xml:space="preserve">Amerant Bank </v>
      </c>
      <c r="F1107" s="41" t="s">
        <v>9</v>
      </c>
      <c r="G1107" s="41" t="s">
        <v>75</v>
      </c>
      <c r="H1107" s="46" t="str">
        <f>IFERROR(_xlfn.XLOOKUP(G1107,Listas!E:E,Listas!F:F,""),"")</f>
        <v>Financiamiento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350000</v>
      </c>
      <c r="L1107" s="15" t="s">
        <v>133</v>
      </c>
      <c r="M1107" s="44">
        <f>SUMIFS('Saldos Iniciales'!$D:$D,'Saldos Iniciales'!$A:$A,C1107,'Saldos Iniciales'!$B:$B,D1107)+SUMIFS($K$1:$K$1324,$C$1:$C$1324,C1107,$D$1:$D$1324,D1107,$B$1:$B$1324,"&lt;="&amp;B1107)</f>
        <v>506391.70999999926</v>
      </c>
      <c r="N1107" s="61">
        <f>IF(tblMovimientos[[#This Row],[Tipo de Movimiento]]="Ingreso",tblMovimientos[[#This Row],[Monto (S/)]],"0")</f>
        <v>350000</v>
      </c>
      <c r="O1107" s="61" t="str">
        <f>IF(tblMovimientos[[#This Row],[Tipo de Movimiento]]="Egreso",tblMovimientos[[#This Row],[Monto (S/)]],"0")</f>
        <v>0</v>
      </c>
      <c r="P1107" s="28">
        <f>IF(tblMovimientos[[#This Row],[Tipo de Movimiento]]="Ingreso",tblMovimientos[[#This Row],[Ingreso]],-tblMovimientos[[#This Row],[Egreso]])</f>
        <v>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10</v>
      </c>
      <c r="G1108" s="41" t="s">
        <v>38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295</v>
      </c>
      <c r="K1108" s="5">
        <f t="shared" si="17"/>
        <v>-295</v>
      </c>
      <c r="L1108" s="15" t="s">
        <v>133</v>
      </c>
      <c r="M1108" s="44">
        <f>SUMIFS('Saldos Iniciales'!$D:$D,'Saldos Iniciales'!$A:$A,C1108,'Saldos Iniciales'!$B:$B,D1108)+SUMIFS($K$1:$K$1324,$C$1:$C$1324,C1108,$D$1:$D$1324,D1108,$B$1:$B$1324,"&lt;="&amp;B1108)</f>
        <v>506391.70999999926</v>
      </c>
      <c r="N1108" s="61" t="str">
        <f>IF(tblMovimientos[[#This Row],[Tipo de Movimiento]]="Ingreso",tblMovimientos[[#This Row],[Monto (S/)]],"0")</f>
        <v>0</v>
      </c>
      <c r="O1108" s="61">
        <f>IF(tblMovimientos[[#This Row],[Tipo de Movimiento]]="Egreso",tblMovimientos[[#This Row],[Monto (S/)]],"0")</f>
        <v>295</v>
      </c>
      <c r="P1108" s="28">
        <f>IF(tblMovimientos[[#This Row],[Tipo de Movimiento]]="Ingreso",tblMovimientos[[#This Row],[Ingreso]],-tblMovimientos[[#This Row],[Egreso]])</f>
        <v>-295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46</v>
      </c>
      <c r="H1109" s="4" t="str">
        <f>IFERROR(_xlfn.XLOOKUP(G1109,Listas!E:E,Listas!F:F,""),"")</f>
        <v>Financiamiento</v>
      </c>
      <c r="I1109" s="46" t="str">
        <f>IFERROR(_xlfn.XLOOKUP(G1109,Listas!E:E,Listas!G:G,""),"")</f>
        <v>Externo</v>
      </c>
      <c r="J1109" s="43">
        <v>4071.45</v>
      </c>
      <c r="K1109" s="5">
        <f t="shared" si="17"/>
        <v>-4071.45</v>
      </c>
      <c r="L1109" s="15" t="s">
        <v>133</v>
      </c>
      <c r="M1109" s="44">
        <f>SUMIFS('Saldos Iniciales'!$D:$D,'Saldos Iniciales'!$A:$A,C1109,'Saldos Iniciales'!$B:$B,D1109)+SUMIFS($K$1:$K$1324,$C$1:$C$1324,C1109,$D$1:$D$1324,D1109,$B$1:$B$1324,"&lt;="&amp;B1109)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4071.45</v>
      </c>
      <c r="P1109" s="28">
        <f>IF(tblMovimientos[[#This Row],[Tipo de Movimiento]]="Ingreso",tblMovimientos[[#This Row],[Ingreso]],-tblMovimientos[[#This Row],[Egreso]])</f>
        <v>-4071.45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56</v>
      </c>
      <c r="H1110" s="4" t="str">
        <f>IFERROR(_xlfn.XLOOKUP(G1110,Listas!E:E,Listas!F:F,""),"")</f>
        <v>Inversion</v>
      </c>
      <c r="I1110" s="46" t="str">
        <f>IFERROR(_xlfn.XLOOKUP(G1110,Listas!E:E,Listas!G:G,""),"")</f>
        <v>Externo</v>
      </c>
      <c r="J1110" s="43">
        <v>8392.27</v>
      </c>
      <c r="K1110" s="5">
        <f t="shared" si="17"/>
        <v>-8392.27</v>
      </c>
      <c r="L1110" s="15" t="s">
        <v>133</v>
      </c>
      <c r="M1110" s="44">
        <f>SUMIFS('Saldos Iniciales'!$D:$D,'Saldos Iniciales'!$A:$A,C1110,'Saldos Iniciales'!$B:$B,D1110)+SUMIFS($K$1:$K$1324,$C$1:$C$1324,C1110,$D$1:$D$1324,D1110,$B$1:$B$1324,"&lt;="&amp;B1110)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8392.27</v>
      </c>
      <c r="P1110" s="28">
        <f>IF(tblMovimientos[[#This Row],[Tipo de Movimiento]]="Ingreso",tblMovimientos[[#This Row],[Ingreso]],-tblMovimientos[[#This Row],[Egreso]])</f>
        <v>-8392.27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46</v>
      </c>
      <c r="H1111" s="4" t="str">
        <f>IFERROR(_xlfn.XLOOKUP(G1111,Listas!E:E,Listas!F:F,""),"")</f>
        <v>Financiamiento</v>
      </c>
      <c r="I1111" s="46" t="str">
        <f>IFERROR(_xlfn.XLOOKUP(G1111,Listas!E:E,Listas!G:G,""),"")</f>
        <v>Externo</v>
      </c>
      <c r="J1111" s="43">
        <v>8666.67</v>
      </c>
      <c r="K1111" s="5">
        <f t="shared" si="17"/>
        <v>-8666.67</v>
      </c>
      <c r="L1111" s="15" t="s">
        <v>133</v>
      </c>
      <c r="M1111" s="44">
        <f>SUMIFS('Saldos Iniciales'!$D:$D,'Saldos Iniciales'!$A:$A,C1111,'Saldos Iniciales'!$B:$B,D1111)+SUMIFS($K$1:$K$1324,$C$1:$C$1324,C1111,$D$1:$D$1324,D1111,$B$1:$B$1324,"&lt;="&amp;B1111)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8666.67</v>
      </c>
      <c r="P1111" s="28">
        <f>IF(tblMovimientos[[#This Row],[Tipo de Movimiento]]="Ingreso",tblMovimientos[[#This Row],[Ingreso]],-tblMovimientos[[#This Row],[Egreso]])</f>
        <v>-8666.67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10753.2</v>
      </c>
      <c r="K1112" s="5">
        <f t="shared" si="17"/>
        <v>-10753.2</v>
      </c>
      <c r="L1112" s="15" t="s">
        <v>133</v>
      </c>
      <c r="M1112" s="44">
        <f>SUMIFS('Saldos Iniciales'!$D:$D,'Saldos Iniciales'!$A:$A,C1112,'Saldos Iniciales'!$B:$B,D1112)+SUMIFS($K$1:$K$1324,$C$1:$C$1324,C1112,$D$1:$D$1324,D1112,$B$1:$B$1324,"&lt;="&amp;B1112)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10753.2</v>
      </c>
      <c r="P1112" s="28">
        <f>IF(tblMovimientos[[#This Row],[Tipo de Movimiento]]="Ingreso",tblMovimientos[[#This Row],[Ingreso]],-tblMovimientos[[#This Row],[Egreso]])</f>
        <v>-10753.2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46</v>
      </c>
      <c r="H1113" s="46" t="str">
        <f>IFERROR(_xlfn.XLOOKUP(G1113,Listas!E:E,Listas!F:F,""),"")</f>
        <v>Financiamiento</v>
      </c>
      <c r="I1113" s="46" t="str">
        <f>IFERROR(_xlfn.XLOOKUP(G1113,Listas!E:E,Listas!G:G,""),"")</f>
        <v>Externo</v>
      </c>
      <c r="J1113" s="43">
        <v>33463.550000000003</v>
      </c>
      <c r="K1113" s="5">
        <f t="shared" si="17"/>
        <v>-33463.550000000003</v>
      </c>
      <c r="L1113" s="15" t="s">
        <v>133</v>
      </c>
      <c r="M1113" s="44">
        <f>SUMIFS('Saldos Iniciales'!$D:$D,'Saldos Iniciales'!$A:$A,C1113,'Saldos Iniciales'!$B:$B,D1113)+SUMIFS($K$1:$K$1324,$C$1:$C$1324,C1113,$D$1:$D$1324,D1113,$B$1:$B$1324,"&lt;="&amp;B1113)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33463.550000000003</v>
      </c>
      <c r="P1113" s="28">
        <f>IF(tblMovimientos[[#This Row],[Tipo de Movimiento]]="Ingreso",tblMovimientos[[#This Row],[Ingreso]],-tblMovimientos[[#This Row],[Egreso]])</f>
        <v>-33463.550000000003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Go Blue</v>
      </c>
      <c r="D1114" s="41" t="s">
        <v>126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3125</v>
      </c>
      <c r="K1114" s="5">
        <f t="shared" si="17"/>
        <v>-3125</v>
      </c>
      <c r="L1114" s="15" t="s">
        <v>133</v>
      </c>
      <c r="M1114" s="44">
        <f>SUMIFS('Saldos Iniciales'!$D:$D,'Saldos Iniciales'!$A:$A,C1114,'Saldos Iniciales'!$B:$B,D1114)+SUMIFS($K$1:$K$1324,$C$1:$C$1324,C1114,$D$1:$D$1324,D1114,$B$1:$B$1324,"&lt;="&amp;B1114)</f>
        <v>11349.689999999999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3125</v>
      </c>
      <c r="P1114" s="28">
        <f>IF(tblMovimientos[[#This Row],[Tipo de Movimiento]]="Ingreso",tblMovimientos[[#This Row],[Ingreso]],-tblMovimientos[[#This Row],[Egreso]])</f>
        <v>-3125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44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15</v>
      </c>
      <c r="K1115" s="5">
        <f t="shared" si="17"/>
        <v>-15</v>
      </c>
      <c r="L1115" s="15" t="s">
        <v>133</v>
      </c>
      <c r="M1115" s="44">
        <f>SUMIFS('Saldos Iniciales'!$D:$D,'Saldos Iniciales'!$A:$A,C1115,'Saldos Iniciales'!$B:$B,D1115)+SUMIFS($K$1:$K$1324,$C$1:$C$1324,C1115,$D$1:$D$1324,D1115,$B$1:$B$1324,"&lt;="&amp;B1115)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15</v>
      </c>
      <c r="P1115" s="28">
        <f>IF(tblMovimientos[[#This Row],[Tipo de Movimiento]]="Ingreso",tblMovimientos[[#This Row],[Ingreso]],-tblMovimientos[[#This Row],[Egreso]])</f>
        <v>-15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Pacha Ventures LLC</v>
      </c>
      <c r="D1116" s="41" t="s">
        <v>187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100.75</v>
      </c>
      <c r="K1116" s="5">
        <f t="shared" si="17"/>
        <v>-100.75</v>
      </c>
      <c r="L1116" s="15" t="s">
        <v>133</v>
      </c>
      <c r="M1116" s="44">
        <f>SUMIFS('Saldos Iniciales'!$D:$D,'Saldos Iniciales'!$A:$A,C1116,'Saldos Iniciales'!$B:$B,D1116)+SUMIFS($K$1:$K$1324,$C$1:$C$1324,C1116,$D$1:$D$1324,D1116,$B$1:$B$1324,"&lt;="&amp;B1116)</f>
        <v>312314.37000000005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100.75</v>
      </c>
      <c r="P1116" s="28">
        <f>IF(tblMovimientos[[#This Row],[Tipo de Movimiento]]="Ingreso",tblMovimientos[[#This Row],[Ingreso]],-tblMovimientos[[#This Row],[Egreso]])</f>
        <v>-100.75</v>
      </c>
      <c r="Q1116" s="78" t="str">
        <f>_xlfn.XLOOKUP(tblMovimientos[[#This Row],[Cuenta Bancaria]],Cuentas!$C:$C,Cuentas!$A:$A,"")&amp;""</f>
        <v>Michael Cross</v>
      </c>
      <c r="R1116" s="78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Prendamas SRL</v>
      </c>
      <c r="D1117" s="41" t="s">
        <v>186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1428.88</v>
      </c>
      <c r="K1117" s="5">
        <f t="shared" si="17"/>
        <v>-1428.88</v>
      </c>
      <c r="L1117" s="15" t="s">
        <v>133</v>
      </c>
      <c r="M1117" s="44">
        <f>SUMIFS('Saldos Iniciales'!$D:$D,'Saldos Iniciales'!$A:$A,C1117,'Saldos Iniciales'!$B:$B,D1117)+SUMIFS($K$1:$K$1324,$C$1:$C$1324,C1117,$D$1:$D$1324,D1117,$B$1:$B$1324,"&lt;="&amp;B1117)</f>
        <v>22961.869999999966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1428.88</v>
      </c>
      <c r="P1117" s="28">
        <f>IF(tblMovimientos[[#This Row],[Tipo de Movimiento]]="Ingreso",tblMovimientos[[#This Row],[Ingreso]],-tblMovimientos[[#This Row],[Egreso]])</f>
        <v>-1428.88</v>
      </c>
      <c r="Q1117" s="78" t="str">
        <f>_xlfn.XLOOKUP(tblMovimientos[[#This Row],[Cuenta Bancaria]],Cuentas!$C:$C,Cuentas!$A:$A,"")&amp;""</f>
        <v>Unidades de Negocio</v>
      </c>
      <c r="R1117" s="78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44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40</v>
      </c>
      <c r="K1118" s="5">
        <f t="shared" si="17"/>
        <v>-40</v>
      </c>
      <c r="L1118" s="15" t="s">
        <v>133</v>
      </c>
      <c r="M1118" s="44">
        <f>SUMIFS('Saldos Iniciales'!$D:$D,'Saldos Iniciales'!$A:$A,C1118,'Saldos Iniciales'!$B:$B,D1118)+SUMIFS($K$1:$K$1324,$C$1:$C$1324,C1118,$D$1:$D$1324,D1118,$B$1:$B$1324,"&lt;="&amp;B1118)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40</v>
      </c>
      <c r="P1118" s="28">
        <f>IF(tblMovimientos[[#This Row],[Tipo de Movimiento]]="Ingreso",tblMovimientos[[#This Row],[Ingreso]],-tblMovimientos[[#This Row],[Egreso]])</f>
        <v>-40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Nobe Aparments</v>
      </c>
      <c r="D1119" s="41" t="s">
        <v>191</v>
      </c>
      <c r="E1119" s="68" t="str">
        <f>_xlfn.XLOOKUP(tblMovimientos[[#This Row],[Cuenta Bancaria]],Listas!$B:$B,Listas!$C:$C,"")</f>
        <v>Bank of America</v>
      </c>
      <c r="F1119" s="41" t="s">
        <v>10</v>
      </c>
      <c r="G1119" s="41" t="s">
        <v>45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60</v>
      </c>
      <c r="K1119" s="5">
        <f t="shared" si="17"/>
        <v>-60</v>
      </c>
      <c r="L1119" s="15" t="s">
        <v>133</v>
      </c>
      <c r="M1119" s="44">
        <f>SUMIFS('Saldos Iniciales'!$D:$D,'Saldos Iniciales'!$A:$A,C1119,'Saldos Iniciales'!$B:$B,D1119)+SUMIFS($K$1:$K$1324,$C$1:$C$1324,C1119,$D$1:$D$1324,D1119,$B$1:$B$1324,"&lt;="&amp;B1119)</f>
        <v>204939.46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60</v>
      </c>
      <c r="P1119" s="28">
        <f>IF(tblMovimientos[[#This Row],[Tipo de Movimiento]]="Ingreso",tblMovimientos[[#This Row],[Ingreso]],-tblMovimientos[[#This Row],[Egreso]])</f>
        <v>-60</v>
      </c>
      <c r="Q1119" s="78" t="str">
        <f>_xlfn.XLOOKUP(tblMovimientos[[#This Row],[Cuenta Bancaria]],Cuentas!$C:$C,Cuentas!$A:$A,"")&amp;""</f>
        <v>Estate</v>
      </c>
      <c r="R1119" s="78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46293</v>
      </c>
      <c r="C1120" s="4" t="str">
        <f>_xlfn.XLOOKUP(tblMovimientos[[#This Row],[Cuenta Bancaria]],Listas!$B:$B,Listas!$A:$A,"")</f>
        <v>A&amp;M Imports</v>
      </c>
      <c r="D1120" s="41" t="s">
        <v>100</v>
      </c>
      <c r="E1120" s="68" t="str">
        <f>_xlfn.XLOOKUP(tblMovimientos[[#This Row],[Cuenta Bancaria]],Listas!$B:$B,Listas!$C:$C,"")</f>
        <v>Bank of America</v>
      </c>
      <c r="F1120" s="41" t="s">
        <v>9</v>
      </c>
      <c r="G1120" s="41" t="s">
        <v>68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16978.900000000001</v>
      </c>
      <c r="K1120" s="5">
        <f t="shared" si="17"/>
        <v>16978.900000000001</v>
      </c>
      <c r="L1120" s="15" t="s">
        <v>133</v>
      </c>
      <c r="M1120" s="44">
        <f>SUMIFS('Saldos Iniciales'!$D:$D,'Saldos Iniciales'!$A:$A,C1120,'Saldos Iniciales'!$B:$B,D1120)+SUMIFS($K$1:$K$1324,$C$1:$C$1324,C1120,$D$1:$D$1324,D1120,$B$1:$B$1324,"&lt;="&amp;B1120)</f>
        <v>1330582.2599999998</v>
      </c>
      <c r="N1120" s="61">
        <f>IF(tblMovimientos[[#This Row],[Tipo de Movimiento]]="Ingreso",tblMovimientos[[#This Row],[Monto (S/)]],"0")</f>
        <v>16978.900000000001</v>
      </c>
      <c r="O1120" s="61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16978.900000000001</v>
      </c>
      <c r="Q1120" s="78" t="str">
        <f>_xlfn.XLOOKUP(tblMovimientos[[#This Row],[Cuenta Bancaria]],Cuentas!$C:$C,Cuentas!$A:$A,"")&amp;""</f>
        <v>SSP Group</v>
      </c>
      <c r="R1120" s="78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CFT Group</v>
      </c>
      <c r="D1121" s="41" t="s">
        <v>94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7796.5</v>
      </c>
      <c r="K1121" s="5">
        <f t="shared" si="17"/>
        <v>7796.5</v>
      </c>
      <c r="L1121" s="15" t="s">
        <v>133</v>
      </c>
      <c r="M1121" s="44">
        <f>SUMIFS('Saldos Iniciales'!$D:$D,'Saldos Iniciales'!$A:$A,C1121,'Saldos Iniciales'!$B:$B,D1121)+SUMIFS($K$1:$K$1324,$C$1:$C$1324,C1121,$D$1:$D$1324,D1121,$B$1:$B$1324,"&lt;="&amp;B1121)</f>
        <v>380018.52999999997</v>
      </c>
      <c r="N1121" s="61">
        <f>IF(tblMovimientos[[#This Row],[Tipo de Movimiento]]="Ingreso",tblMovimientos[[#This Row],[Monto (S/)]],"0")</f>
        <v>7796.5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7796.5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112 Florida Ave</v>
      </c>
      <c r="D1122" s="41" t="s">
        <v>123</v>
      </c>
      <c r="E1122" s="68" t="str">
        <f>_xlfn.XLOOKUP(tblMovimientos[[#This Row],[Cuenta Bancaria]],Listas!$B:$B,Listas!$C:$C,"")</f>
        <v>Bank of America</v>
      </c>
      <c r="F1122" s="41" t="s">
        <v>10</v>
      </c>
      <c r="G1122" s="41" t="s">
        <v>44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15</v>
      </c>
      <c r="K1122" s="5">
        <f t="shared" si="17"/>
        <v>-15</v>
      </c>
      <c r="L1122" s="15" t="s">
        <v>133</v>
      </c>
      <c r="M1122" s="44">
        <f>SUMIFS('Saldos Iniciales'!$D:$D,'Saldos Iniciales'!$A:$A,C1122,'Saldos Iniciales'!$B:$B,D1122)+SUMIFS($K$1:$K$1324,$C$1:$C$1324,C1122,$D$1:$D$1324,D1122,$B$1:$B$1324,"&lt;="&amp;B1122)</f>
        <v>23374.690000000006</v>
      </c>
      <c r="N1122" s="61" t="str">
        <f>IF(tblMovimientos[[#This Row],[Tipo de Movimiento]]="Ingreso",tblMovimientos[[#This Row],[Monto (S/)]],"0")</f>
        <v>0</v>
      </c>
      <c r="O1122" s="61">
        <f>IF(tblMovimientos[[#This Row],[Tipo de Movimiento]]="Egreso",tblMovimientos[[#This Row],[Monto (S/)]],"0")</f>
        <v>15</v>
      </c>
      <c r="P1122" s="28">
        <f>IF(tblMovimientos[[#This Row],[Tipo de Movimiento]]="Ingreso",tblMovimientos[[#This Row],[Ingreso]],-tblMovimientos[[#This Row],[Egreso]])</f>
        <v>-15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3628 Thomas Ave</v>
      </c>
      <c r="D1123" s="41" t="s">
        <v>124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38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89.25</v>
      </c>
      <c r="K1123" s="5">
        <f t="shared" si="17"/>
        <v>-89.25</v>
      </c>
      <c r="L1123" s="15" t="s">
        <v>133</v>
      </c>
      <c r="M1123" s="44">
        <f>SUMIFS('Saldos Iniciales'!$D:$D,'Saldos Iniciales'!$A:$A,C1123,'Saldos Iniciales'!$B:$B,D1123)+SUMIFS($K$1:$K$1324,$C$1:$C$1324,C1123,$D$1:$D$1324,D1123,$B$1:$B$1324,"&lt;="&amp;B1123)</f>
        <v>16266.809999999998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89.25</v>
      </c>
      <c r="P1123" s="28">
        <f>IF(tblMovimientos[[#This Row],[Tipo de Movimiento]]="Ingreso",tblMovimientos[[#This Row],[Ingreso]],-tblMovimientos[[#This Row],[Egreso]])</f>
        <v>-89.25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375</v>
      </c>
      <c r="K1124" s="5">
        <f t="shared" si="17"/>
        <v>-375</v>
      </c>
      <c r="L1124" s="15" t="s">
        <v>133</v>
      </c>
      <c r="M1124" s="44">
        <f>SUMIFS('Saldos Iniciales'!$D:$D,'Saldos Iniciales'!$A:$A,C1124,'Saldos Iniciales'!$B:$B,D1124)+SUMIFS($K$1:$K$1324,$C$1:$C$1324,C1124,$D$1:$D$1324,D1124,$B$1:$B$1324,"&lt;="&amp;B1124)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375</v>
      </c>
      <c r="P1124" s="28">
        <f>IF(tblMovimientos[[#This Row],[Tipo de Movimiento]]="Ingreso",tblMovimientos[[#This Row],[Ingreso]],-tblMovimientos[[#This Row],[Egreso]])</f>
        <v>-375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150</v>
      </c>
      <c r="K1125" s="5">
        <f t="shared" si="17"/>
        <v>-150</v>
      </c>
      <c r="L1125" s="15" t="s">
        <v>133</v>
      </c>
      <c r="M1125" s="44">
        <f>SUMIFS('Saldos Iniciales'!$D:$D,'Saldos Iniciales'!$A:$A,C1125,'Saldos Iniciales'!$B:$B,D1125)+SUMIFS($K$1:$K$1324,$C$1:$C$1324,C1125,$D$1:$D$1324,D1125,$B$1:$B$1324,"&lt;="&amp;B1125)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150</v>
      </c>
      <c r="P1125" s="28">
        <f>IF(tblMovimientos[[#This Row],[Tipo de Movimiento]]="Ingreso",tblMovimientos[[#This Row],[Ingreso]],-tblMovimientos[[#This Row],[Egreso]])</f>
        <v>-150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44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</v>
      </c>
      <c r="K1126" s="5">
        <f t="shared" si="17"/>
        <v>-15</v>
      </c>
      <c r="L1126" s="15" t="s">
        <v>133</v>
      </c>
      <c r="M1126" s="44">
        <f>SUMIFS('Saldos Iniciales'!$D:$D,'Saldos Iniciales'!$A:$A,C1126,'Saldos Iniciales'!$B:$B,D1126)+SUMIFS($K$1:$K$1324,$C$1:$C$1324,C1126,$D$1:$D$1324,D1126,$B$1:$B$1324,"&lt;="&amp;B1126)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</v>
      </c>
      <c r="P1126" s="28">
        <f>IF(tblMovimientos[[#This Row],[Tipo de Movimiento]]="Ingreso",tblMovimientos[[#This Row],[Ingreso]],-tblMovimientos[[#This Row],[Egreso]])</f>
        <v>-15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Prendamas SRL</v>
      </c>
      <c r="D1127" s="41" t="s">
        <v>186</v>
      </c>
      <c r="E1127" s="68" t="str">
        <f>_xlfn.XLOOKUP(tblMovimientos[[#This Row],[Cuenta Bancaria]],Listas!$B:$B,Listas!$C:$C,"")</f>
        <v xml:space="preserve">Amerant Bank </v>
      </c>
      <c r="F1127" s="41" t="s">
        <v>10</v>
      </c>
      <c r="G1127" s="41" t="s">
        <v>38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490.38</v>
      </c>
      <c r="K1127" s="5">
        <f t="shared" si="17"/>
        <v>-490.38</v>
      </c>
      <c r="L1127" s="15" t="s">
        <v>133</v>
      </c>
      <c r="M1127" s="44">
        <f>SUMIFS('Saldos Iniciales'!$D:$D,'Saldos Iniciales'!$A:$A,C1127,'Saldos Iniciales'!$B:$B,D1127)+SUMIFS($K$1:$K$1324,$C$1:$C$1324,C1127,$D$1:$D$1324,D1127,$B$1:$B$1324,"&lt;="&amp;B1127)</f>
        <v>22456.779999999955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490.38</v>
      </c>
      <c r="P1127" s="28">
        <f>IF(tblMovimientos[[#This Row],[Tipo de Movimiento]]="Ingreso",tblMovimientos[[#This Row],[Ingreso]],-tblMovimientos[[#This Row],[Egreso]])</f>
        <v>-490.38</v>
      </c>
      <c r="Q1127" s="78" t="str">
        <f>_xlfn.XLOOKUP(tblMovimientos[[#This Row],[Cuenta Bancaria]],Cuentas!$C:$C,Cuentas!$A:$A,"")&amp;""</f>
        <v>Unidades de Negocio</v>
      </c>
      <c r="R1127" s="78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44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14.71</v>
      </c>
      <c r="K1128" s="5">
        <f t="shared" si="17"/>
        <v>-14.71</v>
      </c>
      <c r="L1128" s="15" t="s">
        <v>133</v>
      </c>
      <c r="M1128" s="44">
        <f>SUMIFS('Saldos Iniciales'!$D:$D,'Saldos Iniciales'!$A:$A,C1128,'Saldos Iniciales'!$B:$B,D1128)+SUMIFS($K$1:$K$1324,$C$1:$C$1324,C1128,$D$1:$D$1324,D1128,$B$1:$B$1324,"&lt;="&amp;B1128)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14.71</v>
      </c>
      <c r="P1128" s="28">
        <f>IF(tblMovimientos[[#This Row],[Tipo de Movimiento]]="Ingreso",tblMovimientos[[#This Row],[Ingreso]],-tblMovimientos[[#This Row],[Egreso]])</f>
        <v>-14.71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Nobe Aparments</v>
      </c>
      <c r="D1129" s="41" t="s">
        <v>191</v>
      </c>
      <c r="E1129" s="68" t="str">
        <f>_xlfn.XLOOKUP(tblMovimientos[[#This Row],[Cuenta Bancaria]],Listas!$B:$B,Listas!$C:$C,"")</f>
        <v>Bank of America</v>
      </c>
      <c r="F1129" s="41" t="s">
        <v>9</v>
      </c>
      <c r="G1129" s="41" t="s">
        <v>81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1850</v>
      </c>
      <c r="K1129" s="5">
        <f t="shared" si="17"/>
        <v>1850</v>
      </c>
      <c r="L1129" s="15" t="s">
        <v>133</v>
      </c>
      <c r="M1129" s="44">
        <f>SUMIFS('Saldos Iniciales'!$D:$D,'Saldos Iniciales'!$A:$A,C1129,'Saldos Iniciales'!$B:$B,D1129)+SUMIFS($K$1:$K$1324,$C$1:$C$1324,C1129,$D$1:$D$1324,D1129,$B$1:$B$1324,"&lt;="&amp;B1129)</f>
        <v>206789.46</v>
      </c>
      <c r="N1129" s="61">
        <f>IF(tblMovimientos[[#This Row],[Tipo de Movimiento]]="Ingreso",tblMovimientos[[#This Row],[Monto (S/)]],"0")</f>
        <v>1850</v>
      </c>
      <c r="O1129" s="61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1850</v>
      </c>
      <c r="Q1129" s="78" t="str">
        <f>_xlfn.XLOOKUP(tblMovimientos[[#This Row],[Cuenta Bancaria]],Cuentas!$C:$C,Cuentas!$A:$A,"")&amp;""</f>
        <v>Estate</v>
      </c>
      <c r="R1129" s="78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46294</v>
      </c>
      <c r="C1130" s="4" t="str">
        <f>_xlfn.XLOOKUP(tblMovimientos[[#This Row],[Cuenta Bancaria]],Listas!$B:$B,Listas!$A:$A,"")</f>
        <v>SSP Capital</v>
      </c>
      <c r="D1130" s="41" t="s">
        <v>101</v>
      </c>
      <c r="E1130" s="68" t="str">
        <f>_xlfn.XLOOKUP(tblMovimientos[[#This Row],[Cuenta Bancaria]],Listas!$B:$B,Listas!$C:$C,"")</f>
        <v>Bank of America</v>
      </c>
      <c r="F1130" s="41" t="s">
        <v>10</v>
      </c>
      <c r="G1130" s="41" t="s">
        <v>48</v>
      </c>
      <c r="H1130" s="46" t="str">
        <f>IFERROR(_xlfn.XLOOKUP(G1130,Listas!E:E,Listas!F:F,""),"")</f>
        <v>Financiamiento</v>
      </c>
      <c r="I1130" s="46" t="str">
        <f>IFERROR(_xlfn.XLOOKUP(G1130,Listas!E:E,Listas!G:G,""),"")</f>
        <v>Externo</v>
      </c>
      <c r="J1130" s="43">
        <v>526.75</v>
      </c>
      <c r="K1130" s="5">
        <f t="shared" si="17"/>
        <v>-526.75</v>
      </c>
      <c r="L1130" s="15" t="s">
        <v>133</v>
      </c>
      <c r="M1130" s="44">
        <f>SUMIFS('Saldos Iniciales'!$D:$D,'Saldos Iniciales'!$A:$A,C1130,'Saldos Iniciales'!$B:$B,D1130)+SUMIFS($K$1:$K$1324,$C$1:$C$1324,C1130,$D$1:$D$1324,D1130,$B$1:$B$1324,"&lt;="&amp;B1130)</f>
        <v>21115.380000000005</v>
      </c>
      <c r="N1130" s="61" t="str">
        <f>IF(tblMovimientos[[#This Row],[Tipo de Movimiento]]="Ingreso",tblMovimientos[[#This Row],[Monto (S/)]],"0")</f>
        <v>0</v>
      </c>
      <c r="O1130" s="61">
        <f>IF(tblMovimientos[[#This Row],[Tipo de Movimiento]]="Egreso",tblMovimientos[[#This Row],[Monto (S/)]],"0")</f>
        <v>526.75</v>
      </c>
      <c r="P1130" s="28">
        <f>IF(tblMovimientos[[#This Row],[Tipo de Movimiento]]="Ingreso",tblMovimientos[[#This Row],[Ingreso]],-tblMovimientos[[#This Row],[Egreso]])</f>
        <v>-526.75</v>
      </c>
      <c r="Q1130" s="78" t="str">
        <f>_xlfn.XLOOKUP(tblMovimientos[[#This Row],[Cuenta Bancaria]],Cuentas!$C:$C,Cuentas!$A:$A,"")&amp;""</f>
        <v>SSP Group</v>
      </c>
      <c r="R1130" s="78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38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194.86</v>
      </c>
      <c r="K1131" s="5">
        <f t="shared" si="17"/>
        <v>-194.86</v>
      </c>
      <c r="L1131" s="15" t="s">
        <v>133</v>
      </c>
      <c r="M1131" s="44">
        <f>SUMIFS('Saldos Iniciales'!$D:$D,'Saldos Iniciales'!$A:$A,C1131,'Saldos Iniciales'!$B:$B,D1131)+SUMIFS($K$1:$K$1324,$C$1:$C$1324,C1131,$D$1:$D$1324,D1131,$B$1:$B$1324,"&lt;="&amp;B1131)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194.86</v>
      </c>
      <c r="P1131" s="28">
        <f>IF(tblMovimientos[[#This Row],[Tipo de Movimiento]]="Ingreso",tblMovimientos[[#This Row],[Ingreso]],-tblMovimientos[[#This Row],[Egreso]])</f>
        <v>-194.86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CFT Group</v>
      </c>
      <c r="D1132" s="41" t="s">
        <v>94</v>
      </c>
      <c r="E1132" s="68" t="str">
        <f>_xlfn.XLOOKUP(tblMovimientos[[#This Row],[Cuenta Bancaria]],Listas!$B:$B,Listas!$C:$C,"")</f>
        <v>Bank of America</v>
      </c>
      <c r="F1132" s="41" t="s">
        <v>9</v>
      </c>
      <c r="G1132" s="41" t="s">
        <v>68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184.93</v>
      </c>
      <c r="K1132" s="5">
        <f t="shared" si="17"/>
        <v>184.93</v>
      </c>
      <c r="L1132" s="15" t="s">
        <v>133</v>
      </c>
      <c r="M1132" s="44">
        <f>SUMIFS('Saldos Iniciales'!$D:$D,'Saldos Iniciales'!$A:$A,C1132,'Saldos Iniciales'!$B:$B,D1132)+SUMIFS($K$1:$K$1324,$C$1:$C$1324,C1132,$D$1:$D$1324,D1132,$B$1:$B$1324,"&lt;="&amp;B1132)</f>
        <v>377225.5</v>
      </c>
      <c r="N1132" s="61">
        <f>IF(tblMovimientos[[#This Row],[Tipo de Movimiento]]="Ingreso",tblMovimientos[[#This Row],[Monto (S/)]],"0")</f>
        <v>184.93</v>
      </c>
      <c r="O1132" s="61" t="str">
        <f>IF(tblMovimientos[[#This Row],[Tipo de Movimiento]]="Egreso",tblMovimientos[[#This Row],[Monto (S/)]],"0")</f>
        <v>0</v>
      </c>
      <c r="P1132" s="28">
        <f>IF(tblMovimientos[[#This Row],[Tipo de Movimiento]]="Ingreso",tblMovimientos[[#This Row],[Ingreso]],-tblMovimientos[[#This Row],[Egreso]])</f>
        <v>184.93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10</v>
      </c>
      <c r="G1133" s="41" t="s">
        <v>46</v>
      </c>
      <c r="H1133" s="4" t="str">
        <f>IFERROR(_xlfn.XLOOKUP(G1133,Listas!E:E,Listas!F:F,""),"")</f>
        <v>Financiamiento</v>
      </c>
      <c r="I1133" s="46" t="str">
        <f>IFERROR(_xlfn.XLOOKUP(G1133,Listas!E:E,Listas!G:G,""),"")</f>
        <v>Externo</v>
      </c>
      <c r="J1133" s="43">
        <v>2977.96</v>
      </c>
      <c r="K1133" s="5">
        <f t="shared" si="17"/>
        <v>-2977.96</v>
      </c>
      <c r="L1133" s="15" t="s">
        <v>133</v>
      </c>
      <c r="M1133" s="44">
        <f>SUMIFS('Saldos Iniciales'!$D:$D,'Saldos Iniciales'!$A:$A,C1133,'Saldos Iniciales'!$B:$B,D1133)+SUMIFS($K$1:$K$1324,$C$1:$C$1324,C1133,$D$1:$D$1324,D1133,$B$1:$B$1324,"&lt;="&amp;B1133)</f>
        <v>377225.5</v>
      </c>
      <c r="N1133" s="61" t="str">
        <f>IF(tblMovimientos[[#This Row],[Tipo de Movimiento]]="Ingreso",tblMovimientos[[#This Row],[Monto (S/)]],"0")</f>
        <v>0</v>
      </c>
      <c r="O1133" s="61">
        <f>IF(tblMovimientos[[#This Row],[Tipo de Movimiento]]="Egreso",tblMovimientos[[#This Row],[Monto (S/)]],"0")</f>
        <v>2977.96</v>
      </c>
      <c r="P1133" s="28">
        <f>IF(tblMovimientos[[#This Row],[Tipo de Movimiento]]="Ingreso",tblMovimientos[[#This Row],[Ingreso]],-tblMovimientos[[#This Row],[Egreso]])</f>
        <v>-2977.96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3628 Thomas Ave</v>
      </c>
      <c r="D1134" s="41" t="s">
        <v>124</v>
      </c>
      <c r="E1134" s="68" t="str">
        <f>_xlfn.XLOOKUP(tblMovimientos[[#This Row],[Cuenta Bancaria]],Listas!$B:$B,Listas!$C:$C,"")</f>
        <v>Bank of America</v>
      </c>
      <c r="F1134" s="41" t="s">
        <v>9</v>
      </c>
      <c r="G1134" s="41" t="s">
        <v>81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3000</v>
      </c>
      <c r="K1134" s="5">
        <f t="shared" si="17"/>
        <v>3000</v>
      </c>
      <c r="L1134" s="15" t="s">
        <v>133</v>
      </c>
      <c r="M1134" s="44">
        <f>SUMIFS('Saldos Iniciales'!$D:$D,'Saldos Iniciales'!$A:$A,C1134,'Saldos Iniciales'!$B:$B,D1134)+SUMIFS($K$1:$K$1324,$C$1:$C$1324,C1134,$D$1:$D$1324,D1134,$B$1:$B$1324,"&lt;="&amp;B1134)</f>
        <v>19266.809999999998</v>
      </c>
      <c r="N1134" s="61">
        <f>IF(tblMovimientos[[#This Row],[Tipo de Movimiento]]="Ingreso",tblMovimientos[[#This Row],[Monto (S/)]],"0")</f>
        <v>3000</v>
      </c>
      <c r="O1134" s="61" t="str">
        <f>IF(tblMovimientos[[#This Row],[Tipo de Movimiento]]="Egreso",tblMovimientos[[#This Row],[Monto (S/)]],"0")</f>
        <v>0</v>
      </c>
      <c r="P1134" s="28">
        <f>IF(tblMovimientos[[#This Row],[Tipo de Movimiento]]="Ingreso",tblMovimientos[[#This Row],[Ingreso]],-tblMovimientos[[#This Row],[Egreso]])</f>
        <v>3000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SSP Capital</v>
      </c>
      <c r="D1135" s="41" t="s">
        <v>104</v>
      </c>
      <c r="E1135" s="68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40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168437.9</v>
      </c>
      <c r="K1135" s="5">
        <f t="shared" si="17"/>
        <v>-168437.9</v>
      </c>
      <c r="L1135" s="15" t="s">
        <v>133</v>
      </c>
      <c r="M1135" s="44">
        <f>SUMIFS('Saldos Iniciales'!$D:$D,'Saldos Iniciales'!$A:$A,C1135,'Saldos Iniciales'!$B:$B,D1135)+SUMIFS($K$1:$K$1324,$C$1:$C$1324,C1135,$D$1:$D$1324,D1135,$B$1:$B$1324,"&lt;="&amp;B1135)</f>
        <v>337953.80999999924</v>
      </c>
      <c r="N1135" s="61" t="str">
        <f>IF(tblMovimientos[[#This Row],[Tipo de Movimiento]]="Ingreso",tblMovimientos[[#This Row],[Monto (S/)]],"0")</f>
        <v>0</v>
      </c>
      <c r="O1135" s="61">
        <f>IF(tblMovimientos[[#This Row],[Tipo de Movimiento]]="Egreso",tblMovimientos[[#This Row],[Monto (S/)]],"0")</f>
        <v>168437.9</v>
      </c>
      <c r="P1135" s="28">
        <f>IF(tblMovimientos[[#This Row],[Tipo de Movimiento]]="Ingreso",tblMovimientos[[#This Row],[Ingreso]],-tblMovimientos[[#This Row],[Egreso]])</f>
        <v>-168437.9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CFT1 Residence</v>
      </c>
      <c r="D1136" s="41" t="s">
        <v>184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38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1166.92</v>
      </c>
      <c r="K1136" s="5">
        <f t="shared" si="17"/>
        <v>-1166.92</v>
      </c>
      <c r="L1136" s="15" t="s">
        <v>133</v>
      </c>
      <c r="M1136" s="44">
        <f>SUMIFS('Saldos Iniciales'!$D:$D,'Saldos Iniciales'!$A:$A,C1136,'Saldos Iniciales'!$B:$B,D1136)+SUMIFS($K$1:$K$1324,$C$1:$C$1324,C1136,$D$1:$D$1324,D1136,$B$1:$B$1324,"&lt;="&amp;B1136)</f>
        <v>101046.39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1166.92</v>
      </c>
      <c r="P1136" s="28">
        <f>IF(tblMovimientos[[#This Row],[Tipo de Movimiento]]="Ingreso",tblMovimientos[[#This Row],[Ingreso]],-tblMovimientos[[#This Row],[Egreso]])</f>
        <v>-1166.92</v>
      </c>
      <c r="Q1136" s="78" t="str">
        <f>_xlfn.XLOOKUP(tblMovimientos[[#This Row],[Cuenta Bancaria]],Cuentas!$C:$C,Cuentas!$A:$A,"")&amp;""</f>
        <v>Carmen Cross Irrevocable Trust</v>
      </c>
      <c r="R1136" s="78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Nobe Aparments</v>
      </c>
      <c r="D1137" s="41" t="s">
        <v>191</v>
      </c>
      <c r="E1137" s="68" t="str">
        <f>_xlfn.XLOOKUP(tblMovimientos[[#This Row],[Cuenta Bancaria]],Listas!$B:$B,Listas!$C:$C,"")</f>
        <v>Bank of America</v>
      </c>
      <c r="F1137" s="41" t="s">
        <v>9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1640</v>
      </c>
      <c r="K1137" s="5">
        <f t="shared" si="17"/>
        <v>1640</v>
      </c>
      <c r="L1137" s="15" t="s">
        <v>133</v>
      </c>
      <c r="M1137" s="44">
        <f>SUMIFS('Saldos Iniciales'!$D:$D,'Saldos Iniciales'!$A:$A,C1137,'Saldos Iniciales'!$B:$B,D1137)+SUMIFS($K$1:$K$1324,$C$1:$C$1324,C1137,$D$1:$D$1324,D1137,$B$1:$B$1324,"&lt;="&amp;B1137)</f>
        <v>208429.46</v>
      </c>
      <c r="N1137" s="61">
        <f>IF(tblMovimientos[[#This Row],[Tipo de Movimiento]]="Ingreso",tblMovimientos[[#This Row],[Monto (S/)]],"0")</f>
        <v>1640</v>
      </c>
      <c r="O1137" s="61" t="str">
        <f>IF(tblMovimientos[[#This Row],[Tipo de Movimiento]]="Egreso",tblMovimientos[[#This Row],[Monto (S/)]],"0")</f>
        <v>0</v>
      </c>
      <c r="P1137" s="28">
        <f>IF(tblMovimientos[[#This Row],[Tipo de Movimiento]]="Ingreso",tblMovimientos[[#This Row],[Ingreso]],-tblMovimientos[[#This Row],[Egreso]])</f>
        <v>1640</v>
      </c>
      <c r="Q1137" s="78" t="str">
        <f>_xlfn.XLOOKUP(tblMovimientos[[#This Row],[Cuenta Bancaria]],Cuentas!$C:$C,Cuentas!$A:$A,"")&amp;""</f>
        <v>Estate</v>
      </c>
      <c r="R1137" s="78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Electrama</v>
      </c>
      <c r="D1138" s="41" t="s">
        <v>113</v>
      </c>
      <c r="E1138" s="68" t="str">
        <f>_xlfn.XLOOKUP(tblMovimientos[[#This Row],[Cuenta Bancaria]],Listas!$B:$B,Listas!$C:$C,"")</f>
        <v>Chase Bank</v>
      </c>
      <c r="F1138" s="41" t="s">
        <v>10</v>
      </c>
      <c r="G1138" s="41" t="s">
        <v>40</v>
      </c>
      <c r="H1138" s="4" t="str">
        <f>IFERROR(_xlfn.XLOOKUP(G1138,Listas!E:E,Listas!F:F,""),"")</f>
        <v>Operativo</v>
      </c>
      <c r="I1138" s="69" t="str">
        <f>IFERROR(_xlfn.XLOOKUP(G1138,Listas!E:E,Listas!G:G,""),"")</f>
        <v>Externo</v>
      </c>
      <c r="J1138" s="43">
        <v>1270.43</v>
      </c>
      <c r="K1138" s="5">
        <f t="shared" si="17"/>
        <v>-1270.43</v>
      </c>
      <c r="L1138" s="15" t="s">
        <v>133</v>
      </c>
      <c r="M1138" s="44">
        <f>SUMIFS('Saldos Iniciales'!$D:$D,'Saldos Iniciales'!$A:$A,C1138,'Saldos Iniciales'!$B:$B,D1138)+SUMIFS($K$1:$K$1324,$C$1:$C$1324,C1138,$D$1:$D$1324,D1138,$B$1:$B$1324,"&lt;="&amp;B1138)</f>
        <v>10474.32</v>
      </c>
      <c r="N1138" s="61" t="str">
        <f>IF(tblMovimientos[[#This Row],[Tipo de Movimiento]]="Ingreso",tblMovimientos[[#This Row],[Monto (S/)]],"0")</f>
        <v>0</v>
      </c>
      <c r="O1138" s="61">
        <f>IF(tblMovimientos[[#This Row],[Tipo de Movimiento]]="Egreso",tblMovimientos[[#This Row],[Monto (S/)]],"0")</f>
        <v>1270.43</v>
      </c>
      <c r="P1138" s="28">
        <f>IF(tblMovimientos[[#This Row],[Tipo de Movimiento]]="Ingreso",tblMovimientos[[#This Row],[Ingreso]],-tblMovimientos[[#This Row],[Egreso]])</f>
        <v>-1270.43</v>
      </c>
      <c r="Q1138" s="78" t="str">
        <f>_xlfn.XLOOKUP(tblMovimientos[[#This Row],[Cuenta Bancaria]],Cuentas!$C:$C,Cuentas!$A:$A,"")&amp;""</f>
        <v>SSP Group</v>
      </c>
      <c r="R1138" s="78" t="str">
        <f>_xlfn.XLOOKUP(tblMovimientos[[#This Row],[Cuenta Bancaria]],Cuentas!$C:$C,Cuentas!$B:$B,"",0,-1)&amp;""</f>
        <v/>
      </c>
    </row>
    <row r="1139" spans="1:18" x14ac:dyDescent="0.3">
      <c r="B1139" s="39">
        <v>46295</v>
      </c>
      <c r="C1139" s="4" t="str">
        <f>_xlfn.XLOOKUP(tblMovimientos[[#This Row],[Cuenta Bancaria]],Listas!$B:$B,Listas!$A:$A,"")</f>
        <v>A&amp;M Imports</v>
      </c>
      <c r="D1139" s="41" t="s">
        <v>100</v>
      </c>
      <c r="E1139" s="68" t="str">
        <f>_xlfn.XLOOKUP(tblMovimientos[[#This Row],[Cuenta Bancaria]],Listas!$B:$B,Listas!$C:$C,"")</f>
        <v>Bank of America</v>
      </c>
      <c r="F1139" s="41" t="s">
        <v>9</v>
      </c>
      <c r="G1139" s="41" t="s">
        <v>68</v>
      </c>
      <c r="H1139" s="4" t="str">
        <f>IFERROR(_xlfn.XLOOKUP(G1139,Listas!E:E,Listas!F:F,""),"")</f>
        <v>Operativo</v>
      </c>
      <c r="I1139" s="46" t="str">
        <f>IFERROR(_xlfn.XLOOKUP(G1139,Listas!E:E,Listas!G:G,""),"")</f>
        <v>Externo</v>
      </c>
      <c r="J1139" s="43">
        <v>23791.439999999999</v>
      </c>
      <c r="K1139" s="5">
        <f t="shared" si="17"/>
        <v>23791.439999999999</v>
      </c>
      <c r="L1139" s="15" t="s">
        <v>133</v>
      </c>
      <c r="M1139" s="44">
        <f>SUMIFS('Saldos Iniciales'!$D:$D,'Saldos Iniciales'!$A:$A,C1139,'Saldos Iniciales'!$B:$B,D1139)+SUMIFS($K$1:$K$1324,$C$1:$C$1324,C1139,$D$1:$D$1324,D1139,$B$1:$B$1324,"&lt;="&amp;B1139)</f>
        <v>1355779.1799999997</v>
      </c>
      <c r="N1139" s="61">
        <f>IF(tblMovimientos[[#This Row],[Tipo de Movimiento]]="Ingreso",tblMovimientos[[#This Row],[Monto (S/)]],"0")</f>
        <v>23791.439999999999</v>
      </c>
      <c r="O1139" s="61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23791.439999999999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1405.48</v>
      </c>
      <c r="K1140" s="5">
        <f t="shared" si="17"/>
        <v>1405.48</v>
      </c>
      <c r="L1140" s="15" t="s">
        <v>133</v>
      </c>
      <c r="M1140" s="44">
        <f>SUMIFS('Saldos Iniciales'!$D:$D,'Saldos Iniciales'!$A:$A,C1140,'Saldos Iniciales'!$B:$B,D1140)+SUMIFS($K$1:$K$1324,$C$1:$C$1324,C1140,$D$1:$D$1324,D1140,$B$1:$B$1324,"&lt;="&amp;B1140)</f>
        <v>1355779.1799999997</v>
      </c>
      <c r="N1140" s="61">
        <f>IF(tblMovimientos[[#This Row],[Tipo de Movimiento]]="Ingreso",tblMovimientos[[#This Row],[Monto (S/)]],"0")</f>
        <v>1405.48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1405.48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CFT Group</v>
      </c>
      <c r="D1141" s="41" t="s">
        <v>94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73364</v>
      </c>
      <c r="K1141" s="5">
        <f t="shared" si="17"/>
        <v>73364</v>
      </c>
      <c r="L1141" s="15" t="s">
        <v>133</v>
      </c>
      <c r="M1141" s="44">
        <f>SUMIFS('Saldos Iniciales'!$D:$D,'Saldos Iniciales'!$A:$A,C1141,'Saldos Iniciales'!$B:$B,D1141)+SUMIFS($K$1:$K$1324,$C$1:$C$1324,C1141,$D$1:$D$1324,D1141,$B$1:$B$1324,"&lt;="&amp;B1141)</f>
        <v>463219.50999999995</v>
      </c>
      <c r="N1141" s="61">
        <f>IF(tblMovimientos[[#This Row],[Tipo de Movimiento]]="Ingreso",tblMovimientos[[#This Row],[Monto (S/)]],"0")</f>
        <v>73364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73364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13241.09</v>
      </c>
      <c r="K1142" s="5">
        <f t="shared" si="17"/>
        <v>13241.09</v>
      </c>
      <c r="L1142" s="15" t="s">
        <v>133</v>
      </c>
      <c r="M1142" s="44">
        <f>SUMIFS('Saldos Iniciales'!$D:$D,'Saldos Iniciales'!$A:$A,C1142,'Saldos Iniciales'!$B:$B,D1142)+SUMIFS($K$1:$K$1324,$C$1:$C$1324,C1142,$D$1:$D$1324,D1142,$B$1:$B$1324,"&lt;="&amp;B1142)</f>
        <v>463219.50999999995</v>
      </c>
      <c r="N1142" s="61">
        <f>IF(tblMovimientos[[#This Row],[Tipo de Movimiento]]="Ingreso",tblMovimientos[[#This Row],[Monto (S/)]],"0")</f>
        <v>13241.09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13241.09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10</v>
      </c>
      <c r="G1143" s="41" t="s">
        <v>42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611.08000000000004</v>
      </c>
      <c r="K1143" s="5">
        <f t="shared" si="17"/>
        <v>-611.08000000000004</v>
      </c>
      <c r="L1143" s="15" t="s">
        <v>133</v>
      </c>
      <c r="M1143" s="44">
        <f>SUMIFS('Saldos Iniciales'!$D:$D,'Saldos Iniciales'!$A:$A,C1143,'Saldos Iniciales'!$B:$B,D1143)+SUMIFS($K$1:$K$1324,$C$1:$C$1324,C1143,$D$1:$D$1324,D1143,$B$1:$B$1324,"&lt;="&amp;B1143)</f>
        <v>463219.50999999995</v>
      </c>
      <c r="N1143" s="61" t="str">
        <f>IF(tblMovimientos[[#This Row],[Tipo de Movimiento]]="Ingreso",tblMovimientos[[#This Row],[Monto (S/)]],"0")</f>
        <v>0</v>
      </c>
      <c r="O1143" s="61">
        <f>IF(tblMovimientos[[#This Row],[Tipo de Movimiento]]="Egreso",tblMovimientos[[#This Row],[Monto (S/)]],"0")</f>
        <v>611.08000000000004</v>
      </c>
      <c r="P1143" s="28">
        <f>IF(tblMovimientos[[#This Row],[Tipo de Movimiento]]="Ingreso",tblMovimientos[[#This Row],[Ingreso]],-tblMovimientos[[#This Row],[Egreso]])</f>
        <v>-611.08000000000004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M1B</v>
      </c>
      <c r="D1144" s="41" t="s">
        <v>97</v>
      </c>
      <c r="E1144" s="68" t="str">
        <f>_xlfn.XLOOKUP(tblMovimientos[[#This Row],[Cuenta Bancaria]],Listas!$B:$B,Listas!$C:$C,"")</f>
        <v xml:space="preserve">Amerant Bank </v>
      </c>
      <c r="F1144" s="41" t="s">
        <v>9</v>
      </c>
      <c r="G1144" s="41" t="s">
        <v>68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2637.13</v>
      </c>
      <c r="K1144" s="5">
        <f t="shared" si="17"/>
        <v>2637.13</v>
      </c>
      <c r="L1144" s="15" t="s">
        <v>133</v>
      </c>
      <c r="M1144" s="44">
        <f>SUMIFS('Saldos Iniciales'!$D:$D,'Saldos Iniciales'!$A:$A,C1144,'Saldos Iniciales'!$B:$B,D1144)+SUMIFS($K$1:$K$1324,$C$1:$C$1324,C1144,$D$1:$D$1324,D1144,$B$1:$B$1324,"&lt;="&amp;B1144)</f>
        <v>98123.590000000171</v>
      </c>
      <c r="N1144" s="61">
        <f>IF(tblMovimientos[[#This Row],[Tipo de Movimiento]]="Ingreso",tblMovimientos[[#This Row],[Monto (S/)]],"0")</f>
        <v>2637.13</v>
      </c>
      <c r="O1144" s="61" t="str">
        <f>IF(tblMovimientos[[#This Row],[Tipo de Movimiento]]="Egreso",tblMovimientos[[#This Row],[Monto (S/)]],"0")</f>
        <v>0</v>
      </c>
      <c r="P1144" s="28">
        <f>IF(tblMovimientos[[#This Row],[Tipo de Movimiento]]="Ingreso",tblMovimientos[[#This Row],[Ingreso]],-tblMovimientos[[#This Row],[Egreso]])</f>
        <v>2637.13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SSP Capital</v>
      </c>
      <c r="D1145" s="41" t="s">
        <v>106</v>
      </c>
      <c r="E1145" s="68" t="str">
        <f>_xlfn.XLOOKUP(tblMovimientos[[#This Row],[Cuenta Bancaria]],Listas!$B:$B,Listas!$C:$C,"")</f>
        <v>Amerant Bank Money Market</v>
      </c>
      <c r="F1145" s="41" t="s">
        <v>9</v>
      </c>
      <c r="G1145" s="41" t="s">
        <v>84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2362.59</v>
      </c>
      <c r="K1145" s="5">
        <f t="shared" si="17"/>
        <v>2362.59</v>
      </c>
      <c r="L1145" s="15" t="s">
        <v>133</v>
      </c>
      <c r="M1145" s="44">
        <f>SUMIFS('Saldos Iniciales'!$D:$D,'Saldos Iniciales'!$A:$A,C1145,'Saldos Iniciales'!$B:$B,D1145)+SUMIFS($K$1:$K$1324,$C$1:$C$1324,C1145,$D$1:$D$1324,D1145,$B$1:$B$1324,"&lt;="&amp;B1145)</f>
        <v>813903.92999999993</v>
      </c>
      <c r="N1145" s="61">
        <f>IF(tblMovimientos[[#This Row],[Tipo de Movimiento]]="Ingreso",tblMovimientos[[#This Row],[Monto (S/)]],"0")</f>
        <v>2362.59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2362.59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104</v>
      </c>
      <c r="E1146" s="68" t="str">
        <f>_xlfn.XLOOKUP(tblMovimientos[[#This Row],[Cuenta Bancaria]],Listas!$B:$B,Listas!$C:$C,"")</f>
        <v xml:space="preserve">Amerant Bank </v>
      </c>
      <c r="F1146" s="41" t="s">
        <v>10</v>
      </c>
      <c r="G1146" s="41" t="s">
        <v>42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72131.05</v>
      </c>
      <c r="K1146" s="5">
        <f t="shared" si="17"/>
        <v>-72131.05</v>
      </c>
      <c r="L1146" s="15" t="s">
        <v>133</v>
      </c>
      <c r="M1146" s="44">
        <f>SUMIFS('Saldos Iniciales'!$D:$D,'Saldos Iniciales'!$A:$A,C1146,'Saldos Iniciales'!$B:$B,D1146)+SUMIFS($K$1:$K$1324,$C$1:$C$1324,C1146,$D$1:$D$1324,D1146,$B$1:$B$1324,"&lt;="&amp;B1146)</f>
        <v>265822.75999999925</v>
      </c>
      <c r="N1146" s="61" t="str">
        <f>IF(tblMovimientos[[#This Row],[Tipo de Movimiento]]="Ingreso",tblMovimientos[[#This Row],[Monto (S/)]],"0")</f>
        <v>0</v>
      </c>
      <c r="O1146" s="61">
        <f>IF(tblMovimientos[[#This Row],[Tipo de Movimiento]]="Egreso",tblMovimientos[[#This Row],[Monto (S/)]],"0")</f>
        <v>72131.05</v>
      </c>
      <c r="P1146" s="28">
        <f>IF(tblMovimientos[[#This Row],[Tipo de Movimiento]]="Ingreso",tblMovimientos[[#This Row],[Ingreso]],-tblMovimientos[[#This Row],[Egreso]])</f>
        <v>-72131.05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Pacha Ventures LLC</v>
      </c>
      <c r="D1147" s="41" t="s">
        <v>187</v>
      </c>
      <c r="E1147" s="68" t="str">
        <f>_xlfn.XLOOKUP(tblMovimientos[[#This Row],[Cuenta Bancaria]],Listas!$B:$B,Listas!$C:$C,"")</f>
        <v xml:space="preserve">Amerant Bank </v>
      </c>
      <c r="F1147" s="41" t="s">
        <v>9</v>
      </c>
      <c r="G1147" s="41" t="s">
        <v>84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864.61</v>
      </c>
      <c r="K1147" s="5">
        <f t="shared" si="17"/>
        <v>864.61</v>
      </c>
      <c r="L1147" s="15" t="s">
        <v>133</v>
      </c>
      <c r="M1147" s="44">
        <f>SUMIFS('Saldos Iniciales'!$D:$D,'Saldos Iniciales'!$A:$A,C1147,'Saldos Iniciales'!$B:$B,D1147)+SUMIFS($K$1:$K$1324,$C$1:$C$1324,C1147,$D$1:$D$1324,D1147,$B$1:$B$1324,"&lt;="&amp;B1147)</f>
        <v>313178.98000000004</v>
      </c>
      <c r="N1147" s="61">
        <f>IF(tblMovimientos[[#This Row],[Tipo de Movimiento]]="Ingreso",tblMovimientos[[#This Row],[Monto (S/)]],"0")</f>
        <v>864.61</v>
      </c>
      <c r="O1147" s="61" t="str">
        <f>IF(tblMovimientos[[#This Row],[Tipo de Movimiento]]="Egreso",tblMovimientos[[#This Row],[Monto (S/)]],"0")</f>
        <v>0</v>
      </c>
      <c r="P1147" s="28">
        <f>IF(tblMovimientos[[#This Row],[Tipo de Movimiento]]="Ingreso",tblMovimientos[[#This Row],[Ingreso]],-tblMovimientos[[#This Row],[Egreso]])</f>
        <v>864.61</v>
      </c>
      <c r="Q1147" s="78" t="str">
        <f>_xlfn.XLOOKUP(tblMovimientos[[#This Row],[Cuenta Bancaria]],Cuentas!$C:$C,Cuentas!$A:$A,"")&amp;""</f>
        <v>Michael Cross</v>
      </c>
      <c r="R1147" s="78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CFT1 Residence</v>
      </c>
      <c r="D1148" s="41" t="s">
        <v>184</v>
      </c>
      <c r="E1148" s="68" t="str">
        <f>_xlfn.XLOOKUP(tblMovimientos[[#This Row],[Cuenta Bancaria]],Listas!$B:$B,Listas!$C:$C,"")</f>
        <v xml:space="preserve">Amerant Bank </v>
      </c>
      <c r="F1148" s="41" t="s">
        <v>10</v>
      </c>
      <c r="G1148" s="41" t="s">
        <v>38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50</v>
      </c>
      <c r="K1148" s="5">
        <f t="shared" si="17"/>
        <v>-50</v>
      </c>
      <c r="L1148" s="15" t="s">
        <v>133</v>
      </c>
      <c r="M1148" s="44">
        <f>SUMIFS('Saldos Iniciales'!$D:$D,'Saldos Iniciales'!$A:$A,C1148,'Saldos Iniciales'!$B:$B,D1148)+SUMIFS($K$1:$K$1324,$C$1:$C$1324,C1148,$D$1:$D$1324,D1148,$B$1:$B$1324,"&lt;="&amp;B1148)</f>
        <v>100996.39</v>
      </c>
      <c r="N1148" s="61" t="str">
        <f>IF(tblMovimientos[[#This Row],[Tipo de Movimiento]]="Ingreso",tblMovimientos[[#This Row],[Monto (S/)]],"0")</f>
        <v>0</v>
      </c>
      <c r="O1148" s="61">
        <f>IF(tblMovimientos[[#This Row],[Tipo de Movimiento]]="Egreso",tblMovimientos[[#This Row],[Monto (S/)]],"0")</f>
        <v>50</v>
      </c>
      <c r="P1148" s="28">
        <f>IF(tblMovimientos[[#This Row],[Tipo de Movimiento]]="Ingreso",tblMovimientos[[#This Row],[Ingreso]],-tblMovimientos[[#This Row],[Egreso]])</f>
        <v>-50</v>
      </c>
      <c r="Q1148" s="78" t="str">
        <f>_xlfn.XLOOKUP(tblMovimientos[[#This Row],[Cuenta Bancaria]],Cuentas!$C:$C,Cuentas!$A:$A,"")&amp;""</f>
        <v>Carmen Cross Irrevocable Trust</v>
      </c>
      <c r="R1148" s="78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Prendamas SRL</v>
      </c>
      <c r="D1149" s="41" t="s">
        <v>186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491.98</v>
      </c>
      <c r="K1149" s="5">
        <f t="shared" si="17"/>
        <v>-491.98</v>
      </c>
      <c r="L1149" s="15" t="s">
        <v>133</v>
      </c>
      <c r="M1149" s="44">
        <f>SUMIFS('Saldos Iniciales'!$D:$D,'Saldos Iniciales'!$A:$A,C1149,'Saldos Iniciales'!$B:$B,D1149)+SUMIFS($K$1:$K$1324,$C$1:$C$1324,C1149,$D$1:$D$1324,D1149,$B$1:$B$1324,"&lt;="&amp;B1149)</f>
        <v>21964.799999999959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491.98</v>
      </c>
      <c r="P1149" s="28">
        <f>IF(tblMovimientos[[#This Row],[Tipo de Movimiento]]="Ingreso",tblMovimientos[[#This Row],[Ingreso]],-tblMovimientos[[#This Row],[Egreso]])</f>
        <v>-491.98</v>
      </c>
      <c r="Q1149" s="78" t="str">
        <f>_xlfn.XLOOKUP(tblMovimientos[[#This Row],[Cuenta Bancaria]],Cuentas!$C:$C,Cuentas!$A:$A,"")&amp;""</f>
        <v>Unidades de Negocio</v>
      </c>
      <c r="R1149" s="78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Cross Security Trust</v>
      </c>
      <c r="D1150" s="41" t="s">
        <v>112</v>
      </c>
      <c r="E1150" s="68" t="str">
        <f>_xlfn.XLOOKUP(tblMovimientos[[#This Row],[Cuenta Bancaria]],Listas!$B:$B,Listas!$C:$C,"")</f>
        <v>Bank of America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69" t="str">
        <f>IFERROR(_xlfn.XLOOKUP(G1150,Listas!E:E,Listas!G:G,""),"")</f>
        <v>Externo</v>
      </c>
      <c r="J1150" s="43">
        <v>24154</v>
      </c>
      <c r="K1150" s="5">
        <f t="shared" si="17"/>
        <v>-24154</v>
      </c>
      <c r="L1150" s="15" t="s">
        <v>133</v>
      </c>
      <c r="M1150" s="44">
        <f>SUMIFS('Saldos Iniciales'!$D:$D,'Saldos Iniciales'!$A:$A,C1150,'Saldos Iniciales'!$B:$B,D1150)+SUMIFS($K$1:$K$1324,$C$1:$C$1324,C1150,$D$1:$D$1324,D1150,$B$1:$B$1324,"&lt;="&amp;B1150)</f>
        <v>80533.579999999987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24154</v>
      </c>
      <c r="P1150" s="28">
        <f>IF(tblMovimientos[[#This Row],[Tipo de Movimiento]]="Ingreso",tblMovimientos[[#This Row],[Ingreso]],-tblMovimientos[[#This Row],[Egreso]])</f>
        <v>-24154</v>
      </c>
      <c r="Q1150" s="78" t="str">
        <f>_xlfn.XLOOKUP(tblMovimientos[[#This Row],[Cuenta Bancaria]],Cuentas!$C:$C,Cuentas!$A:$A,"")&amp;""</f>
        <v>SSP Group</v>
      </c>
      <c r="R1150" s="78" t="str">
        <f>_xlfn.XLOOKUP(tblMovimientos[[#This Row],[Cuenta Bancaria]],Cuentas!$C:$C,Cuentas!$B:$B,"",0,-1)&amp;""</f>
        <v>Trust</v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113001</v>
      </c>
      <c r="K1151" s="5">
        <f t="shared" si="17"/>
        <v>-113001</v>
      </c>
      <c r="L1151" s="15" t="s">
        <v>133</v>
      </c>
      <c r="M1151" s="44">
        <f>SUMIFS('Saldos Iniciales'!$D:$D,'Saldos Iniciales'!$A:$A,C1151,'Saldos Iniciales'!$B:$B,D1151)+SUMIFS($K$1:$K$1324,$C$1:$C$1324,C1151,$D$1:$D$1324,D1151,$B$1:$B$1324,"&lt;="&amp;B1151)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113001</v>
      </c>
      <c r="P1151" s="28">
        <f>IF(tblMovimientos[[#This Row],[Tipo de Movimiento]]="Ingreso",tblMovimientos[[#This Row],[Ingreso]],-tblMovimientos[[#This Row],[Egreso]])</f>
        <v>-113001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Electrama</v>
      </c>
      <c r="D1152" s="41" t="s">
        <v>113</v>
      </c>
      <c r="E1152" s="68" t="str">
        <f>_xlfn.XLOOKUP(tblMovimientos[[#This Row],[Cuenta Bancaria]],Listas!$B:$B,Listas!$C:$C,"")</f>
        <v>Chase Bank</v>
      </c>
      <c r="F1152" s="41" t="s">
        <v>10</v>
      </c>
      <c r="G1152" s="41" t="s">
        <v>42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215.14</v>
      </c>
      <c r="K1152" s="5">
        <f t="shared" si="17"/>
        <v>-215.14</v>
      </c>
      <c r="L1152" s="15" t="s">
        <v>133</v>
      </c>
      <c r="M1152" s="44">
        <f>SUMIFS('Saldos Iniciales'!$D:$D,'Saldos Iniciales'!$A:$A,C1152,'Saldos Iniciales'!$B:$B,D1152)+SUMIFS($K$1:$K$1324,$C$1:$C$1324,C1152,$D$1:$D$1324,D1152,$B$1:$B$1324,"&lt;="&amp;B1152)</f>
        <v>10259.18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215.14</v>
      </c>
      <c r="P1152" s="28">
        <f>IF(tblMovimientos[[#This Row],[Tipo de Movimiento]]="Ingreso",tblMovimientos[[#This Row],[Ingreso]],-tblMovimientos[[#This Row],[Egreso]])</f>
        <v>-215.14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/>
      </c>
    </row>
    <row r="1153" spans="2:18" x14ac:dyDescent="0.3">
      <c r="B1153" s="39">
        <v>46296</v>
      </c>
      <c r="C1153" s="4" t="str">
        <f>_xlfn.XLOOKUP(tblMovimientos[[#This Row],[Cuenta Bancaria]],Listas!$B:$B,Listas!$A:$A,"")</f>
        <v>SSP Capital</v>
      </c>
      <c r="D1153" s="41" t="s">
        <v>101</v>
      </c>
      <c r="E1153" s="68" t="str">
        <f>_xlfn.XLOOKUP(tblMovimientos[[#This Row],[Cuenta Bancaria]],Listas!$B:$B,Listas!$C:$C,"")</f>
        <v>Bank of America</v>
      </c>
      <c r="F1153" s="41" t="s">
        <v>9</v>
      </c>
      <c r="G1153" s="41" t="s">
        <v>73</v>
      </c>
      <c r="H1153" s="4" t="str">
        <f>IFERROR(_xlfn.XLOOKUP(G1153,Listas!E:E,Listas!F:F,""),"")</f>
        <v>Operativo</v>
      </c>
      <c r="I1153" s="46" t="str">
        <f>IFERROR(_xlfn.XLOOKUP(G1153,Listas!E:E,Listas!G:G,""),"")</f>
        <v>Interno</v>
      </c>
      <c r="J1153" s="43">
        <v>15252.43</v>
      </c>
      <c r="K1153" s="5">
        <f t="shared" si="17"/>
        <v>15252.43</v>
      </c>
      <c r="L1153" s="15" t="s">
        <v>134</v>
      </c>
      <c r="M1153" s="44">
        <f>SUMIFS('Saldos Iniciales'!$D:$D,'Saldos Iniciales'!$A:$A,C1153,'Saldos Iniciales'!$B:$B,D1153)+SUMIFS($K$1:$K$1324,$C$1:$C$1324,C1153,$D$1:$D$1324,D1153,$B$1:$B$1324,"&lt;="&amp;B1153)</f>
        <v>36367.810000000005</v>
      </c>
      <c r="N1153" s="61">
        <f>IF(tblMovimientos[[#This Row],[Tipo de Movimiento]]="Ingreso",tblMovimientos[[#This Row],[Monto (S/)]],"0")</f>
        <v>15252.43</v>
      </c>
      <c r="O1153" s="61" t="str">
        <f>IF(tblMovimientos[[#This Row],[Tipo de Movimiento]]="Egreso",tblMovimientos[[#This Row],[Monto (S/)]],"0")</f>
        <v>0</v>
      </c>
      <c r="P1153" s="28">
        <f>IF(tblMovimientos[[#This Row],[Tipo de Movimiento]]="Ingreso",tblMovimientos[[#This Row],[Ingreso]],-tblMovimientos[[#This Row],[Egreso]])</f>
        <v>15252.43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A&amp;M Imports</v>
      </c>
      <c r="D1154" s="41" t="s">
        <v>100</v>
      </c>
      <c r="E1154" s="68" t="str">
        <f>_xlfn.XLOOKUP(tblMovimientos[[#This Row],[Cuenta Bancaria]],Listas!$B:$B,Listas!$C:$C,"")</f>
        <v>Bank of America</v>
      </c>
      <c r="F1154" s="41" t="s">
        <v>10</v>
      </c>
      <c r="G1154" s="41" t="s">
        <v>61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60000</v>
      </c>
      <c r="K1154" s="5">
        <f t="shared" ref="K1154:K1217" si="18">IF(F1154="Ingreso",J1154,-J1154)</f>
        <v>-60000</v>
      </c>
      <c r="L1154" s="15" t="s">
        <v>134</v>
      </c>
      <c r="M1154" s="44">
        <f>SUMIFS('Saldos Iniciales'!$D:$D,'Saldos Iniciales'!$A:$A,C1154,'Saldos Iniciales'!$B:$B,D1154)+SUMIFS($K$1:$K$1324,$C$1:$C$1324,C1154,$D$1:$D$1324,D1154,$B$1:$B$1324,"&lt;="&amp;B1154)</f>
        <v>1200526.7499999995</v>
      </c>
      <c r="N1154" s="61" t="str">
        <f>IF(tblMovimientos[[#This Row],[Tipo de Movimiento]]="Ingreso",tblMovimientos[[#This Row],[Monto (S/)]],"0")</f>
        <v>0</v>
      </c>
      <c r="O1154" s="61">
        <f>IF(tblMovimientos[[#This Row],[Tipo de Movimiento]]="Egreso",tblMovimientos[[#This Row],[Monto (S/)]],"0")</f>
        <v>60000</v>
      </c>
      <c r="P1154" s="28">
        <f>IF(tblMovimientos[[#This Row],[Tipo de Movimiento]]="Ingreso",tblMovimientos[[#This Row],[Ingreso]],-tblMovimientos[[#This Row],[Egreso]])</f>
        <v>-60000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80000</v>
      </c>
      <c r="K1155" s="5">
        <f t="shared" si="18"/>
        <v>-80000</v>
      </c>
      <c r="L1155" s="15" t="s">
        <v>134</v>
      </c>
      <c r="M1155" s="44">
        <f>SUMIFS('Saldos Iniciales'!$D:$D,'Saldos Iniciales'!$A:$A,C1155,'Saldos Iniciales'!$B:$B,D1155)+SUMIFS($K$1:$K$1324,$C$1:$C$1324,C1155,$D$1:$D$1324,D1155,$B$1:$B$1324,"&lt;="&amp;B1155)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80000</v>
      </c>
      <c r="P1155" s="28">
        <f>IF(tblMovimientos[[#This Row],[Tipo de Movimiento]]="Ingreso",tblMovimientos[[#This Row],[Ingreso]],-tblMovimientos[[#This Row],[Egreso]])</f>
        <v>-80000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51</v>
      </c>
      <c r="H1156" s="4" t="str">
        <f>IFERROR(_xlfn.XLOOKUP(G1156,Listas!E:E,Listas!F:F,""),"")</f>
        <v>Financiamiento</v>
      </c>
      <c r="I1156" s="46" t="str">
        <f>IFERROR(_xlfn.XLOOKUP(G1156,Listas!E:E,Listas!G:G,""),"")</f>
        <v>Externo</v>
      </c>
      <c r="J1156" s="43">
        <v>15252.43</v>
      </c>
      <c r="K1156" s="5">
        <f t="shared" si="18"/>
        <v>-15252.43</v>
      </c>
      <c r="L1156" s="15" t="s">
        <v>134</v>
      </c>
      <c r="M1156" s="44">
        <f>SUMIFS('Saldos Iniciales'!$D:$D,'Saldos Iniciales'!$A:$A,C1156,'Saldos Iniciales'!$B:$B,D1156)+SUMIFS($K$1:$K$1324,$C$1:$C$1324,C1156,$D$1:$D$1324,D1156,$B$1:$B$1324,"&lt;="&amp;B1156)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15252.43</v>
      </c>
      <c r="P1156" s="28">
        <f>IF(tblMovimientos[[#This Row],[Tipo de Movimiento]]="Ingreso",tblMovimientos[[#This Row],[Ingreso]],-tblMovimientos[[#This Row],[Egreso]])</f>
        <v>-15252.43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CFT Group</v>
      </c>
      <c r="D1157" s="41" t="s">
        <v>94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64</v>
      </c>
      <c r="H1157" s="4" t="str">
        <f>IFERROR(_xlfn.XLOOKUP(G1157,Listas!E:E,Listas!F:F,""),"")</f>
        <v>Operativo</v>
      </c>
      <c r="I1157" s="46" t="str">
        <f>IFERROR(_xlfn.XLOOKUP(G1157,Listas!E:E,Listas!G:G,""),"")</f>
        <v>Interno</v>
      </c>
      <c r="J1157" s="43">
        <v>440000</v>
      </c>
      <c r="K1157" s="5">
        <f t="shared" si="18"/>
        <v>-440000</v>
      </c>
      <c r="L1157" s="15" t="s">
        <v>134</v>
      </c>
      <c r="M1157" s="44">
        <f>SUMIFS('Saldos Iniciales'!$D:$D,'Saldos Iniciales'!$A:$A,C1157,'Saldos Iniciales'!$B:$B,D1157)+SUMIFS($K$1:$K$1324,$C$1:$C$1324,C1157,$D$1:$D$1324,D1157,$B$1:$B$1324,"&lt;="&amp;B1157)</f>
        <v>23219.509999999951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440000</v>
      </c>
      <c r="P1157" s="28">
        <f>IF(tblMovimientos[[#This Row],[Tipo de Movimiento]]="Ingreso",tblMovimientos[[#This Row],[Ingreso]],-tblMovimientos[[#This Row],[Egreso]])</f>
        <v>-440000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Cross Family Trust</v>
      </c>
      <c r="D1158" s="41" t="s">
        <v>110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38</v>
      </c>
      <c r="H1158" s="4" t="str">
        <f>IFERROR(_xlfn.XLOOKUP(G1158,Listas!E:E,Listas!F:F,""),"")</f>
        <v>Operativo</v>
      </c>
      <c r="I1158" s="46" t="str">
        <f>IFERROR(_xlfn.XLOOKUP(G1158,Listas!E:E,Listas!G:G,""),"")</f>
        <v>Externo</v>
      </c>
      <c r="J1158" s="43">
        <v>6000</v>
      </c>
      <c r="K1158" s="5">
        <f t="shared" si="18"/>
        <v>-6000</v>
      </c>
      <c r="L1158" s="15" t="s">
        <v>134</v>
      </c>
      <c r="M1158" s="44">
        <f>SUMIFS('Saldos Iniciales'!$D:$D,'Saldos Iniciales'!$A:$A,C1158,'Saldos Iniciales'!$B:$B,D1158)+SUMIFS($K$1:$K$1324,$C$1:$C$1324,C1158,$D$1:$D$1324,D1158,$B$1:$B$1324,"&lt;="&amp;B1158)</f>
        <v>27206.89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6000</v>
      </c>
      <c r="P1158" s="28">
        <f>IF(tblMovimientos[[#This Row],[Tipo de Movimiento]]="Ingreso",tblMovimientos[[#This Row],[Ingreso]],-tblMovimientos[[#This Row],[Egreso]])</f>
        <v>-6000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>Trust</v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Sacred Valley Capital</v>
      </c>
      <c r="D1159" s="41" t="s">
        <v>114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44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29.95</v>
      </c>
      <c r="K1159" s="5">
        <f t="shared" si="18"/>
        <v>-29.95</v>
      </c>
      <c r="L1159" s="15" t="s">
        <v>134</v>
      </c>
      <c r="M1159" s="44">
        <f>SUMIFS('Saldos Iniciales'!$D:$D,'Saldos Iniciales'!$A:$A,C1159,'Saldos Iniciales'!$B:$B,D1159)+SUMIFS($K$1:$K$1324,$C$1:$C$1324,C1159,$D$1:$D$1324,D1159,$B$1:$B$1324,"&lt;="&amp;B1159)</f>
        <v>64.55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29.95</v>
      </c>
      <c r="P1159" s="28">
        <f>IF(tblMovimientos[[#This Row],[Tipo de Movimiento]]="Ingreso",tblMovimientos[[#This Row],[Ingreso]],-tblMovimientos[[#This Row],[Egreso]])</f>
        <v>-29.95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/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YWC Capital</v>
      </c>
      <c r="D1160" s="41" t="s">
        <v>115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Iniciales'!$B:$B,D1160)+SUMIFS($K$1:$K$1324,$C$1:$C$1324,C1160,$D$1:$D$1324,D1160,$B$1:$B$1324,"&lt;="&amp;B1160)</f>
        <v>2117.9700000000003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Arbor Capital Properties</v>
      </c>
      <c r="D1161" s="41" t="s">
        <v>120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16</v>
      </c>
      <c r="K1161" s="5">
        <f t="shared" si="18"/>
        <v>-16</v>
      </c>
      <c r="L1161" s="15" t="s">
        <v>134</v>
      </c>
      <c r="M1161" s="44">
        <f>SUMIFS('Saldos Iniciales'!$D:$D,'Saldos Iniciales'!$A:$A,C1161,'Saldos Iniciales'!$B:$B,D1161)+SUMIFS($K$1:$K$1324,$C$1:$C$1324,C1161,$D$1:$D$1324,D1161,$B$1:$B$1324,"&lt;="&amp;B1161)</f>
        <v>1364.08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16</v>
      </c>
      <c r="P1161" s="28">
        <f>IF(tblMovimientos[[#This Row],[Tipo de Movimiento]]="Ingreso",tblMovimientos[[#This Row],[Ingreso]],-tblMovimientos[[#This Row],[Egreso]])</f>
        <v>-16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2515 Overbrook</v>
      </c>
      <c r="D1162" s="41" t="s">
        <v>121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46</v>
      </c>
      <c r="H1162" s="4" t="str">
        <f>IFERROR(_xlfn.XLOOKUP(G1162,Listas!E:E,Listas!F:F,""),"")</f>
        <v>Financiamiento</v>
      </c>
      <c r="I1162" s="46" t="str">
        <f>IFERROR(_xlfn.XLOOKUP(G1162,Listas!E:E,Listas!G:G,""),"")</f>
        <v>Externo</v>
      </c>
      <c r="J1162" s="43">
        <v>8533.33</v>
      </c>
      <c r="K1162" s="5">
        <f t="shared" si="18"/>
        <v>-8533.33</v>
      </c>
      <c r="L1162" s="15" t="s">
        <v>134</v>
      </c>
      <c r="M1162" s="44">
        <f>SUMIFS('Saldos Iniciales'!$D:$D,'Saldos Iniciales'!$A:$A,C1162,'Saldos Iniciales'!$B:$B,D1162)+SUMIFS($K$1:$K$1324,$C$1:$C$1324,C1162,$D$1:$D$1324,D1162,$B$1:$B$1324,"&lt;="&amp;B1162)</f>
        <v>19881.129999999965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8533.33</v>
      </c>
      <c r="P1162" s="28">
        <f>IF(tblMovimientos[[#This Row],[Tipo de Movimiento]]="Ingreso",tblMovimientos[[#This Row],[Ingreso]],-tblMovimientos[[#This Row],[Egreso]])</f>
        <v>-8533.33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122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44</v>
      </c>
      <c r="H1163" s="4" t="str">
        <f>IFERROR(_xlfn.XLOOKUP(G1163,Listas!E:E,Listas!F:F,""),"")</f>
        <v>Operativo</v>
      </c>
      <c r="I1163" s="46" t="str">
        <f>IFERROR(_xlfn.XLOOKUP(G1163,Listas!E:E,Listas!G:G,""),"")</f>
        <v>Externo</v>
      </c>
      <c r="J1163" s="43">
        <v>10</v>
      </c>
      <c r="K1163" s="5">
        <f t="shared" si="18"/>
        <v>-10</v>
      </c>
      <c r="L1163" s="15" t="s">
        <v>134</v>
      </c>
      <c r="M1163" s="44">
        <f>SUMIFS('Saldos Iniciales'!$D:$D,'Saldos Iniciales'!$A:$A,C1163,'Saldos Iniciales'!$B:$B,D1163)+SUMIFS($K$1:$K$1324,$C$1:$C$1324,C1163,$D$1:$D$1324,D1163,$B$1:$B$1324,"&lt;="&amp;B1163)</f>
        <v>290.42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10</v>
      </c>
      <c r="P1163" s="28">
        <f>IF(tblMovimientos[[#This Row],[Tipo de Movimiento]]="Ingreso",tblMovimientos[[#This Row],[Ingreso]],-tblMovimientos[[#This Row],[Egreso]])</f>
        <v>-10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112 Florida Ave</v>
      </c>
      <c r="D1164" s="41" t="s">
        <v>123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48</v>
      </c>
      <c r="H1164" s="4" t="str">
        <f>IFERROR(_xlfn.XLOOKUP(G1164,Listas!E:E,Listas!F:F,""),"")</f>
        <v>Financiamiento</v>
      </c>
      <c r="I1164" s="46" t="str">
        <f>IFERROR(_xlfn.XLOOKUP(G1164,Listas!E:E,Listas!G:G,""),"")</f>
        <v>Externo</v>
      </c>
      <c r="J1164" s="43">
        <v>9798.6299999999992</v>
      </c>
      <c r="K1164" s="5">
        <f t="shared" si="18"/>
        <v>-9798.6299999999992</v>
      </c>
      <c r="L1164" s="15" t="s">
        <v>134</v>
      </c>
      <c r="M1164" s="44">
        <f>SUMIFS('Saldos Iniciales'!$D:$D,'Saldos Iniciales'!$A:$A,C1164,'Saldos Iniciales'!$B:$B,D1164)+SUMIFS($K$1:$K$1324,$C$1:$C$1324,C1164,$D$1:$D$1324,D1164,$B$1:$B$1324,"&lt;="&amp;B1164)</f>
        <v>13576.060000000007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9798.6299999999992</v>
      </c>
      <c r="P1164" s="28">
        <f>IF(tblMovimientos[[#This Row],[Tipo de Movimiento]]="Ingreso",tblMovimientos[[#This Row],[Ingreso]],-tblMovimientos[[#This Row],[Egreso]])</f>
        <v>-9798.6299999999992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3628 Thomas Ave</v>
      </c>
      <c r="D1165" s="41" t="s">
        <v>124</v>
      </c>
      <c r="E1165" s="68" t="str">
        <f>_xlfn.XLOOKUP(tblMovimientos[[#This Row],[Cuenta Bancaria]],Listas!$B:$B,Listas!$C:$C,"")</f>
        <v>Bank of America</v>
      </c>
      <c r="F1165" s="41" t="s">
        <v>9</v>
      </c>
      <c r="G1165" s="41" t="s">
        <v>81</v>
      </c>
      <c r="H1165" s="4" t="str">
        <f>IFERROR(_xlfn.XLOOKUP(G1165,Listas!E:E,Listas!F:F,""),"")</f>
        <v>Operativo</v>
      </c>
      <c r="I1165" s="46" t="str">
        <f>IFERROR(_xlfn.XLOOKUP(G1165,Listas!E:E,Listas!G:G,""),"")</f>
        <v>Externo</v>
      </c>
      <c r="J1165" s="43">
        <v>4400</v>
      </c>
      <c r="K1165" s="5">
        <f t="shared" si="18"/>
        <v>4400</v>
      </c>
      <c r="L1165" s="15" t="s">
        <v>134</v>
      </c>
      <c r="M1165" s="44">
        <f>SUMIFS('Saldos Iniciales'!$D:$D,'Saldos Iniciales'!$A:$A,C1165,'Saldos Iniciales'!$B:$B,D1165)+SUMIFS($K$1:$K$1324,$C$1:$C$1324,C1165,$D$1:$D$1324,D1165,$B$1:$B$1324,"&lt;="&amp;B1165)</f>
        <v>16893.769999999997</v>
      </c>
      <c r="N1165" s="61">
        <f>IF(tblMovimientos[[#This Row],[Tipo de Movimiento]]="Ingreso",tblMovimientos[[#This Row],[Monto (S/)]],"0")</f>
        <v>4400</v>
      </c>
      <c r="O1165" s="61" t="str">
        <f>IF(tblMovimientos[[#This Row],[Tipo de Movimiento]]="Egreso",tblMovimientos[[#This Row],[Monto (S/)]],"0")</f>
        <v>0</v>
      </c>
      <c r="P1165" s="28">
        <f>IF(tblMovimientos[[#This Row],[Tipo de Movimiento]]="Ingreso",tblMovimientos[[#This Row],[Ingreso]],-tblMovimientos[[#This Row],[Egreso]])</f>
        <v>4400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2000</v>
      </c>
      <c r="K1166" s="5">
        <f t="shared" si="18"/>
        <v>2000</v>
      </c>
      <c r="L1166" s="15" t="s">
        <v>134</v>
      </c>
      <c r="M1166" s="44">
        <f>SUMIFS('Saldos Iniciales'!$D:$D,'Saldos Iniciales'!$A:$A,C1166,'Saldos Iniciales'!$B:$B,D1166)+SUMIFS($K$1:$K$1324,$C$1:$C$1324,C1166,$D$1:$D$1324,D1166,$B$1:$B$1324,"&lt;="&amp;B1166)</f>
        <v>16893.769999999997</v>
      </c>
      <c r="N1166" s="61">
        <f>IF(tblMovimientos[[#This Row],[Tipo de Movimiento]]="Ingreso",tblMovimientos[[#This Row],[Monto (S/)]],"0")</f>
        <v>2000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2000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10</v>
      </c>
      <c r="G1167" s="41" t="s">
        <v>48</v>
      </c>
      <c r="H1167" s="4" t="str">
        <f>IFERROR(_xlfn.XLOOKUP(G1167,Listas!E:E,Listas!F:F,""),"")</f>
        <v>Financiamiento</v>
      </c>
      <c r="I1167" s="46" t="str">
        <f>IFERROR(_xlfn.XLOOKUP(G1167,Listas!E:E,Listas!G:G,""),"")</f>
        <v>Externo</v>
      </c>
      <c r="J1167" s="43">
        <v>8773.0400000000009</v>
      </c>
      <c r="K1167" s="5">
        <f t="shared" si="18"/>
        <v>-8773.0400000000009</v>
      </c>
      <c r="L1167" s="15" t="s">
        <v>134</v>
      </c>
      <c r="M1167" s="44">
        <f>SUMIFS('Saldos Iniciales'!$D:$D,'Saldos Iniciales'!$A:$A,C1167,'Saldos Iniciales'!$B:$B,D1167)+SUMIFS($K$1:$K$1324,$C$1:$C$1324,C1167,$D$1:$D$1324,D1167,$B$1:$B$1324,"&lt;="&amp;B1167)</f>
        <v>16893.769999999997</v>
      </c>
      <c r="N1167" s="61" t="str">
        <f>IF(tblMovimientos[[#This Row],[Tipo de Movimiento]]="Ingreso",tblMovimientos[[#This Row],[Monto (S/)]],"0")</f>
        <v>0</v>
      </c>
      <c r="O1167" s="61">
        <f>IF(tblMovimientos[[#This Row],[Tipo de Movimiento]]="Egreso",tblMovimientos[[#This Row],[Monto (S/)]],"0")</f>
        <v>8773.0400000000009</v>
      </c>
      <c r="P1167" s="28">
        <f>IF(tblMovimientos[[#This Row],[Tipo de Movimiento]]="Ingreso",tblMovimientos[[#This Row],[Ingreso]],-tblMovimientos[[#This Row],[Egreso]])</f>
        <v>-8773.0400000000009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CFT Group</v>
      </c>
      <c r="D1168" s="41" t="s">
        <v>95</v>
      </c>
      <c r="E1168" s="68" t="str">
        <f>_xlfn.XLOOKUP(tblMovimientos[[#This Row],[Cuenta Bancaria]],Listas!$B:$B,Listas!$C:$C,"")</f>
        <v xml:space="preserve">Amerant Bank </v>
      </c>
      <c r="F1168" s="41" t="s">
        <v>9</v>
      </c>
      <c r="G1168" s="41" t="s">
        <v>85</v>
      </c>
      <c r="H1168" s="4" t="str">
        <f>IFERROR(_xlfn.XLOOKUP(G1168,Listas!E:E,Listas!F:F,""),"")</f>
        <v>Operativo</v>
      </c>
      <c r="I1168" s="46" t="str">
        <f>IFERROR(_xlfn.XLOOKUP(G1168,Listas!E:E,Listas!G:G,""),"")</f>
        <v>Interno</v>
      </c>
      <c r="J1168" s="43">
        <v>440000</v>
      </c>
      <c r="K1168" s="5">
        <f t="shared" si="18"/>
        <v>440000</v>
      </c>
      <c r="L1168" s="15" t="s">
        <v>134</v>
      </c>
      <c r="M1168" s="44">
        <f>SUMIFS('Saldos Iniciales'!$D:$D,'Saldos Iniciales'!$A:$A,C1168,'Saldos Iniciales'!$B:$B,D1168)+SUMIFS($K$1:$K$1324,$C$1:$C$1324,C1168,$D$1:$D$1324,D1168,$B$1:$B$1324,"&lt;="&amp;B1168)</f>
        <v>3071394.040000001</v>
      </c>
      <c r="N1168" s="61">
        <f>IF(tblMovimientos[[#This Row],[Tipo de Movimiento]]="Ingreso",tblMovimientos[[#This Row],[Monto (S/)]],"0")</f>
        <v>440000</v>
      </c>
      <c r="O1168" s="61" t="str">
        <f>IF(tblMovimientos[[#This Row],[Tipo de Movimiento]]="Egreso",tblMovimientos[[#This Row],[Monto (S/)]],"0")</f>
        <v>0</v>
      </c>
      <c r="P1168" s="28">
        <f>IF(tblMovimientos[[#This Row],[Tipo de Movimiento]]="Ingreso",tblMovimientos[[#This Row],[Ingreso]],-tblMovimientos[[#This Row],[Egreso]])</f>
        <v>440000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76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Externo</v>
      </c>
      <c r="J1169" s="43">
        <v>2000000</v>
      </c>
      <c r="K1169" s="5">
        <f t="shared" si="18"/>
        <v>2000000</v>
      </c>
      <c r="L1169" s="15" t="s">
        <v>134</v>
      </c>
      <c r="M1169" s="44">
        <f>SUMIFS('Saldos Iniciales'!$D:$D,'Saldos Iniciales'!$A:$A,C1169,'Saldos Iniciales'!$B:$B,D1169)+SUMIFS($K$1:$K$1324,$C$1:$C$1324,C1169,$D$1:$D$1324,D1169,$B$1:$B$1324,"&lt;="&amp;B1169)</f>
        <v>3071394.040000001</v>
      </c>
      <c r="N1169" s="61">
        <f>IF(tblMovimientos[[#This Row],[Tipo de Movimiento]]="Ingreso",tblMovimientos[[#This Row],[Monto (S/)]],"0")</f>
        <v>2000000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2000000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46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1516.67</v>
      </c>
      <c r="K1170" s="5">
        <f t="shared" si="18"/>
        <v>-1516.67</v>
      </c>
      <c r="L1170" s="15" t="s">
        <v>134</v>
      </c>
      <c r="M1170" s="44">
        <f>SUMIFS('Saldos Iniciales'!$D:$D,'Saldos Iniciales'!$A:$A,C1170,'Saldos Iniciales'!$B:$B,D1170)+SUMIFS($K$1:$K$1324,$C$1:$C$1324,C1170,$D$1:$D$1324,D1170,$B$1:$B$1324,"&lt;="&amp;B1170)</f>
        <v>3071394.040000001</v>
      </c>
      <c r="N1170" s="61" t="str">
        <f>IF(tblMovimientos[[#This Row],[Tipo de Movimiento]]="Ingreso",tblMovimientos[[#This Row],[Monto (S/)]],"0")</f>
        <v>0</v>
      </c>
      <c r="O1170" s="61">
        <f>IF(tblMovimientos[[#This Row],[Tipo de Movimiento]]="Egreso",tblMovimientos[[#This Row],[Monto (S/)]],"0")</f>
        <v>1516.67</v>
      </c>
      <c r="P1170" s="28">
        <f>IF(tblMovimientos[[#This Row],[Tipo de Movimiento]]="Ingreso",tblMovimientos[[#This Row],[Ingreso]],-tblMovimientos[[#This Row],[Egreso]])</f>
        <v>-1516.67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2975</v>
      </c>
      <c r="K1171" s="5">
        <f t="shared" si="18"/>
        <v>-2975</v>
      </c>
      <c r="L1171" s="15" t="s">
        <v>134</v>
      </c>
      <c r="M1171" s="44">
        <f>SUMIFS('Saldos Iniciales'!$D:$D,'Saldos Iniciales'!$A:$A,C1171,'Saldos Iniciales'!$B:$B,D1171)+SUMIFS($K$1:$K$1324,$C$1:$C$1324,C1171,$D$1:$D$1324,D1171,$B$1:$B$1324,"&lt;="&amp;B1171)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2975</v>
      </c>
      <c r="P1171" s="28">
        <f>IF(tblMovimientos[[#This Row],[Tipo de Movimiento]]="Ingreso",tblMovimientos[[#This Row],[Ingreso]],-tblMovimientos[[#This Row],[Egreso]])</f>
        <v>-2975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10833.33</v>
      </c>
      <c r="K1172" s="5">
        <f t="shared" si="18"/>
        <v>-10833.33</v>
      </c>
      <c r="L1172" s="15" t="s">
        <v>134</v>
      </c>
      <c r="M1172" s="44">
        <f>SUMIFS('Saldos Iniciales'!$D:$D,'Saldos Iniciales'!$A:$A,C1172,'Saldos Iniciales'!$B:$B,D1172)+SUMIFS($K$1:$K$1324,$C$1:$C$1324,C1172,$D$1:$D$1324,D1172,$B$1:$B$1324,"&lt;="&amp;B1172)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10833.33</v>
      </c>
      <c r="P1172" s="28">
        <f>IF(tblMovimientos[[#This Row],[Tipo de Movimiento]]="Ingreso",tblMovimientos[[#This Row],[Ingreso]],-tblMovimientos[[#This Row],[Egreso]])</f>
        <v>-10833.33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11666.67</v>
      </c>
      <c r="K1173" s="5">
        <f t="shared" si="18"/>
        <v>-11666.67</v>
      </c>
      <c r="L1173" s="15" t="s">
        <v>134</v>
      </c>
      <c r="M1173" s="44">
        <f>SUMIFS('Saldos Iniciales'!$D:$D,'Saldos Iniciales'!$A:$A,C1173,'Saldos Iniciales'!$B:$B,D1173)+SUMIFS($K$1:$K$1324,$C$1:$C$1324,C1173,$D$1:$D$1324,D1173,$B$1:$B$1324,"&lt;="&amp;B1173)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11666.67</v>
      </c>
      <c r="P1173" s="28">
        <f>IF(tblMovimientos[[#This Row],[Tipo de Movimiento]]="Ingreso",tblMovimientos[[#This Row],[Ingreso]],-tblMovimientos[[#This Row],[Egreso]])</f>
        <v>-11666.67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61</v>
      </c>
      <c r="H1174" s="4" t="str">
        <f>IFERROR(_xlfn.XLOOKUP(G1174,Listas!E:E,Listas!F:F,""),"")</f>
        <v>Operativo</v>
      </c>
      <c r="I1174" s="4" t="str">
        <f>IFERROR(_xlfn.XLOOKUP(G1174,Listas!E:E,Listas!G:G,""),"")</f>
        <v>Externo</v>
      </c>
      <c r="J1174" s="43">
        <v>100000</v>
      </c>
      <c r="K1174" s="5">
        <f t="shared" si="18"/>
        <v>-100000</v>
      </c>
      <c r="L1174" s="15" t="s">
        <v>134</v>
      </c>
      <c r="M1174" s="44">
        <f>SUMIFS('Saldos Iniciales'!$D:$D,'Saldos Iniciales'!$A:$A,C1174,'Saldos Iniciales'!$B:$B,D1174)+SUMIFS($K$1:$K$1324,$C$1:$C$1324,C1174,$D$1:$D$1324,D1174,$B$1:$B$1324,"&lt;="&amp;B1174)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100000</v>
      </c>
      <c r="P1174" s="28">
        <f>IF(tblMovimientos[[#This Row],[Tipo de Movimiento]]="Ingreso",tblMovimientos[[#This Row],[Ingreso]],-tblMovimientos[[#This Row],[Egreso]])</f>
        <v>-100000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46</v>
      </c>
      <c r="H1175" s="4" t="str">
        <f>IFERROR(_xlfn.XLOOKUP(G1175,Listas!E:E,Listas!F:F,""),"")</f>
        <v>Financiamiento</v>
      </c>
      <c r="I1175" s="4" t="str">
        <f>IFERROR(_xlfn.XLOOKUP(G1175,Listas!E:E,Listas!G:G,""),"")</f>
        <v>Externo</v>
      </c>
      <c r="J1175" s="43">
        <v>200000</v>
      </c>
      <c r="K1175" s="5">
        <f t="shared" si="18"/>
        <v>-200000</v>
      </c>
      <c r="L1175" s="15" t="s">
        <v>134</v>
      </c>
      <c r="M1175" s="44">
        <f>SUMIFS('Saldos Iniciales'!$D:$D,'Saldos Iniciales'!$A:$A,C1175,'Saldos Iniciales'!$B:$B,D1175)+SUMIFS($K$1:$K$1324,$C$1:$C$1324,C1175,$D$1:$D$1324,D1175,$B$1:$B$1324,"&lt;="&amp;B1175)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200000</v>
      </c>
      <c r="P1175" s="28">
        <f>IF(tblMovimientos[[#This Row],[Tipo de Movimiento]]="Ingreso",tblMovimientos[[#This Row],[Ingreso]],-tblMovimientos[[#This Row],[Egreso]])</f>
        <v>-200000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62</v>
      </c>
      <c r="H1176" s="4" t="str">
        <f>IFERROR(_xlfn.XLOOKUP(G1176,Listas!E:E,Listas!F:F,""),"")</f>
        <v>Operativo</v>
      </c>
      <c r="I1176" s="4" t="str">
        <f>IFERROR(_xlfn.XLOOKUP(G1176,Listas!E:E,Listas!G:G,""),"")</f>
        <v>Interno</v>
      </c>
      <c r="J1176" s="43">
        <v>500000</v>
      </c>
      <c r="K1176" s="5">
        <f t="shared" si="18"/>
        <v>-500000</v>
      </c>
      <c r="L1176" s="15" t="s">
        <v>134</v>
      </c>
      <c r="M1176" s="44">
        <f>SUMIFS('Saldos Iniciales'!$D:$D,'Saldos Iniciales'!$A:$A,C1176,'Saldos Iniciales'!$B:$B,D1176)+SUMIFS($K$1:$K$1324,$C$1:$C$1324,C1176,$D$1:$D$1324,D1176,$B$1:$B$1324,"&lt;="&amp;B1176)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500000</v>
      </c>
      <c r="P1176" s="28">
        <f>IF(tblMovimientos[[#This Row],[Tipo de Movimiento]]="Ingreso",tblMovimientos[[#This Row],[Ingreso]],-tblMovimientos[[#This Row],[Egreso]])</f>
        <v>-500000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Carmen Cross Irrevocable Trust</v>
      </c>
      <c r="D1177" s="41" t="s">
        <v>183</v>
      </c>
      <c r="E1177" s="68" t="str">
        <f>_xlfn.XLOOKUP(tblMovimientos[[#This Row],[Cuenta Bancaria]],Listas!$B:$B,Listas!$C:$C,"")</f>
        <v xml:space="preserve">Amerant Bank </v>
      </c>
      <c r="F1177" s="41" t="s">
        <v>9</v>
      </c>
      <c r="G1177" s="41" t="s">
        <v>79</v>
      </c>
      <c r="H1177" s="4" t="str">
        <f>IFERROR(_xlfn.XLOOKUP(G1177,Listas!E:E,Listas!F:F,""),"")</f>
        <v>Inversion</v>
      </c>
      <c r="I1177" s="4" t="str">
        <f>IFERROR(_xlfn.XLOOKUP(G1177,Listas!E:E,Listas!G:G,""),"")</f>
        <v>Externo</v>
      </c>
      <c r="J1177" s="43">
        <v>30000</v>
      </c>
      <c r="K1177" s="5">
        <f t="shared" si="18"/>
        <v>30000</v>
      </c>
      <c r="L1177" s="15" t="s">
        <v>134</v>
      </c>
      <c r="M1177" s="44">
        <f>SUMIFS('Saldos Iniciales'!$D:$D,'Saldos Iniciales'!$A:$A,C1177,'Saldos Iniciales'!$B:$B,D1177)+SUMIFS($K$1:$K$1324,$C$1:$C$1324,C1177,$D$1:$D$1324,D1177,$B$1:$B$1324,"&lt;="&amp;B1177)</f>
        <v>100631.96</v>
      </c>
      <c r="N1177" s="61">
        <f>IF(tblMovimientos[[#This Row],[Tipo de Movimiento]]="Ingreso",tblMovimientos[[#This Row],[Monto (S/)]],"0")</f>
        <v>30000</v>
      </c>
      <c r="O1177" s="61" t="str">
        <f>IF(tblMovimientos[[#This Row],[Tipo de Movimiento]]="Egreso",tblMovimientos[[#This Row],[Monto (S/)]],"0")</f>
        <v>0</v>
      </c>
      <c r="P1177" s="28">
        <f>IF(tblMovimientos[[#This Row],[Tipo de Movimiento]]="Ingreso",tblMovimientos[[#This Row],[Ingreso]],-tblMovimientos[[#This Row],[Egreso]])</f>
        <v>30000</v>
      </c>
      <c r="Q1177" s="78" t="str">
        <f>_xlfn.XLOOKUP(tblMovimientos[[#This Row],[Cuenta Bancaria]],Cuentas!$C:$C,Cuentas!$A:$A,"")&amp;""</f>
        <v>Carmen Cross Irrevocable Trust</v>
      </c>
      <c r="R1177" s="78" t="str">
        <f>_xlfn.XLOOKUP(tblMovimientos[[#This Row],[Cuenta Bancaria]],Cuentas!$C:$C,Cuentas!$B:$B,"",0,-1)&amp;""</f>
        <v>Trust</v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67000</v>
      </c>
      <c r="K1178" s="5">
        <f t="shared" si="18"/>
        <v>67000</v>
      </c>
      <c r="L1178" s="15" t="s">
        <v>134</v>
      </c>
      <c r="M1178" s="44">
        <f>SUMIFS('Saldos Iniciales'!$D:$D,'Saldos Iniciales'!$A:$A,C1178,'Saldos Iniciales'!$B:$B,D1178)+SUMIFS($K$1:$K$1324,$C$1:$C$1324,C1178,$D$1:$D$1324,D1178,$B$1:$B$1324,"&lt;="&amp;B1178)</f>
        <v>100631.96</v>
      </c>
      <c r="N1178" s="61">
        <f>IF(tblMovimientos[[#This Row],[Tipo de Movimiento]]="Ingreso",tblMovimientos[[#This Row],[Monto (S/)]],"0")</f>
        <v>67000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67000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Cross Family Trust</v>
      </c>
      <c r="D1179" s="41" t="s">
        <v>111</v>
      </c>
      <c r="E1179" s="68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53</v>
      </c>
      <c r="H1179" s="4" t="str">
        <f>IFERROR(_xlfn.XLOOKUP(G1179,Listas!E:E,Listas!F:F,""),"")</f>
        <v>Inversion</v>
      </c>
      <c r="I1179" s="4" t="str">
        <f>IFERROR(_xlfn.XLOOKUP(G1179,Listas!E:E,Listas!G:G,""),"")</f>
        <v>Interno</v>
      </c>
      <c r="J1179" s="43">
        <v>15000</v>
      </c>
      <c r="K1179" s="5">
        <f t="shared" si="18"/>
        <v>-15000</v>
      </c>
      <c r="L1179" s="15" t="s">
        <v>134</v>
      </c>
      <c r="M1179" s="44">
        <f>SUMIFS('Saldos Iniciales'!$D:$D,'Saldos Iniciales'!$A:$A,C1179,'Saldos Iniciales'!$B:$B,D1179)+SUMIFS($K$1:$K$1324,$C$1:$C$1324,C1179,$D$1:$D$1324,D1179,$B$1:$B$1324,"&lt;="&amp;B1179)</f>
        <v>117999.36000000002</v>
      </c>
      <c r="N1179" s="61" t="str">
        <f>IF(tblMovimientos[[#This Row],[Tipo de Movimiento]]="Ingreso",tblMovimientos[[#This Row],[Monto (S/)]],"0")</f>
        <v>0</v>
      </c>
      <c r="O1179" s="61">
        <f>IF(tblMovimientos[[#This Row],[Tipo de Movimiento]]="Egreso",tblMovimientos[[#This Row],[Monto (S/)]],"0")</f>
        <v>15000</v>
      </c>
      <c r="P1179" s="28">
        <f>IF(tblMovimientos[[#This Row],[Tipo de Movimiento]]="Ingreso",tblMovimientos[[#This Row],[Ingreso]],-tblMovimientos[[#This Row],[Egreso]])</f>
        <v>-15000</v>
      </c>
      <c r="Q1179" s="78" t="str">
        <f>_xlfn.XLOOKUP(tblMovimientos[[#This Row],[Cuenta Bancaria]],Cuentas!$C:$C,Cuentas!$A:$A,"")&amp;""</f>
        <v>SSP Group</v>
      </c>
      <c r="R1179" s="78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SSP Capital</v>
      </c>
      <c r="D1180" s="41" t="s">
        <v>104</v>
      </c>
      <c r="E1180" s="68" t="str">
        <f>_xlfn.XLOOKUP(tblMovimientos[[#This Row],[Cuenta Bancaria]],Listas!$B:$B,Listas!$C:$C,"")</f>
        <v xml:space="preserve">Amerant Bank </v>
      </c>
      <c r="F1180" s="41" t="s">
        <v>9</v>
      </c>
      <c r="G1180" s="41" t="s">
        <v>75</v>
      </c>
      <c r="H1180" s="4" t="str">
        <f>IFERROR(_xlfn.XLOOKUP(G1180,Listas!E:E,Listas!F:F,""),"")</f>
        <v>Financiamiento</v>
      </c>
      <c r="I1180" s="4" t="str">
        <f>IFERROR(_xlfn.XLOOKUP(G1180,Listas!E:E,Listas!G:G,""),"")</f>
        <v>Interno</v>
      </c>
      <c r="J1180" s="43">
        <v>500000</v>
      </c>
      <c r="K1180" s="5">
        <f t="shared" si="18"/>
        <v>500000</v>
      </c>
      <c r="L1180" s="15" t="s">
        <v>134</v>
      </c>
      <c r="M1180" s="44">
        <f>SUMIFS('Saldos Iniciales'!$D:$D,'Saldos Iniciales'!$A:$A,C1180,'Saldos Iniciales'!$B:$B,D1180)+SUMIFS($K$1:$K$1324,$C$1:$C$1324,C1180,$D$1:$D$1324,D1180,$B$1:$B$1324,"&lt;="&amp;B1180)</f>
        <v>725822.75999999931</v>
      </c>
      <c r="N1180" s="61">
        <f>IF(tblMovimientos[[#This Row],[Tipo de Movimiento]]="Ingreso",tblMovimientos[[#This Row],[Monto (S/)]],"0")</f>
        <v>500000</v>
      </c>
      <c r="O1180" s="61" t="str">
        <f>IF(tblMovimientos[[#This Row],[Tipo de Movimiento]]="Egreso",tblMovimientos[[#This Row],[Monto (S/)]],"0")</f>
        <v>0</v>
      </c>
      <c r="P1180" s="28">
        <f>IF(tblMovimientos[[#This Row],[Tipo de Movimiento]]="Ingreso",tblMovimientos[[#This Row],[Ingreso]],-tblMovimientos[[#This Row],[Egreso]])</f>
        <v>500000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/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46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Externo</v>
      </c>
      <c r="J1181" s="43">
        <v>10000</v>
      </c>
      <c r="K1181" s="5">
        <f t="shared" si="18"/>
        <v>-10000</v>
      </c>
      <c r="L1181" s="15" t="s">
        <v>134</v>
      </c>
      <c r="M1181" s="44">
        <f>SUMIFS('Saldos Iniciales'!$D:$D,'Saldos Iniciales'!$A:$A,C1181,'Saldos Iniciales'!$B:$B,D1181)+SUMIFS($K$1:$K$1324,$C$1:$C$1324,C1181,$D$1:$D$1324,D1181,$B$1:$B$1324,"&lt;="&amp;B1181)</f>
        <v>725822.75999999931</v>
      </c>
      <c r="N1181" s="61" t="str">
        <f>IF(tblMovimientos[[#This Row],[Tipo de Movimiento]]="Ingreso",tblMovimientos[[#This Row],[Monto (S/)]],"0")</f>
        <v>0</v>
      </c>
      <c r="O1181" s="61">
        <f>IF(tblMovimientos[[#This Row],[Tipo de Movimiento]]="Egreso",tblMovimientos[[#This Row],[Monto (S/)]],"0")</f>
        <v>10000</v>
      </c>
      <c r="P1181" s="28">
        <f>IF(tblMovimientos[[#This Row],[Tipo de Movimiento]]="Ingreso",tblMovimientos[[#This Row],[Ingreso]],-tblMovimientos[[#This Row],[Egreso]])</f>
        <v>-10000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60</v>
      </c>
      <c r="H1182" s="4" t="str">
        <f>IFERROR(_xlfn.XLOOKUP(G1182,Listas!E:E,Listas!F:F,""),"")</f>
        <v>Inversion</v>
      </c>
      <c r="I1182" s="4" t="str">
        <f>IFERROR(_xlfn.XLOOKUP(G1182,Listas!E:E,Listas!G:G,""),"")</f>
        <v>Interno</v>
      </c>
      <c r="J1182" s="43">
        <v>30000</v>
      </c>
      <c r="K1182" s="5">
        <f t="shared" si="18"/>
        <v>-30000</v>
      </c>
      <c r="L1182" s="15" t="s">
        <v>134</v>
      </c>
      <c r="M1182" s="44">
        <f>SUMIFS('Saldos Iniciales'!$D:$D,'Saldos Iniciales'!$A:$A,C1182,'Saldos Iniciales'!$B:$B,D1182)+SUMIFS($K$1:$K$1324,$C$1:$C$1324,C1182,$D$1:$D$1324,D1182,$B$1:$B$1324,"&lt;="&amp;B1182)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30000</v>
      </c>
      <c r="P1182" s="28">
        <f>IF(tblMovimientos[[#This Row],[Tipo de Movimiento]]="Ingreso",tblMovimientos[[#This Row],[Ingreso]],-tblMovimientos[[#This Row],[Egreso]])</f>
        <v>-30000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Green Harbor Trust</v>
      </c>
      <c r="D1183" s="41" t="s">
        <v>125</v>
      </c>
      <c r="E1183" s="68" t="str">
        <f>_xlfn.XLOOKUP(tblMovimientos[[#This Row],[Cuenta Bancaria]],Listas!$B:$B,Listas!$C:$C,"")</f>
        <v xml:space="preserve">Amerant Bank </v>
      </c>
      <c r="F1183" s="41" t="s">
        <v>9</v>
      </c>
      <c r="G1183" s="41" t="s">
        <v>77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15000</v>
      </c>
      <c r="K1183" s="5">
        <f t="shared" si="18"/>
        <v>15000</v>
      </c>
      <c r="L1183" s="15" t="s">
        <v>134</v>
      </c>
      <c r="M1183" s="44">
        <f>SUMIFS('Saldos Iniciales'!$D:$D,'Saldos Iniciales'!$A:$A,C1183,'Saldos Iniciales'!$B:$B,D1183)+SUMIFS($K$1:$K$1324,$C$1:$C$1324,C1183,$D$1:$D$1324,D1183,$B$1:$B$1324,"&lt;="&amp;B1183)</f>
        <v>345</v>
      </c>
      <c r="N1183" s="61">
        <f>IF(tblMovimientos[[#This Row],[Tipo de Movimiento]]="Ingreso",tblMovimientos[[#This Row],[Monto (S/)]],"0")</f>
        <v>15000</v>
      </c>
      <c r="O1183" s="61" t="str">
        <f>IF(tblMovimientos[[#This Row],[Tipo de Movimiento]]="Egreso",tblMovimientos[[#This Row],[Monto (S/)]],"0")</f>
        <v>0</v>
      </c>
      <c r="P1183" s="28">
        <f>IF(tblMovimientos[[#This Row],[Tipo de Movimiento]]="Ingreso",tblMovimientos[[#This Row],[Ingreso]],-tblMovimientos[[#This Row],[Egreso]])</f>
        <v>15000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>Trust</v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10</v>
      </c>
      <c r="G1184" s="41" t="s">
        <v>53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-15000</v>
      </c>
      <c r="L1184" s="15" t="s">
        <v>134</v>
      </c>
      <c r="M1184" s="44">
        <f>SUMIFS('Saldos Iniciales'!$D:$D,'Saldos Iniciales'!$A:$A,C1184,'Saldos Iniciales'!$B:$B,D1184)+SUMIFS($K$1:$K$1324,$C$1:$C$1324,C1184,$D$1:$D$1324,D1184,$B$1:$B$1324,"&lt;="&amp;B1184)</f>
        <v>345</v>
      </c>
      <c r="N1184" s="61" t="str">
        <f>IF(tblMovimientos[[#This Row],[Tipo de Movimiento]]="Ingreso",tblMovimientos[[#This Row],[Monto (S/)]],"0")</f>
        <v>0</v>
      </c>
      <c r="O1184" s="61">
        <f>IF(tblMovimientos[[#This Row],[Tipo de Movimiento]]="Egreso",tblMovimientos[[#This Row],[Monto (S/)]],"0")</f>
        <v>15000</v>
      </c>
      <c r="P1184" s="28">
        <f>IF(tblMovimientos[[#This Row],[Tipo de Movimiento]]="Ingreso",tblMovimientos[[#This Row],[Ingreso]],-tblMovimientos[[#This Row],[Egreso]])</f>
        <v>-15000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Go Blue</v>
      </c>
      <c r="D1185" s="41" t="s">
        <v>126</v>
      </c>
      <c r="E1185" s="68" t="str">
        <f>_xlfn.XLOOKUP(tblMovimientos[[#This Row],[Cuenta Bancaria]],Listas!$B:$B,Listas!$C:$C,"")</f>
        <v xml:space="preserve">Amerant Bank </v>
      </c>
      <c r="F1185" s="41" t="s">
        <v>9</v>
      </c>
      <c r="G1185" s="41" t="s">
        <v>77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15000</v>
      </c>
      <c r="L1185" s="15" t="s">
        <v>134</v>
      </c>
      <c r="M1185" s="44">
        <f>SUMIFS('Saldos Iniciales'!$D:$D,'Saldos Iniciales'!$A:$A,C1185,'Saldos Iniciales'!$B:$B,D1185)+SUMIFS($K$1:$K$1324,$C$1:$C$1324,C1185,$D$1:$D$1324,D1185,$B$1:$B$1324,"&lt;="&amp;B1185)</f>
        <v>25982.69</v>
      </c>
      <c r="N1185" s="61">
        <f>IF(tblMovimientos[[#This Row],[Tipo de Movimiento]]="Ingreso",tblMovimientos[[#This Row],[Monto (S/)]],"0")</f>
        <v>15000</v>
      </c>
      <c r="O1185" s="61" t="str">
        <f>IF(tblMovimientos[[#This Row],[Tipo de Movimiento]]="Egreso",tblMovimientos[[#This Row],[Monto (S/)]],"0")</f>
        <v>0</v>
      </c>
      <c r="P1185" s="28">
        <f>IF(tblMovimientos[[#This Row],[Tipo de Movimiento]]="Ingreso",tblMovimientos[[#This Row],[Ingreso]],-tblMovimientos[[#This Row],[Egreso]])</f>
        <v>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/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10</v>
      </c>
      <c r="G1186" s="41" t="s">
        <v>38</v>
      </c>
      <c r="H1186" s="4" t="str">
        <f>IFERROR(_xlfn.XLOOKUP(G1186,Listas!E:E,Listas!F:F,""),"")</f>
        <v>Operativo</v>
      </c>
      <c r="I1186" s="4" t="str">
        <f>IFERROR(_xlfn.XLOOKUP(G1186,Listas!E:E,Listas!G:G,""),"")</f>
        <v>Externo</v>
      </c>
      <c r="J1186" s="43">
        <v>352</v>
      </c>
      <c r="K1186" s="5">
        <f t="shared" si="18"/>
        <v>-352</v>
      </c>
      <c r="L1186" s="15" t="s">
        <v>134</v>
      </c>
      <c r="M1186" s="44">
        <f>SUMIFS('Saldos Iniciales'!$D:$D,'Saldos Iniciales'!$A:$A,C1186,'Saldos Iniciales'!$B:$B,D1186)+SUMIFS($K$1:$K$1324,$C$1:$C$1324,C1186,$D$1:$D$1324,D1186,$B$1:$B$1324,"&lt;="&amp;B1186)</f>
        <v>25982.69</v>
      </c>
      <c r="N1186" s="61" t="str">
        <f>IF(tblMovimientos[[#This Row],[Tipo de Movimiento]]="Ingreso",tblMovimientos[[#This Row],[Monto (S/)]],"0")</f>
        <v>0</v>
      </c>
      <c r="O1186" s="61">
        <f>IF(tblMovimientos[[#This Row],[Tipo de Movimiento]]="Egreso",tblMovimientos[[#This Row],[Monto (S/)]],"0")</f>
        <v>352</v>
      </c>
      <c r="P1186" s="28">
        <f>IF(tblMovimientos[[#This Row],[Tipo de Movimiento]]="Ingreso",tblMovimientos[[#This Row],[Ingreso]],-tblMovimientos[[#This Row],[Egreso]])</f>
        <v>-352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44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15</v>
      </c>
      <c r="K1187" s="5">
        <f t="shared" si="18"/>
        <v>-15</v>
      </c>
      <c r="L1187" s="15" t="s">
        <v>134</v>
      </c>
      <c r="M1187" s="44">
        <f>SUMIFS('Saldos Iniciales'!$D:$D,'Saldos Iniciales'!$A:$A,C1187,'Saldos Iniciales'!$B:$B,D1187)+SUMIFS($K$1:$K$1324,$C$1:$C$1324,C1187,$D$1:$D$1324,D1187,$B$1:$B$1324,"&lt;="&amp;B1187)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15</v>
      </c>
      <c r="P1187" s="28">
        <f>IF(tblMovimientos[[#This Row],[Tipo de Movimiento]]="Ingreso",tblMovimientos[[#This Row],[Ingreso]],-tblMovimientos[[#This Row],[Egreso]])</f>
        <v>-15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SIYP LLC</v>
      </c>
      <c r="D1188" s="41" t="s">
        <v>185</v>
      </c>
      <c r="E1188" s="68" t="str">
        <f>_xlfn.XLOOKUP(tblMovimientos[[#This Row],[Cuenta Bancaria]],Listas!$B:$B,Listas!$C:$C,"")</f>
        <v xml:space="preserve">Amerant Bank </v>
      </c>
      <c r="F1188" s="41" t="s">
        <v>9</v>
      </c>
      <c r="G1188" s="41" t="s">
        <v>77</v>
      </c>
      <c r="H1188" s="4" t="str">
        <f>IFERROR(_xlfn.XLOOKUP(G1188,Listas!E:E,Listas!F:F,""),"")</f>
        <v>Inversion</v>
      </c>
      <c r="I1188" s="4" t="str">
        <f>IFERROR(_xlfn.XLOOKUP(G1188,Listas!E:E,Listas!G:G,""),"")</f>
        <v>Interno</v>
      </c>
      <c r="J1188" s="43">
        <v>5000</v>
      </c>
      <c r="K1188" s="5">
        <f t="shared" si="18"/>
        <v>5000</v>
      </c>
      <c r="L1188" s="15" t="s">
        <v>134</v>
      </c>
      <c r="M1188" s="44">
        <f>SUMIFS('Saldos Iniciales'!$D:$D,'Saldos Iniciales'!$A:$A,C1188,'Saldos Iniciales'!$B:$B,D1188)+SUMIFS($K$1:$K$1324,$C$1:$C$1324,C1188,$D$1:$D$1324,D1188,$B$1:$B$1324,"&lt;="&amp;B1188)</f>
        <v>5602.67</v>
      </c>
      <c r="N1188" s="61">
        <f>IF(tblMovimientos[[#This Row],[Tipo de Movimiento]]="Ingreso",tblMovimientos[[#This Row],[Monto (S/)]],"0")</f>
        <v>5000</v>
      </c>
      <c r="O1188" s="61" t="str">
        <f>IF(tblMovimientos[[#This Row],[Tipo de Movimiento]]="Egreso",tblMovimientos[[#This Row],[Monto (S/)]],"0")</f>
        <v>0</v>
      </c>
      <c r="P1188" s="28">
        <f>IF(tblMovimientos[[#This Row],[Tipo de Movimiento]]="Ingreso",tblMovimientos[[#This Row],[Ingreso]],-tblMovimientos[[#This Row],[Egreso]])</f>
        <v>5000</v>
      </c>
      <c r="Q1188" s="78" t="str">
        <f>_xlfn.XLOOKUP(tblMovimientos[[#This Row],[Cuenta Bancaria]],Cuentas!$C:$C,Cuentas!$A:$A,"")&amp;""</f>
        <v>Michael Cross</v>
      </c>
      <c r="R1188" s="78" t="str">
        <f>_xlfn.XLOOKUP(tblMovimientos[[#This Row],[Cuenta Bancaria]],Cuentas!$C:$C,Cuentas!$B:$B,"",0,-1)&amp;""</f>
        <v/>
      </c>
    </row>
    <row r="1189" spans="2:18" x14ac:dyDescent="0.3">
      <c r="B1189" s="39">
        <v>46297</v>
      </c>
      <c r="C1189" s="4" t="str">
        <f>_xlfn.XLOOKUP(tblMovimientos[[#This Row],[Cuenta Bancaria]],Listas!$B:$B,Listas!$A:$A,"")</f>
        <v>Nobe Aparments</v>
      </c>
      <c r="D1189" s="41" t="s">
        <v>191</v>
      </c>
      <c r="E1189" s="68" t="str">
        <f>_xlfn.XLOOKUP(tblMovimientos[[#This Row],[Cuenta Bancaria]],Listas!$B:$B,Listas!$C:$C,"")</f>
        <v>Bank of America</v>
      </c>
      <c r="F1189" s="41" t="s">
        <v>9</v>
      </c>
      <c r="G1189" s="41" t="s">
        <v>81</v>
      </c>
      <c r="H1189" s="4" t="str">
        <f>IFERROR(_xlfn.XLOOKUP(G1189,Listas!E:E,Listas!F:F,""),"")</f>
        <v>Operativo</v>
      </c>
      <c r="I1189" s="4" t="str">
        <f>IFERROR(_xlfn.XLOOKUP(G1189,Listas!E:E,Listas!G:G,""),"")</f>
        <v>Externo</v>
      </c>
      <c r="J1189" s="43">
        <v>950</v>
      </c>
      <c r="K1189" s="5">
        <f t="shared" si="18"/>
        <v>950</v>
      </c>
      <c r="L1189" s="15" t="s">
        <v>134</v>
      </c>
      <c r="M1189" s="44">
        <f>SUMIFS('Saldos Iniciales'!$D:$D,'Saldos Iniciales'!$A:$A,C1189,'Saldos Iniciales'!$B:$B,D1189)+SUMIFS($K$1:$K$1324,$C$1:$C$1324,C1189,$D$1:$D$1324,D1189,$B$1:$B$1324,"&lt;="&amp;B1189)</f>
        <v>209379.46</v>
      </c>
      <c r="N1189" s="61">
        <f>IF(tblMovimientos[[#This Row],[Tipo de Movimiento]]="Ingreso",tblMovimientos[[#This Row],[Monto (S/)]],"0")</f>
        <v>950</v>
      </c>
      <c r="O1189" s="61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950</v>
      </c>
      <c r="Q1189" s="78" t="str">
        <f>_xlfn.XLOOKUP(tblMovimientos[[#This Row],[Cuenta Bancaria]],Cuentas!$C:$C,Cuentas!$A:$A,"")&amp;""</f>
        <v>Estate</v>
      </c>
      <c r="R1189" s="78" t="str">
        <f>_xlfn.XLOOKUP(tblMovimientos[[#This Row],[Cuenta Bancaria]],Cuentas!$C:$C,Cuentas!$B:$B,"",0,-1)&amp;""</f>
        <v/>
      </c>
    </row>
    <row r="1190" spans="2:18" x14ac:dyDescent="0.3">
      <c r="B1190" s="39">
        <v>46297</v>
      </c>
      <c r="C1190" s="4" t="str">
        <f>_xlfn.XLOOKUP(tblMovimientos[[#This Row],[Cuenta Bancaria]],Listas!$B:$B,Listas!$A:$A,"")</f>
        <v>CFT1 Residence</v>
      </c>
      <c r="D1190" s="41" t="s">
        <v>184</v>
      </c>
      <c r="E1190" s="68" t="str">
        <f>_xlfn.XLOOKUP(tblMovimientos[[#This Row],[Cuenta Bancaria]],Listas!$B:$B,Listas!$C:$C,"")</f>
        <v xml:space="preserve">Amerant Bank </v>
      </c>
      <c r="F1190" s="41" t="s">
        <v>10</v>
      </c>
      <c r="G1190" s="41" t="s">
        <v>38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82.62</v>
      </c>
      <c r="K1190" s="5">
        <f t="shared" si="18"/>
        <v>-82.62</v>
      </c>
      <c r="L1190" s="15" t="s">
        <v>134</v>
      </c>
      <c r="M1190" s="44">
        <f>SUMIFS('Saldos Iniciales'!$D:$D,'Saldos Iniciales'!$A:$A,C1190,'Saldos Iniciales'!$B:$B,D1190)+SUMIFS($K$1:$K$1324,$C$1:$C$1324,C1190,$D$1:$D$1324,D1190,$B$1:$B$1324,"&lt;="&amp;B1190)</f>
        <v>100884.42</v>
      </c>
      <c r="N1190" s="61" t="str">
        <f>IF(tblMovimientos[[#This Row],[Tipo de Movimiento]]="Ingreso",tblMovimientos[[#This Row],[Monto (S/)]],"0")</f>
        <v>0</v>
      </c>
      <c r="O1190" s="61">
        <f>IF(tblMovimientos[[#This Row],[Tipo de Movimiento]]="Egreso",tblMovimientos[[#This Row],[Monto (S/)]],"0")</f>
        <v>82.62</v>
      </c>
      <c r="P1190" s="28">
        <f>IF(tblMovimientos[[#This Row],[Tipo de Movimiento]]="Ingreso",tblMovimientos[[#This Row],[Ingreso]],-tblMovimientos[[#This Row],[Egreso]])</f>
        <v>-82.62</v>
      </c>
      <c r="Q1190" s="78" t="str">
        <f>_xlfn.XLOOKUP(tblMovimientos[[#This Row],[Cuenta Bancaria]],Cuentas!$C:$C,Cuentas!$A:$A,"")&amp;""</f>
        <v>Carmen Cross Irrevocable Trust</v>
      </c>
      <c r="R1190" s="78" t="str">
        <f>_xlfn.XLOOKUP(tblMovimientos[[#This Row],[Cuenta Bancaria]],Cuentas!$C:$C,Cuentas!$B:$B,"",0,-1)&amp;""</f>
        <v/>
      </c>
    </row>
    <row r="1191" spans="2:18" x14ac:dyDescent="0.3">
      <c r="B1191" s="39">
        <v>46297</v>
      </c>
      <c r="C1191" s="4" t="str">
        <f>_xlfn.XLOOKUP(tblMovimientos[[#This Row],[Cuenta Bancaria]],Listas!$B:$B,Listas!$A:$A,"")</f>
        <v>CFT1 Residence</v>
      </c>
      <c r="D1191" s="41" t="s">
        <v>184</v>
      </c>
      <c r="E1191" s="68" t="str">
        <f>_xlfn.XLOOKUP(tblMovimientos[[#This Row],[Cuenta Bancaria]],Listas!$B:$B,Listas!$C:$C,"")</f>
        <v xml:space="preserve">Amerant Bank </v>
      </c>
      <c r="F1191" s="41" t="s">
        <v>10</v>
      </c>
      <c r="G1191" s="41" t="s">
        <v>38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29.35</v>
      </c>
      <c r="K1191" s="5">
        <f t="shared" si="18"/>
        <v>-29.35</v>
      </c>
      <c r="L1191" s="15" t="s">
        <v>134</v>
      </c>
      <c r="M1191" s="44">
        <f>SUMIFS('Saldos Iniciales'!$D:$D,'Saldos Iniciales'!$A:$A,C1191,'Saldos Iniciales'!$B:$B,D1191)+SUMIFS($K$1:$K$1324,$C$1:$C$1324,C1191,$D$1:$D$1324,D1191,$B$1:$B$1324,"&lt;="&amp;B1191)</f>
        <v>100884.42</v>
      </c>
      <c r="N1191" s="61" t="str">
        <f>IF(tblMovimientos[[#This Row],[Tipo de Movimiento]]="Ingreso",tblMovimientos[[#This Row],[Monto (S/)]],"0")</f>
        <v>0</v>
      </c>
      <c r="O1191" s="61">
        <f>IF(tblMovimientos[[#This Row],[Tipo de Movimiento]]="Egreso",tblMovimientos[[#This Row],[Monto (S/)]],"0")</f>
        <v>29.35</v>
      </c>
      <c r="P1191" s="28">
        <f>IF(tblMovimientos[[#This Row],[Tipo de Movimiento]]="Ingreso",tblMovimientos[[#This Row],[Ingreso]],-tblMovimientos[[#This Row],[Egreso]])</f>
        <v>-29.35</v>
      </c>
      <c r="Q1191" s="78" t="str">
        <f>_xlfn.XLOOKUP(tblMovimientos[[#This Row],[Cuenta Bancaria]],Cuentas!$C:$C,Cuentas!$A:$A,"")&amp;""</f>
        <v>Carmen Cross Irrevocable Trust</v>
      </c>
      <c r="R1191" s="78" t="str">
        <f>_xlfn.XLOOKUP(tblMovimientos[[#This Row],[Cuenta Bancaria]],Cuentas!$C:$C,Cuentas!$B:$B,"",0,-1)&amp;""</f>
        <v/>
      </c>
    </row>
    <row r="1192" spans="2:18" x14ac:dyDescent="0.3">
      <c r="B1192" s="39">
        <v>46297</v>
      </c>
      <c r="C1192" s="4" t="str">
        <f>_xlfn.XLOOKUP(tblMovimientos[[#This Row],[Cuenta Bancaria]],Listas!$B:$B,Listas!$A:$A,"")</f>
        <v>Prendamas SRL</v>
      </c>
      <c r="D1192" s="41" t="s">
        <v>186</v>
      </c>
      <c r="E1192" s="68" t="str">
        <f>_xlfn.XLOOKUP(tblMovimientos[[#This Row],[Cuenta Bancaria]],Listas!$B:$B,Listas!$C:$C,"")</f>
        <v xml:space="preserve">Amerant Bank </v>
      </c>
      <c r="F1192" s="41" t="s">
        <v>10</v>
      </c>
      <c r="G1192" s="41" t="s">
        <v>38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514.42999999999995</v>
      </c>
      <c r="K1192" s="5">
        <f t="shared" si="18"/>
        <v>-514.42999999999995</v>
      </c>
      <c r="L1192" s="15" t="s">
        <v>134</v>
      </c>
      <c r="M1192" s="44">
        <f>SUMIFS('Saldos Iniciales'!$D:$D,'Saldos Iniciales'!$A:$A,C1192,'Saldos Iniciales'!$B:$B,D1192)+SUMIFS($K$1:$K$1324,$C$1:$C$1324,C1192,$D$1:$D$1324,D1192,$B$1:$B$1324,"&lt;="&amp;B1192)</f>
        <v>21434.939999999973</v>
      </c>
      <c r="N1192" s="61" t="str">
        <f>IF(tblMovimientos[[#This Row],[Tipo de Movimiento]]="Ingreso",tblMovimientos[[#This Row],[Monto (S/)]],"0")</f>
        <v>0</v>
      </c>
      <c r="O1192" s="61">
        <f>IF(tblMovimientos[[#This Row],[Tipo de Movimiento]]="Egreso",tblMovimientos[[#This Row],[Monto (S/)]],"0")</f>
        <v>514.42999999999995</v>
      </c>
      <c r="P1192" s="28">
        <f>IF(tblMovimientos[[#This Row],[Tipo de Movimiento]]="Ingreso",tblMovimientos[[#This Row],[Ingreso]],-tblMovimientos[[#This Row],[Egreso]])</f>
        <v>-514.42999999999995</v>
      </c>
      <c r="Q1192" s="78" t="str">
        <f>_xlfn.XLOOKUP(tblMovimientos[[#This Row],[Cuenta Bancaria]],Cuentas!$C:$C,Cuentas!$A:$A,"")&amp;""</f>
        <v>Unidades de Negocio</v>
      </c>
      <c r="R1192" s="78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Prendamas SRL</v>
      </c>
      <c r="D1193" s="41" t="s">
        <v>186</v>
      </c>
      <c r="E1193" s="68" t="str">
        <f>_xlfn.XLOOKUP(tblMovimientos[[#This Row],[Cuenta Bancaria]],Listas!$B:$B,Listas!$C:$C,"")</f>
        <v xml:space="preserve">Amerant Bank </v>
      </c>
      <c r="F1193" s="41" t="s">
        <v>10</v>
      </c>
      <c r="G1193" s="41" t="s">
        <v>44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15.43</v>
      </c>
      <c r="K1193" s="5">
        <f t="shared" si="18"/>
        <v>-15.43</v>
      </c>
      <c r="L1193" s="15" t="s">
        <v>134</v>
      </c>
      <c r="M1193" s="44">
        <f>SUMIFS('Saldos Iniciales'!$D:$D,'Saldos Iniciales'!$A:$A,C1193,'Saldos Iniciales'!$B:$B,D1193)+SUMIFS($K$1:$K$1324,$C$1:$C$1324,C1193,$D$1:$D$1324,D1193,$B$1:$B$1324,"&lt;="&amp;B1193)</f>
        <v>21434.939999999973</v>
      </c>
      <c r="N1193" s="61" t="str">
        <f>IF(tblMovimientos[[#This Row],[Tipo de Movimiento]]="Ingreso",tblMovimientos[[#This Row],[Monto (S/)]],"0")</f>
        <v>0</v>
      </c>
      <c r="O1193" s="61">
        <f>IF(tblMovimientos[[#This Row],[Tipo de Movimiento]]="Egreso",tblMovimientos[[#This Row],[Monto (S/)]],"0")</f>
        <v>15.43</v>
      </c>
      <c r="P1193" s="28">
        <f>IF(tblMovimientos[[#This Row],[Tipo de Movimiento]]="Ingreso",tblMovimientos[[#This Row],[Ingreso]],-tblMovimientos[[#This Row],[Egreso]])</f>
        <v>-15.43</v>
      </c>
      <c r="Q1193" s="78" t="str">
        <f>_xlfn.XLOOKUP(tblMovimientos[[#This Row],[Cuenta Bancaria]],Cuentas!$C:$C,Cuentas!$A:$A,"")&amp;""</f>
        <v>Unidades de Negocio</v>
      </c>
      <c r="R1193" s="78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Go Blue</v>
      </c>
      <c r="D1194" s="41" t="s">
        <v>126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55</v>
      </c>
      <c r="K1194" s="5">
        <f t="shared" si="18"/>
        <v>-55</v>
      </c>
      <c r="L1194" s="15" t="s">
        <v>134</v>
      </c>
      <c r="M1194" s="44">
        <f>SUMIFS('Saldos Iniciales'!$D:$D,'Saldos Iniciales'!$A:$A,C1194,'Saldos Iniciales'!$B:$B,D1194)+SUMIFS($K$1:$K$1324,$C$1:$C$1324,C1194,$D$1:$D$1324,D1194,$B$1:$B$1324,"&lt;="&amp;B1194)</f>
        <v>22169.35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55</v>
      </c>
      <c r="P1194" s="28">
        <f>IF(tblMovimientos[[#This Row],[Tipo de Movimiento]]="Ingreso",tblMovimientos[[#This Row],[Ingreso]],-tblMovimientos[[#This Row],[Egreso]])</f>
        <v>-55</v>
      </c>
      <c r="Q1194" s="78" t="str">
        <f>_xlfn.XLOOKUP(tblMovimientos[[#This Row],[Cuenta Bancaria]],Cuentas!$C:$C,Cuentas!$A:$A,"")&amp;""</f>
        <v>SSP Group</v>
      </c>
      <c r="R1194" s="78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Go Blue</v>
      </c>
      <c r="D1195" s="41" t="s">
        <v>126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448.76</v>
      </c>
      <c r="K1195" s="5">
        <f t="shared" si="18"/>
        <v>-448.76</v>
      </c>
      <c r="L1195" s="15" t="s">
        <v>134</v>
      </c>
      <c r="M1195" s="44">
        <f>SUMIFS('Saldos Iniciales'!$D:$D,'Saldos Iniciales'!$A:$A,C1195,'Saldos Iniciales'!$B:$B,D1195)+SUMIFS($K$1:$K$1324,$C$1:$C$1324,C1195,$D$1:$D$1324,D1195,$B$1:$B$1324,"&lt;="&amp;B1195)</f>
        <v>22169.35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448.76</v>
      </c>
      <c r="P1195" s="28">
        <f>IF(tblMovimientos[[#This Row],[Tipo de Movimiento]]="Ingreso",tblMovimientos[[#This Row],[Ingreso]],-tblMovimientos[[#This Row],[Egreso]])</f>
        <v>-448.76</v>
      </c>
      <c r="Q1195" s="78" t="str">
        <f>_xlfn.XLOOKUP(tblMovimientos[[#This Row],[Cuenta Bancaria]],Cuentas!$C:$C,Cuentas!$A:$A,"")&amp;""</f>
        <v>SSP Group</v>
      </c>
      <c r="R1195" s="78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Go Blue</v>
      </c>
      <c r="D1196" s="41" t="s">
        <v>126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3309.58</v>
      </c>
      <c r="K1196" s="5">
        <f t="shared" si="18"/>
        <v>-3309.58</v>
      </c>
      <c r="L1196" s="15" t="s">
        <v>134</v>
      </c>
      <c r="M1196" s="44">
        <f>SUMIFS('Saldos Iniciales'!$D:$D,'Saldos Iniciales'!$A:$A,C1196,'Saldos Iniciales'!$B:$B,D1196)+SUMIFS($K$1:$K$1324,$C$1:$C$1324,C1196,$D$1:$D$1324,D1196,$B$1:$B$1324,"&lt;="&amp;B1196)</f>
        <v>22169.35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3309.58</v>
      </c>
      <c r="P1196" s="28">
        <f>IF(tblMovimientos[[#This Row],[Tipo de Movimiento]]="Ingreso",tblMovimientos[[#This Row],[Ingreso]],-tblMovimientos[[#This Row],[Egreso]])</f>
        <v>-3309.58</v>
      </c>
      <c r="Q1196" s="78" t="str">
        <f>_xlfn.XLOOKUP(tblMovimientos[[#This Row],[Cuenta Bancaria]],Cuentas!$C:$C,Cuentas!$A:$A,"")&amp;""</f>
        <v>SSP Group</v>
      </c>
      <c r="R1196" s="78" t="str">
        <f>_xlfn.XLOOKUP(tblMovimientos[[#This Row],[Cuenta Bancaria]],Cuentas!$C:$C,Cuentas!$B:$B,"",0,-1)&amp;""</f>
        <v/>
      </c>
    </row>
    <row r="1197" spans="2:18" x14ac:dyDescent="0.3">
      <c r="B1197" s="39">
        <v>46300</v>
      </c>
      <c r="C1197" s="4" t="str">
        <f>_xlfn.XLOOKUP(tblMovimientos[[#This Row],[Cuenta Bancaria]],Listas!$B:$B,Listas!$A:$A,"")</f>
        <v>Pacha Ventures LLC</v>
      </c>
      <c r="D1197" s="41" t="s">
        <v>187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38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1993.01</v>
      </c>
      <c r="K1197" s="5">
        <f t="shared" si="18"/>
        <v>-1993.01</v>
      </c>
      <c r="L1197" s="15" t="s">
        <v>134</v>
      </c>
      <c r="M1197" s="44">
        <f>SUMIFS('Saldos Iniciales'!$D:$D,'Saldos Iniciales'!$A:$A,C1197,'Saldos Iniciales'!$B:$B,D1197)+SUMIFS($K$1:$K$1324,$C$1:$C$1324,C1197,$D$1:$D$1324,D1197,$B$1:$B$1324,"&lt;="&amp;B1197)</f>
        <v>311185.97000000003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1993.01</v>
      </c>
      <c r="P1197" s="28">
        <f>IF(tblMovimientos[[#This Row],[Tipo de Movimiento]]="Ingreso",tblMovimientos[[#This Row],[Ingreso]],-tblMovimientos[[#This Row],[Egreso]])</f>
        <v>-1993.01</v>
      </c>
      <c r="Q1197" s="78" t="str">
        <f>_xlfn.XLOOKUP(tblMovimientos[[#This Row],[Cuenta Bancaria]],Cuentas!$C:$C,Cuentas!$A:$A,"")&amp;""</f>
        <v>Michael Cross</v>
      </c>
      <c r="R1197" s="78" t="str">
        <f>_xlfn.XLOOKUP(tblMovimientos[[#This Row],[Cuenta Bancaria]],Cuentas!$C:$C,Cuentas!$B:$B,"",0,-1)&amp;""</f>
        <v/>
      </c>
    </row>
    <row r="1198" spans="2:18" x14ac:dyDescent="0.3">
      <c r="B1198" s="39">
        <v>46300</v>
      </c>
      <c r="C1198" s="4" t="str">
        <f>_xlfn.XLOOKUP(tblMovimientos[[#This Row],[Cuenta Bancaria]],Listas!$B:$B,Listas!$A:$A,"")</f>
        <v>CFT1 Residence</v>
      </c>
      <c r="D1198" s="41" t="s">
        <v>184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241.59</v>
      </c>
      <c r="K1198" s="5">
        <f t="shared" si="18"/>
        <v>-241.59</v>
      </c>
      <c r="L1198" s="15" t="s">
        <v>134</v>
      </c>
      <c r="M1198" s="44">
        <f>SUMIFS('Saldos Iniciales'!$D:$D,'Saldos Iniciales'!$A:$A,C1198,'Saldos Iniciales'!$B:$B,D1198)+SUMIFS($K$1:$K$1324,$C$1:$C$1324,C1198,$D$1:$D$1324,D1198,$B$1:$B$1324,"&lt;="&amp;B1198)</f>
        <v>100421.66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241.59</v>
      </c>
      <c r="P1198" s="28">
        <f>IF(tblMovimientos[[#This Row],[Tipo de Movimiento]]="Ingreso",tblMovimientos[[#This Row],[Ingreso]],-tblMovimientos[[#This Row],[Egreso]])</f>
        <v>-241.59</v>
      </c>
      <c r="Q1198" s="78" t="str">
        <f>_xlfn.XLOOKUP(tblMovimientos[[#This Row],[Cuenta Bancaria]],Cuentas!$C:$C,Cuentas!$A:$A,"")&amp;""</f>
        <v>Carmen Cross Irrevocable Trust</v>
      </c>
      <c r="R1198" s="78" t="str">
        <f>_xlfn.XLOOKUP(tblMovimientos[[#This Row],[Cuenta Bancaria]],Cuentas!$C:$C,Cuentas!$B:$B,"",0,-1)&amp;""</f>
        <v/>
      </c>
    </row>
    <row r="1199" spans="2:18" x14ac:dyDescent="0.3">
      <c r="B1199" s="39">
        <v>46300</v>
      </c>
      <c r="C1199" s="4" t="str">
        <f>_xlfn.XLOOKUP(tblMovimientos[[#This Row],[Cuenta Bancaria]],Listas!$B:$B,Listas!$A:$A,"")</f>
        <v>CFT1 Residence</v>
      </c>
      <c r="D1199" s="41" t="s">
        <v>184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22.43</v>
      </c>
      <c r="K1199" s="5">
        <f t="shared" si="18"/>
        <v>-22.43</v>
      </c>
      <c r="L1199" s="15" t="s">
        <v>134</v>
      </c>
      <c r="M1199" s="44">
        <f>SUMIFS('Saldos Iniciales'!$D:$D,'Saldos Iniciales'!$A:$A,C1199,'Saldos Iniciales'!$B:$B,D1199)+SUMIFS($K$1:$K$1324,$C$1:$C$1324,C1199,$D$1:$D$1324,D1199,$B$1:$B$1324,"&lt;="&amp;B1199)</f>
        <v>100421.66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22.43</v>
      </c>
      <c r="P1199" s="28">
        <f>IF(tblMovimientos[[#This Row],[Tipo de Movimiento]]="Ingreso",tblMovimientos[[#This Row],[Ingreso]],-tblMovimientos[[#This Row],[Egreso]])</f>
        <v>-22.43</v>
      </c>
      <c r="Q1199" s="78" t="str">
        <f>_xlfn.XLOOKUP(tblMovimientos[[#This Row],[Cuenta Bancaria]],Cuentas!$C:$C,Cuentas!$A:$A,"")&amp;""</f>
        <v>Carmen Cross Irrevocable Trust</v>
      </c>
      <c r="R1199" s="78" t="str">
        <f>_xlfn.XLOOKUP(tblMovimientos[[#This Row],[Cuenta Bancaria]],Cuentas!$C:$C,Cuentas!$B:$B,"",0,-1)&amp;""</f>
        <v/>
      </c>
    </row>
    <row r="1200" spans="2:18" x14ac:dyDescent="0.3">
      <c r="B1200" s="39">
        <v>46300</v>
      </c>
      <c r="C1200" s="4" t="str">
        <f>_xlfn.XLOOKUP(tblMovimientos[[#This Row],[Cuenta Bancaria]],Listas!$B:$B,Listas!$A:$A,"")</f>
        <v>CFT1 Residence</v>
      </c>
      <c r="D1200" s="41" t="s">
        <v>184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47.84</v>
      </c>
      <c r="K1200" s="5">
        <f t="shared" si="18"/>
        <v>-47.84</v>
      </c>
      <c r="L1200" s="15" t="s">
        <v>134</v>
      </c>
      <c r="M1200" s="44">
        <f>SUMIFS('Saldos Iniciales'!$D:$D,'Saldos Iniciales'!$A:$A,C1200,'Saldos Iniciales'!$B:$B,D1200)+SUMIFS($K$1:$K$1324,$C$1:$C$1324,C1200,$D$1:$D$1324,D1200,$B$1:$B$1324,"&lt;="&amp;B1200)</f>
        <v>100421.66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47.84</v>
      </c>
      <c r="P1200" s="28">
        <f>IF(tblMovimientos[[#This Row],[Tipo de Movimiento]]="Ingreso",tblMovimientos[[#This Row],[Ingreso]],-tblMovimientos[[#This Row],[Egreso]])</f>
        <v>-47.84</v>
      </c>
      <c r="Q1200" s="78" t="str">
        <f>_xlfn.XLOOKUP(tblMovimientos[[#This Row],[Cuenta Bancaria]],Cuentas!$C:$C,Cuentas!$A:$A,"")&amp;""</f>
        <v>Carmen Cross Irrevocable Trust</v>
      </c>
      <c r="R1200" s="78" t="str">
        <f>_xlfn.XLOOKUP(tblMovimientos[[#This Row],[Cuenta Bancaria]],Cuentas!$C:$C,Cuentas!$B:$B,"",0,-1)&amp;""</f>
        <v/>
      </c>
    </row>
    <row r="1201" spans="2:18" x14ac:dyDescent="0.3">
      <c r="B1201" s="39">
        <v>46300</v>
      </c>
      <c r="C1201" s="4" t="str">
        <f>_xlfn.XLOOKUP(tblMovimientos[[#This Row],[Cuenta Bancaria]],Listas!$B:$B,Listas!$A:$A,"")</f>
        <v>CFT1 Residence</v>
      </c>
      <c r="D1201" s="41" t="s">
        <v>184</v>
      </c>
      <c r="E1201" s="68" t="str">
        <f>_xlfn.XLOOKUP(tblMovimientos[[#This Row],[Cuenta Bancaria]],Listas!$B:$B,Listas!$C:$C,"")</f>
        <v xml:space="preserve">Amerant Bank </v>
      </c>
      <c r="F1201" s="41" t="s">
        <v>10</v>
      </c>
      <c r="G1201" s="41" t="s">
        <v>38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47.84</v>
      </c>
      <c r="K1201" s="5">
        <f t="shared" si="18"/>
        <v>-47.84</v>
      </c>
      <c r="L1201" s="15" t="s">
        <v>134</v>
      </c>
      <c r="M1201" s="44">
        <f>SUMIFS('Saldos Iniciales'!$D:$D,'Saldos Iniciales'!$A:$A,C1201,'Saldos Iniciales'!$B:$B,D1201)+SUMIFS($K$1:$K$1324,$C$1:$C$1324,C1201,$D$1:$D$1324,D1201,$B$1:$B$1324,"&lt;="&amp;B1201)</f>
        <v>100421.66</v>
      </c>
      <c r="N1201" s="61" t="str">
        <f>IF(tblMovimientos[[#This Row],[Tipo de Movimiento]]="Ingreso",tblMovimientos[[#This Row],[Monto (S/)]],"0")</f>
        <v>0</v>
      </c>
      <c r="O1201" s="61">
        <f>IF(tblMovimientos[[#This Row],[Tipo de Movimiento]]="Egreso",tblMovimientos[[#This Row],[Monto (S/)]],"0")</f>
        <v>47.84</v>
      </c>
      <c r="P1201" s="28">
        <f>IF(tblMovimientos[[#This Row],[Tipo de Movimiento]]="Ingreso",tblMovimientos[[#This Row],[Ingreso]],-tblMovimientos[[#This Row],[Egreso]])</f>
        <v>-47.84</v>
      </c>
      <c r="Q1201" s="78" t="str">
        <f>_xlfn.XLOOKUP(tblMovimientos[[#This Row],[Cuenta Bancaria]],Cuentas!$C:$C,Cuentas!$A:$A,"")&amp;""</f>
        <v>Carmen Cross Irrevocable Trust</v>
      </c>
      <c r="R1201" s="78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CFT1 Residence</v>
      </c>
      <c r="D1202" s="41" t="s">
        <v>184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50.88</v>
      </c>
      <c r="K1202" s="5">
        <f t="shared" si="18"/>
        <v>-50.88</v>
      </c>
      <c r="L1202" s="15" t="s">
        <v>134</v>
      </c>
      <c r="M1202" s="44">
        <f>SUMIFS('Saldos Iniciales'!$D:$D,'Saldos Iniciales'!$A:$A,C1202,'Saldos Iniciales'!$B:$B,D1202)+SUMIFS($K$1:$K$1324,$C$1:$C$1324,C1202,$D$1:$D$1324,D1202,$B$1:$B$1324,"&lt;="&amp;B1202)</f>
        <v>100421.66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50.88</v>
      </c>
      <c r="P1202" s="28">
        <f>IF(tblMovimientos[[#This Row],[Tipo de Movimiento]]="Ingreso",tblMovimientos[[#This Row],[Ingreso]],-tblMovimientos[[#This Row],[Egreso]])</f>
        <v>-50.88</v>
      </c>
      <c r="Q1202" s="78" t="str">
        <f>_xlfn.XLOOKUP(tblMovimientos[[#This Row],[Cuenta Bancaria]],Cuentas!$C:$C,Cuentas!$A:$A,"")&amp;""</f>
        <v>Carmen Cross Irrevocable Trust</v>
      </c>
      <c r="R1202" s="78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8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52.18</v>
      </c>
      <c r="K1203" s="5">
        <f t="shared" si="18"/>
        <v>-52.18</v>
      </c>
      <c r="L1203" s="15" t="s">
        <v>134</v>
      </c>
      <c r="M1203" s="44">
        <f>SUMIFS('Saldos Iniciales'!$D:$D,'Saldos Iniciales'!$A:$A,C1203,'Saldos Iniciales'!$B:$B,D1203)+SUMIFS($K$1:$K$1324,$C$1:$C$1324,C1203,$D$1:$D$1324,D1203,$B$1:$B$1324,"&lt;="&amp;B1203)</f>
        <v>100421.66</v>
      </c>
      <c r="N1203" s="61" t="str">
        <f>IF(tblMovimientos[[#This Row],[Tipo de Movimiento]]="Ingreso",tblMovimientos[[#This Row],[Monto (S/)]],"0")</f>
        <v>0</v>
      </c>
      <c r="O1203" s="61">
        <f>IF(tblMovimientos[[#This Row],[Tipo de Movimiento]]="Egreso",tblMovimientos[[#This Row],[Monto (S/)]],"0")</f>
        <v>52.18</v>
      </c>
      <c r="P1203" s="28">
        <f>IF(tblMovimientos[[#This Row],[Tipo de Movimiento]]="Ingreso",tblMovimientos[[#This Row],[Ingreso]],-tblMovimientos[[#This Row],[Egreso]])</f>
        <v>-52.18</v>
      </c>
      <c r="Q1203" s="78" t="str">
        <f>_xlfn.XLOOKUP(tblMovimientos[[#This Row],[Cuenta Bancaria]],Cuentas!$C:$C,Cuentas!$A:$A,"")&amp;""</f>
        <v>Carmen Cross Irrevocable Trust</v>
      </c>
      <c r="R1203" s="78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Go Blue</v>
      </c>
      <c r="D1204" s="41" t="s">
        <v>126</v>
      </c>
      <c r="E1204" s="68" t="str">
        <f>_xlfn.XLOOKUP(tblMovimientos[[#This Row],[Cuenta Bancaria]],Listas!$B:$B,Listas!$C:$C,"")</f>
        <v xml:space="preserve">Amerant Bank </v>
      </c>
      <c r="F1204" s="41" t="s">
        <v>9</v>
      </c>
      <c r="G1204" s="41" t="s">
        <v>82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49</v>
      </c>
      <c r="K1204" s="5">
        <f t="shared" si="18"/>
        <v>49</v>
      </c>
      <c r="L1204" s="15" t="s">
        <v>134</v>
      </c>
      <c r="M1204" s="44">
        <f>SUMIFS('Saldos Iniciales'!$D:$D,'Saldos Iniciales'!$A:$A,C1204,'Saldos Iniciales'!$B:$B,D1204)+SUMIFS($K$1:$K$1324,$C$1:$C$1324,C1204,$D$1:$D$1324,D1204,$B$1:$B$1324,"&lt;="&amp;B1204)</f>
        <v>22218.35</v>
      </c>
      <c r="N1204" s="61">
        <f>IF(tblMovimientos[[#This Row],[Tipo de Movimiento]]="Ingreso",tblMovimientos[[#This Row],[Monto (S/)]],"0")</f>
        <v>49</v>
      </c>
      <c r="O1204" s="61" t="str">
        <f>IF(tblMovimientos[[#This Row],[Tipo de Movimiento]]="Egreso",tblMovimientos[[#This Row],[Monto (S/)]],"0")</f>
        <v>0</v>
      </c>
      <c r="P1204" s="28">
        <f>IF(tblMovimientos[[#This Row],[Tipo de Movimiento]]="Ingreso",tblMovimientos[[#This Row],[Ingreso]],-tblMovimientos[[#This Row],[Egreso]])</f>
        <v>49</v>
      </c>
      <c r="Q1204" s="78" t="str">
        <f>_xlfn.XLOOKUP(tblMovimientos[[#This Row],[Cuenta Bancaria]],Cuentas!$C:$C,Cuentas!$A:$A,"")&amp;""</f>
        <v>SSP Group</v>
      </c>
      <c r="R1204" s="78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SSP Capital</v>
      </c>
      <c r="D1205" s="41" t="s">
        <v>101</v>
      </c>
      <c r="E1205" s="68" t="str">
        <f>_xlfn.XLOOKUP(tblMovimientos[[#This Row],[Cuenta Bancaria]],Listas!$B:$B,Listas!$C:$C,"")</f>
        <v>Bank of America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648.76</v>
      </c>
      <c r="K1205" s="5">
        <f t="shared" si="18"/>
        <v>-648.76</v>
      </c>
      <c r="L1205" s="15" t="s">
        <v>134</v>
      </c>
      <c r="M1205" s="44">
        <f>SUMIFS('Saldos Iniciales'!$D:$D,'Saldos Iniciales'!$A:$A,C1205,'Saldos Iniciales'!$B:$B,D1205)+SUMIFS($K$1:$K$1324,$C$1:$C$1324,C1205,$D$1:$D$1324,D1205,$B$1:$B$1324,"&lt;="&amp;B1205)</f>
        <v>35719.050000000003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648.76</v>
      </c>
      <c r="P1205" s="28">
        <f>IF(tblMovimientos[[#This Row],[Tipo de Movimiento]]="Ingreso",tblMovimientos[[#This Row],[Ingreso]],-tblMovimientos[[#This Row],[Egreso]])</f>
        <v>-648.76</v>
      </c>
      <c r="Q1205" s="78" t="str">
        <f>_xlfn.XLOOKUP(tblMovimientos[[#This Row],[Cuenta Bancaria]],Cuentas!$C:$C,Cuentas!$A:$A,"")&amp;""</f>
        <v>SSP Group</v>
      </c>
      <c r="R1205" s="78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Cross Family Trust</v>
      </c>
      <c r="D1206" s="41" t="s">
        <v>110</v>
      </c>
      <c r="E1206" s="68" t="str">
        <f>_xlfn.XLOOKUP(tblMovimientos[[#This Row],[Cuenta Bancaria]],Listas!$B:$B,Listas!$C:$C,"")</f>
        <v>Bank of America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27000</v>
      </c>
      <c r="K1206" s="5">
        <f t="shared" si="18"/>
        <v>-27000</v>
      </c>
      <c r="L1206" s="15" t="s">
        <v>134</v>
      </c>
      <c r="M1206" s="44">
        <f>SUMIFS('Saldos Iniciales'!$D:$D,'Saldos Iniciales'!$A:$A,C1206,'Saldos Iniciales'!$B:$B,D1206)+SUMIFS($K$1:$K$1324,$C$1:$C$1324,C1206,$D$1:$D$1324,D1206,$B$1:$B$1324,"&lt;="&amp;B1206)</f>
        <v>206.88999999999942</v>
      </c>
      <c r="N1206" s="61" t="str">
        <f>IF(tblMovimientos[[#This Row],[Tipo de Movimiento]]="Ingreso",tblMovimientos[[#This Row],[Monto (S/)]],"0")</f>
        <v>0</v>
      </c>
      <c r="O1206" s="61">
        <f>IF(tblMovimientos[[#This Row],[Tipo de Movimiento]]="Egreso",tblMovimientos[[#This Row],[Monto (S/)]],"0")</f>
        <v>27000</v>
      </c>
      <c r="P1206" s="28">
        <f>IF(tblMovimientos[[#This Row],[Tipo de Movimiento]]="Ingreso",tblMovimientos[[#This Row],[Ingreso]],-tblMovimientos[[#This Row],[Egreso]])</f>
        <v>-27000</v>
      </c>
      <c r="Q1206" s="78" t="str">
        <f>_xlfn.XLOOKUP(tblMovimientos[[#This Row],[Cuenta Bancaria]],Cuentas!$C:$C,Cuentas!$A:$A,"")&amp;""</f>
        <v>SSP Group</v>
      </c>
      <c r="R1206" s="78" t="str">
        <f>_xlfn.XLOOKUP(tblMovimientos[[#This Row],[Cuenta Bancaria]],Cuentas!$C:$C,Cuentas!$B:$B,"",0,-1)&amp;""</f>
        <v>Trust</v>
      </c>
    </row>
    <row r="1207" spans="2:18" x14ac:dyDescent="0.3">
      <c r="B1207" s="39">
        <v>46301</v>
      </c>
      <c r="C1207" s="4" t="str">
        <f>_xlfn.XLOOKUP(tblMovimientos[[#This Row],[Cuenta Bancaria]],Listas!$B:$B,Listas!$A:$A,"")</f>
        <v>Pacha Ventures LLC</v>
      </c>
      <c r="D1207" s="41" t="s">
        <v>187</v>
      </c>
      <c r="E1207" s="68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331.11</v>
      </c>
      <c r="K1207" s="5">
        <f t="shared" si="18"/>
        <v>-331.11</v>
      </c>
      <c r="L1207" s="15" t="s">
        <v>134</v>
      </c>
      <c r="M1207" s="44">
        <f>SUMIFS('Saldos Iniciales'!$D:$D,'Saldos Iniciales'!$A:$A,C1207,'Saldos Iniciales'!$B:$B,D1207)+SUMIFS($K$1:$K$1324,$C$1:$C$1324,C1207,$D$1:$D$1324,D1207,$B$1:$B$1324,"&lt;="&amp;B1207)</f>
        <v>310854.86000000004</v>
      </c>
      <c r="N1207" s="61" t="str">
        <f>IF(tblMovimientos[[#This Row],[Tipo de Movimiento]]="Ingreso",tblMovimientos[[#This Row],[Monto (S/)]],"0")</f>
        <v>0</v>
      </c>
      <c r="O1207" s="61">
        <f>IF(tblMovimientos[[#This Row],[Tipo de Movimiento]]="Egreso",tblMovimientos[[#This Row],[Monto (S/)]],"0")</f>
        <v>331.11</v>
      </c>
      <c r="P1207" s="28">
        <f>IF(tblMovimientos[[#This Row],[Tipo de Movimiento]]="Ingreso",tblMovimientos[[#This Row],[Ingreso]],-tblMovimientos[[#This Row],[Egreso]])</f>
        <v>-331.11</v>
      </c>
      <c r="Q1207" s="78" t="str">
        <f>_xlfn.XLOOKUP(tblMovimientos[[#This Row],[Cuenta Bancaria]],Cuentas!$C:$C,Cuentas!$A:$A,"")&amp;""</f>
        <v>Michael Cross</v>
      </c>
      <c r="R1207" s="78" t="str">
        <f>_xlfn.XLOOKUP(tblMovimientos[[#This Row],[Cuenta Bancaria]],Cuentas!$C:$C,Cuentas!$B:$B,"",0,-1)&amp;""</f>
        <v/>
      </c>
    </row>
    <row r="1208" spans="2:18" x14ac:dyDescent="0.3">
      <c r="B1208" s="39">
        <v>46301</v>
      </c>
      <c r="C1208" s="4" t="str">
        <f>_xlfn.XLOOKUP(tblMovimientos[[#This Row],[Cuenta Bancaria]],Listas!$B:$B,Listas!$A:$A,"")</f>
        <v>Carmen Cross Irrevocable Trust</v>
      </c>
      <c r="D1208" s="41" t="s">
        <v>183</v>
      </c>
      <c r="E1208" s="68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10000</v>
      </c>
      <c r="K1208" s="5">
        <f t="shared" si="18"/>
        <v>-10000</v>
      </c>
      <c r="L1208" s="15" t="s">
        <v>134</v>
      </c>
      <c r="M1208" s="44">
        <f>SUMIFS('Saldos Iniciales'!$D:$D,'Saldos Iniciales'!$A:$A,C1208,'Saldos Iniciales'!$B:$B,D1208)+SUMIFS($K$1:$K$1324,$C$1:$C$1324,C1208,$D$1:$D$1324,D1208,$B$1:$B$1324,"&lt;="&amp;B1208)</f>
        <v>90631.96</v>
      </c>
      <c r="N1208" s="61" t="str">
        <f>IF(tblMovimientos[[#This Row],[Tipo de Movimiento]]="Ingreso",tblMovimientos[[#This Row],[Monto (S/)]],"0")</f>
        <v>0</v>
      </c>
      <c r="O1208" s="61">
        <f>IF(tblMovimientos[[#This Row],[Tipo de Movimiento]]="Egreso",tblMovimientos[[#This Row],[Monto (S/)]],"0")</f>
        <v>10000</v>
      </c>
      <c r="P1208" s="28">
        <f>IF(tblMovimientos[[#This Row],[Tipo de Movimiento]]="Ingreso",tblMovimientos[[#This Row],[Ingreso]],-tblMovimientos[[#This Row],[Egreso]])</f>
        <v>-10000</v>
      </c>
      <c r="Q1208" s="78" t="str">
        <f>_xlfn.XLOOKUP(tblMovimientos[[#This Row],[Cuenta Bancaria]],Cuentas!$C:$C,Cuentas!$A:$A,"")&amp;""</f>
        <v>Carmen Cross Irrevocable Trust</v>
      </c>
      <c r="R1208" s="78" t="str">
        <f>_xlfn.XLOOKUP(tblMovimientos[[#This Row],[Cuenta Bancaria]],Cuentas!$C:$C,Cuentas!$B:$B,"",0,-1)&amp;""</f>
        <v>Trust</v>
      </c>
    </row>
    <row r="1209" spans="2:18" x14ac:dyDescent="0.3">
      <c r="B1209" s="39">
        <v>46302</v>
      </c>
      <c r="C1209" s="4" t="str">
        <f>_xlfn.XLOOKUP(tblMovimientos[[#This Row],[Cuenta Bancaria]],Listas!$B:$B,Listas!$A:$A,"")</f>
        <v>SSP Capital</v>
      </c>
      <c r="D1209" s="41" t="s">
        <v>101</v>
      </c>
      <c r="E1209" s="68" t="str">
        <f>_xlfn.XLOOKUP(tblMovimientos[[#This Row],[Cuenta Bancaria]],Listas!$B:$B,Listas!$C:$C,"")</f>
        <v>Bank of America</v>
      </c>
      <c r="F1209" s="41" t="s">
        <v>10</v>
      </c>
      <c r="G1209" s="41" t="s">
        <v>41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7679.78</v>
      </c>
      <c r="K1209" s="5">
        <f t="shared" si="18"/>
        <v>-7679.78</v>
      </c>
      <c r="L1209" s="15" t="s">
        <v>134</v>
      </c>
      <c r="M1209" s="44">
        <f>SUMIFS('Saldos Iniciales'!$D:$D,'Saldos Iniciales'!$A:$A,C1209,'Saldos Iniciales'!$B:$B,D1209)+SUMIFS($K$1:$K$1324,$C$1:$C$1324,C1209,$D$1:$D$1324,D1209,$B$1:$B$1324,"&lt;="&amp;B1209)</f>
        <v>28039.270000000008</v>
      </c>
      <c r="N1209" s="61" t="str">
        <f>IF(tblMovimientos[[#This Row],[Tipo de Movimiento]]="Ingreso",tblMovimientos[[#This Row],[Monto (S/)]],"0")</f>
        <v>0</v>
      </c>
      <c r="O1209" s="61">
        <f>IF(tblMovimientos[[#This Row],[Tipo de Movimiento]]="Egreso",tblMovimientos[[#This Row],[Monto (S/)]],"0")</f>
        <v>7679.78</v>
      </c>
      <c r="P1209" s="28">
        <f>IF(tblMovimientos[[#This Row],[Tipo de Movimiento]]="Ingreso",tblMovimientos[[#This Row],[Ingreso]],-tblMovimientos[[#This Row],[Egreso]])</f>
        <v>-7679.78</v>
      </c>
      <c r="Q1209" s="78" t="str">
        <f>_xlfn.XLOOKUP(tblMovimientos[[#This Row],[Cuenta Bancaria]],Cuentas!$C:$C,Cuentas!$A:$A,"")&amp;""</f>
        <v>SSP Group</v>
      </c>
      <c r="R1209" s="78" t="str">
        <f>_xlfn.XLOOKUP(tblMovimientos[[#This Row],[Cuenta Bancaria]],Cuentas!$C:$C,Cuentas!$B:$B,"",0,-1)&amp;""</f>
        <v/>
      </c>
    </row>
    <row r="1210" spans="2:18" x14ac:dyDescent="0.3">
      <c r="B1210" s="39">
        <v>46302</v>
      </c>
      <c r="C1210" s="4" t="str">
        <f>_xlfn.XLOOKUP(tblMovimientos[[#This Row],[Cuenta Bancaria]],Listas!$B:$B,Listas!$A:$A,"")</f>
        <v>A&amp;M Imports</v>
      </c>
      <c r="D1210" s="41" t="s">
        <v>100</v>
      </c>
      <c r="E1210" s="68" t="str">
        <f>_xlfn.XLOOKUP(tblMovimientos[[#This Row],[Cuenta Bancaria]],Listas!$B:$B,Listas!$C:$C,"")</f>
        <v>Bank of America</v>
      </c>
      <c r="F1210" s="41" t="s">
        <v>10</v>
      </c>
      <c r="G1210" s="41" t="s">
        <v>61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60000</v>
      </c>
      <c r="K1210" s="5">
        <f t="shared" si="18"/>
        <v>-60000</v>
      </c>
      <c r="L1210" s="15" t="s">
        <v>134</v>
      </c>
      <c r="M1210" s="44">
        <f>SUMIFS('Saldos Iniciales'!$D:$D,'Saldos Iniciales'!$A:$A,C1210,'Saldos Iniciales'!$B:$B,D1210)+SUMIFS($K$1:$K$1324,$C$1:$C$1324,C1210,$D$1:$D$1324,D1210,$B$1:$B$1324,"&lt;="&amp;B1210)</f>
        <v>1026832.7999999996</v>
      </c>
      <c r="N1210" s="61" t="str">
        <f>IF(tblMovimientos[[#This Row],[Tipo de Movimiento]]="Ingreso",tblMovimientos[[#This Row],[Monto (S/)]],"0")</f>
        <v>0</v>
      </c>
      <c r="O1210" s="61">
        <f>IF(tblMovimientos[[#This Row],[Tipo de Movimiento]]="Egreso",tblMovimientos[[#This Row],[Monto (S/)]],"0")</f>
        <v>60000</v>
      </c>
      <c r="P1210" s="28">
        <f>IF(tblMovimientos[[#This Row],[Tipo de Movimiento]]="Ingreso",tblMovimientos[[#This Row],[Ingreso]],-tblMovimientos[[#This Row],[Egreso]])</f>
        <v>-60000</v>
      </c>
      <c r="Q1210" s="78" t="str">
        <f>_xlfn.XLOOKUP(tblMovimientos[[#This Row],[Cuenta Bancaria]],Cuentas!$C:$C,Cuentas!$A:$A,"")&amp;""</f>
        <v>SSP Group</v>
      </c>
      <c r="R1210" s="78" t="str">
        <f>_xlfn.XLOOKUP(tblMovimientos[[#This Row],[Cuenta Bancaria]],Cuentas!$C:$C,Cuentas!$B:$B,"",0,-1)&amp;""</f>
        <v/>
      </c>
    </row>
    <row r="1211" spans="2:18" x14ac:dyDescent="0.3">
      <c r="B1211" s="39">
        <v>46302</v>
      </c>
      <c r="C1211" s="4" t="str">
        <f>_xlfn.XLOOKUP(tblMovimientos[[#This Row],[Cuenta Bancaria]],Listas!$B:$B,Listas!$A:$A,"")</f>
        <v>A&amp;M Imports</v>
      </c>
      <c r="D1211" s="41" t="s">
        <v>100</v>
      </c>
      <c r="E1211" s="68" t="str">
        <f>_xlfn.XLOOKUP(tblMovimientos[[#This Row],[Cuenta Bancaria]],Listas!$B:$B,Listas!$C:$C,"")</f>
        <v>Bank of America</v>
      </c>
      <c r="F1211" s="41" t="s">
        <v>10</v>
      </c>
      <c r="G1211" s="41" t="s">
        <v>61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80000</v>
      </c>
      <c r="K1211" s="5">
        <f t="shared" si="18"/>
        <v>-80000</v>
      </c>
      <c r="L1211" s="15" t="s">
        <v>134</v>
      </c>
      <c r="M1211" s="44">
        <f>SUMIFS('Saldos Iniciales'!$D:$D,'Saldos Iniciales'!$A:$A,C1211,'Saldos Iniciales'!$B:$B,D1211)+SUMIFS($K$1:$K$1324,$C$1:$C$1324,C1211,$D$1:$D$1324,D1211,$B$1:$B$1324,"&lt;="&amp;B1211)</f>
        <v>1026832.7999999996</v>
      </c>
      <c r="N1211" s="61" t="str">
        <f>IF(tblMovimientos[[#This Row],[Tipo de Movimiento]]="Ingreso",tblMovimientos[[#This Row],[Monto (S/)]],"0")</f>
        <v>0</v>
      </c>
      <c r="O1211" s="61">
        <f>IF(tblMovimientos[[#This Row],[Tipo de Movimiento]]="Egreso",tblMovimientos[[#This Row],[Monto (S/)]],"0")</f>
        <v>80000</v>
      </c>
      <c r="P1211" s="28">
        <f>IF(tblMovimientos[[#This Row],[Tipo de Movimiento]]="Ingreso",tblMovimientos[[#This Row],[Ingreso]],-tblMovimientos[[#This Row],[Egreso]])</f>
        <v>-80000</v>
      </c>
      <c r="Q1211" s="78" t="str">
        <f>_xlfn.XLOOKUP(tblMovimientos[[#This Row],[Cuenta Bancaria]],Cuentas!$C:$C,Cuentas!$A:$A,"")&amp;""</f>
        <v>SSP Group</v>
      </c>
      <c r="R1211" s="78" t="str">
        <f>_xlfn.XLOOKUP(tblMovimientos[[#This Row],[Cuenta Bancaria]],Cuentas!$C:$C,Cuentas!$B:$B,"",0,-1)&amp;""</f>
        <v/>
      </c>
    </row>
    <row r="1212" spans="2:18" x14ac:dyDescent="0.3">
      <c r="B1212" s="39">
        <v>46302</v>
      </c>
      <c r="C1212" s="4" t="str">
        <f>_xlfn.XLOOKUP(tblMovimientos[[#This Row],[Cuenta Bancaria]],Listas!$B:$B,Listas!$A:$A,"")</f>
        <v>A&amp;M Imports</v>
      </c>
      <c r="D1212" s="41" t="s">
        <v>100</v>
      </c>
      <c r="E1212" s="68" t="str">
        <f>_xlfn.XLOOKUP(tblMovimientos[[#This Row],[Cuenta Bancaria]],Listas!$B:$B,Listas!$C:$C,"")</f>
        <v>Bank of America</v>
      </c>
      <c r="F1212" s="41" t="s">
        <v>10</v>
      </c>
      <c r="G1212" s="41" t="s">
        <v>61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33693.949999999997</v>
      </c>
      <c r="K1212" s="5">
        <f t="shared" si="18"/>
        <v>-33693.949999999997</v>
      </c>
      <c r="L1212" s="15" t="s">
        <v>134</v>
      </c>
      <c r="M1212" s="44">
        <f>SUMIFS('Saldos Iniciales'!$D:$D,'Saldos Iniciales'!$A:$A,C1212,'Saldos Iniciales'!$B:$B,D1212)+SUMIFS($K$1:$K$1324,$C$1:$C$1324,C1212,$D$1:$D$1324,D1212,$B$1:$B$1324,"&lt;="&amp;B1212)</f>
        <v>1026832.7999999996</v>
      </c>
      <c r="N1212" s="61" t="str">
        <f>IF(tblMovimientos[[#This Row],[Tipo de Movimiento]]="Ingreso",tblMovimientos[[#This Row],[Monto (S/)]],"0")</f>
        <v>0</v>
      </c>
      <c r="O1212" s="61">
        <f>IF(tblMovimientos[[#This Row],[Tipo de Movimiento]]="Egreso",tblMovimientos[[#This Row],[Monto (S/)]],"0")</f>
        <v>33693.949999999997</v>
      </c>
      <c r="P1212" s="28">
        <f>IF(tblMovimientos[[#This Row],[Tipo de Movimiento]]="Ingreso",tblMovimientos[[#This Row],[Ingreso]],-tblMovimientos[[#This Row],[Egreso]])</f>
        <v>-33693.949999999997</v>
      </c>
      <c r="Q1212" s="78" t="str">
        <f>_xlfn.XLOOKUP(tblMovimientos[[#This Row],[Cuenta Bancaria]],Cuentas!$C:$C,Cuentas!$A:$A,"")&amp;""</f>
        <v>SSP Group</v>
      </c>
      <c r="R1212" s="78" t="str">
        <f>_xlfn.XLOOKUP(tblMovimientos[[#This Row],[Cuenta Bancaria]],Cuentas!$C:$C,Cuentas!$B:$B,"",0,-1)&amp;""</f>
        <v/>
      </c>
    </row>
    <row r="1213" spans="2:18" x14ac:dyDescent="0.3">
      <c r="B1213" s="39">
        <v>46302</v>
      </c>
      <c r="C1213" s="4" t="str">
        <f>_xlfn.XLOOKUP(tblMovimientos[[#This Row],[Cuenta Bancaria]],Listas!$B:$B,Listas!$A:$A,"")</f>
        <v>CFT Group</v>
      </c>
      <c r="D1213" s="41" t="s">
        <v>95</v>
      </c>
      <c r="E1213" s="68" t="str">
        <f>_xlfn.XLOOKUP(tblMovimientos[[#This Row],[Cuenta Bancaria]],Listas!$B:$B,Listas!$C:$C,"")</f>
        <v xml:space="preserve">Amerant Bank 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5000</v>
      </c>
      <c r="K1213" s="5">
        <f t="shared" si="18"/>
        <v>-5000</v>
      </c>
      <c r="L1213" s="15" t="s">
        <v>134</v>
      </c>
      <c r="M1213" s="44">
        <f>SUMIFS('Saldos Iniciales'!$D:$D,'Saldos Iniciales'!$A:$A,C1213,'Saldos Iniciales'!$B:$B,D1213)+SUMIFS($K$1:$K$1324,$C$1:$C$1324,C1213,$D$1:$D$1324,D1213,$B$1:$B$1324,"&lt;="&amp;B1213)</f>
        <v>2806233.600000001</v>
      </c>
      <c r="N1213" s="61" t="str">
        <f>IF(tblMovimientos[[#This Row],[Tipo de Movimiento]]="Ingreso",tblMovimientos[[#This Row],[Monto (S/)]],"0")</f>
        <v>0</v>
      </c>
      <c r="O1213" s="61">
        <f>IF(tblMovimientos[[#This Row],[Tipo de Movimiento]]="Egreso",tblMovimientos[[#This Row],[Monto (S/)]],"0")</f>
        <v>5000</v>
      </c>
      <c r="P1213" s="28">
        <f>IF(tblMovimientos[[#This Row],[Tipo de Movimiento]]="Ingreso",tblMovimientos[[#This Row],[Ingreso]],-tblMovimientos[[#This Row],[Egreso]])</f>
        <v>-5000</v>
      </c>
      <c r="Q1213" s="78" t="str">
        <f>_xlfn.XLOOKUP(tblMovimientos[[#This Row],[Cuenta Bancaria]],Cuentas!$C:$C,Cuentas!$A:$A,"")&amp;""</f>
        <v>SSP Group</v>
      </c>
      <c r="R1213" s="78" t="str">
        <f>_xlfn.XLOOKUP(tblMovimientos[[#This Row],[Cuenta Bancaria]],Cuentas!$C:$C,Cuentas!$B:$B,"",0,-1)&amp;""</f>
        <v/>
      </c>
    </row>
    <row r="1214" spans="2:18" x14ac:dyDescent="0.3">
      <c r="B1214" s="39">
        <v>46302</v>
      </c>
      <c r="C1214" s="4" t="str">
        <f>_xlfn.XLOOKUP(tblMovimientos[[#This Row],[Cuenta Bancaria]],Listas!$B:$B,Listas!$A:$A,"")</f>
        <v>CFT Group</v>
      </c>
      <c r="D1214" s="41" t="s">
        <v>95</v>
      </c>
      <c r="E1214" s="68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46</v>
      </c>
      <c r="H1214" s="4" t="str">
        <f>IFERROR(_xlfn.XLOOKUP(G1214,Listas!E:E,Listas!F:F,""),"")</f>
        <v>Financiamiento</v>
      </c>
      <c r="I1214" s="4" t="str">
        <f>IFERROR(_xlfn.XLOOKUP(G1214,Listas!E:E,Listas!G:G,""),"")</f>
        <v>Externo</v>
      </c>
      <c r="J1214" s="43">
        <v>5827.11</v>
      </c>
      <c r="K1214" s="5">
        <f t="shared" si="18"/>
        <v>-5827.11</v>
      </c>
      <c r="L1214" s="15" t="s">
        <v>134</v>
      </c>
      <c r="M1214" s="44">
        <f>SUMIFS('Saldos Iniciales'!$D:$D,'Saldos Iniciales'!$A:$A,C1214,'Saldos Iniciales'!$B:$B,D1214)+SUMIFS($K$1:$K$1324,$C$1:$C$1324,C1214,$D$1:$D$1324,D1214,$B$1:$B$1324,"&lt;="&amp;B1214)</f>
        <v>2806233.600000001</v>
      </c>
      <c r="N1214" s="61" t="str">
        <f>IF(tblMovimientos[[#This Row],[Tipo de Movimiento]]="Ingreso",tblMovimientos[[#This Row],[Monto (S/)]],"0")</f>
        <v>0</v>
      </c>
      <c r="O1214" s="61">
        <f>IF(tblMovimientos[[#This Row],[Tipo de Movimiento]]="Egreso",tblMovimientos[[#This Row],[Monto (S/)]],"0")</f>
        <v>5827.11</v>
      </c>
      <c r="P1214" s="28">
        <f>IF(tblMovimientos[[#This Row],[Tipo de Movimiento]]="Ingreso",tblMovimientos[[#This Row],[Ingreso]],-tblMovimientos[[#This Row],[Egreso]])</f>
        <v>-5827.11</v>
      </c>
      <c r="Q1214" s="78" t="str">
        <f>_xlfn.XLOOKUP(tblMovimientos[[#This Row],[Cuenta Bancaria]],Cuentas!$C:$C,Cuentas!$A:$A,"")&amp;""</f>
        <v>SSP Group</v>
      </c>
      <c r="R1214" s="78" t="str">
        <f>_xlfn.XLOOKUP(tblMovimientos[[#This Row],[Cuenta Bancaria]],Cuentas!$C:$C,Cuentas!$B:$B,"",0,-1)&amp;""</f>
        <v/>
      </c>
    </row>
    <row r="1215" spans="2:18" x14ac:dyDescent="0.3">
      <c r="B1215" s="39">
        <v>46302</v>
      </c>
      <c r="C1215" s="4" t="str">
        <f>_xlfn.XLOOKUP(tblMovimientos[[#This Row],[Cuenta Bancaria]],Listas!$B:$B,Listas!$A:$A,"")</f>
        <v>CFT Group</v>
      </c>
      <c r="D1215" s="41" t="s">
        <v>95</v>
      </c>
      <c r="E1215" s="68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46</v>
      </c>
      <c r="H1215" s="4" t="str">
        <f>IFERROR(_xlfn.XLOOKUP(G1215,Listas!E:E,Listas!F:F,""),"")</f>
        <v>Financiamiento</v>
      </c>
      <c r="I1215" s="4" t="str">
        <f>IFERROR(_xlfn.XLOOKUP(G1215,Listas!E:E,Listas!G:G,""),"")</f>
        <v>Externo</v>
      </c>
      <c r="J1215" s="43">
        <v>22166.67</v>
      </c>
      <c r="K1215" s="5">
        <f t="shared" si="18"/>
        <v>-22166.67</v>
      </c>
      <c r="L1215" s="15" t="s">
        <v>134</v>
      </c>
      <c r="M1215" s="44">
        <f>SUMIFS('Saldos Iniciales'!$D:$D,'Saldos Iniciales'!$A:$A,C1215,'Saldos Iniciales'!$B:$B,D1215)+SUMIFS($K$1:$K$1324,$C$1:$C$1324,C1215,$D$1:$D$1324,D1215,$B$1:$B$1324,"&lt;="&amp;B1215)</f>
        <v>2806233.600000001</v>
      </c>
      <c r="N1215" s="61" t="str">
        <f>IF(tblMovimientos[[#This Row],[Tipo de Movimiento]]="Ingreso",tblMovimientos[[#This Row],[Monto (S/)]],"0")</f>
        <v>0</v>
      </c>
      <c r="O1215" s="61">
        <f>IF(tblMovimientos[[#This Row],[Tipo de Movimiento]]="Egreso",tblMovimientos[[#This Row],[Monto (S/)]],"0")</f>
        <v>22166.67</v>
      </c>
      <c r="P1215" s="28">
        <f>IF(tblMovimientos[[#This Row],[Tipo de Movimiento]]="Ingreso",tblMovimientos[[#This Row],[Ingreso]],-tblMovimientos[[#This Row],[Egreso]])</f>
        <v>-22166.67</v>
      </c>
      <c r="Q1215" s="78" t="str">
        <f>_xlfn.XLOOKUP(tblMovimientos[[#This Row],[Cuenta Bancaria]],Cuentas!$C:$C,Cuentas!$A:$A,"")&amp;""</f>
        <v>SSP Group</v>
      </c>
      <c r="R1215" s="78" t="str">
        <f>_xlfn.XLOOKUP(tblMovimientos[[#This Row],[Cuenta Bancaria]],Cuentas!$C:$C,Cuentas!$B:$B,"",0,-1)&amp;""</f>
        <v/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CFT Group</v>
      </c>
      <c r="D1216" s="41" t="s">
        <v>95</v>
      </c>
      <c r="E1216" s="68" t="str">
        <f>_xlfn.XLOOKUP(tblMovimientos[[#This Row],[Cuenta Bancaria]],Listas!$B:$B,Listas!$C:$C,"")</f>
        <v xml:space="preserve">Amerant Bank </v>
      </c>
      <c r="F1216" s="41" t="s">
        <v>10</v>
      </c>
      <c r="G1216" s="41" t="s">
        <v>46</v>
      </c>
      <c r="H1216" s="4" t="str">
        <f>IFERROR(_xlfn.XLOOKUP(G1216,Listas!E:E,Listas!F:F,""),"")</f>
        <v>Financiamiento</v>
      </c>
      <c r="I1216" s="4" t="str">
        <f>IFERROR(_xlfn.XLOOKUP(G1216,Listas!E:E,Listas!G:G,""),"")</f>
        <v>Externo</v>
      </c>
      <c r="J1216" s="43">
        <v>23333.33</v>
      </c>
      <c r="K1216" s="5">
        <f t="shared" si="18"/>
        <v>-23333.33</v>
      </c>
      <c r="L1216" s="15" t="s">
        <v>134</v>
      </c>
      <c r="M1216" s="44">
        <f>SUMIFS('Saldos Iniciales'!$D:$D,'Saldos Iniciales'!$A:$A,C1216,'Saldos Iniciales'!$B:$B,D1216)+SUMIFS($K$1:$K$1324,$C$1:$C$1324,C1216,$D$1:$D$1324,D1216,$B$1:$B$1324,"&lt;="&amp;B1216)</f>
        <v>2806233.600000001</v>
      </c>
      <c r="N1216" s="61" t="str">
        <f>IF(tblMovimientos[[#This Row],[Tipo de Movimiento]]="Ingreso",tblMovimientos[[#This Row],[Monto (S/)]],"0")</f>
        <v>0</v>
      </c>
      <c r="O1216" s="61">
        <f>IF(tblMovimientos[[#This Row],[Tipo de Movimiento]]="Egreso",tblMovimientos[[#This Row],[Monto (S/)]],"0")</f>
        <v>23333.33</v>
      </c>
      <c r="P1216" s="28">
        <f>IF(tblMovimientos[[#This Row],[Tipo de Movimiento]]="Ingreso",tblMovimientos[[#This Row],[Ingreso]],-tblMovimientos[[#This Row],[Egreso]])</f>
        <v>-23333.33</v>
      </c>
      <c r="Q1216" s="78" t="str">
        <f>_xlfn.XLOOKUP(tblMovimientos[[#This Row],[Cuenta Bancaria]],Cuentas!$C:$C,Cuentas!$A:$A,"")&amp;""</f>
        <v>SSP Group</v>
      </c>
      <c r="R1216" s="78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CFT Group</v>
      </c>
      <c r="D1217" s="41" t="s">
        <v>95</v>
      </c>
      <c r="E1217" s="68" t="str">
        <f>_xlfn.XLOOKUP(tblMovimientos[[#This Row],[Cuenta Bancaria]],Listas!$B:$B,Listas!$C:$C,"")</f>
        <v xml:space="preserve">Amerant Bank </v>
      </c>
      <c r="F1217" s="41" t="s">
        <v>10</v>
      </c>
      <c r="G1217" s="41" t="s">
        <v>46</v>
      </c>
      <c r="H1217" s="4" t="str">
        <f>IFERROR(_xlfn.XLOOKUP(G1217,Listas!E:E,Listas!F:F,""),"")</f>
        <v>Financiamiento</v>
      </c>
      <c r="I1217" s="4" t="str">
        <f>IFERROR(_xlfn.XLOOKUP(G1217,Listas!E:E,Listas!G:G,""),"")</f>
        <v>Externo</v>
      </c>
      <c r="J1217" s="43">
        <v>56000</v>
      </c>
      <c r="K1217" s="5">
        <f t="shared" si="18"/>
        <v>-56000</v>
      </c>
      <c r="L1217" s="15" t="s">
        <v>134</v>
      </c>
      <c r="M1217" s="44">
        <f>SUMIFS('Saldos Iniciales'!$D:$D,'Saldos Iniciales'!$A:$A,C1217,'Saldos Iniciales'!$B:$B,D1217)+SUMIFS($K$1:$K$1324,$C$1:$C$1324,C1217,$D$1:$D$1324,D1217,$B$1:$B$1324,"&lt;="&amp;B1217)</f>
        <v>2806233.600000001</v>
      </c>
      <c r="N1217" s="61" t="str">
        <f>IF(tblMovimientos[[#This Row],[Tipo de Movimiento]]="Ingreso",tblMovimientos[[#This Row],[Monto (S/)]],"0")</f>
        <v>0</v>
      </c>
      <c r="O1217" s="61">
        <f>IF(tblMovimientos[[#This Row],[Tipo de Movimiento]]="Egreso",tblMovimientos[[#This Row],[Monto (S/)]],"0")</f>
        <v>56000</v>
      </c>
      <c r="P1217" s="28">
        <f>IF(tblMovimientos[[#This Row],[Tipo de Movimiento]]="Ingreso",tblMovimientos[[#This Row],[Ingreso]],-tblMovimientos[[#This Row],[Egreso]])</f>
        <v>-56000</v>
      </c>
      <c r="Q1217" s="78" t="str">
        <f>_xlfn.XLOOKUP(tblMovimientos[[#This Row],[Cuenta Bancaria]],Cuentas!$C:$C,Cuentas!$A:$A,"")&amp;""</f>
        <v>SSP Group</v>
      </c>
      <c r="R1217" s="78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CFT Group</v>
      </c>
      <c r="D1218" s="41" t="s">
        <v>95</v>
      </c>
      <c r="E1218" s="68" t="str">
        <f>_xlfn.XLOOKUP(tblMovimientos[[#This Row],[Cuenta Bancaria]],Listas!$B:$B,Listas!$C:$C,"")</f>
        <v xml:space="preserve">Amerant Bank </v>
      </c>
      <c r="F1218" s="41" t="s">
        <v>10</v>
      </c>
      <c r="G1218" s="41" t="s">
        <v>46</v>
      </c>
      <c r="H1218" s="4" t="str">
        <f>IFERROR(_xlfn.XLOOKUP(G1218,Listas!E:E,Listas!F:F,""),"")</f>
        <v>Financiamiento</v>
      </c>
      <c r="I1218" s="4" t="str">
        <f>IFERROR(_xlfn.XLOOKUP(G1218,Listas!E:E,Listas!G:G,""),"")</f>
        <v>Externo</v>
      </c>
      <c r="J1218" s="43">
        <v>70000</v>
      </c>
      <c r="K1218" s="5">
        <f t="shared" ref="K1218:K1281" si="19">IF(F1218="Ingreso",J1218,-J1218)</f>
        <v>-70000</v>
      </c>
      <c r="L1218" s="15" t="s">
        <v>134</v>
      </c>
      <c r="M1218" s="44">
        <f>SUMIFS('Saldos Iniciales'!$D:$D,'Saldos Iniciales'!$A:$A,C1218,'Saldos Iniciales'!$B:$B,D1218)+SUMIFS($K$1:$K$1324,$C$1:$C$1324,C1218,$D$1:$D$1324,D1218,$B$1:$B$1324,"&lt;="&amp;B1218)</f>
        <v>2806233.600000001</v>
      </c>
      <c r="N1218" s="61" t="str">
        <f>IF(tblMovimientos[[#This Row],[Tipo de Movimiento]]="Ingreso",tblMovimientos[[#This Row],[Monto (S/)]],"0")</f>
        <v>0</v>
      </c>
      <c r="O1218" s="61">
        <f>IF(tblMovimientos[[#This Row],[Tipo de Movimiento]]="Egreso",tblMovimientos[[#This Row],[Monto (S/)]],"0")</f>
        <v>70000</v>
      </c>
      <c r="P1218" s="28">
        <f>IF(tblMovimientos[[#This Row],[Tipo de Movimiento]]="Ingreso",tblMovimientos[[#This Row],[Ingreso]],-tblMovimientos[[#This Row],[Egreso]])</f>
        <v>-70000</v>
      </c>
      <c r="Q1218" s="78" t="str">
        <f>_xlfn.XLOOKUP(tblMovimientos[[#This Row],[Cuenta Bancaria]],Cuentas!$C:$C,Cuentas!$A:$A,"")&amp;""</f>
        <v>SSP Group</v>
      </c>
      <c r="R1218" s="78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CFT Group</v>
      </c>
      <c r="D1219" s="41" t="s">
        <v>95</v>
      </c>
      <c r="E1219" s="68" t="str">
        <f>_xlfn.XLOOKUP(tblMovimientos[[#This Row],[Cuenta Bancaria]],Listas!$B:$B,Listas!$C:$C,"")</f>
        <v xml:space="preserve">Amerant Bank </v>
      </c>
      <c r="F1219" s="41" t="s">
        <v>10</v>
      </c>
      <c r="G1219" s="41" t="s">
        <v>46</v>
      </c>
      <c r="H1219" s="4" t="str">
        <f>IFERROR(_xlfn.XLOOKUP(G1219,Listas!E:E,Listas!F:F,""),"")</f>
        <v>Financiamiento</v>
      </c>
      <c r="I1219" s="4" t="str">
        <f>IFERROR(_xlfn.XLOOKUP(G1219,Listas!E:E,Listas!G:G,""),"")</f>
        <v>Externo</v>
      </c>
      <c r="J1219" s="43">
        <v>82833.33</v>
      </c>
      <c r="K1219" s="5">
        <f t="shared" si="19"/>
        <v>-82833.33</v>
      </c>
      <c r="L1219" s="15" t="s">
        <v>134</v>
      </c>
      <c r="M1219" s="44">
        <f>SUMIFS('Saldos Iniciales'!$D:$D,'Saldos Iniciales'!$A:$A,C1219,'Saldos Iniciales'!$B:$B,D1219)+SUMIFS($K$1:$K$1324,$C$1:$C$1324,C1219,$D$1:$D$1324,D1219,$B$1:$B$1324,"&lt;="&amp;B1219)</f>
        <v>2806233.600000001</v>
      </c>
      <c r="N1219" s="61" t="str">
        <f>IF(tblMovimientos[[#This Row],[Tipo de Movimiento]]="Ingreso",tblMovimientos[[#This Row],[Monto (S/)]],"0")</f>
        <v>0</v>
      </c>
      <c r="O1219" s="61">
        <f>IF(tblMovimientos[[#This Row],[Tipo de Movimiento]]="Egreso",tblMovimientos[[#This Row],[Monto (S/)]],"0")</f>
        <v>82833.33</v>
      </c>
      <c r="P1219" s="28">
        <f>IF(tblMovimientos[[#This Row],[Tipo de Movimiento]]="Ingreso",tblMovimientos[[#This Row],[Ingreso]],-tblMovimientos[[#This Row],[Egreso]])</f>
        <v>-82833.33</v>
      </c>
      <c r="Q1219" s="78" t="str">
        <f>_xlfn.XLOOKUP(tblMovimientos[[#This Row],[Cuenta Bancaria]],Cuentas!$C:$C,Cuentas!$A:$A,"")&amp;""</f>
        <v>SSP Group</v>
      </c>
      <c r="R1219" s="78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SSP Capital</v>
      </c>
      <c r="D1220" s="41" t="s">
        <v>104</v>
      </c>
      <c r="E1220" s="68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9583.33</v>
      </c>
      <c r="K1220" s="5">
        <f t="shared" si="19"/>
        <v>-9583.33</v>
      </c>
      <c r="L1220" s="15" t="s">
        <v>134</v>
      </c>
      <c r="M1220" s="44">
        <f>SUMIFS('Saldos Iniciales'!$D:$D,'Saldos Iniciales'!$A:$A,C1220,'Saldos Iniciales'!$B:$B,D1220)+SUMIFS($K$1:$K$1324,$C$1:$C$1324,C1220,$D$1:$D$1324,D1220,$B$1:$B$1324,"&lt;="&amp;B1220)</f>
        <v>528406.08999999927</v>
      </c>
      <c r="N1220" s="61" t="str">
        <f>IF(tblMovimientos[[#This Row],[Tipo de Movimiento]]="Ingreso",tblMovimientos[[#This Row],[Monto (S/)]],"0")</f>
        <v>0</v>
      </c>
      <c r="O1220" s="61">
        <f>IF(tblMovimientos[[#This Row],[Tipo de Movimiento]]="Egreso",tblMovimientos[[#This Row],[Monto (S/)]],"0")</f>
        <v>9583.33</v>
      </c>
      <c r="P1220" s="28">
        <f>IF(tblMovimientos[[#This Row],[Tipo de Movimiento]]="Ingreso",tblMovimientos[[#This Row],[Ingreso]],-tblMovimientos[[#This Row],[Egreso]])</f>
        <v>-9583.33</v>
      </c>
      <c r="Q1220" s="78" t="str">
        <f>_xlfn.XLOOKUP(tblMovimientos[[#This Row],[Cuenta Bancaria]],Cuentas!$C:$C,Cuentas!$A:$A,"")&amp;""</f>
        <v>SSP Group</v>
      </c>
      <c r="R1220" s="78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SSP Capital</v>
      </c>
      <c r="D1221" s="41" t="s">
        <v>104</v>
      </c>
      <c r="E1221" s="68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53666.67</v>
      </c>
      <c r="K1221" s="5">
        <f t="shared" si="19"/>
        <v>-53666.67</v>
      </c>
      <c r="L1221" s="15" t="s">
        <v>134</v>
      </c>
      <c r="M1221" s="44">
        <f>SUMIFS('Saldos Iniciales'!$D:$D,'Saldos Iniciales'!$A:$A,C1221,'Saldos Iniciales'!$B:$B,D1221)+SUMIFS($K$1:$K$1324,$C$1:$C$1324,C1221,$D$1:$D$1324,D1221,$B$1:$B$1324,"&lt;="&amp;B1221)</f>
        <v>528406.08999999927</v>
      </c>
      <c r="N1221" s="61" t="str">
        <f>IF(tblMovimientos[[#This Row],[Tipo de Movimiento]]="Ingreso",tblMovimientos[[#This Row],[Monto (S/)]],"0")</f>
        <v>0</v>
      </c>
      <c r="O1221" s="61">
        <f>IF(tblMovimientos[[#This Row],[Tipo de Movimiento]]="Egreso",tblMovimientos[[#This Row],[Monto (S/)]],"0")</f>
        <v>53666.67</v>
      </c>
      <c r="P1221" s="28">
        <f>IF(tblMovimientos[[#This Row],[Tipo de Movimiento]]="Ingreso",tblMovimientos[[#This Row],[Ingreso]],-tblMovimientos[[#This Row],[Egreso]])</f>
        <v>-53666.67</v>
      </c>
      <c r="Q1221" s="78" t="str">
        <f>_xlfn.XLOOKUP(tblMovimientos[[#This Row],[Cuenta Bancaria]],Cuentas!$C:$C,Cuentas!$A:$A,"")&amp;""</f>
        <v>SSP Group</v>
      </c>
      <c r="R1221" s="78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SSP Capital</v>
      </c>
      <c r="D1222" s="41" t="s">
        <v>104</v>
      </c>
      <c r="E1222" s="68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134166.67000000001</v>
      </c>
      <c r="K1222" s="5">
        <f t="shared" si="19"/>
        <v>-134166.67000000001</v>
      </c>
      <c r="L1222" s="15" t="s">
        <v>134</v>
      </c>
      <c r="M1222" s="44">
        <f>SUMIFS('Saldos Iniciales'!$D:$D,'Saldos Iniciales'!$A:$A,C1222,'Saldos Iniciales'!$B:$B,D1222)+SUMIFS($K$1:$K$1324,$C$1:$C$1324,C1222,$D$1:$D$1324,D1222,$B$1:$B$1324,"&lt;="&amp;B1222)</f>
        <v>528406.08999999927</v>
      </c>
      <c r="N1222" s="61" t="str">
        <f>IF(tblMovimientos[[#This Row],[Tipo de Movimiento]]="Ingreso",tblMovimientos[[#This Row],[Monto (S/)]],"0")</f>
        <v>0</v>
      </c>
      <c r="O1222" s="61">
        <f>IF(tblMovimientos[[#This Row],[Tipo de Movimiento]]="Egreso",tblMovimientos[[#This Row],[Monto (S/)]],"0")</f>
        <v>134166.67000000001</v>
      </c>
      <c r="P1222" s="28">
        <f>IF(tblMovimientos[[#This Row],[Tipo de Movimiento]]="Ingreso",tblMovimientos[[#This Row],[Ingreso]],-tblMovimientos[[#This Row],[Egreso]])</f>
        <v>-134166.67000000001</v>
      </c>
      <c r="Q1222" s="78" t="str">
        <f>_xlfn.XLOOKUP(tblMovimientos[[#This Row],[Cuenta Bancaria]],Cuentas!$C:$C,Cuentas!$A:$A,"")&amp;""</f>
        <v>SSP Group</v>
      </c>
      <c r="R1222" s="78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CFT1 Residence</v>
      </c>
      <c r="D1223" s="41" t="s">
        <v>184</v>
      </c>
      <c r="E1223" s="68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38</v>
      </c>
      <c r="H1223" s="4" t="str">
        <f>IFERROR(_xlfn.XLOOKUP(G1223,Listas!E:E,Listas!F:F,""),"")</f>
        <v>Operativo</v>
      </c>
      <c r="I1223" s="4" t="str">
        <f>IFERROR(_xlfn.XLOOKUP(G1223,Listas!E:E,Listas!G:G,""),"")</f>
        <v>Externo</v>
      </c>
      <c r="J1223" s="43">
        <v>30.44</v>
      </c>
      <c r="K1223" s="5">
        <f t="shared" si="19"/>
        <v>-30.44</v>
      </c>
      <c r="L1223" s="15" t="s">
        <v>134</v>
      </c>
      <c r="M1223" s="44">
        <f>SUMIFS('Saldos Iniciales'!$D:$D,'Saldos Iniciales'!$A:$A,C1223,'Saldos Iniciales'!$B:$B,D1223)+SUMIFS($K$1:$K$1324,$C$1:$C$1324,C1223,$D$1:$D$1324,D1223,$B$1:$B$1324,"&lt;="&amp;B1223)</f>
        <v>100299.90000000001</v>
      </c>
      <c r="N1223" s="61" t="str">
        <f>IF(tblMovimientos[[#This Row],[Tipo de Movimiento]]="Ingreso",tblMovimientos[[#This Row],[Monto (S/)]],"0")</f>
        <v>0</v>
      </c>
      <c r="O1223" s="61">
        <f>IF(tblMovimientos[[#This Row],[Tipo de Movimiento]]="Egreso",tblMovimientos[[#This Row],[Monto (S/)]],"0")</f>
        <v>30.44</v>
      </c>
      <c r="P1223" s="28">
        <f>IF(tblMovimientos[[#This Row],[Tipo de Movimiento]]="Ingreso",tblMovimientos[[#This Row],[Ingreso]],-tblMovimientos[[#This Row],[Egreso]])</f>
        <v>-30.44</v>
      </c>
      <c r="Q1223" s="78" t="str">
        <f>_xlfn.XLOOKUP(tblMovimientos[[#This Row],[Cuenta Bancaria]],Cuentas!$C:$C,Cuentas!$A:$A,"")&amp;""</f>
        <v>Carmen Cross Irrevocable Trust</v>
      </c>
      <c r="R1223" s="78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CFT1 Residence</v>
      </c>
      <c r="D1224" s="41" t="s">
        <v>184</v>
      </c>
      <c r="E1224" s="68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38</v>
      </c>
      <c r="H1224" s="4" t="str">
        <f>IFERROR(_xlfn.XLOOKUP(G1224,Listas!E:E,Listas!F:F,""),"")</f>
        <v>Operativo</v>
      </c>
      <c r="I1224" s="4" t="str">
        <f>IFERROR(_xlfn.XLOOKUP(G1224,Listas!E:E,Listas!G:G,""),"")</f>
        <v>Externo</v>
      </c>
      <c r="J1224" s="43">
        <v>91.32</v>
      </c>
      <c r="K1224" s="5">
        <f t="shared" si="19"/>
        <v>-91.32</v>
      </c>
      <c r="L1224" s="15" t="s">
        <v>134</v>
      </c>
      <c r="M1224" s="44">
        <f>SUMIFS('Saldos Iniciales'!$D:$D,'Saldos Iniciales'!$A:$A,C1224,'Saldos Iniciales'!$B:$B,D1224)+SUMIFS($K$1:$K$1324,$C$1:$C$1324,C1224,$D$1:$D$1324,D1224,$B$1:$B$1324,"&lt;="&amp;B1224)</f>
        <v>100299.90000000001</v>
      </c>
      <c r="N1224" s="61" t="str">
        <f>IF(tblMovimientos[[#This Row],[Tipo de Movimiento]]="Ingreso",tblMovimientos[[#This Row],[Monto (S/)]],"0")</f>
        <v>0</v>
      </c>
      <c r="O1224" s="61">
        <f>IF(tblMovimientos[[#This Row],[Tipo de Movimiento]]="Egreso",tblMovimientos[[#This Row],[Monto (S/)]],"0")</f>
        <v>91.32</v>
      </c>
      <c r="P1224" s="28">
        <f>IF(tblMovimientos[[#This Row],[Tipo de Movimiento]]="Ingreso",tblMovimientos[[#This Row],[Ingreso]],-tblMovimientos[[#This Row],[Egreso]])</f>
        <v>-91.32</v>
      </c>
      <c r="Q1224" s="78" t="str">
        <f>_xlfn.XLOOKUP(tblMovimientos[[#This Row],[Cuenta Bancaria]],Cuentas!$C:$C,Cuentas!$A:$A,"")&amp;""</f>
        <v>Carmen Cross Irrevocable Trust</v>
      </c>
      <c r="R1224" s="78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Prendamas SRL</v>
      </c>
      <c r="D1225" s="41" t="s">
        <v>186</v>
      </c>
      <c r="E1225" s="68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38</v>
      </c>
      <c r="H1225" s="4" t="str">
        <f>IFERROR(_xlfn.XLOOKUP(G1225,Listas!E:E,Listas!F:F,""),"")</f>
        <v>Operativo</v>
      </c>
      <c r="I1225" s="4" t="str">
        <f>IFERROR(_xlfn.XLOOKUP(G1225,Listas!E:E,Listas!G:G,""),"")</f>
        <v>Externo</v>
      </c>
      <c r="J1225" s="43">
        <v>36.5</v>
      </c>
      <c r="K1225" s="5">
        <f t="shared" si="19"/>
        <v>-36.5</v>
      </c>
      <c r="L1225" s="15" t="s">
        <v>134</v>
      </c>
      <c r="M1225" s="44">
        <f>SUMIFS('Saldos Iniciales'!$D:$D,'Saldos Iniciales'!$A:$A,C1225,'Saldos Iniciales'!$B:$B,D1225)+SUMIFS($K$1:$K$1324,$C$1:$C$1324,C1225,$D$1:$D$1324,D1225,$B$1:$B$1324,"&lt;="&amp;B1225)</f>
        <v>21397.339999999967</v>
      </c>
      <c r="N1225" s="61" t="str">
        <f>IF(tblMovimientos[[#This Row],[Tipo de Movimiento]]="Ingreso",tblMovimientos[[#This Row],[Monto (S/)]],"0")</f>
        <v>0</v>
      </c>
      <c r="O1225" s="61">
        <f>IF(tblMovimientos[[#This Row],[Tipo de Movimiento]]="Egreso",tblMovimientos[[#This Row],[Monto (S/)]],"0")</f>
        <v>36.5</v>
      </c>
      <c r="P1225" s="28">
        <f>IF(tblMovimientos[[#This Row],[Tipo de Movimiento]]="Ingreso",tblMovimientos[[#This Row],[Ingreso]],-tblMovimientos[[#This Row],[Egreso]])</f>
        <v>-36.5</v>
      </c>
      <c r="Q1225" s="78" t="str">
        <f>_xlfn.XLOOKUP(tblMovimientos[[#This Row],[Cuenta Bancaria]],Cuentas!$C:$C,Cuentas!$A:$A,"")&amp;""</f>
        <v>Unidades de Negocio</v>
      </c>
      <c r="R1225" s="78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Prendamas SRL</v>
      </c>
      <c r="D1226" s="41" t="s">
        <v>186</v>
      </c>
      <c r="E1226" s="68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44</v>
      </c>
      <c r="H1226" s="4" t="str">
        <f>IFERROR(_xlfn.XLOOKUP(G1226,Listas!E:E,Listas!F:F,""),"")</f>
        <v>Operativo</v>
      </c>
      <c r="I1226" s="4" t="str">
        <f>IFERROR(_xlfn.XLOOKUP(G1226,Listas!E:E,Listas!G:G,""),"")</f>
        <v>Externo</v>
      </c>
      <c r="J1226" s="43">
        <v>1.1000000000000001</v>
      </c>
      <c r="K1226" s="5">
        <f t="shared" si="19"/>
        <v>-1.1000000000000001</v>
      </c>
      <c r="L1226" s="15" t="s">
        <v>134</v>
      </c>
      <c r="M1226" s="44">
        <f>SUMIFS('Saldos Iniciales'!$D:$D,'Saldos Iniciales'!$A:$A,C1226,'Saldos Iniciales'!$B:$B,D1226)+SUMIFS($K$1:$K$1324,$C$1:$C$1324,C1226,$D$1:$D$1324,D1226,$B$1:$B$1324,"&lt;="&amp;B1226)</f>
        <v>21397.339999999967</v>
      </c>
      <c r="N1226" s="61" t="str">
        <f>IF(tblMovimientos[[#This Row],[Tipo de Movimiento]]="Ingreso",tblMovimientos[[#This Row],[Monto (S/)]],"0")</f>
        <v>0</v>
      </c>
      <c r="O1226" s="61">
        <f>IF(tblMovimientos[[#This Row],[Tipo de Movimiento]]="Egreso",tblMovimientos[[#This Row],[Monto (S/)]],"0")</f>
        <v>1.1000000000000001</v>
      </c>
      <c r="P1226" s="28">
        <f>IF(tblMovimientos[[#This Row],[Tipo de Movimiento]]="Ingreso",tblMovimientos[[#This Row],[Ingreso]],-tblMovimientos[[#This Row],[Egreso]])</f>
        <v>-1.1000000000000001</v>
      </c>
      <c r="Q1226" s="78" t="str">
        <f>_xlfn.XLOOKUP(tblMovimientos[[#This Row],[Cuenta Bancaria]],Cuentas!$C:$C,Cuentas!$A:$A,"")&amp;""</f>
        <v>Unidades de Negocio</v>
      </c>
      <c r="R1226" s="78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Don Cross Life</v>
      </c>
      <c r="D1227" s="41" t="s">
        <v>217</v>
      </c>
      <c r="E1227" s="68" t="str">
        <f>_xlfn.XLOOKUP(tblMovimientos[[#This Row],[Cuenta Bancaria]],Listas!$B:$B,Listas!$C:$C,"")</f>
        <v>Bank of America</v>
      </c>
      <c r="F1227" s="41" t="s">
        <v>9</v>
      </c>
      <c r="G1227" s="41" t="s">
        <v>69</v>
      </c>
      <c r="H1227" s="4" t="str">
        <f>IFERROR(_xlfn.XLOOKUP(G1227,Listas!E:E,Listas!F:F,""),"")</f>
        <v>Operativo</v>
      </c>
      <c r="I1227" s="4" t="str">
        <f>IFERROR(_xlfn.XLOOKUP(G1227,Listas!E:E,Listas!G:G,""),"")</f>
        <v>Interno</v>
      </c>
      <c r="J1227" s="43">
        <v>23333.33</v>
      </c>
      <c r="K1227" s="5">
        <f t="shared" si="19"/>
        <v>23333.33</v>
      </c>
      <c r="L1227" s="15" t="s">
        <v>134</v>
      </c>
      <c r="M1227" s="44">
        <f>SUMIFS('Saldos Iniciales'!$D:$D,'Saldos Iniciales'!$A:$A,C1227,'Saldos Iniciales'!$B:$B,D1227)+SUMIFS($K$1:$K$1324,$C$1:$C$1324,C1227,$D$1:$D$1324,D1227,$B$1:$B$1324,"&lt;="&amp;B1227)</f>
        <v>351319.16</v>
      </c>
      <c r="N1227" s="61">
        <f>IF(tblMovimientos[[#This Row],[Tipo de Movimiento]]="Ingreso",tblMovimientos[[#This Row],[Monto (S/)]],"0")</f>
        <v>23333.33</v>
      </c>
      <c r="O1227" s="61" t="str">
        <f>IF(tblMovimientos[[#This Row],[Tipo de Movimiento]]="Egreso",tblMovimientos[[#This Row],[Monto (S/)]],"0")</f>
        <v>0</v>
      </c>
      <c r="P1227" s="28">
        <f>IF(tblMovimientos[[#This Row],[Tipo de Movimiento]]="Ingreso",tblMovimientos[[#This Row],[Ingreso]],-tblMovimientos[[#This Row],[Egreso]])</f>
        <v>23333.33</v>
      </c>
      <c r="Q1227" s="78" t="str">
        <f>_xlfn.XLOOKUP(tblMovimientos[[#This Row],[Cuenta Bancaria]],Cuentas!$C:$C,Cuentas!$A:$A,"")&amp;""</f>
        <v/>
      </c>
      <c r="R1227" s="78" t="str">
        <f>_xlfn.XLOOKUP(tblMovimientos[[#This Row],[Cuenta Bancaria]],Cuentas!$C:$C,Cuentas!$B:$B,"",0,-1)&amp;""</f>
        <v>Trust</v>
      </c>
    </row>
    <row r="1228" spans="2:18" x14ac:dyDescent="0.3">
      <c r="B1228" s="39">
        <v>46303</v>
      </c>
      <c r="C1228" s="4" t="str">
        <f>_xlfn.XLOOKUP(tblMovimientos[[#This Row],[Cuenta Bancaria]],Listas!$B:$B,Listas!$A:$A,"")</f>
        <v>SSP Capital</v>
      </c>
      <c r="D1228" s="41" t="s">
        <v>104</v>
      </c>
      <c r="E1228" s="68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44</v>
      </c>
      <c r="H1228" s="4" t="str">
        <f>IFERROR(_xlfn.XLOOKUP(G1228,Listas!E:E,Listas!F:F,""),"")</f>
        <v>Operativo</v>
      </c>
      <c r="I1228" s="4" t="str">
        <f>IFERROR(_xlfn.XLOOKUP(G1228,Listas!E:E,Listas!G:G,""),"")</f>
        <v>Externo</v>
      </c>
      <c r="J1228" s="43">
        <v>2240.34</v>
      </c>
      <c r="K1228" s="5">
        <f t="shared" si="19"/>
        <v>-2240.34</v>
      </c>
      <c r="L1228" s="15" t="s">
        <v>134</v>
      </c>
      <c r="M1228" s="44">
        <f>SUMIFS('Saldos Iniciales'!$D:$D,'Saldos Iniciales'!$A:$A,C1228,'Saldos Iniciales'!$B:$B,D1228)+SUMIFS($K$1:$K$1324,$C$1:$C$1324,C1228,$D$1:$D$1324,D1228,$B$1:$B$1324,"&lt;="&amp;B1228)</f>
        <v>526165.7499999993</v>
      </c>
      <c r="N1228" s="61" t="str">
        <f>IF(tblMovimientos[[#This Row],[Tipo de Movimiento]]="Ingreso",tblMovimientos[[#This Row],[Monto (S/)]],"0")</f>
        <v>0</v>
      </c>
      <c r="O1228" s="61">
        <f>IF(tblMovimientos[[#This Row],[Tipo de Movimiento]]="Egreso",tblMovimientos[[#This Row],[Monto (S/)]],"0")</f>
        <v>2240.34</v>
      </c>
      <c r="P1228" s="28">
        <f>IF(tblMovimientos[[#This Row],[Tipo de Movimiento]]="Ingreso",tblMovimientos[[#This Row],[Ingreso]],-tblMovimientos[[#This Row],[Egreso]])</f>
        <v>-2240.34</v>
      </c>
      <c r="Q1228" s="78" t="str">
        <f>_xlfn.XLOOKUP(tblMovimientos[[#This Row],[Cuenta Bancaria]],Cuentas!$C:$C,Cuentas!$A:$A,"")&amp;""</f>
        <v>SSP Group</v>
      </c>
      <c r="R1228" s="78" t="str">
        <f>_xlfn.XLOOKUP(tblMovimientos[[#This Row],[Cuenta Bancaria]],Cuentas!$C:$C,Cuentas!$B:$B,"",0,-1)&amp;""</f>
        <v/>
      </c>
    </row>
    <row r="1229" spans="2:18" x14ac:dyDescent="0.3">
      <c r="B1229" s="39">
        <v>46303</v>
      </c>
      <c r="C1229" s="4" t="str">
        <f>_xlfn.XLOOKUP(tblMovimientos[[#This Row],[Cuenta Bancaria]],Listas!$B:$B,Listas!$A:$A,"")</f>
        <v>CFT1 Residence</v>
      </c>
      <c r="D1229" s="41" t="s">
        <v>184</v>
      </c>
      <c r="E1229" s="68" t="str">
        <f>_xlfn.XLOOKUP(tblMovimientos[[#This Row],[Cuenta Bancaria]],Listas!$B:$B,Listas!$C:$C,"")</f>
        <v xml:space="preserve">Amerant Bank </v>
      </c>
      <c r="F1229" s="41" t="s">
        <v>9</v>
      </c>
      <c r="G1229" s="41" t="s">
        <v>82</v>
      </c>
      <c r="H1229" s="4" t="str">
        <f>IFERROR(_xlfn.XLOOKUP(G1229,Listas!E:E,Listas!F:F,""),"")</f>
        <v>Operativo</v>
      </c>
      <c r="I1229" s="4" t="str">
        <f>IFERROR(_xlfn.XLOOKUP(G1229,Listas!E:E,Listas!G:G,""),"")</f>
        <v>Externo</v>
      </c>
      <c r="J1229" s="43">
        <v>44.19</v>
      </c>
      <c r="K1229" s="5">
        <f t="shared" si="19"/>
        <v>44.19</v>
      </c>
      <c r="L1229" s="15" t="s">
        <v>134</v>
      </c>
      <c r="M1229" s="44">
        <f>SUMIFS('Saldos Iniciales'!$D:$D,'Saldos Iniciales'!$A:$A,C1229,'Saldos Iniciales'!$B:$B,D1229)+SUMIFS($K$1:$K$1324,$C$1:$C$1324,C1229,$D$1:$D$1324,D1229,$B$1:$B$1324,"&lt;="&amp;B1229)</f>
        <v>100344.09000000001</v>
      </c>
      <c r="N1229" s="61">
        <f>IF(tblMovimientos[[#This Row],[Tipo de Movimiento]]="Ingreso",tblMovimientos[[#This Row],[Monto (S/)]],"0")</f>
        <v>44.19</v>
      </c>
      <c r="O1229" s="61" t="str">
        <f>IF(tblMovimientos[[#This Row],[Tipo de Movimiento]]="Egreso",tblMovimientos[[#This Row],[Monto (S/)]],"0")</f>
        <v>0</v>
      </c>
      <c r="P1229" s="28">
        <f>IF(tblMovimientos[[#This Row],[Tipo de Movimiento]]="Ingreso",tblMovimientos[[#This Row],[Ingreso]],-tblMovimientos[[#This Row],[Egreso]])</f>
        <v>44.19</v>
      </c>
      <c r="Q1229" s="78" t="str">
        <f>_xlfn.XLOOKUP(tblMovimientos[[#This Row],[Cuenta Bancaria]],Cuentas!$C:$C,Cuentas!$A:$A,"")&amp;""</f>
        <v>Carmen Cross Irrevocable Trust</v>
      </c>
      <c r="R1229" s="78" t="str">
        <f>_xlfn.XLOOKUP(tblMovimientos[[#This Row],[Cuenta Bancaria]],Cuentas!$C:$C,Cuentas!$B:$B,"",0,-1)&amp;""</f>
        <v/>
      </c>
    </row>
    <row r="1230" spans="2:18" x14ac:dyDescent="0.3">
      <c r="B1230" s="39">
        <v>46304</v>
      </c>
      <c r="C1230" s="4" t="str">
        <f>_xlfn.XLOOKUP(tblMovimientos[[#This Row],[Cuenta Bancaria]],Listas!$B:$B,Listas!$A:$A,"")</f>
        <v>SSP Capital</v>
      </c>
      <c r="D1230" s="41" t="s">
        <v>101</v>
      </c>
      <c r="E1230" s="68" t="str">
        <f>_xlfn.XLOOKUP(tblMovimientos[[#This Row],[Cuenta Bancaria]],Listas!$B:$B,Listas!$C:$C,"")</f>
        <v>Bank of America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1291.6500000000001</v>
      </c>
      <c r="K1230" s="5">
        <f t="shared" si="19"/>
        <v>-1291.6500000000001</v>
      </c>
      <c r="L1230" s="15" t="s">
        <v>134</v>
      </c>
      <c r="M1230" s="44">
        <f>SUMIFS('Saldos Iniciales'!$D:$D,'Saldos Iniciales'!$A:$A,C1230,'Saldos Iniciales'!$B:$B,D1230)+SUMIFS($K$1:$K$1324,$C$1:$C$1324,C1230,$D$1:$D$1324,D1230,$B$1:$B$1324,"&lt;="&amp;B1230)</f>
        <v>26747.62000000001</v>
      </c>
      <c r="N1230" s="61" t="str">
        <f>IF(tblMovimientos[[#This Row],[Tipo de Movimiento]]="Ingreso",tblMovimientos[[#This Row],[Monto (S/)]],"0")</f>
        <v>0</v>
      </c>
      <c r="O1230" s="61">
        <f>IF(tblMovimientos[[#This Row],[Tipo de Movimiento]]="Egreso",tblMovimientos[[#This Row],[Monto (S/)]],"0")</f>
        <v>1291.6500000000001</v>
      </c>
      <c r="P1230" s="28">
        <f>IF(tblMovimientos[[#This Row],[Tipo de Movimiento]]="Ingreso",tblMovimientos[[#This Row],[Ingreso]],-tblMovimientos[[#This Row],[Egreso]])</f>
        <v>-1291.6500000000001</v>
      </c>
      <c r="Q1230" s="78" t="str">
        <f>_xlfn.XLOOKUP(tblMovimientos[[#This Row],[Cuenta Bancaria]],Cuentas!$C:$C,Cuentas!$A:$A,"")&amp;""</f>
        <v>SSP Group</v>
      </c>
      <c r="R1230" s="78" t="str">
        <f>_xlfn.XLOOKUP(tblMovimientos[[#This Row],[Cuenta Bancaria]],Cuentas!$C:$C,Cuentas!$B:$B,"",0,-1)&amp;""</f>
        <v/>
      </c>
    </row>
    <row r="1231" spans="2:18" x14ac:dyDescent="0.3">
      <c r="B1231" s="39">
        <v>46275</v>
      </c>
      <c r="C1231" s="4" t="str">
        <f>_xlfn.XLOOKUP(tblMovimientos[[#This Row],[Cuenta Bancaria]],Listas!$B:$B,Listas!$A:$A,"")</f>
        <v>Don Cross Life</v>
      </c>
      <c r="D1231" s="41" t="s">
        <v>217</v>
      </c>
      <c r="E1231" s="68" t="str">
        <f>_xlfn.XLOOKUP(tblMovimientos[[#This Row],[Cuenta Bancaria]],Listas!$B:$B,Listas!$C:$C,"")</f>
        <v>Bank of America</v>
      </c>
      <c r="F1231" s="41" t="s">
        <v>9</v>
      </c>
      <c r="G1231" s="41" t="s">
        <v>69</v>
      </c>
      <c r="H1231" s="4" t="str">
        <f>IFERROR(_xlfn.XLOOKUP(G1231,Listas!E:E,Listas!F:F,""),"")</f>
        <v>Operativo</v>
      </c>
      <c r="I1231" s="4" t="str">
        <f>IFERROR(_xlfn.XLOOKUP(G1231,Listas!E:E,Listas!G:G,""),"")</f>
        <v>Interno</v>
      </c>
      <c r="J1231" s="43">
        <v>24111.11</v>
      </c>
      <c r="K1231" s="5">
        <f t="shared" si="19"/>
        <v>24111.11</v>
      </c>
      <c r="L1231" s="15" t="s">
        <v>134</v>
      </c>
      <c r="M1231" s="44">
        <f>SUMIFS('Saldos Iniciales'!$D:$D,'Saldos Iniciales'!$A:$A,C1231,'Saldos Iniciales'!$B:$B,D1231)+SUMIFS($K$1:$K$1324,$C$1:$C$1324,C1231,$D$1:$D$1324,D1231,$B$1:$B$1324,"&lt;="&amp;B1231)</f>
        <v>327985.82999999996</v>
      </c>
      <c r="N1231" s="61">
        <f>IF(tblMovimientos[[#This Row],[Tipo de Movimiento]]="Ingreso",tblMovimientos[[#This Row],[Monto (S/)]],"0")</f>
        <v>24111.11</v>
      </c>
      <c r="O1231" s="61" t="str">
        <f>IF(tblMovimientos[[#This Row],[Tipo de Movimiento]]="Egreso",tblMovimientos[[#This Row],[Monto (S/)]],"0")</f>
        <v>0</v>
      </c>
      <c r="P1231" s="28">
        <f>IF(tblMovimientos[[#This Row],[Tipo de Movimiento]]="Ingreso",tblMovimientos[[#This Row],[Ingreso]],-tblMovimientos[[#This Row],[Egreso]])</f>
        <v>24111.11</v>
      </c>
      <c r="Q1231" s="78" t="str">
        <f>_xlfn.XLOOKUP(tblMovimientos[[#This Row],[Cuenta Bancaria]],Cuentas!$C:$C,Cuentas!$A:$A,"")&amp;""</f>
        <v/>
      </c>
      <c r="R1231" s="78" t="str">
        <f>_xlfn.XLOOKUP(tblMovimientos[[#This Row],[Cuenta Bancaria]],Cuentas!$C:$C,Cuentas!$B:$B,"",0,-1)&amp;""</f>
        <v>Trust</v>
      </c>
    </row>
    <row r="1232" spans="2:18" x14ac:dyDescent="0.3">
      <c r="B1232" s="39">
        <v>46305</v>
      </c>
      <c r="C1232" s="4" t="str">
        <f>_xlfn.XLOOKUP(tblMovimientos[[#This Row],[Cuenta Bancaria]],Listas!$B:$B,Listas!$A:$A,"")</f>
        <v>CFT1 Residence</v>
      </c>
      <c r="D1232" s="41" t="s">
        <v>188</v>
      </c>
      <c r="E1232" s="68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10.86</v>
      </c>
      <c r="K1232" s="5">
        <f t="shared" si="19"/>
        <v>-10.86</v>
      </c>
      <c r="L1232" s="15" t="s">
        <v>134</v>
      </c>
      <c r="M1232" s="44">
        <f>SUMIFS('Saldos Iniciales'!$D:$D,'Saldos Iniciales'!$A:$A,C1232,'Saldos Iniciales'!$B:$B,D1232)+SUMIFS($K$1:$K$1324,$C$1:$C$1324,C1232,$D$1:$D$1324,D1232,$B$1:$B$1324,"&lt;="&amp;B1232)</f>
        <v>1336.7599999999998</v>
      </c>
      <c r="N1232" s="61" t="str">
        <f>IF(tblMovimientos[[#This Row],[Tipo de Movimiento]]="Ingreso",tblMovimientos[[#This Row],[Monto (S/)]],"0")</f>
        <v>0</v>
      </c>
      <c r="O1232" s="61">
        <f>IF(tblMovimientos[[#This Row],[Tipo de Movimiento]]="Egreso",tblMovimientos[[#This Row],[Monto (S/)]],"0")</f>
        <v>10.86</v>
      </c>
      <c r="P1232" s="28">
        <f>IF(tblMovimientos[[#This Row],[Tipo de Movimiento]]="Ingreso",tblMovimientos[[#This Row],[Ingreso]],-tblMovimientos[[#This Row],[Egreso]])</f>
        <v>-10.86</v>
      </c>
      <c r="Q1232" s="78" t="str">
        <f>_xlfn.XLOOKUP(tblMovimientos[[#This Row],[Cuenta Bancaria]],Cuentas!$C:$C,Cuentas!$A:$A,"")&amp;""</f>
        <v>Carmen Cross Irrevocable Trust</v>
      </c>
      <c r="R1232" s="78" t="str">
        <f>_xlfn.XLOOKUP(tblMovimientos[[#This Row],[Cuenta Bancaria]],Cuentas!$C:$C,Cuentas!$B:$B,"",0,-1)&amp;""</f>
        <v/>
      </c>
    </row>
    <row r="1233" spans="2:18" x14ac:dyDescent="0.3">
      <c r="B1233" s="39">
        <v>46305</v>
      </c>
      <c r="C1233" s="4" t="str">
        <f>_xlfn.XLOOKUP(tblMovimientos[[#This Row],[Cuenta Bancaria]],Listas!$B:$B,Listas!$A:$A,"")</f>
        <v>SSP Capital</v>
      </c>
      <c r="D1233" s="41" t="s">
        <v>104</v>
      </c>
      <c r="E1233" s="68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39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37042.5</v>
      </c>
      <c r="K1233" s="5">
        <f t="shared" si="19"/>
        <v>-37042.5</v>
      </c>
      <c r="L1233" s="15" t="s">
        <v>134</v>
      </c>
      <c r="M1233" s="44">
        <f>SUMIFS('Saldos Iniciales'!$D:$D,'Saldos Iniciales'!$A:$A,C1233,'Saldos Iniciales'!$B:$B,D1233)+SUMIFS($K$1:$K$1324,$C$1:$C$1324,C1233,$D$1:$D$1324,D1233,$B$1:$B$1324,"&lt;="&amp;B1233)</f>
        <v>489123.24999999924</v>
      </c>
      <c r="N1233" s="61" t="str">
        <f>IF(tblMovimientos[[#This Row],[Tipo de Movimiento]]="Ingreso",tblMovimientos[[#This Row],[Monto (S/)]],"0")</f>
        <v>0</v>
      </c>
      <c r="O1233" s="61">
        <f>IF(tblMovimientos[[#This Row],[Tipo de Movimiento]]="Egreso",tblMovimientos[[#This Row],[Monto (S/)]],"0")</f>
        <v>37042.5</v>
      </c>
      <c r="P1233" s="28">
        <f>IF(tblMovimientos[[#This Row],[Tipo de Movimiento]]="Ingreso",tblMovimientos[[#This Row],[Ingreso]],-tblMovimientos[[#This Row],[Egreso]])</f>
        <v>-37042.5</v>
      </c>
      <c r="Q1233" s="78" t="str">
        <f>_xlfn.XLOOKUP(tblMovimientos[[#This Row],[Cuenta Bancaria]],Cuentas!$C:$C,Cuentas!$A:$A,"")&amp;""</f>
        <v>SSP Group</v>
      </c>
      <c r="R1233" s="78" t="str">
        <f>_xlfn.XLOOKUP(tblMovimientos[[#This Row],[Cuenta Bancaria]],Cuentas!$C:$C,Cuentas!$B:$B,"",0,-1)&amp;""</f>
        <v/>
      </c>
    </row>
    <row r="1234" spans="2:18" x14ac:dyDescent="0.3">
      <c r="B1234" s="39">
        <v>46305</v>
      </c>
      <c r="C1234" s="4" t="str">
        <f>_xlfn.XLOOKUP(tblMovimientos[[#This Row],[Cuenta Bancaria]],Listas!$B:$B,Listas!$A:$A,"")</f>
        <v>CFT1 Residence</v>
      </c>
      <c r="D1234" s="41" t="s">
        <v>184</v>
      </c>
      <c r="E1234" s="68" t="str">
        <f>_xlfn.XLOOKUP(tblMovimientos[[#This Row],[Cuenta Bancaria]],Listas!$B:$B,Listas!$C:$C,"")</f>
        <v xml:space="preserve">Amerant Bank </v>
      </c>
      <c r="F1234" s="41" t="s">
        <v>10</v>
      </c>
      <c r="G1234" s="41" t="s">
        <v>38</v>
      </c>
      <c r="H1234" s="4" t="str">
        <f>IFERROR(_xlfn.XLOOKUP(G1234,Listas!E:E,Listas!F:F,""),"")</f>
        <v>Operativo</v>
      </c>
      <c r="I1234" s="4" t="str">
        <f>IFERROR(_xlfn.XLOOKUP(G1234,Listas!E:E,Listas!G:G,""),"")</f>
        <v>Externo</v>
      </c>
      <c r="J1234" s="43">
        <v>55.44</v>
      </c>
      <c r="K1234" s="5">
        <f t="shared" si="19"/>
        <v>-55.44</v>
      </c>
      <c r="L1234" s="15" t="s">
        <v>134</v>
      </c>
      <c r="M1234" s="44">
        <f>SUMIFS('Saldos Iniciales'!$D:$D,'Saldos Iniciales'!$A:$A,C1234,'Saldos Iniciales'!$B:$B,D1234)+SUMIFS($K$1:$K$1324,$C$1:$C$1324,C1234,$D$1:$D$1324,D1234,$B$1:$B$1324,"&lt;="&amp;B1234)</f>
        <v>99795.63</v>
      </c>
      <c r="N1234" s="61" t="str">
        <f>IF(tblMovimientos[[#This Row],[Tipo de Movimiento]]="Ingreso",tblMovimientos[[#This Row],[Monto (S/)]],"0")</f>
        <v>0</v>
      </c>
      <c r="O1234" s="61">
        <f>IF(tblMovimientos[[#This Row],[Tipo de Movimiento]]="Egreso",tblMovimientos[[#This Row],[Monto (S/)]],"0")</f>
        <v>55.44</v>
      </c>
      <c r="P1234" s="28">
        <f>IF(tblMovimientos[[#This Row],[Tipo de Movimiento]]="Ingreso",tblMovimientos[[#This Row],[Ingreso]],-tblMovimientos[[#This Row],[Egreso]])</f>
        <v>-55.44</v>
      </c>
      <c r="Q1234" s="78" t="str">
        <f>_xlfn.XLOOKUP(tblMovimientos[[#This Row],[Cuenta Bancaria]],Cuentas!$C:$C,Cuentas!$A:$A,"")&amp;""</f>
        <v>Carmen Cross Irrevocable Trust</v>
      </c>
      <c r="R1234" s="78" t="str">
        <f>_xlfn.XLOOKUP(tblMovimientos[[#This Row],[Cuenta Bancaria]],Cuentas!$C:$C,Cuentas!$B:$B,"",0,-1)&amp;""</f>
        <v/>
      </c>
    </row>
    <row r="1235" spans="2:18" x14ac:dyDescent="0.3">
      <c r="B1235" s="39">
        <v>46305</v>
      </c>
      <c r="C1235" s="4" t="str">
        <f>_xlfn.XLOOKUP(tblMovimientos[[#This Row],[Cuenta Bancaria]],Listas!$B:$B,Listas!$A:$A,"")</f>
        <v>CFT1 Residence</v>
      </c>
      <c r="D1235" s="41" t="s">
        <v>184</v>
      </c>
      <c r="E1235" s="68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38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493.02</v>
      </c>
      <c r="K1235" s="5">
        <f t="shared" si="19"/>
        <v>-493.02</v>
      </c>
      <c r="L1235" s="15" t="s">
        <v>134</v>
      </c>
      <c r="M1235" s="44">
        <f>SUMIFS('Saldos Iniciales'!$D:$D,'Saldos Iniciales'!$A:$A,C1235,'Saldos Iniciales'!$B:$B,D1235)+SUMIFS($K$1:$K$1324,$C$1:$C$1324,C1235,$D$1:$D$1324,D1235,$B$1:$B$1324,"&lt;="&amp;B1235)</f>
        <v>99795.63</v>
      </c>
      <c r="N1235" s="61" t="str">
        <f>IF(tblMovimientos[[#This Row],[Tipo de Movimiento]]="Ingreso",tblMovimientos[[#This Row],[Monto (S/)]],"0")</f>
        <v>0</v>
      </c>
      <c r="O1235" s="61">
        <f>IF(tblMovimientos[[#This Row],[Tipo de Movimiento]]="Egreso",tblMovimientos[[#This Row],[Monto (S/)]],"0")</f>
        <v>493.02</v>
      </c>
      <c r="P1235" s="28">
        <f>IF(tblMovimientos[[#This Row],[Tipo de Movimiento]]="Ingreso",tblMovimientos[[#This Row],[Ingreso]],-tblMovimientos[[#This Row],[Egreso]])</f>
        <v>-493.02</v>
      </c>
      <c r="Q1235" s="78" t="str">
        <f>_xlfn.XLOOKUP(tblMovimientos[[#This Row],[Cuenta Bancaria]],Cuentas!$C:$C,Cuentas!$A:$A,"")&amp;""</f>
        <v>Carmen Cross Irrevocable Trust</v>
      </c>
      <c r="R1235" s="78" t="str">
        <f>_xlfn.XLOOKUP(tblMovimientos[[#This Row],[Cuenta Bancaria]],Cuentas!$C:$C,Cuentas!$B:$B,"",0,-1)&amp;""</f>
        <v/>
      </c>
    </row>
    <row r="1236" spans="2:18" x14ac:dyDescent="0.3">
      <c r="B1236" s="39">
        <v>46308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8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21.44</v>
      </c>
      <c r="K1236" s="5">
        <f t="shared" si="19"/>
        <v>21.44</v>
      </c>
      <c r="L1236" s="15" t="s">
        <v>134</v>
      </c>
      <c r="M1236" s="44">
        <f>SUMIFS('Saldos Iniciales'!$D:$D,'Saldos Iniciales'!$A:$A,C1236,'Saldos Iniciales'!$B:$B,D1236)+SUMIFS($K$1:$K$1324,$C$1:$C$1324,C1236,$D$1:$D$1324,D1236,$B$1:$B$1324,"&lt;="&amp;B1236)</f>
        <v>99269.290000000008</v>
      </c>
      <c r="N1236" s="61">
        <f>IF(tblMovimientos[[#This Row],[Tipo de Movimiento]]="Ingreso",tblMovimientos[[#This Row],[Monto (S/)]],"0")</f>
        <v>21.44</v>
      </c>
      <c r="O1236" s="61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21.44</v>
      </c>
      <c r="Q1236" s="78" t="str">
        <f>_xlfn.XLOOKUP(tblMovimientos[[#This Row],[Cuenta Bancaria]],Cuentas!$C:$C,Cuentas!$A:$A,"")&amp;""</f>
        <v>Carmen Cross Irrevocable Trust</v>
      </c>
      <c r="R1236" s="78" t="str">
        <f>_xlfn.XLOOKUP(tblMovimientos[[#This Row],[Cuenta Bancaria]],Cuentas!$C:$C,Cuentas!$B:$B,"",0,-1)&amp;""</f>
        <v/>
      </c>
    </row>
    <row r="1237" spans="2:18" x14ac:dyDescent="0.3">
      <c r="B1237" s="39">
        <v>46308</v>
      </c>
      <c r="C1237" s="4" t="str">
        <f>_xlfn.XLOOKUP(tblMovimientos[[#This Row],[Cuenta Bancaria]],Listas!$B:$B,Listas!$A:$A,"")</f>
        <v>CFT1 Residence</v>
      </c>
      <c r="D1237" s="41" t="s">
        <v>184</v>
      </c>
      <c r="E1237" s="68" t="str">
        <f>_xlfn.XLOOKUP(tblMovimientos[[#This Row],[Cuenta Bancaria]],Listas!$B:$B,Listas!$C:$C,"")</f>
        <v xml:space="preserve">Amerant Bank </v>
      </c>
      <c r="F1237" s="41" t="s">
        <v>9</v>
      </c>
      <c r="G1237" s="41" t="s">
        <v>82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21.45</v>
      </c>
      <c r="K1237" s="5">
        <f t="shared" si="19"/>
        <v>21.45</v>
      </c>
      <c r="L1237" s="15" t="s">
        <v>134</v>
      </c>
      <c r="M1237" s="44">
        <f>SUMIFS('Saldos Iniciales'!$D:$D,'Saldos Iniciales'!$A:$A,C1237,'Saldos Iniciales'!$B:$B,D1237)+SUMIFS($K$1:$K$1324,$C$1:$C$1324,C1237,$D$1:$D$1324,D1237,$B$1:$B$1324,"&lt;="&amp;B1237)</f>
        <v>99269.290000000008</v>
      </c>
      <c r="N1237" s="61">
        <f>IF(tblMovimientos[[#This Row],[Tipo de Movimiento]]="Ingreso",tblMovimientos[[#This Row],[Monto (S/)]],"0")</f>
        <v>21.45</v>
      </c>
      <c r="O1237" s="61" t="str">
        <f>IF(tblMovimientos[[#This Row],[Tipo de Movimiento]]="Egreso",tblMovimientos[[#This Row],[Monto (S/)]],"0")</f>
        <v>0</v>
      </c>
      <c r="P1237" s="28">
        <f>IF(tblMovimientos[[#This Row],[Tipo de Movimiento]]="Ingreso",tblMovimientos[[#This Row],[Ingreso]],-tblMovimientos[[#This Row],[Egreso]])</f>
        <v>21.45</v>
      </c>
      <c r="Q1237" s="78" t="str">
        <f>_xlfn.XLOOKUP(tblMovimientos[[#This Row],[Cuenta Bancaria]],Cuentas!$C:$C,Cuentas!$A:$A,"")&amp;""</f>
        <v>Carmen Cross Irrevocable Trust</v>
      </c>
      <c r="R1237" s="78" t="str">
        <f>_xlfn.XLOOKUP(tblMovimientos[[#This Row],[Cuenta Bancaria]],Cuentas!$C:$C,Cuentas!$B:$B,"",0,-1)&amp;""</f>
        <v/>
      </c>
    </row>
    <row r="1238" spans="2:18" x14ac:dyDescent="0.3">
      <c r="B1238" s="39">
        <v>46308</v>
      </c>
      <c r="C1238" s="4" t="str">
        <f>_xlfn.XLOOKUP(tblMovimientos[[#This Row],[Cuenta Bancaria]],Listas!$B:$B,Listas!$A:$A,"")</f>
        <v>CFT1 Residence</v>
      </c>
      <c r="D1238" s="41" t="s">
        <v>184</v>
      </c>
      <c r="E1238" s="68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65.239999999999995</v>
      </c>
      <c r="K1238" s="5">
        <f t="shared" si="19"/>
        <v>-65.239999999999995</v>
      </c>
      <c r="L1238" s="15" t="s">
        <v>134</v>
      </c>
      <c r="M1238" s="44">
        <f>SUMIFS('Saldos Iniciales'!$D:$D,'Saldos Iniciales'!$A:$A,C1238,'Saldos Iniciales'!$B:$B,D1238)+SUMIFS($K$1:$K$1324,$C$1:$C$1324,C1238,$D$1:$D$1324,D1238,$B$1:$B$1324,"&lt;="&amp;B1238)</f>
        <v>99269.290000000008</v>
      </c>
      <c r="N1238" s="61" t="str">
        <f>IF(tblMovimientos[[#This Row],[Tipo de Movimiento]]="Ingreso",tblMovimientos[[#This Row],[Monto (S/)]],"0")</f>
        <v>0</v>
      </c>
      <c r="O1238" s="61">
        <f>IF(tblMovimientos[[#This Row],[Tipo de Movimiento]]="Egreso",tblMovimientos[[#This Row],[Monto (S/)]],"0")</f>
        <v>65.239999999999995</v>
      </c>
      <c r="P1238" s="28">
        <f>IF(tblMovimientos[[#This Row],[Tipo de Movimiento]]="Ingreso",tblMovimientos[[#This Row],[Ingreso]],-tblMovimientos[[#This Row],[Egreso]])</f>
        <v>-65.239999999999995</v>
      </c>
      <c r="Q1238" s="78" t="str">
        <f>_xlfn.XLOOKUP(tblMovimientos[[#This Row],[Cuenta Bancaria]],Cuentas!$C:$C,Cuentas!$A:$A,"")&amp;""</f>
        <v>Carmen Cross Irrevocable Trust</v>
      </c>
      <c r="R1238" s="78" t="str">
        <f>_xlfn.XLOOKUP(tblMovimientos[[#This Row],[Cuenta Bancaria]],Cuentas!$C:$C,Cuentas!$B:$B,"",0,-1)&amp;""</f>
        <v/>
      </c>
    </row>
    <row r="1239" spans="2:18" x14ac:dyDescent="0.3">
      <c r="B1239" s="39">
        <v>46308</v>
      </c>
      <c r="C1239" s="4" t="str">
        <f>_xlfn.XLOOKUP(tblMovimientos[[#This Row],[Cuenta Bancaria]],Listas!$B:$B,Listas!$A:$A,"")</f>
        <v>CFT1 Residence</v>
      </c>
      <c r="D1239" s="41" t="s">
        <v>184</v>
      </c>
      <c r="E1239" s="68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38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190.43</v>
      </c>
      <c r="K1239" s="5">
        <f t="shared" si="19"/>
        <v>-190.43</v>
      </c>
      <c r="L1239" s="15" t="s">
        <v>134</v>
      </c>
      <c r="M1239" s="44">
        <f>SUMIFS('Saldos Iniciales'!$D:$D,'Saldos Iniciales'!$A:$A,C1239,'Saldos Iniciales'!$B:$B,D1239)+SUMIFS($K$1:$K$1324,$C$1:$C$1324,C1239,$D$1:$D$1324,D1239,$B$1:$B$1324,"&lt;="&amp;B1239)</f>
        <v>99269.290000000008</v>
      </c>
      <c r="N1239" s="61" t="str">
        <f>IF(tblMovimientos[[#This Row],[Tipo de Movimiento]]="Ingreso",tblMovimientos[[#This Row],[Monto (S/)]],"0")</f>
        <v>0</v>
      </c>
      <c r="O1239" s="61">
        <f>IF(tblMovimientos[[#This Row],[Tipo de Movimiento]]="Egreso",tblMovimientos[[#This Row],[Monto (S/)]],"0")</f>
        <v>190.43</v>
      </c>
      <c r="P1239" s="28">
        <f>IF(tblMovimientos[[#This Row],[Tipo de Movimiento]]="Ingreso",tblMovimientos[[#This Row],[Ingreso]],-tblMovimientos[[#This Row],[Egreso]])</f>
        <v>-190.43</v>
      </c>
      <c r="Q1239" s="78" t="str">
        <f>_xlfn.XLOOKUP(tblMovimientos[[#This Row],[Cuenta Bancaria]],Cuentas!$C:$C,Cuentas!$A:$A,"")&amp;""</f>
        <v>Carmen Cross Irrevocable Trust</v>
      </c>
      <c r="R1239" s="78" t="str">
        <f>_xlfn.XLOOKUP(tblMovimientos[[#This Row],[Cuenta Bancaria]],Cuentas!$C:$C,Cuentas!$B:$B,"",0,-1)&amp;""</f>
        <v/>
      </c>
    </row>
    <row r="1240" spans="2:18" x14ac:dyDescent="0.3">
      <c r="B1240" s="39">
        <v>46308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8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30.81</v>
      </c>
      <c r="K1240" s="5">
        <f t="shared" si="19"/>
        <v>-30.81</v>
      </c>
      <c r="L1240" s="15" t="s">
        <v>134</v>
      </c>
      <c r="M1240" s="44">
        <f>SUMIFS('Saldos Iniciales'!$D:$D,'Saldos Iniciales'!$A:$A,C1240,'Saldos Iniciales'!$B:$B,D1240)+SUMIFS($K$1:$K$1324,$C$1:$C$1324,C1240,$D$1:$D$1324,D1240,$B$1:$B$1324,"&lt;="&amp;B1240)</f>
        <v>99269.290000000008</v>
      </c>
      <c r="N1240" s="61" t="str">
        <f>IF(tblMovimientos[[#This Row],[Tipo de Movimiento]]="Ingreso",tblMovimientos[[#This Row],[Monto (S/)]],"0")</f>
        <v>0</v>
      </c>
      <c r="O1240" s="61">
        <f>IF(tblMovimientos[[#This Row],[Tipo de Movimiento]]="Egreso",tblMovimientos[[#This Row],[Monto (S/)]],"0")</f>
        <v>30.81</v>
      </c>
      <c r="P1240" s="28">
        <f>IF(tblMovimientos[[#This Row],[Tipo de Movimiento]]="Ingreso",tblMovimientos[[#This Row],[Ingreso]],-tblMovimientos[[#This Row],[Egreso]])</f>
        <v>-30.81</v>
      </c>
      <c r="Q1240" s="78" t="str">
        <f>_xlfn.XLOOKUP(tblMovimientos[[#This Row],[Cuenta Bancaria]],Cuentas!$C:$C,Cuentas!$A:$A,"")&amp;""</f>
        <v>Carmen Cross Irrevocable Trust</v>
      </c>
      <c r="R1240" s="78" t="str">
        <f>_xlfn.XLOOKUP(tblMovimientos[[#This Row],[Cuenta Bancaria]],Cuentas!$C:$C,Cuentas!$B:$B,"",0,-1)&amp;""</f>
        <v/>
      </c>
    </row>
    <row r="1241" spans="2:18" x14ac:dyDescent="0.3">
      <c r="B1241" s="39">
        <v>46308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8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282.75</v>
      </c>
      <c r="K1241" s="5">
        <f t="shared" si="19"/>
        <v>-282.75</v>
      </c>
      <c r="L1241" s="15" t="s">
        <v>134</v>
      </c>
      <c r="M1241" s="44">
        <f>SUMIFS('Saldos Iniciales'!$D:$D,'Saldos Iniciales'!$A:$A,C1241,'Saldos Iniciales'!$B:$B,D1241)+SUMIFS($K$1:$K$1324,$C$1:$C$1324,C1241,$D$1:$D$1324,D1241,$B$1:$B$1324,"&lt;="&amp;B1241)</f>
        <v>99269.290000000008</v>
      </c>
      <c r="N1241" s="61" t="str">
        <f>IF(tblMovimientos[[#This Row],[Tipo de Movimiento]]="Ingreso",tblMovimientos[[#This Row],[Monto (S/)]],"0")</f>
        <v>0</v>
      </c>
      <c r="O1241" s="61">
        <f>IF(tblMovimientos[[#This Row],[Tipo de Movimiento]]="Egreso",tblMovimientos[[#This Row],[Monto (S/)]],"0")</f>
        <v>282.75</v>
      </c>
      <c r="P1241" s="28">
        <f>IF(tblMovimientos[[#This Row],[Tipo de Movimiento]]="Ingreso",tblMovimientos[[#This Row],[Ingreso]],-tblMovimientos[[#This Row],[Egreso]])</f>
        <v>-282.75</v>
      </c>
      <c r="Q1241" s="78" t="str">
        <f>_xlfn.XLOOKUP(tblMovimientos[[#This Row],[Cuenta Bancaria]],Cuentas!$C:$C,Cuentas!$A:$A,"")&amp;""</f>
        <v>Carmen Cross Irrevocable Trust</v>
      </c>
      <c r="R1241" s="78" t="str">
        <f>_xlfn.XLOOKUP(tblMovimientos[[#This Row],[Cuenta Bancaria]],Cuentas!$C:$C,Cuentas!$B:$B,"",0,-1)&amp;""</f>
        <v/>
      </c>
    </row>
    <row r="1242" spans="2:18" x14ac:dyDescent="0.3">
      <c r="B1242" s="39">
        <v>46309</v>
      </c>
      <c r="C1242" s="4" t="str">
        <f>_xlfn.XLOOKUP(tblMovimientos[[#This Row],[Cuenta Bancaria]],Listas!$B:$B,Listas!$A:$A,"")</f>
        <v>A&amp;M Imports</v>
      </c>
      <c r="D1242" s="41" t="s">
        <v>100</v>
      </c>
      <c r="E1242" s="68" t="str">
        <f>_xlfn.XLOOKUP(tblMovimientos[[#This Row],[Cuenta Bancaria]],Listas!$B:$B,Listas!$C:$C,"")</f>
        <v>Bank of America</v>
      </c>
      <c r="F1242" s="41" t="s">
        <v>9</v>
      </c>
      <c r="G1242" s="41" t="s">
        <v>68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5546.44</v>
      </c>
      <c r="K1242" s="5">
        <f t="shared" si="19"/>
        <v>5546.44</v>
      </c>
      <c r="L1242" s="15" t="s">
        <v>134</v>
      </c>
      <c r="M1242" s="44">
        <f>SUMIFS('Saldos Iniciales'!$D:$D,'Saldos Iniciales'!$A:$A,C1242,'Saldos Iniciales'!$B:$B,D1242)+SUMIFS($K$1:$K$1324,$C$1:$C$1324,C1242,$D$1:$D$1324,D1242,$B$1:$B$1324,"&lt;="&amp;B1242)</f>
        <v>892379.23999999953</v>
      </c>
      <c r="N1242" s="61">
        <f>IF(tblMovimientos[[#This Row],[Tipo de Movimiento]]="Ingreso",tblMovimientos[[#This Row],[Monto (S/)]],"0")</f>
        <v>5546.44</v>
      </c>
      <c r="O1242" s="61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5546.44</v>
      </c>
      <c r="Q1242" s="78" t="str">
        <f>_xlfn.XLOOKUP(tblMovimientos[[#This Row],[Cuenta Bancaria]],Cuentas!$C:$C,Cuentas!$A:$A,"")&amp;""</f>
        <v>SSP Group</v>
      </c>
      <c r="R1242" s="78" t="str">
        <f>_xlfn.XLOOKUP(tblMovimientos[[#This Row],[Cuenta Bancaria]],Cuentas!$C:$C,Cuentas!$B:$B,"",0,-1)&amp;""</f>
        <v/>
      </c>
    </row>
    <row r="1243" spans="2:18" x14ac:dyDescent="0.3">
      <c r="B1243" s="39">
        <v>46309</v>
      </c>
      <c r="C1243" s="4" t="str">
        <f>_xlfn.XLOOKUP(tblMovimientos[[#This Row],[Cuenta Bancaria]],Listas!$B:$B,Listas!$A:$A,"")</f>
        <v>A&amp;M Imports</v>
      </c>
      <c r="D1243" s="41" t="s">
        <v>100</v>
      </c>
      <c r="E1243" s="68" t="str">
        <f>_xlfn.XLOOKUP(tblMovimientos[[#This Row],[Cuenta Bancaria]],Listas!$B:$B,Listas!$C:$C,"")</f>
        <v>Bank of America</v>
      </c>
      <c r="F1243" s="41" t="s">
        <v>10</v>
      </c>
      <c r="G1243" s="41" t="s">
        <v>61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60000</v>
      </c>
      <c r="K1243" s="5">
        <f t="shared" si="19"/>
        <v>-60000</v>
      </c>
      <c r="L1243" s="15" t="s">
        <v>134</v>
      </c>
      <c r="M1243" s="44">
        <f>SUMIFS('Saldos Iniciales'!$D:$D,'Saldos Iniciales'!$A:$A,C1243,'Saldos Iniciales'!$B:$B,D1243)+SUMIFS($K$1:$K$1324,$C$1:$C$1324,C1243,$D$1:$D$1324,D1243,$B$1:$B$1324,"&lt;="&amp;B1243)</f>
        <v>892379.23999999953</v>
      </c>
      <c r="N1243" s="61" t="str">
        <f>IF(tblMovimientos[[#This Row],[Tipo de Movimiento]]="Ingreso",tblMovimientos[[#This Row],[Monto (S/)]],"0")</f>
        <v>0</v>
      </c>
      <c r="O1243" s="61">
        <f>IF(tblMovimientos[[#This Row],[Tipo de Movimiento]]="Egreso",tblMovimientos[[#This Row],[Monto (S/)]],"0")</f>
        <v>60000</v>
      </c>
      <c r="P1243" s="28">
        <f>IF(tblMovimientos[[#This Row],[Tipo de Movimiento]]="Ingreso",tblMovimientos[[#This Row],[Ingreso]],-tblMovimientos[[#This Row],[Egreso]])</f>
        <v>-60000</v>
      </c>
      <c r="Q1243" s="78" t="str">
        <f>_xlfn.XLOOKUP(tblMovimientos[[#This Row],[Cuenta Bancaria]],Cuentas!$C:$C,Cuentas!$A:$A,"")&amp;""</f>
        <v>SSP Group</v>
      </c>
      <c r="R1243" s="78" t="str">
        <f>_xlfn.XLOOKUP(tblMovimientos[[#This Row],[Cuenta Bancaria]],Cuentas!$C:$C,Cuentas!$B:$B,"",0,-1)&amp;""</f>
        <v/>
      </c>
    </row>
    <row r="1244" spans="2:18" x14ac:dyDescent="0.3">
      <c r="B1244" s="39">
        <v>46309</v>
      </c>
      <c r="C1244" s="4" t="str">
        <f>_xlfn.XLOOKUP(tblMovimientos[[#This Row],[Cuenta Bancaria]],Listas!$B:$B,Listas!$A:$A,"")</f>
        <v>A&amp;M Imports</v>
      </c>
      <c r="D1244" s="41" t="s">
        <v>100</v>
      </c>
      <c r="E1244" s="68" t="str">
        <f>_xlfn.XLOOKUP(tblMovimientos[[#This Row],[Cuenta Bancaria]],Listas!$B:$B,Listas!$C:$C,"")</f>
        <v>Bank of America</v>
      </c>
      <c r="F1244" s="41" t="s">
        <v>10</v>
      </c>
      <c r="G1244" s="41" t="s">
        <v>61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80000</v>
      </c>
      <c r="K1244" s="5">
        <f t="shared" si="19"/>
        <v>-80000</v>
      </c>
      <c r="L1244" s="15" t="s">
        <v>134</v>
      </c>
      <c r="M1244" s="44">
        <f>SUMIFS('Saldos Iniciales'!$D:$D,'Saldos Iniciales'!$A:$A,C1244,'Saldos Iniciales'!$B:$B,D1244)+SUMIFS($K$1:$K$1324,$C$1:$C$1324,C1244,$D$1:$D$1324,D1244,$B$1:$B$1324,"&lt;="&amp;B1244)</f>
        <v>892379.23999999953</v>
      </c>
      <c r="N1244" s="61" t="str">
        <f>IF(tblMovimientos[[#This Row],[Tipo de Movimiento]]="Ingreso",tblMovimientos[[#This Row],[Monto (S/)]],"0")</f>
        <v>0</v>
      </c>
      <c r="O1244" s="61">
        <f>IF(tblMovimientos[[#This Row],[Tipo de Movimiento]]="Egreso",tblMovimientos[[#This Row],[Monto (S/)]],"0")</f>
        <v>80000</v>
      </c>
      <c r="P1244" s="28">
        <f>IF(tblMovimientos[[#This Row],[Tipo de Movimiento]]="Ingreso",tblMovimientos[[#This Row],[Ingreso]],-tblMovimientos[[#This Row],[Egreso]])</f>
        <v>-80000</v>
      </c>
      <c r="Q1244" s="78" t="str">
        <f>_xlfn.XLOOKUP(tblMovimientos[[#This Row],[Cuenta Bancaria]],Cuentas!$C:$C,Cuentas!$A:$A,"")&amp;""</f>
        <v>SSP Group</v>
      </c>
      <c r="R1244" s="78" t="str">
        <f>_xlfn.XLOOKUP(tblMovimientos[[#This Row],[Cuenta Bancaria]],Cuentas!$C:$C,Cuentas!$B:$B,"",0,-1)&amp;""</f>
        <v/>
      </c>
    </row>
    <row r="1245" spans="2:18" x14ac:dyDescent="0.3">
      <c r="B1245" s="39">
        <v>46309</v>
      </c>
      <c r="C1245" s="4" t="str">
        <f>_xlfn.XLOOKUP(tblMovimientos[[#This Row],[Cuenta Bancaria]],Listas!$B:$B,Listas!$A:$A,"")</f>
        <v>CFT Group</v>
      </c>
      <c r="D1245" s="41" t="s">
        <v>94</v>
      </c>
      <c r="E1245" s="68" t="str">
        <f>_xlfn.XLOOKUP(tblMovimientos[[#This Row],[Cuenta Bancaria]],Listas!$B:$B,Listas!$C:$C,"")</f>
        <v>Bank of America</v>
      </c>
      <c r="F1245" s="41" t="s">
        <v>9</v>
      </c>
      <c r="G1245" s="41" t="s">
        <v>68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79731.710000000006</v>
      </c>
      <c r="K1245" s="5">
        <f t="shared" si="19"/>
        <v>79731.710000000006</v>
      </c>
      <c r="L1245" s="15" t="s">
        <v>134</v>
      </c>
      <c r="M1245" s="44">
        <f>SUMIFS('Saldos Iniciales'!$D:$D,'Saldos Iniciales'!$A:$A,C1245,'Saldos Iniciales'!$B:$B,D1245)+SUMIFS($K$1:$K$1324,$C$1:$C$1324,C1245,$D$1:$D$1324,D1245,$B$1:$B$1324,"&lt;="&amp;B1245)</f>
        <v>102951.21999999996</v>
      </c>
      <c r="N1245" s="61">
        <f>IF(tblMovimientos[[#This Row],[Tipo de Movimiento]]="Ingreso",tblMovimientos[[#This Row],[Monto (S/)]],"0")</f>
        <v>79731.710000000006</v>
      </c>
      <c r="O1245" s="61" t="str">
        <f>IF(tblMovimientos[[#This Row],[Tipo de Movimiento]]="Egreso",tblMovimientos[[#This Row],[Monto (S/)]],"0")</f>
        <v>0</v>
      </c>
      <c r="P1245" s="28">
        <f>IF(tblMovimientos[[#This Row],[Tipo de Movimiento]]="Ingreso",tblMovimientos[[#This Row],[Ingreso]],-tblMovimientos[[#This Row],[Egreso]])</f>
        <v>79731.710000000006</v>
      </c>
      <c r="Q1245" s="78" t="str">
        <f>_xlfn.XLOOKUP(tblMovimientos[[#This Row],[Cuenta Bancaria]],Cuentas!$C:$C,Cuentas!$A:$A,"")&amp;""</f>
        <v>SSP Group</v>
      </c>
      <c r="R1245" s="78" t="str">
        <f>_xlfn.XLOOKUP(tblMovimientos[[#This Row],[Cuenta Bancaria]],Cuentas!$C:$C,Cuentas!$B:$B,"",0,-1)&amp;""</f>
        <v/>
      </c>
    </row>
    <row r="1246" spans="2:18" x14ac:dyDescent="0.3">
      <c r="B1246" s="39">
        <v>46309</v>
      </c>
      <c r="C1246" s="4" t="str">
        <f>_xlfn.XLOOKUP(tblMovimientos[[#This Row],[Cuenta Bancaria]],Listas!$B:$B,Listas!$A:$A,"")</f>
        <v>Cross Family Trust</v>
      </c>
      <c r="D1246" s="41" t="s">
        <v>110</v>
      </c>
      <c r="E1246" s="68" t="str">
        <f>_xlfn.XLOOKUP(tblMovimientos[[#This Row],[Cuenta Bancaria]],Listas!$B:$B,Listas!$C:$C,"")</f>
        <v>Bank of America</v>
      </c>
      <c r="F1246" s="41" t="s">
        <v>9</v>
      </c>
      <c r="G1246" s="41" t="s">
        <v>85</v>
      </c>
      <c r="H1246" s="4" t="str">
        <f>IFERROR(_xlfn.XLOOKUP(G1246,Listas!E:E,Listas!F:F,""),"")</f>
        <v>Operativo</v>
      </c>
      <c r="I1246" s="4" t="str">
        <f>IFERROR(_xlfn.XLOOKUP(G1246,Listas!E:E,Listas!G:G,""),"")</f>
        <v>Interno</v>
      </c>
      <c r="J1246" s="43">
        <v>15000</v>
      </c>
      <c r="K1246" s="5">
        <f t="shared" si="19"/>
        <v>15000</v>
      </c>
      <c r="L1246" s="15" t="s">
        <v>134</v>
      </c>
      <c r="M1246" s="44">
        <f>SUMIFS('Saldos Iniciales'!$D:$D,'Saldos Iniciales'!$A:$A,C1246,'Saldos Iniciales'!$B:$B,D1246)+SUMIFS($K$1:$K$1324,$C$1:$C$1324,C1246,$D$1:$D$1324,D1246,$B$1:$B$1324,"&lt;="&amp;B1246)</f>
        <v>15191.89</v>
      </c>
      <c r="N1246" s="61">
        <f>IF(tblMovimientos[[#This Row],[Tipo de Movimiento]]="Ingreso",tblMovimientos[[#This Row],[Monto (S/)]],"0")</f>
        <v>15000</v>
      </c>
      <c r="O1246" s="61" t="str">
        <f>IF(tblMovimientos[[#This Row],[Tipo de Movimiento]]="Egreso",tblMovimientos[[#This Row],[Monto (S/)]],"0")</f>
        <v>0</v>
      </c>
      <c r="P1246" s="28">
        <f>IF(tblMovimientos[[#This Row],[Tipo de Movimiento]]="Ingreso",tblMovimientos[[#This Row],[Ingreso]],-tblMovimientos[[#This Row],[Egreso]])</f>
        <v>15000</v>
      </c>
      <c r="Q1246" s="78" t="str">
        <f>_xlfn.XLOOKUP(tblMovimientos[[#This Row],[Cuenta Bancaria]],Cuentas!$C:$C,Cuentas!$A:$A,"")&amp;""</f>
        <v>SSP Group</v>
      </c>
      <c r="R1246" s="78" t="str">
        <f>_xlfn.XLOOKUP(tblMovimientos[[#This Row],[Cuenta Bancaria]],Cuentas!$C:$C,Cuentas!$B:$B,"",0,-1)&amp;""</f>
        <v>Trust</v>
      </c>
    </row>
    <row r="1247" spans="2:18" x14ac:dyDescent="0.3">
      <c r="B1247" s="39">
        <v>46309</v>
      </c>
      <c r="C1247" s="4" t="str">
        <f>_xlfn.XLOOKUP(tblMovimientos[[#This Row],[Cuenta Bancaria]],Listas!$B:$B,Listas!$A:$A,"")</f>
        <v>Cross Family Trust</v>
      </c>
      <c r="D1247" s="41" t="s">
        <v>110</v>
      </c>
      <c r="E1247" s="68" t="str">
        <f>_xlfn.XLOOKUP(tblMovimientos[[#This Row],[Cuenta Bancaria]],Listas!$B:$B,Listas!$C:$C,"")</f>
        <v>Bank of America</v>
      </c>
      <c r="F1247" s="41" t="s">
        <v>10</v>
      </c>
      <c r="G1247" s="41" t="s">
        <v>44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15</v>
      </c>
      <c r="K1247" s="5">
        <f t="shared" si="19"/>
        <v>-15</v>
      </c>
      <c r="L1247" s="15" t="s">
        <v>134</v>
      </c>
      <c r="M1247" s="44">
        <f>SUMIFS('Saldos Iniciales'!$D:$D,'Saldos Iniciales'!$A:$A,C1247,'Saldos Iniciales'!$B:$B,D1247)+SUMIFS($K$1:$K$1324,$C$1:$C$1324,C1247,$D$1:$D$1324,D1247,$B$1:$B$1324,"&lt;="&amp;B1247)</f>
        <v>15191.89</v>
      </c>
      <c r="N1247" s="61" t="str">
        <f>IF(tblMovimientos[[#This Row],[Tipo de Movimiento]]="Ingreso",tblMovimientos[[#This Row],[Monto (S/)]],"0")</f>
        <v>0</v>
      </c>
      <c r="O1247" s="61">
        <f>IF(tblMovimientos[[#This Row],[Tipo de Movimiento]]="Egreso",tblMovimientos[[#This Row],[Monto (S/)]],"0")</f>
        <v>15</v>
      </c>
      <c r="P1247" s="28">
        <f>IF(tblMovimientos[[#This Row],[Tipo de Movimiento]]="Ingreso",tblMovimientos[[#This Row],[Ingreso]],-tblMovimientos[[#This Row],[Egreso]])</f>
        <v>-15</v>
      </c>
      <c r="Q1247" s="78" t="str">
        <f>_xlfn.XLOOKUP(tblMovimientos[[#This Row],[Cuenta Bancaria]],Cuentas!$C:$C,Cuentas!$A:$A,"")&amp;""</f>
        <v>SSP Group</v>
      </c>
      <c r="R1247" s="78" t="str">
        <f>_xlfn.XLOOKUP(tblMovimientos[[#This Row],[Cuenta Bancaria]],Cuentas!$C:$C,Cuentas!$B:$B,"",0,-1)&amp;""</f>
        <v>Trust</v>
      </c>
    </row>
    <row r="1248" spans="2:18" x14ac:dyDescent="0.3">
      <c r="B1248" s="39">
        <v>46309</v>
      </c>
      <c r="C1248" s="4" t="str">
        <f>_xlfn.XLOOKUP(tblMovimientos[[#This Row],[Cuenta Bancaria]],Listas!$B:$B,Listas!$A:$A,"")</f>
        <v>Pacha Ventures LLC</v>
      </c>
      <c r="D1248" s="41" t="s">
        <v>187</v>
      </c>
      <c r="E1248" s="68" t="str">
        <f>_xlfn.XLOOKUP(tblMovimientos[[#This Row],[Cuenta Bancaria]],Listas!$B:$B,Listas!$C:$C,"")</f>
        <v xml:space="preserve">Amerant Bank </v>
      </c>
      <c r="F1248" s="41" t="s">
        <v>9</v>
      </c>
      <c r="G1248" s="41" t="s">
        <v>69</v>
      </c>
      <c r="H1248" s="4" t="str">
        <f>IFERROR(_xlfn.XLOOKUP(G1248,Listas!E:E,Listas!F:F,""),"")</f>
        <v>Operativo</v>
      </c>
      <c r="I1248" s="4" t="str">
        <f>IFERROR(_xlfn.XLOOKUP(G1248,Listas!E:E,Listas!G:G,""),"")</f>
        <v>Interno</v>
      </c>
      <c r="J1248" s="43">
        <v>18491.669999999998</v>
      </c>
      <c r="K1248" s="5">
        <f t="shared" si="19"/>
        <v>18491.669999999998</v>
      </c>
      <c r="L1248" s="15" t="s">
        <v>134</v>
      </c>
      <c r="M1248" s="44">
        <f>SUMIFS('Saldos Iniciales'!$D:$D,'Saldos Iniciales'!$A:$A,C1248,'Saldos Iniciales'!$B:$B,D1248)+SUMIFS($K$1:$K$1324,$C$1:$C$1324,C1248,$D$1:$D$1324,D1248,$B$1:$B$1324,"&lt;="&amp;B1248)</f>
        <v>329346.53000000003</v>
      </c>
      <c r="N1248" s="61">
        <f>IF(tblMovimientos[[#This Row],[Tipo de Movimiento]]="Ingreso",tblMovimientos[[#This Row],[Monto (S/)]],"0")</f>
        <v>18491.669999999998</v>
      </c>
      <c r="O1248" s="61" t="str">
        <f>IF(tblMovimientos[[#This Row],[Tipo de Movimiento]]="Egreso",tblMovimientos[[#This Row],[Monto (S/)]],"0")</f>
        <v>0</v>
      </c>
      <c r="P1248" s="28">
        <f>IF(tblMovimientos[[#This Row],[Tipo de Movimiento]]="Ingreso",tblMovimientos[[#This Row],[Ingreso]],-tblMovimientos[[#This Row],[Egreso]])</f>
        <v>18491.669999999998</v>
      </c>
      <c r="Q1248" s="78" t="str">
        <f>_xlfn.XLOOKUP(tblMovimientos[[#This Row],[Cuenta Bancaria]],Cuentas!$C:$C,Cuentas!$A:$A,"")&amp;""</f>
        <v>Michael Cross</v>
      </c>
      <c r="R1248" s="78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CFT1 Residence</v>
      </c>
      <c r="D1249" s="41" t="s">
        <v>188</v>
      </c>
      <c r="E1249" s="68" t="str">
        <f>_xlfn.XLOOKUP(tblMovimientos[[#This Row],[Cuenta Bancaria]],Listas!$B:$B,Listas!$C:$C,"")</f>
        <v xml:space="preserve">Amerant Bank </v>
      </c>
      <c r="F1249" s="41" t="s">
        <v>10</v>
      </c>
      <c r="G1249" s="41" t="s">
        <v>38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345</v>
      </c>
      <c r="K1249" s="5">
        <f t="shared" si="19"/>
        <v>-345</v>
      </c>
      <c r="L1249" s="15" t="s">
        <v>134</v>
      </c>
      <c r="M1249" s="44">
        <f>SUMIFS('Saldos Iniciales'!$D:$D,'Saldos Iniciales'!$A:$A,C1249,'Saldos Iniciales'!$B:$B,D1249)+SUMIFS($K$1:$K$1324,$C$1:$C$1324,C1249,$D$1:$D$1324,D1249,$B$1:$B$1324,"&lt;="&amp;B1249)</f>
        <v>991.75999999999988</v>
      </c>
      <c r="N1249" s="61" t="str">
        <f>IF(tblMovimientos[[#This Row],[Tipo de Movimiento]]="Ingreso",tblMovimientos[[#This Row],[Monto (S/)]],"0")</f>
        <v>0</v>
      </c>
      <c r="O1249" s="61">
        <f>IF(tblMovimientos[[#This Row],[Tipo de Movimiento]]="Egreso",tblMovimientos[[#This Row],[Monto (S/)]],"0")</f>
        <v>345</v>
      </c>
      <c r="P1249" s="28">
        <f>IF(tblMovimientos[[#This Row],[Tipo de Movimiento]]="Ingreso",tblMovimientos[[#This Row],[Ingreso]],-tblMovimientos[[#This Row],[Egreso]])</f>
        <v>-345</v>
      </c>
      <c r="Q1249" s="78" t="str">
        <f>_xlfn.XLOOKUP(tblMovimientos[[#This Row],[Cuenta Bancaria]],Cuentas!$C:$C,Cuentas!$A:$A,"")&amp;""</f>
        <v>Carmen Cross Irrevocable Trust</v>
      </c>
      <c r="R1249" s="78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CFT Group</v>
      </c>
      <c r="D1250" s="41" t="s">
        <v>95</v>
      </c>
      <c r="E1250" s="68" t="str">
        <f>_xlfn.XLOOKUP(tblMovimientos[[#This Row],[Cuenta Bancaria]],Listas!$B:$B,Listas!$C:$C,"")</f>
        <v xml:space="preserve">Amerant Bank </v>
      </c>
      <c r="F1250" s="41" t="s">
        <v>10</v>
      </c>
      <c r="G1250" s="41" t="s">
        <v>55</v>
      </c>
      <c r="H1250" s="4" t="str">
        <f>IFERROR(_xlfn.XLOOKUP(G1250,Listas!E:E,Listas!F:F,""),"")</f>
        <v>Inversion</v>
      </c>
      <c r="I1250" s="4" t="str">
        <f>IFERROR(_xlfn.XLOOKUP(G1250,Listas!E:E,Listas!G:G,""),"")</f>
        <v>Externo</v>
      </c>
      <c r="J1250" s="43">
        <v>2000</v>
      </c>
      <c r="K1250" s="5">
        <f t="shared" si="19"/>
        <v>-2000</v>
      </c>
      <c r="L1250" s="15" t="s">
        <v>134</v>
      </c>
      <c r="M1250" s="44">
        <f>SUMIFS('Saldos Iniciales'!$D:$D,'Saldos Iniciales'!$A:$A,C1250,'Saldos Iniciales'!$B:$B,D1250)+SUMIFS($K$1:$K$1324,$C$1:$C$1324,C1250,$D$1:$D$1324,D1250,$B$1:$B$1324,"&lt;="&amp;B1250)</f>
        <v>2285741.9300000011</v>
      </c>
      <c r="N1250" s="61" t="str">
        <f>IF(tblMovimientos[[#This Row],[Tipo de Movimiento]]="Ingreso",tblMovimientos[[#This Row],[Monto (S/)]],"0")</f>
        <v>0</v>
      </c>
      <c r="O1250" s="61">
        <f>IF(tblMovimientos[[#This Row],[Tipo de Movimiento]]="Egreso",tblMovimientos[[#This Row],[Monto (S/)]],"0")</f>
        <v>2000</v>
      </c>
      <c r="P1250" s="28">
        <f>IF(tblMovimientos[[#This Row],[Tipo de Movimiento]]="Ingreso",tblMovimientos[[#This Row],[Ingreso]],-tblMovimientos[[#This Row],[Egreso]])</f>
        <v>-2000</v>
      </c>
      <c r="Q1250" s="78" t="str">
        <f>_xlfn.XLOOKUP(tblMovimientos[[#This Row],[Cuenta Bancaria]],Cuentas!$C:$C,Cuentas!$A:$A,"")&amp;""</f>
        <v>SSP Group</v>
      </c>
      <c r="R1250" s="78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CFT Group</v>
      </c>
      <c r="D1251" s="41" t="s">
        <v>95</v>
      </c>
      <c r="E1251" s="68" t="str">
        <f>_xlfn.XLOOKUP(tblMovimientos[[#This Row],[Cuenta Bancaria]],Listas!$B:$B,Listas!$C:$C,"")</f>
        <v xml:space="preserve">Amerant Bank </v>
      </c>
      <c r="F1251" s="41" t="s">
        <v>10</v>
      </c>
      <c r="G1251" s="41" t="s">
        <v>46</v>
      </c>
      <c r="H1251" s="4" t="str">
        <f>IFERROR(_xlfn.XLOOKUP(G1251,Listas!E:E,Listas!F:F,""),"")</f>
        <v>Financiamiento</v>
      </c>
      <c r="I1251" s="4" t="str">
        <f>IFERROR(_xlfn.XLOOKUP(G1251,Listas!E:E,Listas!G:G,""),"")</f>
        <v>Externo</v>
      </c>
      <c r="J1251" s="43">
        <v>18491.669999999998</v>
      </c>
      <c r="K1251" s="5">
        <f t="shared" si="19"/>
        <v>-18491.669999999998</v>
      </c>
      <c r="L1251" s="15" t="s">
        <v>134</v>
      </c>
      <c r="M1251" s="44">
        <f>SUMIFS('Saldos Iniciales'!$D:$D,'Saldos Iniciales'!$A:$A,C1251,'Saldos Iniciales'!$B:$B,D1251)+SUMIFS($K$1:$K$1324,$C$1:$C$1324,C1251,$D$1:$D$1324,D1251,$B$1:$B$1324,"&lt;="&amp;B1251)</f>
        <v>2285741.9300000011</v>
      </c>
      <c r="N1251" s="61" t="str">
        <f>IF(tblMovimientos[[#This Row],[Tipo de Movimiento]]="Ingreso",tblMovimientos[[#This Row],[Monto (S/)]],"0")</f>
        <v>0</v>
      </c>
      <c r="O1251" s="61">
        <f>IF(tblMovimientos[[#This Row],[Tipo de Movimiento]]="Egreso",tblMovimientos[[#This Row],[Monto (S/)]],"0")</f>
        <v>18491.669999999998</v>
      </c>
      <c r="P1251" s="28">
        <f>IF(tblMovimientos[[#This Row],[Tipo de Movimiento]]="Ingreso",tblMovimientos[[#This Row],[Ingreso]],-tblMovimientos[[#This Row],[Egreso]])</f>
        <v>-18491.669999999998</v>
      </c>
      <c r="Q1251" s="78" t="str">
        <f>_xlfn.XLOOKUP(tblMovimientos[[#This Row],[Cuenta Bancaria]],Cuentas!$C:$C,Cuentas!$A:$A,"")&amp;""</f>
        <v>SSP Group</v>
      </c>
      <c r="R1251" s="78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95</v>
      </c>
      <c r="E1252" s="68" t="str">
        <f>_xlfn.XLOOKUP(tblMovimientos[[#This Row],[Cuenta Bancaria]],Listas!$B:$B,Listas!$C:$C,"")</f>
        <v xml:space="preserve">Amerant Bank </v>
      </c>
      <c r="F1252" s="41" t="s">
        <v>10</v>
      </c>
      <c r="G1252" s="41" t="s">
        <v>61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100000</v>
      </c>
      <c r="K1252" s="5">
        <f t="shared" si="19"/>
        <v>-100000</v>
      </c>
      <c r="L1252" s="15" t="s">
        <v>134</v>
      </c>
      <c r="M1252" s="44">
        <f>SUMIFS('Saldos Iniciales'!$D:$D,'Saldos Iniciales'!$A:$A,C1252,'Saldos Iniciales'!$B:$B,D1252)+SUMIFS($K$1:$K$1324,$C$1:$C$1324,C1252,$D$1:$D$1324,D1252,$B$1:$B$1324,"&lt;="&amp;B1252)</f>
        <v>2285741.9300000011</v>
      </c>
      <c r="N1252" s="61" t="str">
        <f>IF(tblMovimientos[[#This Row],[Tipo de Movimiento]]="Ingreso",tblMovimientos[[#This Row],[Monto (S/)]],"0")</f>
        <v>0</v>
      </c>
      <c r="O1252" s="61">
        <f>IF(tblMovimientos[[#This Row],[Tipo de Movimiento]]="Egreso",tblMovimientos[[#This Row],[Monto (S/)]],"0")</f>
        <v>100000</v>
      </c>
      <c r="P1252" s="28">
        <f>IF(tblMovimientos[[#This Row],[Tipo de Movimiento]]="Ingreso",tblMovimientos[[#This Row],[Ingreso]],-tblMovimientos[[#This Row],[Egreso]])</f>
        <v>-100000</v>
      </c>
      <c r="Q1252" s="78" t="str">
        <f>_xlfn.XLOOKUP(tblMovimientos[[#This Row],[Cuenta Bancaria]],Cuentas!$C:$C,Cuentas!$A:$A,"")&amp;""</f>
        <v>SSP Group</v>
      </c>
      <c r="R1252" s="78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CFT Group</v>
      </c>
      <c r="D1253" s="41" t="s">
        <v>95</v>
      </c>
      <c r="E1253" s="68" t="str">
        <f>_xlfn.XLOOKUP(tblMovimientos[[#This Row],[Cuenta Bancaria]],Listas!$B:$B,Listas!$C:$C,"")</f>
        <v xml:space="preserve">Amerant Bank </v>
      </c>
      <c r="F1253" s="41" t="s">
        <v>10</v>
      </c>
      <c r="G1253" s="41" t="s">
        <v>61</v>
      </c>
      <c r="H1253" s="4" t="str">
        <f>IFERROR(_xlfn.XLOOKUP(G1253,Listas!E:E,Listas!F:F,""),"")</f>
        <v>Operativo</v>
      </c>
      <c r="I1253" s="4" t="str">
        <f>IFERROR(_xlfn.XLOOKUP(G1253,Listas!E:E,Listas!G:G,""),"")</f>
        <v>Externo</v>
      </c>
      <c r="J1253" s="43">
        <v>100000</v>
      </c>
      <c r="K1253" s="5">
        <f t="shared" si="19"/>
        <v>-100000</v>
      </c>
      <c r="L1253" s="15" t="s">
        <v>134</v>
      </c>
      <c r="M1253" s="44">
        <f>SUMIFS('Saldos Iniciales'!$D:$D,'Saldos Iniciales'!$A:$A,C1253,'Saldos Iniciales'!$B:$B,D1253)+SUMIFS($K$1:$K$1324,$C$1:$C$1324,C1253,$D$1:$D$1324,D1253,$B$1:$B$1324,"&lt;="&amp;B1253)</f>
        <v>2285741.9300000011</v>
      </c>
      <c r="N1253" s="61" t="str">
        <f>IF(tblMovimientos[[#This Row],[Tipo de Movimiento]]="Ingreso",tblMovimientos[[#This Row],[Monto (S/)]],"0")</f>
        <v>0</v>
      </c>
      <c r="O1253" s="61">
        <f>IF(tblMovimientos[[#This Row],[Tipo de Movimiento]]="Egreso",tblMovimientos[[#This Row],[Monto (S/)]],"0")</f>
        <v>100000</v>
      </c>
      <c r="P1253" s="28">
        <f>IF(tblMovimientos[[#This Row],[Tipo de Movimiento]]="Ingreso",tblMovimientos[[#This Row],[Ingreso]],-tblMovimientos[[#This Row],[Egreso]])</f>
        <v>-100000</v>
      </c>
      <c r="Q1253" s="78" t="str">
        <f>_xlfn.XLOOKUP(tblMovimientos[[#This Row],[Cuenta Bancaria]],Cuentas!$C:$C,Cuentas!$A:$A,"")&amp;""</f>
        <v>SSP Group</v>
      </c>
      <c r="R1253" s="78" t="str">
        <f>_xlfn.XLOOKUP(tblMovimientos[[#This Row],[Cuenta Bancaria]],Cuentas!$C:$C,Cuentas!$B:$B,"",0,-1)&amp;""</f>
        <v/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CFT Group</v>
      </c>
      <c r="D1254" s="41" t="s">
        <v>95</v>
      </c>
      <c r="E1254" s="68" t="str">
        <f>_xlfn.XLOOKUP(tblMovimientos[[#This Row],[Cuenta Bancaria]],Listas!$B:$B,Listas!$C:$C,"")</f>
        <v xml:space="preserve">Amerant Bank </v>
      </c>
      <c r="F1254" s="41" t="s">
        <v>10</v>
      </c>
      <c r="G1254" s="41" t="s">
        <v>62</v>
      </c>
      <c r="H1254" s="4" t="str">
        <f>IFERROR(_xlfn.XLOOKUP(G1254,Listas!E:E,Listas!F:F,""),"")</f>
        <v>Operativo</v>
      </c>
      <c r="I1254" s="4" t="str">
        <f>IFERROR(_xlfn.XLOOKUP(G1254,Listas!E:E,Listas!G:G,""),"")</f>
        <v>Interno</v>
      </c>
      <c r="J1254" s="43">
        <v>300000</v>
      </c>
      <c r="K1254" s="5">
        <f t="shared" si="19"/>
        <v>-300000</v>
      </c>
      <c r="L1254" s="15" t="s">
        <v>134</v>
      </c>
      <c r="M1254" s="44">
        <f>SUMIFS('Saldos Iniciales'!$D:$D,'Saldos Iniciales'!$A:$A,C1254,'Saldos Iniciales'!$B:$B,D1254)+SUMIFS($K$1:$K$1324,$C$1:$C$1324,C1254,$D$1:$D$1324,D1254,$B$1:$B$1324,"&lt;="&amp;B1254)</f>
        <v>2285741.9300000011</v>
      </c>
      <c r="N1254" s="61" t="str">
        <f>IF(tblMovimientos[[#This Row],[Tipo de Movimiento]]="Ingreso",tblMovimientos[[#This Row],[Monto (S/)]],"0")</f>
        <v>0</v>
      </c>
      <c r="O1254" s="61">
        <f>IF(tblMovimientos[[#This Row],[Tipo de Movimiento]]="Egreso",tblMovimientos[[#This Row],[Monto (S/)]],"0")</f>
        <v>300000</v>
      </c>
      <c r="P1254" s="28">
        <f>IF(tblMovimientos[[#This Row],[Tipo de Movimiento]]="Ingreso",tblMovimientos[[#This Row],[Ingreso]],-tblMovimientos[[#This Row],[Egreso]])</f>
        <v>-300000</v>
      </c>
      <c r="Q1254" s="78" t="str">
        <f>_xlfn.XLOOKUP(tblMovimientos[[#This Row],[Cuenta Bancaria]],Cuentas!$C:$C,Cuentas!$A:$A,"")&amp;""</f>
        <v>SSP Group</v>
      </c>
      <c r="R1254" s="78" t="str">
        <f>_xlfn.XLOOKUP(tblMovimientos[[#This Row],[Cuenta Bancaria]],Cuentas!$C:$C,Cuentas!$B:$B,"",0,-1)&amp;""</f>
        <v/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Carmen Cross Irrevocable Trust</v>
      </c>
      <c r="D1255" s="41" t="s">
        <v>183</v>
      </c>
      <c r="E1255" s="68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79</v>
      </c>
      <c r="H1255" s="4" t="str">
        <f>IFERROR(_xlfn.XLOOKUP(G1255,Listas!E:E,Listas!F:F,""),"")</f>
        <v>Inversion</v>
      </c>
      <c r="I1255" s="4" t="str">
        <f>IFERROR(_xlfn.XLOOKUP(G1255,Listas!E:E,Listas!G:G,""),"")</f>
        <v>Externo</v>
      </c>
      <c r="J1255" s="43">
        <v>60000</v>
      </c>
      <c r="K1255" s="5">
        <f t="shared" si="19"/>
        <v>60000</v>
      </c>
      <c r="L1255" s="15" t="s">
        <v>134</v>
      </c>
      <c r="M1255" s="44">
        <f>SUMIFS('Saldos Iniciales'!$D:$D,'Saldos Iniciales'!$A:$A,C1255,'Saldos Iniciales'!$B:$B,D1255)+SUMIFS($K$1:$K$1324,$C$1:$C$1324,C1255,$D$1:$D$1324,D1255,$B$1:$B$1324,"&lt;="&amp;B1255)</f>
        <v>100631.96</v>
      </c>
      <c r="N1255" s="61">
        <f>IF(tblMovimientos[[#This Row],[Tipo de Movimiento]]="Ingreso",tblMovimientos[[#This Row],[Monto (S/)]],"0")</f>
        <v>60000</v>
      </c>
      <c r="O1255" s="61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60000</v>
      </c>
      <c r="Q1255" s="78" t="str">
        <f>_xlfn.XLOOKUP(tblMovimientos[[#This Row],[Cuenta Bancaria]],Cuentas!$C:$C,Cuentas!$A:$A,"")&amp;""</f>
        <v>Carmen Cross Irrevocable Trust</v>
      </c>
      <c r="R1255" s="78" t="str">
        <f>_xlfn.XLOOKUP(tblMovimientos[[#This Row],[Cuenta Bancaria]],Cuentas!$C:$C,Cuentas!$B:$B,"",0,-1)&amp;""</f>
        <v>Trust</v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Carmen Cross Irrevocable Trust</v>
      </c>
      <c r="D1256" s="41" t="s">
        <v>183</v>
      </c>
      <c r="E1256" s="68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53</v>
      </c>
      <c r="H1256" s="4" t="str">
        <f>IFERROR(_xlfn.XLOOKUP(G1256,Listas!E:E,Listas!F:F,""),"")</f>
        <v>Inversion</v>
      </c>
      <c r="I1256" s="4" t="str">
        <f>IFERROR(_xlfn.XLOOKUP(G1256,Listas!E:E,Listas!G:G,""),"")</f>
        <v>Interno</v>
      </c>
      <c r="J1256" s="43">
        <v>50000</v>
      </c>
      <c r="K1256" s="5">
        <f t="shared" si="19"/>
        <v>-50000</v>
      </c>
      <c r="L1256" s="15" t="s">
        <v>134</v>
      </c>
      <c r="M1256" s="44">
        <f>SUMIFS('Saldos Iniciales'!$D:$D,'Saldos Iniciales'!$A:$A,C1256,'Saldos Iniciales'!$B:$B,D1256)+SUMIFS($K$1:$K$1324,$C$1:$C$1324,C1256,$D$1:$D$1324,D1256,$B$1:$B$1324,"&lt;="&amp;B1256)</f>
        <v>100631.96</v>
      </c>
      <c r="N1256" s="61" t="str">
        <f>IF(tblMovimientos[[#This Row],[Tipo de Movimiento]]="Ingreso",tblMovimientos[[#This Row],[Monto (S/)]],"0")</f>
        <v>0</v>
      </c>
      <c r="O1256" s="61">
        <f>IF(tblMovimientos[[#This Row],[Tipo de Movimiento]]="Egreso",tblMovimientos[[#This Row],[Monto (S/)]],"0")</f>
        <v>50000</v>
      </c>
      <c r="P1256" s="28">
        <f>IF(tblMovimientos[[#This Row],[Tipo de Movimiento]]="Ingreso",tblMovimientos[[#This Row],[Ingreso]],-tblMovimientos[[#This Row],[Egreso]])</f>
        <v>-50000</v>
      </c>
      <c r="Q1256" s="78" t="str">
        <f>_xlfn.XLOOKUP(tblMovimientos[[#This Row],[Cuenta Bancaria]],Cuentas!$C:$C,Cuentas!$A:$A,"")&amp;""</f>
        <v>Carmen Cross Irrevocable Trust</v>
      </c>
      <c r="R1256" s="78" t="str">
        <f>_xlfn.XLOOKUP(tblMovimientos[[#This Row],[Cuenta Bancaria]],Cuentas!$C:$C,Cuentas!$B:$B,"",0,-1)&amp;""</f>
        <v>Trust</v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Cross Family Trust</v>
      </c>
      <c r="D1257" s="41" t="s">
        <v>111</v>
      </c>
      <c r="E1257" s="68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64</v>
      </c>
      <c r="H1257" s="4" t="str">
        <f>IFERROR(_xlfn.XLOOKUP(G1257,Listas!E:E,Listas!F:F,""),"")</f>
        <v>Operativo</v>
      </c>
      <c r="I1257" s="4" t="str">
        <f>IFERROR(_xlfn.XLOOKUP(G1257,Listas!E:E,Listas!G:G,""),"")</f>
        <v>Interno</v>
      </c>
      <c r="J1257" s="43">
        <v>15000</v>
      </c>
      <c r="K1257" s="5">
        <f t="shared" si="19"/>
        <v>-15000</v>
      </c>
      <c r="L1257" s="15" t="s">
        <v>134</v>
      </c>
      <c r="M1257" s="44">
        <f>SUMIFS('Saldos Iniciales'!$D:$D,'Saldos Iniciales'!$A:$A,C1257,'Saldos Iniciales'!$B:$B,D1257)+SUMIFS($K$1:$K$1324,$C$1:$C$1324,C1257,$D$1:$D$1324,D1257,$B$1:$B$1324,"&lt;="&amp;B1257)</f>
        <v>102999.36000000002</v>
      </c>
      <c r="N1257" s="61" t="str">
        <f>IF(tblMovimientos[[#This Row],[Tipo de Movimiento]]="Ingreso",tblMovimientos[[#This Row],[Monto (S/)]],"0")</f>
        <v>0</v>
      </c>
      <c r="O1257" s="61">
        <f>IF(tblMovimientos[[#This Row],[Tipo de Movimiento]]="Egreso",tblMovimientos[[#This Row],[Monto (S/)]],"0")</f>
        <v>15000</v>
      </c>
      <c r="P1257" s="28">
        <f>IF(tblMovimientos[[#This Row],[Tipo de Movimiento]]="Ingreso",tblMovimientos[[#This Row],[Ingreso]],-tblMovimientos[[#This Row],[Egreso]])</f>
        <v>-15000</v>
      </c>
      <c r="Q1257" s="78" t="str">
        <f>_xlfn.XLOOKUP(tblMovimientos[[#This Row],[Cuenta Bancaria]],Cuentas!$C:$C,Cuentas!$A:$A,"")&amp;""</f>
        <v>SSP Group</v>
      </c>
      <c r="R1257" s="78" t="str">
        <f>_xlfn.XLOOKUP(tblMovimientos[[#This Row],[Cuenta Bancaria]],Cuentas!$C:$C,Cuentas!$B:$B,"",0,-1)&amp;""</f>
        <v>Trust</v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SSP Capital</v>
      </c>
      <c r="D1258" s="41" t="s">
        <v>104</v>
      </c>
      <c r="E1258" s="68" t="str">
        <f>_xlfn.XLOOKUP(tblMovimientos[[#This Row],[Cuenta Bancaria]],Listas!$B:$B,Listas!$C:$C,"")</f>
        <v xml:space="preserve">Amerant Bank </v>
      </c>
      <c r="F1258" s="41" t="s">
        <v>9</v>
      </c>
      <c r="G1258" s="41" t="s">
        <v>75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Interno</v>
      </c>
      <c r="J1258" s="43">
        <v>300000</v>
      </c>
      <c r="K1258" s="5">
        <f t="shared" si="19"/>
        <v>300000</v>
      </c>
      <c r="L1258" s="15" t="s">
        <v>134</v>
      </c>
      <c r="M1258" s="44">
        <f>SUMIFS('Saldos Iniciales'!$D:$D,'Saldos Iniciales'!$A:$A,C1258,'Saldos Iniciales'!$B:$B,D1258)+SUMIFS($K$1:$K$1324,$C$1:$C$1324,C1258,$D$1:$D$1324,D1258,$B$1:$B$1324,"&lt;="&amp;B1258)</f>
        <v>723279.55999999924</v>
      </c>
      <c r="N1258" s="61">
        <f>IF(tblMovimientos[[#This Row],[Tipo de Movimiento]]="Ingreso",tblMovimientos[[#This Row],[Monto (S/)]],"0")</f>
        <v>300000</v>
      </c>
      <c r="O1258" s="61" t="str">
        <f>IF(tblMovimientos[[#This Row],[Tipo de Movimiento]]="Egreso",tblMovimientos[[#This Row],[Monto (S/)]],"0")</f>
        <v>0</v>
      </c>
      <c r="P1258" s="28">
        <f>IF(tblMovimientos[[#This Row],[Tipo de Movimiento]]="Ingreso",tblMovimientos[[#This Row],[Ingreso]],-tblMovimientos[[#This Row],[Egreso]])</f>
        <v>300000</v>
      </c>
      <c r="Q1258" s="78" t="str">
        <f>_xlfn.XLOOKUP(tblMovimientos[[#This Row],[Cuenta Bancaria]],Cuentas!$C:$C,Cuentas!$A:$A,"")&amp;""</f>
        <v>SSP Group</v>
      </c>
      <c r="R1258" s="78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SSP Capital</v>
      </c>
      <c r="D1259" s="41" t="s">
        <v>104</v>
      </c>
      <c r="E1259" s="68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40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427.02</v>
      </c>
      <c r="K1259" s="5">
        <f t="shared" si="19"/>
        <v>-427.02</v>
      </c>
      <c r="L1259" s="15" t="s">
        <v>134</v>
      </c>
      <c r="M1259" s="44">
        <f>SUMIFS('Saldos Iniciales'!$D:$D,'Saldos Iniciales'!$A:$A,C1259,'Saldos Iniciales'!$B:$B,D1259)+SUMIFS($K$1:$K$1324,$C$1:$C$1324,C1259,$D$1:$D$1324,D1259,$B$1:$B$1324,"&lt;="&amp;B1259)</f>
        <v>723279.55999999924</v>
      </c>
      <c r="N1259" s="61" t="str">
        <f>IF(tblMovimientos[[#This Row],[Tipo de Movimiento]]="Ingreso",tblMovimientos[[#This Row],[Monto (S/)]],"0")</f>
        <v>0</v>
      </c>
      <c r="O1259" s="61">
        <f>IF(tblMovimientos[[#This Row],[Tipo de Movimiento]]="Egreso",tblMovimientos[[#This Row],[Monto (S/)]],"0")</f>
        <v>427.02</v>
      </c>
      <c r="P1259" s="28">
        <f>IF(tblMovimientos[[#This Row],[Tipo de Movimiento]]="Ingreso",tblMovimientos[[#This Row],[Ingreso]],-tblMovimientos[[#This Row],[Egreso]])</f>
        <v>-427.02</v>
      </c>
      <c r="Q1259" s="78" t="str">
        <f>_xlfn.XLOOKUP(tblMovimientos[[#This Row],[Cuenta Bancaria]],Cuentas!$C:$C,Cuentas!$A:$A,"")&amp;""</f>
        <v>SSP Group</v>
      </c>
      <c r="R1259" s="78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SSP Capital</v>
      </c>
      <c r="D1260" s="41" t="s">
        <v>104</v>
      </c>
      <c r="E1260" s="68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46</v>
      </c>
      <c r="H1260" s="4" t="str">
        <f>IFERROR(_xlfn.XLOOKUP(G1260,Listas!E:E,Listas!F:F,""),"")</f>
        <v>Financiamiento</v>
      </c>
      <c r="I1260" s="4" t="str">
        <f>IFERROR(_xlfn.XLOOKUP(G1260,Listas!E:E,Listas!G:G,""),"")</f>
        <v>Externo</v>
      </c>
      <c r="J1260" s="43">
        <v>5416.67</v>
      </c>
      <c r="K1260" s="5">
        <f t="shared" si="19"/>
        <v>-5416.67</v>
      </c>
      <c r="L1260" s="15" t="s">
        <v>134</v>
      </c>
      <c r="M1260" s="44">
        <f>SUMIFS('Saldos Iniciales'!$D:$D,'Saldos Iniciales'!$A:$A,C1260,'Saldos Iniciales'!$B:$B,D1260)+SUMIFS($K$1:$K$1324,$C$1:$C$1324,C1260,$D$1:$D$1324,D1260,$B$1:$B$1324,"&lt;="&amp;B1260)</f>
        <v>723279.55999999924</v>
      </c>
      <c r="N1260" s="61" t="str">
        <f>IF(tblMovimientos[[#This Row],[Tipo de Movimiento]]="Ingreso",tblMovimientos[[#This Row],[Monto (S/)]],"0")</f>
        <v>0</v>
      </c>
      <c r="O1260" s="61">
        <f>IF(tblMovimientos[[#This Row],[Tipo de Movimiento]]="Egreso",tblMovimientos[[#This Row],[Monto (S/)]],"0")</f>
        <v>5416.67</v>
      </c>
      <c r="P1260" s="28">
        <f>IF(tblMovimientos[[#This Row],[Tipo de Movimiento]]="Ingreso",tblMovimientos[[#This Row],[Ingreso]],-tblMovimientos[[#This Row],[Egreso]])</f>
        <v>-5416.67</v>
      </c>
      <c r="Q1260" s="78" t="str">
        <f>_xlfn.XLOOKUP(tblMovimientos[[#This Row],[Cuenta Bancaria]],Cuentas!$C:$C,Cuentas!$A:$A,"")&amp;""</f>
        <v>SSP Group</v>
      </c>
      <c r="R1260" s="78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SSP Capital</v>
      </c>
      <c r="D1261" s="41" t="s">
        <v>104</v>
      </c>
      <c r="E1261" s="68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60</v>
      </c>
      <c r="H1261" s="4" t="str">
        <f>IFERROR(_xlfn.XLOOKUP(G1261,Listas!E:E,Listas!F:F,""),"")</f>
        <v>Inversion</v>
      </c>
      <c r="I1261" s="4" t="str">
        <f>IFERROR(_xlfn.XLOOKUP(G1261,Listas!E:E,Listas!G:G,""),"")</f>
        <v>Interno</v>
      </c>
      <c r="J1261" s="43">
        <v>60000</v>
      </c>
      <c r="K1261" s="5">
        <f t="shared" si="19"/>
        <v>-60000</v>
      </c>
      <c r="L1261" s="15" t="s">
        <v>134</v>
      </c>
      <c r="M1261" s="44">
        <f>SUMIFS('Saldos Iniciales'!$D:$D,'Saldos Iniciales'!$A:$A,C1261,'Saldos Iniciales'!$B:$B,D1261)+SUMIFS($K$1:$K$1324,$C$1:$C$1324,C1261,$D$1:$D$1324,D1261,$B$1:$B$1324,"&lt;="&amp;B1261)</f>
        <v>723279.55999999924</v>
      </c>
      <c r="N1261" s="61" t="str">
        <f>IF(tblMovimientos[[#This Row],[Tipo de Movimiento]]="Ingreso",tblMovimientos[[#This Row],[Monto (S/)]],"0")</f>
        <v>0</v>
      </c>
      <c r="O1261" s="61">
        <f>IF(tblMovimientos[[#This Row],[Tipo de Movimiento]]="Egreso",tblMovimientos[[#This Row],[Monto (S/)]],"0")</f>
        <v>60000</v>
      </c>
      <c r="P1261" s="28">
        <f>IF(tblMovimientos[[#This Row],[Tipo de Movimiento]]="Ingreso",tblMovimientos[[#This Row],[Ingreso]],-tblMovimientos[[#This Row],[Egreso]])</f>
        <v>-60000</v>
      </c>
      <c r="Q1261" s="78" t="str">
        <f>_xlfn.XLOOKUP(tblMovimientos[[#This Row],[Cuenta Bancaria]],Cuentas!$C:$C,Cuentas!$A:$A,"")&amp;""</f>
        <v>SSP Group</v>
      </c>
      <c r="R1261" s="78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CFT1 Residence</v>
      </c>
      <c r="D1262" s="41" t="s">
        <v>184</v>
      </c>
      <c r="E1262" s="68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77</v>
      </c>
      <c r="H1262" s="4" t="str">
        <f>IFERROR(_xlfn.XLOOKUP(G1262,Listas!E:E,Listas!F:F,""),"")</f>
        <v>Inversion</v>
      </c>
      <c r="I1262" s="4" t="str">
        <f>IFERROR(_xlfn.XLOOKUP(G1262,Listas!E:E,Listas!G:G,""),"")</f>
        <v>Interno</v>
      </c>
      <c r="J1262" s="43">
        <v>50000</v>
      </c>
      <c r="K1262" s="5">
        <f t="shared" si="19"/>
        <v>50000</v>
      </c>
      <c r="L1262" s="15" t="s">
        <v>134</v>
      </c>
      <c r="M1262" s="44">
        <f>SUMIFS('Saldos Iniciales'!$D:$D,'Saldos Iniciales'!$A:$A,C1262,'Saldos Iniciales'!$B:$B,D1262)+SUMIFS($K$1:$K$1324,$C$1:$C$1324,C1262,$D$1:$D$1324,D1262,$B$1:$B$1324,"&lt;="&amp;B1262)</f>
        <v>148868</v>
      </c>
      <c r="N1262" s="61">
        <f>IF(tblMovimientos[[#This Row],[Tipo de Movimiento]]="Ingreso",tblMovimientos[[#This Row],[Monto (S/)]],"0")</f>
        <v>50000</v>
      </c>
      <c r="O1262" s="61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50000</v>
      </c>
      <c r="Q1262" s="78" t="str">
        <f>_xlfn.XLOOKUP(tblMovimientos[[#This Row],[Cuenta Bancaria]],Cuentas!$C:$C,Cuentas!$A:$A,"")&amp;""</f>
        <v>Carmen Cross Irrevocable Trust</v>
      </c>
      <c r="R1262" s="78" t="str">
        <f>_xlfn.XLOOKUP(tblMovimientos[[#This Row],[Cuenta Bancaria]],Cuentas!$C:$C,Cuentas!$B:$B,"",0,-1)&amp;""</f>
        <v/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CFT1 Residence</v>
      </c>
      <c r="D1263" s="41" t="s">
        <v>184</v>
      </c>
      <c r="E1263" s="68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38</v>
      </c>
      <c r="H1263" s="4" t="str">
        <f>IFERROR(_xlfn.XLOOKUP(G1263,Listas!E:E,Listas!F:F,""),"")</f>
        <v>Operativo</v>
      </c>
      <c r="I1263" s="4" t="str">
        <f>IFERROR(_xlfn.XLOOKUP(G1263,Listas!E:E,Listas!G:G,""),"")</f>
        <v>Externo</v>
      </c>
      <c r="J1263" s="43">
        <v>401.29</v>
      </c>
      <c r="K1263" s="5">
        <f t="shared" si="19"/>
        <v>-401.29</v>
      </c>
      <c r="L1263" s="15" t="s">
        <v>134</v>
      </c>
      <c r="M1263" s="44">
        <f>SUMIFS('Saldos Iniciales'!$D:$D,'Saldos Iniciales'!$A:$A,C1263,'Saldos Iniciales'!$B:$B,D1263)+SUMIFS($K$1:$K$1324,$C$1:$C$1324,C1263,$D$1:$D$1324,D1263,$B$1:$B$1324,"&lt;="&amp;B1263)</f>
        <v>148868</v>
      </c>
      <c r="N1263" s="61" t="str">
        <f>IF(tblMovimientos[[#This Row],[Tipo de Movimiento]]="Ingreso",tblMovimientos[[#This Row],[Monto (S/)]],"0")</f>
        <v>0</v>
      </c>
      <c r="O1263" s="61">
        <f>IF(tblMovimientos[[#This Row],[Tipo de Movimiento]]="Egreso",tblMovimientos[[#This Row],[Monto (S/)]],"0")</f>
        <v>401.29</v>
      </c>
      <c r="P1263" s="28">
        <f>IF(tblMovimientos[[#This Row],[Tipo de Movimiento]]="Ingreso",tblMovimientos[[#This Row],[Ingreso]],-tblMovimientos[[#This Row],[Egreso]])</f>
        <v>-401.29</v>
      </c>
      <c r="Q1263" s="78" t="str">
        <f>_xlfn.XLOOKUP(tblMovimientos[[#This Row],[Cuenta Bancaria]],Cuentas!$C:$C,Cuentas!$A:$A,"")&amp;""</f>
        <v>Carmen Cross Irrevocable Trust</v>
      </c>
      <c r="R1263" s="78" t="str">
        <f>_xlfn.XLOOKUP(tblMovimientos[[#This Row],[Cuenta Bancaria]],Cuentas!$C:$C,Cuentas!$B:$B,"",0,-1)&amp;""</f>
        <v/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SIYP LLC</v>
      </c>
      <c r="D1264" s="41" t="s">
        <v>185</v>
      </c>
      <c r="E1264" s="68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46</v>
      </c>
      <c r="H1264" s="4" t="str">
        <f>IFERROR(_xlfn.XLOOKUP(G1264,Listas!E:E,Listas!F:F,""),"")</f>
        <v>Financiamiento</v>
      </c>
      <c r="I1264" s="4" t="str">
        <f>IFERROR(_xlfn.XLOOKUP(G1264,Listas!E:E,Listas!G:G,""),"")</f>
        <v>Externo</v>
      </c>
      <c r="J1264" s="43">
        <v>1698.63</v>
      </c>
      <c r="K1264" s="5">
        <f t="shared" si="19"/>
        <v>-1698.63</v>
      </c>
      <c r="L1264" s="15" t="s">
        <v>134</v>
      </c>
      <c r="M1264" s="44">
        <f>SUMIFS('Saldos Iniciales'!$D:$D,'Saldos Iniciales'!$A:$A,C1264,'Saldos Iniciales'!$B:$B,D1264)+SUMIFS($K$1:$K$1324,$C$1:$C$1324,C1264,$D$1:$D$1324,D1264,$B$1:$B$1324,"&lt;="&amp;B1264)</f>
        <v>3904.04</v>
      </c>
      <c r="N1264" s="61" t="str">
        <f>IF(tblMovimientos[[#This Row],[Tipo de Movimiento]]="Ingreso",tblMovimientos[[#This Row],[Monto (S/)]],"0")</f>
        <v>0</v>
      </c>
      <c r="O1264" s="61">
        <f>IF(tblMovimientos[[#This Row],[Tipo de Movimiento]]="Egreso",tblMovimientos[[#This Row],[Monto (S/)]],"0")</f>
        <v>1698.63</v>
      </c>
      <c r="P1264" s="28">
        <f>IF(tblMovimientos[[#This Row],[Tipo de Movimiento]]="Ingreso",tblMovimientos[[#This Row],[Ingreso]],-tblMovimientos[[#This Row],[Egreso]])</f>
        <v>-1698.63</v>
      </c>
      <c r="Q1264" s="78" t="str">
        <f>_xlfn.XLOOKUP(tblMovimientos[[#This Row],[Cuenta Bancaria]],Cuentas!$C:$C,Cuentas!$A:$A,"")&amp;""</f>
        <v>Michael Cross</v>
      </c>
      <c r="R1264" s="78" t="str">
        <f>_xlfn.XLOOKUP(tblMovimientos[[#This Row],[Cuenta Bancaria]],Cuentas!$C:$C,Cuentas!$B:$B,"",0,-1)&amp;""</f>
        <v/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Go Blue</v>
      </c>
      <c r="D1265" s="41" t="s">
        <v>126</v>
      </c>
      <c r="E1265" s="68" t="str">
        <f>_xlfn.XLOOKUP(tblMovimientos[[#This Row],[Cuenta Bancaria]],Listas!$B:$B,Listas!$C:$C,"")</f>
        <v xml:space="preserve">Amerant Bank </v>
      </c>
      <c r="F1265" s="41" t="s">
        <v>10</v>
      </c>
      <c r="G1265" s="41" t="s">
        <v>38</v>
      </c>
      <c r="H1265" s="4" t="str">
        <f>IFERROR(_xlfn.XLOOKUP(G1265,Listas!E:E,Listas!F:F,""),"")</f>
        <v>Operativo</v>
      </c>
      <c r="I1265" s="4" t="str">
        <f>IFERROR(_xlfn.XLOOKUP(G1265,Listas!E:E,Listas!G:G,""),"")</f>
        <v>Externo</v>
      </c>
      <c r="J1265" s="43">
        <v>3125</v>
      </c>
      <c r="K1265" s="5">
        <f t="shared" si="19"/>
        <v>-3125</v>
      </c>
      <c r="L1265" s="15" t="s">
        <v>134</v>
      </c>
      <c r="M1265" s="44">
        <f>SUMIFS('Saldos Iniciales'!$D:$D,'Saldos Iniciales'!$A:$A,C1265,'Saldos Iniciales'!$B:$B,D1265)+SUMIFS($K$1:$K$1324,$C$1:$C$1324,C1265,$D$1:$D$1324,D1265,$B$1:$B$1324,"&lt;="&amp;B1265)</f>
        <v>5557.2699999999986</v>
      </c>
      <c r="N1265" s="61" t="str">
        <f>IF(tblMovimientos[[#This Row],[Tipo de Movimiento]]="Ingreso",tblMovimientos[[#This Row],[Monto (S/)]],"0")</f>
        <v>0</v>
      </c>
      <c r="O1265" s="61">
        <f>IF(tblMovimientos[[#This Row],[Tipo de Movimiento]]="Egreso",tblMovimientos[[#This Row],[Monto (S/)]],"0")</f>
        <v>3125</v>
      </c>
      <c r="P1265" s="28">
        <f>IF(tblMovimientos[[#This Row],[Tipo de Movimiento]]="Ingreso",tblMovimientos[[#This Row],[Ingreso]],-tblMovimientos[[#This Row],[Egreso]])</f>
        <v>-3125</v>
      </c>
      <c r="Q1265" s="78" t="str">
        <f>_xlfn.XLOOKUP(tblMovimientos[[#This Row],[Cuenta Bancaria]],Cuentas!$C:$C,Cuentas!$A:$A,"")&amp;""</f>
        <v>SSP Group</v>
      </c>
      <c r="R1265" s="78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Go Blue</v>
      </c>
      <c r="D1266" s="41" t="s">
        <v>126</v>
      </c>
      <c r="E1266" s="68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44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15</v>
      </c>
      <c r="K1266" s="5">
        <f t="shared" si="19"/>
        <v>-15</v>
      </c>
      <c r="L1266" s="15" t="s">
        <v>134</v>
      </c>
      <c r="M1266" s="44">
        <f>SUMIFS('Saldos Iniciales'!$D:$D,'Saldos Iniciales'!$A:$A,C1266,'Saldos Iniciales'!$B:$B,D1266)+SUMIFS($K$1:$K$1324,$C$1:$C$1324,C1266,$D$1:$D$1324,D1266,$B$1:$B$1324,"&lt;="&amp;B1266)</f>
        <v>5557.2699999999986</v>
      </c>
      <c r="N1266" s="61" t="str">
        <f>IF(tblMovimientos[[#This Row],[Tipo de Movimiento]]="Ingreso",tblMovimientos[[#This Row],[Monto (S/)]],"0")</f>
        <v>0</v>
      </c>
      <c r="O1266" s="61">
        <f>IF(tblMovimientos[[#This Row],[Tipo de Movimiento]]="Egreso",tblMovimientos[[#This Row],[Monto (S/)]],"0")</f>
        <v>15</v>
      </c>
      <c r="P1266" s="28">
        <f>IF(tblMovimientos[[#This Row],[Tipo de Movimiento]]="Ingreso",tblMovimientos[[#This Row],[Ingreso]],-tblMovimientos[[#This Row],[Egreso]])</f>
        <v>-15</v>
      </c>
      <c r="Q1266" s="78" t="str">
        <f>_xlfn.XLOOKUP(tblMovimientos[[#This Row],[Cuenta Bancaria]],Cuentas!$C:$C,Cuentas!$A:$A,"")&amp;""</f>
        <v>SSP Group</v>
      </c>
      <c r="R1266" s="78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Go Blue</v>
      </c>
      <c r="D1267" s="41" t="s">
        <v>126</v>
      </c>
      <c r="E1267" s="68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38</v>
      </c>
      <c r="H1267" s="4" t="str">
        <f>IFERROR(_xlfn.XLOOKUP(G1267,Listas!E:E,Listas!F:F,""),"")</f>
        <v>Operativo</v>
      </c>
      <c r="I1267" s="4" t="str">
        <f>IFERROR(_xlfn.XLOOKUP(G1267,Listas!E:E,Listas!G:G,""),"")</f>
        <v>Externo</v>
      </c>
      <c r="J1267" s="43">
        <v>13506.08</v>
      </c>
      <c r="K1267" s="5">
        <f t="shared" si="19"/>
        <v>-13506.08</v>
      </c>
      <c r="L1267" s="15" t="s">
        <v>134</v>
      </c>
      <c r="M1267" s="44">
        <f>SUMIFS('Saldos Iniciales'!$D:$D,'Saldos Iniciales'!$A:$A,C1267,'Saldos Iniciales'!$B:$B,D1267)+SUMIFS($K$1:$K$1324,$C$1:$C$1324,C1267,$D$1:$D$1324,D1267,$B$1:$B$1324,"&lt;="&amp;B1267)</f>
        <v>5557.2699999999986</v>
      </c>
      <c r="N1267" s="61" t="str">
        <f>IF(tblMovimientos[[#This Row],[Tipo de Movimiento]]="Ingreso",tblMovimientos[[#This Row],[Monto (S/)]],"0")</f>
        <v>0</v>
      </c>
      <c r="O1267" s="61">
        <f>IF(tblMovimientos[[#This Row],[Tipo de Movimiento]]="Egreso",tblMovimientos[[#This Row],[Monto (S/)]],"0")</f>
        <v>13506.08</v>
      </c>
      <c r="P1267" s="28">
        <f>IF(tblMovimientos[[#This Row],[Tipo de Movimiento]]="Ingreso",tblMovimientos[[#This Row],[Ingreso]],-tblMovimientos[[#This Row],[Egreso]])</f>
        <v>-13506.08</v>
      </c>
      <c r="Q1267" s="78" t="str">
        <f>_xlfn.XLOOKUP(tblMovimientos[[#This Row],[Cuenta Bancaria]],Cuentas!$C:$C,Cuentas!$A:$A,"")&amp;""</f>
        <v>SSP Group</v>
      </c>
      <c r="R1267" s="78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Go Blue</v>
      </c>
      <c r="D1268" s="41" t="s">
        <v>126</v>
      </c>
      <c r="E1268" s="68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44</v>
      </c>
      <c r="H1268" s="4" t="str">
        <f>IFERROR(_xlfn.XLOOKUP(G1268,Listas!E:E,Listas!F:F,""),"")</f>
        <v>Operativo</v>
      </c>
      <c r="I1268" s="4" t="str">
        <f>IFERROR(_xlfn.XLOOKUP(G1268,Listas!E:E,Listas!G:G,""),"")</f>
        <v>Externo</v>
      </c>
      <c r="J1268" s="43">
        <v>15</v>
      </c>
      <c r="K1268" s="5">
        <f t="shared" si="19"/>
        <v>-15</v>
      </c>
      <c r="L1268" s="15" t="s">
        <v>134</v>
      </c>
      <c r="M1268" s="44">
        <f>SUMIFS('Saldos Iniciales'!$D:$D,'Saldos Iniciales'!$A:$A,C1268,'Saldos Iniciales'!$B:$B,D1268)+SUMIFS($K$1:$K$1324,$C$1:$C$1324,C1268,$D$1:$D$1324,D1268,$B$1:$B$1324,"&lt;="&amp;B1268)</f>
        <v>5557.2699999999986</v>
      </c>
      <c r="N1268" s="61" t="str">
        <f>IF(tblMovimientos[[#This Row],[Tipo de Movimiento]]="Ingreso",tblMovimientos[[#This Row],[Monto (S/)]],"0")</f>
        <v>0</v>
      </c>
      <c r="O1268" s="61">
        <f>IF(tblMovimientos[[#This Row],[Tipo de Movimiento]]="Egreso",tblMovimientos[[#This Row],[Monto (S/)]],"0")</f>
        <v>15</v>
      </c>
      <c r="P1268" s="28">
        <f>IF(tblMovimientos[[#This Row],[Tipo de Movimiento]]="Ingreso",tblMovimientos[[#This Row],[Ingreso]],-tblMovimientos[[#This Row],[Egreso]])</f>
        <v>-15</v>
      </c>
      <c r="Q1268" s="78" t="str">
        <f>_xlfn.XLOOKUP(tblMovimientos[[#This Row],[Cuenta Bancaria]],Cuentas!$C:$C,Cuentas!$A:$A,"")&amp;""</f>
        <v>SSP Group</v>
      </c>
      <c r="R1268" s="78" t="str">
        <f>_xlfn.XLOOKUP(tblMovimientos[[#This Row],[Cuenta Bancaria]],Cuentas!$C:$C,Cuentas!$B:$B,"",0,-1)&amp;""</f>
        <v/>
      </c>
    </row>
    <row r="1269" spans="2:18" x14ac:dyDescent="0.3">
      <c r="E1269" s="68"/>
      <c r="I1269" s="68"/>
      <c r="Q1269" s="78" t="str">
        <f>_xlfn.XLOOKUP(tblMovimientos[[#This Row],[Cuenta Bancaria]],Cuentas!$C:$C,Cuentas!$A:$A,"")&amp;""</f>
        <v/>
      </c>
      <c r="R1269" s="78" t="str">
        <f>_xlfn.XLOOKUP(tblMovimientos[[#This Row],[Cuenta Bancaria]],Cuentas!$C:$C,Cuentas!$B:$B,"",0,-1)&amp;""</f>
        <v/>
      </c>
    </row>
    <row r="1270" spans="2:18" x14ac:dyDescent="0.3">
      <c r="E1270" s="68"/>
      <c r="I1270" s="68"/>
      <c r="Q1270" s="78" t="str">
        <f>_xlfn.XLOOKUP(tblMovimientos[[#This Row],[Cuenta Bancaria]],Cuentas!$C:$C,Cuentas!$A:$A,"")&amp;""</f>
        <v/>
      </c>
      <c r="R1270" s="78" t="str">
        <f>_xlfn.XLOOKUP(tblMovimientos[[#This Row],[Cuenta Bancaria]],Cuentas!$C:$C,Cuentas!$B:$B,"",0,-1)&amp;""</f>
        <v/>
      </c>
    </row>
    <row r="1271" spans="2:18" x14ac:dyDescent="0.3">
      <c r="E1271" s="68"/>
      <c r="I1271" s="68"/>
      <c r="Q1271" s="78" t="str">
        <f>_xlfn.XLOOKUP(tblMovimientos[[#This Row],[Cuenta Bancaria]],Cuentas!$C:$C,Cuentas!$A:$A,"")&amp;""</f>
        <v/>
      </c>
      <c r="R1271" s="78" t="str">
        <f>_xlfn.XLOOKUP(tblMovimientos[[#This Row],[Cuenta Bancaria]],Cuentas!$C:$C,Cuentas!$B:$B,"",0,-1)&amp;""</f>
        <v/>
      </c>
    </row>
    <row r="1272" spans="2:18" x14ac:dyDescent="0.3">
      <c r="E1272" s="68"/>
      <c r="I1272" s="68"/>
      <c r="Q1272" s="78" t="str">
        <f>_xlfn.XLOOKUP(tblMovimientos[[#This Row],[Cuenta Bancaria]],Cuentas!$C:$C,Cuentas!$A:$A,"")&amp;""</f>
        <v/>
      </c>
      <c r="R1272" s="78" t="str">
        <f>_xlfn.XLOOKUP(tblMovimientos[[#This Row],[Cuenta Bancaria]],Cuentas!$C:$C,Cuentas!$B:$B,"",0,-1)&amp;""</f>
        <v/>
      </c>
    </row>
    <row r="1273" spans="2:18" x14ac:dyDescent="0.3">
      <c r="E1273" s="68"/>
      <c r="I1273" s="68"/>
      <c r="Q1273" s="78" t="str">
        <f>_xlfn.XLOOKUP(tblMovimientos[[#This Row],[Cuenta Bancaria]],Cuentas!$C:$C,Cuentas!$A:$A,"")&amp;""</f>
        <v/>
      </c>
      <c r="R1273" s="78" t="str">
        <f>_xlfn.XLOOKUP(tblMovimientos[[#This Row],[Cuenta Bancaria]],Cuentas!$C:$C,Cuentas!$B:$B,"",0,-1)&amp;""</f>
        <v/>
      </c>
    </row>
    <row r="1274" spans="2:18" x14ac:dyDescent="0.3">
      <c r="E1274" s="68"/>
      <c r="I1274" s="68"/>
      <c r="Q1274" s="78" t="str">
        <f>_xlfn.XLOOKUP(tblMovimientos[[#This Row],[Cuenta Bancaria]],Cuentas!$C:$C,Cuentas!$A:$A,"")&amp;""</f>
        <v/>
      </c>
      <c r="R1274" s="78" t="str">
        <f>_xlfn.XLOOKUP(tblMovimientos[[#This Row],[Cuenta Bancaria]],Cuentas!$C:$C,Cuentas!$B:$B,"",0,-1)&amp;""</f>
        <v/>
      </c>
    </row>
    <row r="1275" spans="2:18" x14ac:dyDescent="0.3">
      <c r="E1275" s="68"/>
      <c r="I1275" s="68"/>
      <c r="Q1275" s="78" t="str">
        <f>_xlfn.XLOOKUP(tblMovimientos[[#This Row],[Cuenta Bancaria]],Cuentas!$C:$C,Cuentas!$A:$A,"")&amp;""</f>
        <v/>
      </c>
      <c r="R1275" s="78" t="str">
        <f>_xlfn.XLOOKUP(tblMovimientos[[#This Row],[Cuenta Bancaria]],Cuentas!$C:$C,Cuentas!$B:$B,"",0,-1)&amp;""</f>
        <v/>
      </c>
    </row>
    <row r="1276" spans="2:18" x14ac:dyDescent="0.3">
      <c r="E1276" s="68"/>
      <c r="I1276" s="68"/>
      <c r="Q1276" s="78" t="str">
        <f>_xlfn.XLOOKUP(tblMovimientos[[#This Row],[Cuenta Bancaria]],Cuentas!$C:$C,Cuentas!$A:$A,"")&amp;""</f>
        <v/>
      </c>
      <c r="R1276" s="78" t="str">
        <f>_xlfn.XLOOKUP(tblMovimientos[[#This Row],[Cuenta Bancaria]],Cuentas!$C:$C,Cuentas!$B:$B,"",0,-1)&amp;""</f>
        <v/>
      </c>
    </row>
    <row r="1277" spans="2:18" x14ac:dyDescent="0.3">
      <c r="E1277" s="68"/>
      <c r="I1277" s="68"/>
      <c r="Q1277" s="78" t="str">
        <f>_xlfn.XLOOKUP(tblMovimientos[[#This Row],[Cuenta Bancaria]],Cuentas!$C:$C,Cuentas!$A:$A,"")&amp;""</f>
        <v/>
      </c>
      <c r="R1277" s="78" t="str">
        <f>_xlfn.XLOOKUP(tblMovimientos[[#This Row],[Cuenta Bancaria]],Cuentas!$C:$C,Cuentas!$B:$B,"",0,-1)&amp;""</f>
        <v/>
      </c>
    </row>
    <row r="1278" spans="2:18" x14ac:dyDescent="0.3">
      <c r="E1278" s="68"/>
      <c r="I1278" s="68"/>
      <c r="Q1278" s="78" t="str">
        <f>_xlfn.XLOOKUP(tblMovimientos[[#This Row],[Cuenta Bancaria]],Cuentas!$C:$C,Cuentas!$A:$A,"")&amp;""</f>
        <v/>
      </c>
      <c r="R1278" s="78" t="str">
        <f>_xlfn.XLOOKUP(tblMovimientos[[#This Row],[Cuenta Bancaria]],Cuentas!$C:$C,Cuentas!$B:$B,"",0,-1)&amp;""</f>
        <v/>
      </c>
    </row>
    <row r="1279" spans="2:18" x14ac:dyDescent="0.3">
      <c r="E1279" s="68"/>
      <c r="I1279" s="68"/>
      <c r="Q1279" s="78" t="str">
        <f>_xlfn.XLOOKUP(tblMovimientos[[#This Row],[Cuenta Bancaria]],Cuentas!$C:$C,Cuentas!$A:$A,"")&amp;""</f>
        <v/>
      </c>
      <c r="R1279" s="78" t="str">
        <f>_xlfn.XLOOKUP(tblMovimientos[[#This Row],[Cuenta Bancaria]],Cuentas!$C:$C,Cuentas!$B:$B,"",0,-1)&amp;""</f>
        <v/>
      </c>
    </row>
    <row r="1280" spans="2:18" x14ac:dyDescent="0.3">
      <c r="E1280" s="68"/>
      <c r="I1280" s="68"/>
      <c r="Q1280" s="78" t="str">
        <f>_xlfn.XLOOKUP(tblMovimientos[[#This Row],[Cuenta Bancaria]],Cuentas!$C:$C,Cuentas!$A:$A,"")&amp;""</f>
        <v/>
      </c>
      <c r="R1280" s="78" t="str">
        <f>_xlfn.XLOOKUP(tblMovimientos[[#This Row],[Cuenta Bancaria]],Cuentas!$C:$C,Cuentas!$B:$B,"",0,-1)&amp;""</f>
        <v/>
      </c>
    </row>
    <row r="1281" spans="5:18" x14ac:dyDescent="0.3">
      <c r="E1281" s="68"/>
      <c r="I1281" s="68"/>
      <c r="Q1281" s="78" t="str">
        <f>_xlfn.XLOOKUP(tblMovimientos[[#This Row],[Cuenta Bancaria]],Cuentas!$C:$C,Cuentas!$A:$A,"")&amp;""</f>
        <v/>
      </c>
      <c r="R1281" s="78" t="str">
        <f>_xlfn.XLOOKUP(tblMovimientos[[#This Row],[Cuenta Bancaria]],Cuentas!$C:$C,Cuentas!$B:$B,"",0,-1)&amp;""</f>
        <v/>
      </c>
    </row>
    <row r="1282" spans="5:18" x14ac:dyDescent="0.3">
      <c r="E1282" s="68"/>
      <c r="I1282" s="68"/>
      <c r="Q1282" s="78" t="str">
        <f>_xlfn.XLOOKUP(tblMovimientos[[#This Row],[Cuenta Bancaria]],Cuentas!$C:$C,Cuentas!$A:$A,"")&amp;""</f>
        <v/>
      </c>
      <c r="R1282" s="78" t="str">
        <f>_xlfn.XLOOKUP(tblMovimientos[[#This Row],[Cuenta Bancaria]],Cuentas!$C:$C,Cuentas!$B:$B,"",0,-1)&amp;""</f>
        <v/>
      </c>
    </row>
    <row r="1283" spans="5:18" x14ac:dyDescent="0.3">
      <c r="E1283" s="68"/>
      <c r="I1283" s="68"/>
      <c r="Q1283" s="78" t="str">
        <f>_xlfn.XLOOKUP(tblMovimientos[[#This Row],[Cuenta Bancaria]],Cuentas!$C:$C,Cuentas!$A:$A,"")&amp;""</f>
        <v/>
      </c>
      <c r="R1283" s="78" t="str">
        <f>_xlfn.XLOOKUP(tblMovimientos[[#This Row],[Cuenta Bancaria]],Cuentas!$C:$C,Cuentas!$B:$B,"",0,-1)&amp;""</f>
        <v/>
      </c>
    </row>
    <row r="1284" spans="5:18" x14ac:dyDescent="0.3">
      <c r="E1284" s="68"/>
      <c r="I1284" s="68"/>
      <c r="Q1284" s="78" t="str">
        <f>_xlfn.XLOOKUP(tblMovimientos[[#This Row],[Cuenta Bancaria]],Cuentas!$C:$C,Cuentas!$A:$A,"")&amp;""</f>
        <v/>
      </c>
      <c r="R1284" s="78" t="str">
        <f>_xlfn.XLOOKUP(tblMovimientos[[#This Row],[Cuenta Bancaria]],Cuentas!$C:$C,Cuentas!$B:$B,"",0,-1)&amp;""</f>
        <v/>
      </c>
    </row>
    <row r="1285" spans="5:18" x14ac:dyDescent="0.3">
      <c r="E1285" s="68"/>
      <c r="I1285" s="68"/>
      <c r="Q1285" s="78" t="str">
        <f>_xlfn.XLOOKUP(tblMovimientos[[#This Row],[Cuenta Bancaria]],Cuentas!$C:$C,Cuentas!$A:$A,"")&amp;""</f>
        <v/>
      </c>
      <c r="R1285" s="78" t="str">
        <f>_xlfn.XLOOKUP(tblMovimientos[[#This Row],[Cuenta Bancaria]],Cuentas!$C:$C,Cuentas!$B:$B,"",0,-1)&amp;""</f>
        <v/>
      </c>
    </row>
    <row r="1286" spans="5:18" x14ac:dyDescent="0.3">
      <c r="E1286" s="68"/>
      <c r="I1286" s="68"/>
      <c r="Q1286" s="78" t="str">
        <f>_xlfn.XLOOKUP(tblMovimientos[[#This Row],[Cuenta Bancaria]],Cuentas!$C:$C,Cuentas!$A:$A,"")&amp;""</f>
        <v/>
      </c>
      <c r="R1286" s="78" t="str">
        <f>_xlfn.XLOOKUP(tblMovimientos[[#This Row],[Cuenta Bancaria]],Cuentas!$C:$C,Cuentas!$B:$B,"",0,-1)&amp;""</f>
        <v/>
      </c>
    </row>
    <row r="1287" spans="5:18" x14ac:dyDescent="0.3">
      <c r="E1287" s="68"/>
      <c r="I1287" s="68"/>
      <c r="Q1287" s="78" t="str">
        <f>_xlfn.XLOOKUP(tblMovimientos[[#This Row],[Cuenta Bancaria]],Cuentas!$C:$C,Cuentas!$A:$A,"")&amp;""</f>
        <v/>
      </c>
      <c r="R1287" s="78" t="str">
        <f>_xlfn.XLOOKUP(tblMovimientos[[#This Row],[Cuenta Bancaria]],Cuentas!$C:$C,Cuentas!$B:$B,"",0,-1)&amp;""</f>
        <v/>
      </c>
    </row>
    <row r="1288" spans="5:18" x14ac:dyDescent="0.3">
      <c r="E1288" s="68"/>
      <c r="I1288" s="68"/>
      <c r="Q1288" s="78" t="str">
        <f>_xlfn.XLOOKUP(tblMovimientos[[#This Row],[Cuenta Bancaria]],Cuentas!$C:$C,Cuentas!$A:$A,"")&amp;""</f>
        <v/>
      </c>
      <c r="R1288" s="78" t="str">
        <f>_xlfn.XLOOKUP(tblMovimientos[[#This Row],[Cuenta Bancaria]],Cuentas!$C:$C,Cuentas!$B:$B,"",0,-1)&amp;""</f>
        <v/>
      </c>
    </row>
    <row r="1289" spans="5:18" x14ac:dyDescent="0.3">
      <c r="E1289" s="68"/>
      <c r="I1289" s="68"/>
      <c r="Q1289" s="78" t="str">
        <f>_xlfn.XLOOKUP(tblMovimientos[[#This Row],[Cuenta Bancaria]],Cuentas!$C:$C,Cuentas!$A:$A,"")&amp;""</f>
        <v/>
      </c>
      <c r="R1289" s="78" t="str">
        <f>_xlfn.XLOOKUP(tblMovimientos[[#This Row],[Cuenta Bancaria]],Cuentas!$C:$C,Cuentas!$B:$B,"",0,-1)&amp;""</f>
        <v/>
      </c>
    </row>
    <row r="1290" spans="5:18" x14ac:dyDescent="0.3">
      <c r="E1290" s="68"/>
      <c r="I1290" s="68"/>
      <c r="Q1290" s="78" t="str">
        <f>_xlfn.XLOOKUP(tblMovimientos[[#This Row],[Cuenta Bancaria]],Cuentas!$C:$C,Cuentas!$A:$A,"")&amp;""</f>
        <v/>
      </c>
      <c r="R1290" s="78" t="str">
        <f>_xlfn.XLOOKUP(tblMovimientos[[#This Row],[Cuenta Bancaria]],Cuentas!$C:$C,Cuentas!$B:$B,"",0,-1)&amp;""</f>
        <v/>
      </c>
    </row>
    <row r="1291" spans="5:18" x14ac:dyDescent="0.3">
      <c r="E1291" s="68"/>
      <c r="I1291" s="68"/>
      <c r="Q1291" s="78" t="str">
        <f>_xlfn.XLOOKUP(tblMovimientos[[#This Row],[Cuenta Bancaria]],Cuentas!$C:$C,Cuentas!$A:$A,"")&amp;""</f>
        <v/>
      </c>
      <c r="R1291" s="78" t="str">
        <f>_xlfn.XLOOKUP(tblMovimientos[[#This Row],[Cuenta Bancaria]],Cuentas!$C:$C,Cuentas!$B:$B,"",0,-1)&amp;""</f>
        <v/>
      </c>
    </row>
    <row r="1292" spans="5:18" x14ac:dyDescent="0.3">
      <c r="E1292" s="68"/>
      <c r="I1292" s="68"/>
      <c r="Q1292" s="78" t="str">
        <f>_xlfn.XLOOKUP(tblMovimientos[[#This Row],[Cuenta Bancaria]],Cuentas!$C:$C,Cuentas!$A:$A,"")&amp;""</f>
        <v/>
      </c>
      <c r="R1292" s="78" t="str">
        <f>_xlfn.XLOOKUP(tblMovimientos[[#This Row],[Cuenta Bancaria]],Cuentas!$C:$C,Cuentas!$B:$B,"",0,-1)&amp;""</f>
        <v/>
      </c>
    </row>
    <row r="1293" spans="5:18" x14ac:dyDescent="0.3">
      <c r="E1293" s="68"/>
      <c r="I1293" s="68"/>
      <c r="Q1293" s="78" t="str">
        <f>_xlfn.XLOOKUP(tblMovimientos[[#This Row],[Cuenta Bancaria]],Cuentas!$C:$C,Cuentas!$A:$A,"")&amp;""</f>
        <v/>
      </c>
      <c r="R1293" s="78" t="str">
        <f>_xlfn.XLOOKUP(tblMovimientos[[#This Row],[Cuenta Bancaria]],Cuentas!$C:$C,Cuentas!$B:$B,"",0,-1)&amp;""</f>
        <v/>
      </c>
    </row>
    <row r="1294" spans="5:18" x14ac:dyDescent="0.3">
      <c r="E1294" s="68"/>
      <c r="I1294" s="68"/>
      <c r="Q1294" s="78" t="str">
        <f>_xlfn.XLOOKUP(tblMovimientos[[#This Row],[Cuenta Bancaria]],Cuentas!$C:$C,Cuentas!$A:$A,"")&amp;""</f>
        <v/>
      </c>
      <c r="R1294" s="78" t="str">
        <f>_xlfn.XLOOKUP(tblMovimientos[[#This Row],[Cuenta Bancaria]],Cuentas!$C:$C,Cuentas!$B:$B,"",0,-1)&amp;""</f>
        <v/>
      </c>
    </row>
    <row r="1295" spans="5:18" x14ac:dyDescent="0.3">
      <c r="E1295" s="68"/>
      <c r="I1295" s="68"/>
      <c r="Q1295" s="78" t="str">
        <f>_xlfn.XLOOKUP(tblMovimientos[[#This Row],[Cuenta Bancaria]],Cuentas!$C:$C,Cuentas!$A:$A,"")&amp;""</f>
        <v/>
      </c>
      <c r="R1295" s="78" t="str">
        <f>_xlfn.XLOOKUP(tblMovimientos[[#This Row],[Cuenta Bancaria]],Cuentas!$C:$C,Cuentas!$B:$B,"",0,-1)&amp;""</f>
        <v/>
      </c>
    </row>
    <row r="1296" spans="5:18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x14ac:dyDescent="0.3">
      <c r="A1323" s="45"/>
      <c r="C1323" s="46"/>
      <c r="E1323" s="69"/>
      <c r="H1323" s="46"/>
      <c r="I1323" s="69"/>
      <c r="K1323" s="47"/>
      <c r="M1323" s="55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x14ac:dyDescent="0.3">
      <c r="A1324" s="45"/>
      <c r="C1324" s="46"/>
      <c r="E1324" s="69"/>
      <c r="H1324" s="46"/>
      <c r="I1324" s="69"/>
      <c r="K1324" s="47"/>
      <c r="M1324" s="55"/>
      <c r="N1324" s="64"/>
      <c r="O1324" s="64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807909.29000000132</v>
      </c>
      <c r="E2" s="37">
        <f>C2+D2</f>
        <v>1771978.8900000011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3030288.9500000076</v>
      </c>
      <c r="E3" s="37">
        <f t="shared" ref="E3:E9" si="0">C3+D3</f>
        <v>4649315.0100000072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D8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SUMIFS(Movimientos!$J$1:$J$1324,Movimientos!$C$1:$C$1324,$B2,Movimientos!$D$1:$D$1324,$C2,Movimientos!$L$1:$L$1324,A$3,Movimientos!$F$1:$F$1324,"Ingreso")</f>
        <v>490932.83999999997</v>
      </c>
      <c r="K2" s="44">
        <f>SUMIFS(Movimientos!$J$1:$J$1324,Movimientos!$C$1:$C$1324,$B2,Movimientos!$D$1:$D$1324,$C2,Movimientos!$L$1:$L$1324,A$3,Movimientos!$F$1:$F$1324,"Egreso")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SUMIFS(Movimientos!$J$1:$J$1324,Movimientos!$C$1:$C$1324,$B2,Movimientos!$D$1:$D$1324,$C2,Movimientos!$L$1:$L$1324,A$4,Movimientos!$F$1:$F$1324,"Ingreso")</f>
        <v>215870.71999999997</v>
      </c>
      <c r="P2" s="44">
        <f>SUMIFS(Movimientos!$J$1:$J$1324,Movimientos!$C$1:$C$1324,$B2,Movimientos!$D$1:$D$1324,$C2,Movimientos!$L$1:$L$1324,A$4,Movimientos!$F$1:$F$1324,"Egreso")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SUMIFS(Movimientos!$J$1:$J$1324,Movimientos!$C$1:$C$1324,$B2,Movimientos!$D$1:$D$1324,$C2,Movimientos!$L$1:$L$1324,A$5,Movimientos!$F$1:$F$1324,"Ingreso")</f>
        <v>555995.58000000007</v>
      </c>
      <c r="U2" s="44">
        <f>SUMIFS(Movimientos!$J$1:$J$1324,Movimientos!$C$1:$C$1324,$B2,Movimientos!$D$1:$D$1324,$C2,Movimientos!$L$1:$L$1324,A$5,Movimientos!$F$1:$F$1324,"Egreso")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SUMIFS(Movimientos!$J$1:$J$1324,Movimientos!$C$1:$C$1324,$B2,Movimientos!$D$1:$D$1324,$C2,Movimientos!$L$1:$L$1324,A$6,Movimientos!$F$1:$F$1324,"Ingreso")</f>
        <v>432537.32</v>
      </c>
      <c r="Z2" s="44">
        <f>SUMIFS(Movimientos!$J$1:$J$1324,Movimientos!$C$1:$C$1324,$B2,Movimientos!$D$1:$D$1324,$C2,Movimientos!$L$1:$L$1324,A$6,Movimientos!$F$1:$F$1324,"Egreso")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SUMIFS(Movimientos!$J$1:$J$1324,Movimientos!$C$1:$C$1324,$B3,Movimientos!$D$1:$D$1324,$C3,Movimientos!$L$1:$L$1324,A$3,Movimientos!$F$1:$F$1324,"Ingreso")</f>
        <v>8947382.8399999999</v>
      </c>
      <c r="K3" s="44">
        <f>SUMIFS(Movimientos!$J$1:$J$1324,Movimientos!$C$1:$C$1324,$B3,Movimientos!$D$1:$D$1324,$C3,Movimientos!$L$1:$L$1324,A$3,Movimientos!$F$1:$F$1324,"Egreso")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SUMIFS(Movimientos!$J$1:$J$1324,Movimientos!$C$1:$C$1324,$B3,Movimientos!$D$1:$D$1324,$C3,Movimientos!$L$1:$L$1324,A$4,Movimientos!$F$1:$F$1324,"Ingreso")</f>
        <v>250000</v>
      </c>
      <c r="P3" s="44">
        <f>SUMIFS(Movimientos!$J$1:$J$1324,Movimientos!$C$1:$C$1324,$B3,Movimientos!$D$1:$D$1324,$C3,Movimientos!$L$1:$L$1324,A$4,Movimientos!$F$1:$F$1324,"Egreso")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SUMIFS(Movimientos!$J$1:$J$1324,Movimientos!$C$1:$C$1324,$B3,Movimientos!$D$1:$D$1324,$C3,Movimientos!$L$1:$L$1324,A$5,Movimientos!$F$1:$F$1324,"Ingreso")</f>
        <v>910061.42999999993</v>
      </c>
      <c r="U3" s="44">
        <f>SUMIFS(Movimientos!$J$1:$J$1324,Movimientos!$C$1:$C$1324,$B3,Movimientos!$D$1:$D$1324,$C3,Movimientos!$L$1:$L$1324,A$5,Movimientos!$F$1:$F$1324,"Egreso")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SUMIFS(Movimientos!$J$1:$J$1324,Movimientos!$C$1:$C$1324,$B3,Movimientos!$D$1:$D$1324,$C3,Movimientos!$L$1:$L$1324,A$6,Movimientos!$F$1:$F$1324,"Ingreso")</f>
        <v>2658155.37</v>
      </c>
      <c r="Z3" s="44">
        <f>SUMIFS(Movimientos!$J$1:$J$1324,Movimientos!$C$1:$C$1324,$B3,Movimientos!$D$1:$D$1324,$C3,Movimientos!$L$1:$L$1324,A$6,Movimientos!$F$1:$F$1324,"Egreso")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SUMIFS(Movimientos!$J$1:$J$1324,Movimientos!$C$1:$C$1324,$B4,Movimientos!$D$1:$D$1324,$C4,Movimientos!$L$1:$L$1324,A$3,Movimientos!$F$1:$F$1324,"Ingreso")</f>
        <v>0</v>
      </c>
      <c r="K4" s="44">
        <f>SUMIFS(Movimientos!$J$1:$J$1324,Movimientos!$C$1:$C$1324,$B4,Movimientos!$D$1:$D$1324,$C4,Movimientos!$L$1:$L$1324,A$3,Movimientos!$F$1:$F$1324,"Egreso")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SUMIFS(Movimientos!$J$1:$J$1324,Movimientos!$C$1:$C$1324,$B4,Movimientos!$D$1:$D$1324,$C4,Movimientos!$L$1:$L$1324,A$4,Movimientos!$F$1:$F$1324,"Ingreso")</f>
        <v>0</v>
      </c>
      <c r="P4" s="44">
        <f>SUMIFS(Movimientos!$J$1:$J$1324,Movimientos!$C$1:$C$1324,$B4,Movimientos!$D$1:$D$1324,$C4,Movimientos!$L$1:$L$1324,A$4,Movimientos!$F$1:$F$1324,"Egreso")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SUMIFS(Movimientos!$J$1:$J$1324,Movimientos!$C$1:$C$1324,$B4,Movimientos!$D$1:$D$1324,$C4,Movimientos!$L$1:$L$1324,A$5,Movimientos!$F$1:$F$1324,"Ingreso")</f>
        <v>0</v>
      </c>
      <c r="U4" s="44">
        <f>SUMIFS(Movimientos!$J$1:$J$1324,Movimientos!$C$1:$C$1324,$B4,Movimientos!$D$1:$D$1324,$C4,Movimientos!$L$1:$L$1324,A$5,Movimientos!$F$1:$F$1324,"Egreso")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SUMIFS(Movimientos!$J$1:$J$1324,Movimientos!$C$1:$C$1324,$B4,Movimientos!$D$1:$D$1324,$C4,Movimientos!$L$1:$L$1324,A$6,Movimientos!$F$1:$F$1324,"Ingreso")</f>
        <v>0</v>
      </c>
      <c r="Z4" s="44">
        <f>SUMIFS(Movimientos!$J$1:$J$1324,Movimientos!$C$1:$C$1324,$B4,Movimientos!$D$1:$D$1324,$C4,Movimientos!$L$1:$L$1324,A$6,Movimientos!$F$1:$F$1324,"Egreso")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SUMIFS(Movimientos!$J$1:$J$1324,Movimientos!$C$1:$C$1324,$B5,Movimientos!$D$1:$D$1324,$C5,Movimientos!$L$1:$L$1324,A$3,Movimientos!$F$1:$F$1324,"Ingreso")</f>
        <v>16742.400000000001</v>
      </c>
      <c r="K5" s="44">
        <f>SUMIFS(Movimientos!$J$1:$J$1324,Movimientos!$C$1:$C$1324,$B5,Movimientos!$D$1:$D$1324,$C5,Movimientos!$L$1:$L$1324,A$3,Movimientos!$F$1:$F$1324,"Egreso")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SUMIFS(Movimientos!$J$1:$J$1324,Movimientos!$C$1:$C$1324,$B5,Movimientos!$D$1:$D$1324,$C5,Movimientos!$L$1:$L$1324,A$4,Movimientos!$F$1:$F$1324,"Ingreso")</f>
        <v>10053.57</v>
      </c>
      <c r="P5" s="44">
        <f>SUMIFS(Movimientos!$J$1:$J$1324,Movimientos!$C$1:$C$1324,$B5,Movimientos!$D$1:$D$1324,$C5,Movimientos!$L$1:$L$1324,A$4,Movimientos!$F$1:$F$1324,"Egreso")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SUMIFS(Movimientos!$J$1:$J$1324,Movimientos!$C$1:$C$1324,$B5,Movimientos!$D$1:$D$1324,$C5,Movimientos!$L$1:$L$1324,A$5,Movimientos!$F$1:$F$1324,"Ingreso")</f>
        <v>10068.98</v>
      </c>
      <c r="U5" s="44">
        <f>SUMIFS(Movimientos!$J$1:$J$1324,Movimientos!$C$1:$C$1324,$B5,Movimientos!$D$1:$D$1324,$C5,Movimientos!$L$1:$L$1324,A$5,Movimientos!$F$1:$F$1324,"Egreso")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SUMIFS(Movimientos!$J$1:$J$1324,Movimientos!$C$1:$C$1324,$B5,Movimientos!$D$1:$D$1324,$C5,Movimientos!$L$1:$L$1324,A$6,Movimientos!$F$1:$F$1324,"Ingreso")</f>
        <v>9843.36</v>
      </c>
      <c r="Z5" s="44">
        <f>SUMIFS(Movimientos!$J$1:$J$1324,Movimientos!$C$1:$C$1324,$B5,Movimientos!$D$1:$D$1324,$C5,Movimientos!$L$1:$L$1324,A$6,Movimientos!$F$1:$F$1324,"Egreso")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SUMIFS(Movimientos!$J$1:$J$1324,Movimientos!$C$1:$C$1324,$B6,Movimientos!$D$1:$D$1324,$C6,Movimientos!$L$1:$L$1324,A$3,Movimientos!$F$1:$F$1324,"Ingreso")</f>
        <v>0</v>
      </c>
      <c r="K6" s="44">
        <f>SUMIFS(Movimientos!$J$1:$J$1324,Movimientos!$C$1:$C$1324,$B6,Movimientos!$D$1:$D$1324,$C6,Movimientos!$L$1:$L$1324,A$3,Movimientos!$F$1:$F$1324,"Egreso")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SUMIFS(Movimientos!$J$1:$J$1324,Movimientos!$C$1:$C$1324,$B6,Movimientos!$D$1:$D$1324,$C6,Movimientos!$L$1:$L$1324,A$4,Movimientos!$F$1:$F$1324,"Ingreso")</f>
        <v>0</v>
      </c>
      <c r="P6" s="44">
        <f>SUMIFS(Movimientos!$J$1:$J$1324,Movimientos!$C$1:$C$1324,$B6,Movimientos!$D$1:$D$1324,$C6,Movimientos!$L$1:$L$1324,A$4,Movimientos!$F$1:$F$1324,"Egreso")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SUMIFS(Movimientos!$J$1:$J$1324,Movimientos!$C$1:$C$1324,$B6,Movimientos!$D$1:$D$1324,$C6,Movimientos!$L$1:$L$1324,A$5,Movimientos!$F$1:$F$1324,"Ingreso")</f>
        <v>0</v>
      </c>
      <c r="U6" s="44">
        <f>SUMIFS(Movimientos!$J$1:$J$1324,Movimientos!$C$1:$C$1324,$B6,Movimientos!$D$1:$D$1324,$C6,Movimientos!$L$1:$L$1324,A$5,Movimientos!$F$1:$F$1324,"Egreso")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SUMIFS(Movimientos!$J$1:$J$1324,Movimientos!$C$1:$C$1324,$B6,Movimientos!$D$1:$D$1324,$C6,Movimientos!$L$1:$L$1324,A$6,Movimientos!$F$1:$F$1324,"Ingreso")</f>
        <v>0</v>
      </c>
      <c r="Z6" s="44">
        <f>SUMIFS(Movimientos!$J$1:$J$1324,Movimientos!$C$1:$C$1324,$B6,Movimientos!$D$1:$D$1324,$C6,Movimientos!$L$1:$L$1324,A$6,Movimientos!$F$1:$F$1324,"Egreso")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SUMIFS(Movimientos!$J$1:$J$1324,Movimientos!$C$1:$C$1324,$B7,Movimientos!$D$1:$D$1324,$C7,Movimientos!$L$1:$L$1324,A$3,Movimientos!$F$1:$F$1324,"Ingreso")</f>
        <v>0</v>
      </c>
      <c r="K7" s="44">
        <f>SUMIFS(Movimientos!$J$1:$J$1324,Movimientos!$C$1:$C$1324,$B7,Movimientos!$D$1:$D$1324,$C7,Movimientos!$L$1:$L$1324,A$3,Movimientos!$F$1:$F$1324,"Egreso")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SUMIFS(Movimientos!$J$1:$J$1324,Movimientos!$C$1:$C$1324,$B7,Movimientos!$D$1:$D$1324,$C7,Movimientos!$L$1:$L$1324,A$4,Movimientos!$F$1:$F$1324,"Ingreso")</f>
        <v>0</v>
      </c>
      <c r="P7" s="44">
        <f>SUMIFS(Movimientos!$J$1:$J$1324,Movimientos!$C$1:$C$1324,$B7,Movimientos!$D$1:$D$1324,$C7,Movimientos!$L$1:$L$1324,A$4,Movimientos!$F$1:$F$1324,"Egreso")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SUMIFS(Movimientos!$J$1:$J$1324,Movimientos!$C$1:$C$1324,$B7,Movimientos!$D$1:$D$1324,$C7,Movimientos!$L$1:$L$1324,A$5,Movimientos!$F$1:$F$1324,"Ingreso")</f>
        <v>0</v>
      </c>
      <c r="U7" s="44">
        <f>SUMIFS(Movimientos!$J$1:$J$1324,Movimientos!$C$1:$C$1324,$B7,Movimientos!$D$1:$D$1324,$C7,Movimientos!$L$1:$L$1324,A$5,Movimientos!$F$1:$F$1324,"Egreso")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SUMIFS(Movimientos!$J$1:$J$1324,Movimientos!$C$1:$C$1324,$B7,Movimientos!$D$1:$D$1324,$C7,Movimientos!$L$1:$L$1324,A$6,Movimientos!$F$1:$F$1324,"Ingreso")</f>
        <v>0</v>
      </c>
      <c r="Z7" s="44">
        <f>SUMIFS(Movimientos!$J$1:$J$1324,Movimientos!$C$1:$C$1324,$B7,Movimientos!$D$1:$D$1324,$C7,Movimientos!$L$1:$L$1324,F$5,Movimientos!$F$1:$F$1324,"Egreso")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SUMIFS(Movimientos!$J$1:$J$1324,Movimientos!$C$1:$C$1324,$B8,Movimientos!$D$1:$D$1324,$C8,Movimientos!$L$1:$L$1324,A$3,Movimientos!$F$1:$F$1324,"Ingreso")</f>
        <v>440602.39</v>
      </c>
      <c r="K8" s="44">
        <f>SUMIFS(Movimientos!$J$1:$J$1324,Movimientos!$C$1:$C$1324,$B8,Movimientos!$D$1:$D$1324,$C8,Movimientos!$L$1:$L$1324,A$3,Movimientos!$F$1:$F$1324,"Egreso")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SUMIFS(Movimientos!$J$1:$J$1324,Movimientos!$C$1:$C$1324,$B8,Movimientos!$D$1:$D$1324,$C8,Movimientos!$L$1:$L$1324,A$4,Movimientos!$F$1:$F$1324,"Ingreso")</f>
        <v>1306812.04</v>
      </c>
      <c r="P8" s="44">
        <f>SUMIFS(Movimientos!$J$1:$J$1324,Movimientos!$C$1:$C$1324,$B8,Movimientos!$D$1:$D$1324,$C8,Movimientos!$L$1:$L$1324,A$4,Movimientos!$F$1:$F$1324,"Egreso")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SUMIFS(Movimientos!$J$1:$J$1324,Movimientos!$C$1:$C$1324,$B8,Movimientos!$D$1:$D$1324,$C8,Movimientos!$L$1:$L$1324,A$5,Movimientos!$F$1:$F$1324,"Ingreso")</f>
        <v>250866.9</v>
      </c>
      <c r="U8" s="44">
        <f>SUMIFS(Movimientos!$J$1:$J$1324,Movimientos!$C$1:$C$1324,$B8,Movimientos!$D$1:$D$1324,$C8,Movimientos!$L$1:$L$1324,A$5,Movimientos!$F$1:$F$1324,"Egreso")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SUMIFS(Movimientos!$J$1:$J$1324,Movimientos!$C$1:$C$1324,$B8,Movimientos!$D$1:$D$1324,$C8,Movimientos!$L$1:$L$1324,A$6,Movimientos!$F$1:$F$1324,"Ingreso")</f>
        <v>542761.79999999993</v>
      </c>
      <c r="Z8" s="44">
        <f>SUMIFS(Movimientos!$J$1:$J$1324,Movimientos!$C$1:$C$1324,$B8,Movimientos!$D$1:$D$1324,$C8,Movimientos!$L$1:$L$1324,F$5,Movimientos!$F$1:$F$1324,"Egreso")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SUMIFS(Movimientos!$J$1:$J$1324,Movimientos!$C$1:$C$1324,$B9,Movimientos!$D$1:$D$1324,$C9,Movimientos!$L$1:$L$1324,A$3,Movimientos!$F$1:$F$1324,"Ingreso")</f>
        <v>15307.88</v>
      </c>
      <c r="K9" s="44">
        <f>SUMIFS(Movimientos!$J$1:$J$1324,Movimientos!$C$1:$C$1324,$B9,Movimientos!$D$1:$D$1324,$C9,Movimientos!$L$1:$L$1324,A$3,Movimientos!$F$1:$F$1324,"Egreso")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SUMIFS(Movimientos!$J$1:$J$1324,Movimientos!$C$1:$C$1324,$B9,Movimientos!$D$1:$D$1324,$C9,Movimientos!$L$1:$L$1324,A$4,Movimientos!$F$1:$F$1324,"Ingreso")</f>
        <v>15280.15</v>
      </c>
      <c r="P9" s="44">
        <f>SUMIFS(Movimientos!$J$1:$J$1324,Movimientos!$C$1:$C$1324,$B9,Movimientos!$D$1:$D$1324,$C9,Movimientos!$L$1:$L$1324,A$4,Movimientos!$F$1:$F$1324,"Egreso")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SUMIFS(Movimientos!$J$1:$J$1324,Movimientos!$C$1:$C$1324,$B9,Movimientos!$D$1:$D$1324,$C9,Movimientos!$L$1:$L$1324,A$5,Movimientos!$F$1:$F$1324,"Ingreso")</f>
        <v>35280.15</v>
      </c>
      <c r="U9" s="44">
        <f>SUMIFS(Movimientos!$J$1:$J$1324,Movimientos!$C$1:$C$1324,$B9,Movimientos!$D$1:$D$1324,$C9,Movimientos!$L$1:$L$1324,A$5,Movimientos!$F$1:$F$1324,"Egreso")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SUMIFS(Movimientos!$J$1:$J$1324,Movimientos!$C$1:$C$1324,$B9,Movimientos!$D$1:$D$1324,$C9,Movimientos!$L$1:$L$1324,A$6,Movimientos!$F$1:$F$1324,"Ingreso")</f>
        <v>15266.29</v>
      </c>
      <c r="Z9" s="44">
        <f>SUMIFS(Movimientos!$J$1:$J$1324,Movimientos!$C$1:$C$1324,$B9,Movimientos!$D$1:$D$1324,$C9,Movimientos!$L$1:$L$1324,F$5,Movimientos!$F$1:$F$1324,"Egreso")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SUMIFS(Movimientos!$J$1:$J$1324,Movimientos!$C$1:$C$1324,$B10,Movimientos!$D$1:$D$1324,$C10,Movimientos!$L$1:$L$1324,A$3,Movimientos!$F$1:$F$1324,"Ingreso")</f>
        <v>0</v>
      </c>
      <c r="K10" s="44">
        <f>SUMIFS(Movimientos!$J$1:$J$1324,Movimientos!$C$1:$C$1324,$B10,Movimientos!$D$1:$D$1324,$C10,Movimientos!$L$1:$L$1324,A$3,Movimientos!$F$1:$F$1324,"Egreso")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SUMIFS(Movimientos!$J$1:$J$1324,Movimientos!$C$1:$C$1324,$B10,Movimientos!$D$1:$D$1324,$C10,Movimientos!$L$1:$L$1324,A$4,Movimientos!$F$1:$F$1324,"Ingreso")</f>
        <v>1000</v>
      </c>
      <c r="P10" s="44">
        <f>SUMIFS(Movimientos!$J$1:$J$1324,Movimientos!$C$1:$C$1324,$B10,Movimientos!$D$1:$D$1324,$C10,Movimientos!$L$1:$L$1324,A$4,Movimientos!$F$1:$F$1324,"Egreso")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SUMIFS(Movimientos!$J$1:$J$1324,Movimientos!$C$1:$C$1324,$B10,Movimientos!$D$1:$D$1324,$C10,Movimientos!$L$1:$L$1324,A$5,Movimientos!$F$1:$F$1324,"Ingreso")</f>
        <v>0</v>
      </c>
      <c r="U10" s="44">
        <f>SUMIFS(Movimientos!$J$1:$J$1324,Movimientos!$C$1:$C$1324,$B10,Movimientos!$D$1:$D$1324,$C10,Movimientos!$L$1:$L$1324,A$5,Movimientos!$F$1:$F$1324,"Egreso")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SUMIFS(Movimientos!$J$1:$J$1324,Movimientos!$C$1:$C$1324,$B10,Movimientos!$D$1:$D$1324,$C10,Movimientos!$L$1:$L$1324,A$6,Movimientos!$F$1:$F$1324,"Ingreso")</f>
        <v>0</v>
      </c>
      <c r="Z10" s="44">
        <f>SUMIFS(Movimientos!$J$1:$J$1324,Movimientos!$C$1:$C$1324,$B10,Movimientos!$D$1:$D$1324,$C10,Movimientos!$L$1:$L$1324,F$5,Movimientos!$F$1:$F$1324,"Egreso")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SUMIFS(Movimientos!$J$1:$J$1324,Movimientos!$C$1:$C$1324,$B11,Movimientos!$D$1:$D$1324,$C11,Movimientos!$L$1:$L$1324,A$3,Movimientos!$F$1:$F$1324,"Ingreso")</f>
        <v>0</v>
      </c>
      <c r="K11" s="44">
        <f>SUMIFS(Movimientos!$J$1:$J$1324,Movimientos!$C$1:$C$1324,$B11,Movimientos!$D$1:$D$1324,$C11,Movimientos!$L$1:$L$1324,A$3,Movimientos!$F$1:$F$1324,"Egreso")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SUMIFS(Movimientos!$J$1:$J$1324,Movimientos!$C$1:$C$1324,$B11,Movimientos!$D$1:$D$1324,$C11,Movimientos!$L$1:$L$1324,A$4,Movimientos!$F$1:$F$1324,"Ingreso")</f>
        <v>0</v>
      </c>
      <c r="P11" s="44">
        <f>SUMIFS(Movimientos!$J$1:$J$1324,Movimientos!$C$1:$C$1324,$B11,Movimientos!$D$1:$D$1324,$C11,Movimientos!$L$1:$L$1324,A$4,Movimientos!$F$1:$F$1324,"Egreso")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SUMIFS(Movimientos!$J$1:$J$1324,Movimientos!$C$1:$C$1324,$B11,Movimientos!$D$1:$D$1324,$C11,Movimientos!$L$1:$L$1324,A$5,Movimientos!$F$1:$F$1324,"Ingreso")</f>
        <v>0</v>
      </c>
      <c r="U11" s="44">
        <f>SUMIFS(Movimientos!$J$1:$J$1324,Movimientos!$C$1:$C$1324,$B11,Movimientos!$D$1:$D$1324,$C11,Movimientos!$L$1:$L$1324,A$5,Movimientos!$F$1:$F$1324,"Egreso")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SUMIFS(Movimientos!$J$1:$J$1324,Movimientos!$C$1:$C$1324,$B11,Movimientos!$D$1:$D$1324,$C11,Movimientos!$L$1:$L$1324,A$6,Movimientos!$F$1:$F$1324,"Ingreso")</f>
        <v>0</v>
      </c>
      <c r="Z11" s="44">
        <f>SUMIFS(Movimientos!$J$1:$J$1324,Movimientos!$C$1:$C$1324,$B11,Movimientos!$D$1:$D$1324,$C11,Movimientos!$L$1:$L$1324,F$5,Movimientos!$F$1:$F$1324,"Egreso")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SUMIFS(Movimientos!$J$1:$J$1324,Movimientos!$C$1:$C$1324,$B12,Movimientos!$D$1:$D$1324,$C12,Movimientos!$L$1:$L$1324,A$3,Movimientos!$F$1:$F$1324,"Ingreso")</f>
        <v>4970000</v>
      </c>
      <c r="K12" s="44">
        <f>SUMIFS(Movimientos!$J$1:$J$1324,Movimientos!$C$1:$C$1324,$B12,Movimientos!$D$1:$D$1324,$C12,Movimientos!$L$1:$L$1324,A$3,Movimientos!$F$1:$F$1324,"Egreso")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SUMIFS(Movimientos!$J$1:$J$1324,Movimientos!$C$1:$C$1324,$B12,Movimientos!$D$1:$D$1324,$C12,Movimientos!$L$1:$L$1324,A$4,Movimientos!$F$1:$F$1324,"Ingreso")</f>
        <v>1320000</v>
      </c>
      <c r="P12" s="44">
        <f>SUMIFS(Movimientos!$J$1:$J$1324,Movimientos!$C$1:$C$1324,$B12,Movimientos!$D$1:$D$1324,$C12,Movimientos!$L$1:$L$1324,A$4,Movimientos!$F$1:$F$1324,"Egreso")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SUMIFS(Movimientos!$J$1:$J$1324,Movimientos!$C$1:$C$1324,$B12,Movimientos!$D$1:$D$1324,$C12,Movimientos!$L$1:$L$1324,A$5,Movimientos!$F$1:$F$1324,"Ingreso")</f>
        <v>1100000</v>
      </c>
      <c r="U12" s="44">
        <f>SUMIFS(Movimientos!$J$1:$J$1324,Movimientos!$C$1:$C$1324,$B12,Movimientos!$D$1:$D$1324,$C12,Movimientos!$L$1:$L$1324,A$5,Movimientos!$F$1:$F$1324,"Egreso")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SUMIFS(Movimientos!$J$1:$J$1324,Movimientos!$C$1:$C$1324,$B12,Movimientos!$D$1:$D$1324,$C12,Movimientos!$L$1:$L$1324,A$6,Movimientos!$F$1:$F$1324,"Ingreso")</f>
        <v>350000</v>
      </c>
      <c r="Z12" s="44">
        <f>SUMIFS(Movimientos!$J$1:$J$1324,Movimientos!$C$1:$C$1324,$B12,Movimientos!$D$1:$D$1324,$C12,Movimientos!$L$1:$L$1324,F$5,Movimientos!$F$1:$F$1324,"Egreso")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SUMIFS(Movimientos!$J$1:$J$1324,Movimientos!$C$1:$C$1324,$B13,Movimientos!$D$1:$D$1324,$C13,Movimientos!$L$1:$L$1324,A$3,Movimientos!$F$1:$F$1324,"Ingreso")</f>
        <v>0</v>
      </c>
      <c r="K13" s="44">
        <f>SUMIFS(Movimientos!$J$1:$J$1324,Movimientos!$C$1:$C$1324,$B13,Movimientos!$D$1:$D$1324,$C13,Movimientos!$L$1:$L$1324,A$3,Movimientos!$F$1:$F$1324,"Egreso")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SUMIFS(Movimientos!$J$1:$J$1324,Movimientos!$C$1:$C$1324,$B13,Movimientos!$D$1:$D$1324,$C13,Movimientos!$L$1:$L$1324,A$4,Movimientos!$F$1:$F$1324,"Ingreso")</f>
        <v>0</v>
      </c>
      <c r="P13" s="44">
        <f>SUMIFS(Movimientos!$J$1:$J$1324,Movimientos!$C$1:$C$1324,$B13,Movimientos!$D$1:$D$1324,$C13,Movimientos!$L$1:$L$1324,A$4,Movimientos!$F$1:$F$1324,"Egreso")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SUMIFS(Movimientos!$J$1:$J$1324,Movimientos!$C$1:$C$1324,$B13,Movimientos!$D$1:$D$1324,$C13,Movimientos!$L$1:$L$1324,A$5,Movimientos!$F$1:$F$1324,"Ingreso")</f>
        <v>0</v>
      </c>
      <c r="U13" s="44">
        <f>SUMIFS(Movimientos!$J$1:$J$1324,Movimientos!$C$1:$C$1324,$B13,Movimientos!$D$1:$D$1324,$C13,Movimientos!$L$1:$L$1324,A$5,Movimientos!$F$1:$F$1324,"Egreso")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SUMIFS(Movimientos!$J$1:$J$1324,Movimientos!$C$1:$C$1324,$B13,Movimientos!$D$1:$D$1324,$C13,Movimientos!$L$1:$L$1324,A$6,Movimientos!$F$1:$F$1324,"Ingreso")</f>
        <v>0</v>
      </c>
      <c r="Z13" s="44">
        <f>SUMIFS(Movimientos!$J$1:$J$1324,Movimientos!$C$1:$C$1324,$B13,Movimientos!$D$1:$D$1324,$C13,Movimientos!$L$1:$L$1324,F$5,Movimientos!$F$1:$F$1324,"Egreso")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SUMIFS(Movimientos!$J$1:$J$1324,Movimientos!$C$1:$C$1324,$B14,Movimientos!$D$1:$D$1324,$C14,Movimientos!$L$1:$L$1324,A$3,Movimientos!$F$1:$F$1324,"Ingreso")</f>
        <v>56867.66</v>
      </c>
      <c r="K14" s="44">
        <f>SUMIFS(Movimientos!$J$1:$J$1324,Movimientos!$C$1:$C$1324,$B14,Movimientos!$D$1:$D$1324,$C14,Movimientos!$L$1:$L$1324,A$3,Movimientos!$F$1:$F$1324,"Egreso")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SUMIFS(Movimientos!$J$1:$J$1324,Movimientos!$C$1:$C$1324,$B14,Movimientos!$D$1:$D$1324,$C14,Movimientos!$L$1:$L$1324,A$4,Movimientos!$F$1:$F$1324,"Ingreso")</f>
        <v>2426.71</v>
      </c>
      <c r="P14" s="44">
        <f>SUMIFS(Movimientos!$J$1:$J$1324,Movimientos!$C$1:$C$1324,$B14,Movimientos!$D$1:$D$1324,$C14,Movimientos!$L$1:$L$1324,A$4,Movimientos!$F$1:$F$1324,"Egreso")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SUMIFS(Movimientos!$J$1:$J$1324,Movimientos!$C$1:$C$1324,$B14,Movimientos!$D$1:$D$1324,$C14,Movimientos!$L$1:$L$1324,A$5,Movimientos!$F$1:$F$1324,"Ingreso")</f>
        <v>2434.02</v>
      </c>
      <c r="U14" s="44">
        <f>SUMIFS(Movimientos!$J$1:$J$1324,Movimientos!$C$1:$C$1324,$B14,Movimientos!$D$1:$D$1324,$C14,Movimientos!$L$1:$L$1324,A$5,Movimientos!$F$1:$F$1324,"Egreso")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SUMIFS(Movimientos!$J$1:$J$1324,Movimientos!$C$1:$C$1324,$B14,Movimientos!$D$1:$D$1324,$C14,Movimientos!$L$1:$L$1324,A$6,Movimientos!$F$1:$F$1324,"Ingreso")</f>
        <v>2362.59</v>
      </c>
      <c r="Z14" s="44">
        <f>SUMIFS(Movimientos!$J$1:$J$1324,Movimientos!$C$1:$C$1324,$B14,Movimientos!$D$1:$D$1324,$C14,Movimientos!$L$1:$L$1324,F$5,Movimientos!$F$1:$F$1324,"Egreso")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SUMIFS(Movimientos!$J$1:$J$1324,Movimientos!$C$1:$C$1324,$B15,Movimientos!$D$1:$D$1324,$C15,Movimientos!$L$1:$L$1324,A$3,Movimientos!$F$1:$F$1324,"Ingreso")</f>
        <v>0</v>
      </c>
      <c r="K15" s="44">
        <f>SUMIFS(Movimientos!$J$1:$J$1324,Movimientos!$C$1:$C$1324,$B15,Movimientos!$D$1:$D$1324,$C15,Movimientos!$L$1:$L$1324,A$3,Movimientos!$F$1:$F$1324,"Egreso")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SUMIFS(Movimientos!$J$1:$J$1324,Movimientos!$C$1:$C$1324,$B15,Movimientos!$D$1:$D$1324,$C15,Movimientos!$L$1:$L$1324,A$4,Movimientos!$F$1:$F$1324,"Ingreso")</f>
        <v>0</v>
      </c>
      <c r="P15" s="44">
        <f>SUMIFS(Movimientos!$J$1:$J$1324,Movimientos!$C$1:$C$1324,$B15,Movimientos!$D$1:$D$1324,$C15,Movimientos!$L$1:$L$1324,A$4,Movimientos!$F$1:$F$1324,"Egreso")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SUMIFS(Movimientos!$J$1:$J$1324,Movimientos!$C$1:$C$1324,$B15,Movimientos!$D$1:$D$1324,$C15,Movimientos!$L$1:$L$1324,A$5,Movimientos!$F$1:$F$1324,"Ingreso")</f>
        <v>0</v>
      </c>
      <c r="U15" s="44">
        <f>SUMIFS(Movimientos!$J$1:$J$1324,Movimientos!$C$1:$C$1324,$B15,Movimientos!$D$1:$D$1324,$C15,Movimientos!$L$1:$L$1324,A$5,Movimientos!$F$1:$F$1324,"Egreso")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SUMIFS(Movimientos!$J$1:$J$1324,Movimientos!$C$1:$C$1324,$B15,Movimientos!$D$1:$D$1324,$C15,Movimientos!$L$1:$L$1324,A$6,Movimientos!$F$1:$F$1324,"Ingreso")</f>
        <v>0</v>
      </c>
      <c r="Z15" s="44">
        <f>SUMIFS(Movimientos!$J$1:$J$1324,Movimientos!$C$1:$C$1324,$B15,Movimientos!$D$1:$D$1324,$C15,Movimientos!$L$1:$L$1324,F$5,Movimientos!$F$1:$F$1324,"Egreso")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SUMIFS(Movimientos!$J$1:$J$1324,Movimientos!$C$1:$C$1324,$B16,Movimientos!$D$1:$D$1324,$C16,Movimientos!$L$1:$L$1324,A$3,Movimientos!$F$1:$F$1324,"Ingreso")</f>
        <v>0</v>
      </c>
      <c r="K16" s="44">
        <f>SUMIFS(Movimientos!$J$1:$J$1324,Movimientos!$C$1:$C$1324,$B16,Movimientos!$D$1:$D$1324,$C16,Movimientos!$L$1:$L$1324,A$3,Movimientos!$F$1:$F$1324,"Egreso")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SUMIFS(Movimientos!$J$1:$J$1324,Movimientos!$C$1:$C$1324,$B16,Movimientos!$D$1:$D$1324,$C16,Movimientos!$L$1:$L$1324,A$4,Movimientos!$F$1:$F$1324,"Ingreso")</f>
        <v>0</v>
      </c>
      <c r="P16" s="44">
        <f>SUMIFS(Movimientos!$J$1:$J$1324,Movimientos!$C$1:$C$1324,$B16,Movimientos!$D$1:$D$1324,$C16,Movimientos!$L$1:$L$1324,A$4,Movimientos!$F$1:$F$1324,"Egreso")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SUMIFS(Movimientos!$J$1:$J$1324,Movimientos!$C$1:$C$1324,$B16,Movimientos!$D$1:$D$1324,$C16,Movimientos!$L$1:$L$1324,A$5,Movimientos!$F$1:$F$1324,"Ingreso")</f>
        <v>0</v>
      </c>
      <c r="U16" s="44">
        <f>SUMIFS(Movimientos!$J$1:$J$1324,Movimientos!$C$1:$C$1324,$B16,Movimientos!$D$1:$D$1324,$C16,Movimientos!$L$1:$L$1324,A$5,Movimientos!$F$1:$F$1324,"Egreso")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SUMIFS(Movimientos!$J$1:$J$1324,Movimientos!$C$1:$C$1324,$B16,Movimientos!$D$1:$D$1324,$C16,Movimientos!$L$1:$L$1324,A$6,Movimientos!$F$1:$F$1324,"Ingreso")</f>
        <v>0</v>
      </c>
      <c r="Z16" s="44">
        <f>SUMIFS(Movimientos!$J$1:$J$1324,Movimientos!$C$1:$C$1324,$B16,Movimientos!$D$1:$D$1324,$C16,Movimientos!$L$1:$L$1324,F$5,Movimientos!$F$1:$F$1324,"Egreso")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SUMIFS(Movimientos!$J$1:$J$1324,Movimientos!$C$1:$C$1324,$B17,Movimientos!$D$1:$D$1324,$C17,Movimientos!$L$1:$L$1324,A$3,Movimientos!$F$1:$F$1324,"Ingreso")</f>
        <v>0</v>
      </c>
      <c r="K17" s="44">
        <f>SUMIFS(Movimientos!$J$1:$J$1324,Movimientos!$C$1:$C$1324,$B17,Movimientos!$D$1:$D$1324,$C17,Movimientos!$L$1:$L$1324,A$3,Movimientos!$F$1:$F$1324,"Egreso")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SUMIFS(Movimientos!$J$1:$J$1324,Movimientos!$C$1:$C$1324,$B17,Movimientos!$D$1:$D$1324,$C17,Movimientos!$L$1:$L$1324,A$4,Movimientos!$F$1:$F$1324,"Ingreso")</f>
        <v>0</v>
      </c>
      <c r="P17" s="44">
        <f>SUMIFS(Movimientos!$J$1:$J$1324,Movimientos!$C$1:$C$1324,$B17,Movimientos!$D$1:$D$1324,$C17,Movimientos!$L$1:$L$1324,A$4,Movimientos!$F$1:$F$1324,"Egreso")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SUMIFS(Movimientos!$J$1:$J$1324,Movimientos!$C$1:$C$1324,$B17,Movimientos!$D$1:$D$1324,$C17,Movimientos!$L$1:$L$1324,A$5,Movimientos!$F$1:$F$1324,"Ingreso")</f>
        <v>0</v>
      </c>
      <c r="U17" s="44">
        <f>SUMIFS(Movimientos!$J$1:$J$1324,Movimientos!$C$1:$C$1324,$B17,Movimientos!$D$1:$D$1324,$C17,Movimientos!$L$1:$L$1324,A$5,Movimientos!$F$1:$F$1324,"Egreso")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SUMIFS(Movimientos!$J$1:$J$1324,Movimientos!$C$1:$C$1324,$B17,Movimientos!$D$1:$D$1324,$C17,Movimientos!$L$1:$L$1324,A$6,Movimientos!$F$1:$F$1324,"Ingreso")</f>
        <v>0</v>
      </c>
      <c r="Z17" s="44">
        <f>SUMIFS(Movimientos!$J$1:$J$1324,Movimientos!$C$1:$C$1324,$B17,Movimientos!$D$1:$D$1324,$C17,Movimientos!$L$1:$L$1324,F$5,Movimientos!$F$1:$F$1324,"Egreso")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SUMIFS(Movimientos!$J$1:$J$1324,Movimientos!$C$1:$C$1324,$B18,Movimientos!$D$1:$D$1324,$C18,Movimientos!$L$1:$L$1324,A$3,Movimientos!$F$1:$F$1324,"Ingreso")</f>
        <v>0</v>
      </c>
      <c r="K18" s="44">
        <f>SUMIFS(Movimientos!$J$1:$J$1324,Movimientos!$C$1:$C$1324,$B18,Movimientos!$D$1:$D$1324,$C18,Movimientos!$L$1:$L$1324,A$3,Movimientos!$F$1:$F$1324,"Egreso")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SUMIFS(Movimientos!$J$1:$J$1324,Movimientos!$C$1:$C$1324,$B18,Movimientos!$D$1:$D$1324,$C18,Movimientos!$L$1:$L$1324,A$4,Movimientos!$F$1:$F$1324,"Ingreso")</f>
        <v>0</v>
      </c>
      <c r="P18" s="44">
        <f>SUMIFS(Movimientos!$J$1:$J$1324,Movimientos!$C$1:$C$1324,$B18,Movimientos!$D$1:$D$1324,$C18,Movimientos!$L$1:$L$1324,A$4,Movimientos!$F$1:$F$1324,"Egreso")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SUMIFS(Movimientos!$J$1:$J$1324,Movimientos!$C$1:$C$1324,$B18,Movimientos!$D$1:$D$1324,$C18,Movimientos!$L$1:$L$1324,A$5,Movimientos!$F$1:$F$1324,"Ingreso")</f>
        <v>0</v>
      </c>
      <c r="U18" s="44">
        <f>SUMIFS(Movimientos!$J$1:$J$1324,Movimientos!$C$1:$C$1324,$B18,Movimientos!$D$1:$D$1324,$C18,Movimientos!$L$1:$L$1324,A$5,Movimientos!$F$1:$F$1324,"Egreso")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SUMIFS(Movimientos!$J$1:$J$1324,Movimientos!$C$1:$C$1324,$B18,Movimientos!$D$1:$D$1324,$C18,Movimientos!$L$1:$L$1324,A$6,Movimientos!$F$1:$F$1324,"Ingreso")</f>
        <v>0</v>
      </c>
      <c r="Z18" s="44">
        <f>SUMIFS(Movimientos!$J$1:$J$1324,Movimientos!$C$1:$C$1324,$B18,Movimientos!$D$1:$D$1324,$C18,Movimientos!$L$1:$L$1324,F$5,Movimientos!$F$1:$F$1324,"Egreso")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SUMIFS(Movimientos!$J$1:$J$1324,Movimientos!$C$1:$C$1324,$B19,Movimientos!$D$1:$D$1324,$C19,Movimientos!$L$1:$L$1324,A$3,Movimientos!$F$1:$F$1324,"Ingreso")</f>
        <v>2580000</v>
      </c>
      <c r="K19" s="44">
        <f>SUMIFS(Movimientos!$J$1:$J$1324,Movimientos!$C$1:$C$1324,$B19,Movimientos!$D$1:$D$1324,$C19,Movimientos!$L$1:$L$1324,A$3,Movimientos!$F$1:$F$1324,"Egreso")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SUMIFS(Movimientos!$J$1:$J$1324,Movimientos!$C$1:$C$1324,$B19,Movimientos!$D$1:$D$1324,$C19,Movimientos!$L$1:$L$1324,A$4,Movimientos!$F$1:$F$1324,"Ingreso")</f>
        <v>0</v>
      </c>
      <c r="P19" s="44">
        <f>SUMIFS(Movimientos!$J$1:$J$1324,Movimientos!$C$1:$C$1324,$B19,Movimientos!$D$1:$D$1324,$C19,Movimientos!$L$1:$L$1324,A$4,Movimientos!$F$1:$F$1324,"Egreso")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SUMIFS(Movimientos!$J$1:$J$1324,Movimientos!$C$1:$C$1324,$B19,Movimientos!$D$1:$D$1324,$C19,Movimientos!$L$1:$L$1324,A$5,Movimientos!$F$1:$F$1324,"Ingreso")</f>
        <v>560000</v>
      </c>
      <c r="U19" s="44">
        <f>SUMIFS(Movimientos!$J$1:$J$1324,Movimientos!$C$1:$C$1324,$B19,Movimientos!$D$1:$D$1324,$C19,Movimientos!$L$1:$L$1324,A$5,Movimientos!$F$1:$F$1324,"Egreso")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SUMIFS(Movimientos!$J$1:$J$1324,Movimientos!$C$1:$C$1324,$B19,Movimientos!$D$1:$D$1324,$C19,Movimientos!$L$1:$L$1324,A$6,Movimientos!$F$1:$F$1324,"Ingreso")</f>
        <v>34281.760000000002</v>
      </c>
      <c r="Z19" s="44">
        <f>SUMIFS(Movimientos!$J$1:$J$1324,Movimientos!$C$1:$C$1324,$B19,Movimientos!$D$1:$D$1324,$C19,Movimientos!$L$1:$L$1324,F$5,Movimientos!$F$1:$F$1324,"Egreso")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SUMIFS(Movimientos!$J$1:$J$1324,Movimientos!$C$1:$C$1324,$B20,Movimientos!$D$1:$D$1324,$C20,Movimientos!$L$1:$L$1324,A$3,Movimientos!$F$1:$F$1324,"Ingreso")</f>
        <v>310000.62</v>
      </c>
      <c r="K20" s="44">
        <f>SUMIFS(Movimientos!$J$1:$J$1324,Movimientos!$C$1:$C$1324,$B20,Movimientos!$D$1:$D$1324,$C20,Movimientos!$L$1:$L$1324,A$3,Movimientos!$F$1:$F$1324,"Egreso")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SUMIFS(Movimientos!$J$1:$J$1324,Movimientos!$C$1:$C$1324,$B20,Movimientos!$D$1:$D$1324,$C20,Movimientos!$L$1:$L$1324,A$4,Movimientos!$F$1:$F$1324,"Ingreso")</f>
        <v>3.46</v>
      </c>
      <c r="P20" s="44">
        <f>SUMIFS(Movimientos!$J$1:$J$1324,Movimientos!$C$1:$C$1324,$B20,Movimientos!$D$1:$D$1324,$C20,Movimientos!$L$1:$L$1324,A$4,Movimientos!$F$1:$F$1324,"Egreso")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SUMIFS(Movimientos!$J$1:$J$1324,Movimientos!$C$1:$C$1324,$B20,Movimientos!$D$1:$D$1324,$C20,Movimientos!$L$1:$L$1324,A$5,Movimientos!$F$1:$F$1324,"Ingreso")</f>
        <v>70003.87</v>
      </c>
      <c r="U20" s="44">
        <f>SUMIFS(Movimientos!$J$1:$J$1324,Movimientos!$C$1:$C$1324,$B20,Movimientos!$D$1:$D$1324,$C20,Movimientos!$L$1:$L$1324,A$5,Movimientos!$F$1:$F$1324,"Egreso")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SUMIFS(Movimientos!$J$1:$J$1324,Movimientos!$C$1:$C$1324,$B20,Movimientos!$D$1:$D$1324,$C20,Movimientos!$L$1:$L$1324,A$6,Movimientos!$F$1:$F$1324,"Ingreso")</f>
        <v>4.24</v>
      </c>
      <c r="Z20" s="44">
        <f>SUMIFS(Movimientos!$J$1:$J$1324,Movimientos!$C$1:$C$1324,$B20,Movimientos!$D$1:$D$1324,$C20,Movimientos!$L$1:$L$1324,F$5,Movimientos!$F$1:$F$1324,"Egreso")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SUMIFS(Movimientos!$J$1:$J$1324,Movimientos!$C$1:$C$1324,$B21,Movimientos!$D$1:$D$1324,$C21,Movimientos!$L$1:$L$1324,A$3,Movimientos!$F$1:$F$1324,"Ingreso")</f>
        <v>0</v>
      </c>
      <c r="K21" s="44">
        <f>SUMIFS(Movimientos!$J$1:$J$1324,Movimientos!$C$1:$C$1324,$B21,Movimientos!$D$1:$D$1324,$C21,Movimientos!$L$1:$L$1324,A$3,Movimientos!$F$1:$F$1324,"Egreso")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SUMIFS(Movimientos!$J$1:$J$1324,Movimientos!$C$1:$C$1324,$B21,Movimientos!$D$1:$D$1324,$C21,Movimientos!$L$1:$L$1324,A$4,Movimientos!$F$1:$F$1324,"Ingreso")</f>
        <v>14659.29</v>
      </c>
      <c r="P21" s="44">
        <f>SUMIFS(Movimientos!$J$1:$J$1324,Movimientos!$C$1:$C$1324,$B21,Movimientos!$D$1:$D$1324,$C21,Movimientos!$L$1:$L$1324,A$4,Movimientos!$F$1:$F$1324,"Egreso")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SUMIFS(Movimientos!$J$1:$J$1324,Movimientos!$C$1:$C$1324,$B21,Movimientos!$D$1:$D$1324,$C21,Movimientos!$L$1:$L$1324,A$5,Movimientos!$F$1:$F$1324,"Ingreso")</f>
        <v>0</v>
      </c>
      <c r="U21" s="44">
        <f>SUMIFS(Movimientos!$J$1:$J$1324,Movimientos!$C$1:$C$1324,$B21,Movimientos!$D$1:$D$1324,$C21,Movimientos!$L$1:$L$1324,A$5,Movimientos!$F$1:$F$1324,"Egreso")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SUMIFS(Movimientos!$J$1:$J$1324,Movimientos!$C$1:$C$1324,$B21,Movimientos!$D$1:$D$1324,$C21,Movimientos!$L$1:$L$1324,A$6,Movimientos!$F$1:$F$1324,"Ingreso")</f>
        <v>0</v>
      </c>
      <c r="Z21" s="44">
        <f>SUMIFS(Movimientos!$J$1:$J$1324,Movimientos!$C$1:$C$1324,$B21,Movimientos!$D$1:$D$1324,$C21,Movimientos!$L$1:$L$1324,F$5,Movimientos!$F$1:$F$1324,"Egreso")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SUMIFS(Movimientos!$J$1:$J$1324,Movimientos!$C$1:$C$1324,$B22,Movimientos!$D$1:$D$1324,$C22,Movimientos!$L$1:$L$1324,A$3,Movimientos!$F$1:$F$1324,"Ingreso")</f>
        <v>0</v>
      </c>
      <c r="K22" s="44">
        <f>SUMIFS(Movimientos!$J$1:$J$1324,Movimientos!$C$1:$C$1324,$B22,Movimientos!$D$1:$D$1324,$C22,Movimientos!$L$1:$L$1324,A$3,Movimientos!$F$1:$F$1324,"Egreso")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SUMIFS(Movimientos!$J$1:$J$1324,Movimientos!$C$1:$C$1324,$B22,Movimientos!$D$1:$D$1324,$C22,Movimientos!$L$1:$L$1324,A$4,Movimientos!$F$1:$F$1324,"Ingreso")</f>
        <v>0</v>
      </c>
      <c r="P22" s="44">
        <f>SUMIFS(Movimientos!$J$1:$J$1324,Movimientos!$C$1:$C$1324,$B22,Movimientos!$D$1:$D$1324,$C22,Movimientos!$L$1:$L$1324,A$4,Movimientos!$F$1:$F$1324,"Egreso")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SUMIFS(Movimientos!$J$1:$J$1324,Movimientos!$C$1:$C$1324,$B22,Movimientos!$D$1:$D$1324,$C22,Movimientos!$L$1:$L$1324,A$5,Movimientos!$F$1:$F$1324,"Ingreso")</f>
        <v>100</v>
      </c>
      <c r="U22" s="44">
        <f>SUMIFS(Movimientos!$J$1:$J$1324,Movimientos!$C$1:$C$1324,$B22,Movimientos!$D$1:$D$1324,$C22,Movimientos!$L$1:$L$1324,A$5,Movimientos!$F$1:$F$1324,"Egreso")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SUMIFS(Movimientos!$J$1:$J$1324,Movimientos!$C$1:$C$1324,$B22,Movimientos!$D$1:$D$1324,$C22,Movimientos!$L$1:$L$1324,A$6,Movimientos!$F$1:$F$1324,"Ingreso")</f>
        <v>0</v>
      </c>
      <c r="Z22" s="44">
        <f>SUMIFS(Movimientos!$J$1:$J$1324,Movimientos!$C$1:$C$1324,$B22,Movimientos!$D$1:$D$1324,$C22,Movimientos!$L$1:$L$1324,F$5,Movimientos!$F$1:$F$1324,"Egreso")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SUMIFS(Movimientos!$J$1:$J$1324,Movimientos!$C$1:$C$1324,$B23,Movimientos!$D$1:$D$1324,$C23,Movimientos!$L$1:$L$1324,A$3,Movimientos!$F$1:$F$1324,"Ingreso")</f>
        <v>0</v>
      </c>
      <c r="K23" s="44">
        <f>SUMIFS(Movimientos!$J$1:$J$1324,Movimientos!$C$1:$C$1324,$B23,Movimientos!$D$1:$D$1324,$C23,Movimientos!$L$1:$L$1324,A$3,Movimientos!$F$1:$F$1324,"Egreso")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SUMIFS(Movimientos!$J$1:$J$1324,Movimientos!$C$1:$C$1324,$B23,Movimientos!$D$1:$D$1324,$C23,Movimientos!$L$1:$L$1324,A$4,Movimientos!$F$1:$F$1324,"Ingreso")</f>
        <v>0</v>
      </c>
      <c r="P23" s="44">
        <f>SUMIFS(Movimientos!$J$1:$J$1324,Movimientos!$C$1:$C$1324,$B23,Movimientos!$D$1:$D$1324,$C23,Movimientos!$L$1:$L$1324,A$4,Movimientos!$F$1:$F$1324,"Egreso")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SUMIFS(Movimientos!$J$1:$J$1324,Movimientos!$C$1:$C$1324,$B23,Movimientos!$D$1:$D$1324,$C23,Movimientos!$L$1:$L$1324,A$5,Movimientos!$F$1:$F$1324,"Ingreso")</f>
        <v>0</v>
      </c>
      <c r="U23" s="44">
        <f>SUMIFS(Movimientos!$J$1:$J$1324,Movimientos!$C$1:$C$1324,$B23,Movimientos!$D$1:$D$1324,$C23,Movimientos!$L$1:$L$1324,A$5,Movimientos!$F$1:$F$1324,"Egreso")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SUMIFS(Movimientos!$J$1:$J$1324,Movimientos!$C$1:$C$1324,$B23,Movimientos!$D$1:$D$1324,$C23,Movimientos!$L$1:$L$1324,A$6,Movimientos!$F$1:$F$1324,"Ingreso")</f>
        <v>0</v>
      </c>
      <c r="Z23" s="44">
        <f>SUMIFS(Movimientos!$J$1:$J$1324,Movimientos!$C$1:$C$1324,$B23,Movimientos!$D$1:$D$1324,$C23,Movimientos!$L$1:$L$1324,F$5,Movimientos!$F$1:$F$1324,"Egreso")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SUMIFS(Movimientos!$J$1:$J$1324,Movimientos!$C$1:$C$1324,$B24,Movimientos!$D$1:$D$1324,$C24,Movimientos!$L$1:$L$1324,A$3,Movimientos!$F$1:$F$1324,"Ingreso")</f>
        <v>0</v>
      </c>
      <c r="K24" s="44">
        <f>SUMIFS(Movimientos!$J$1:$J$1324,Movimientos!$C$1:$C$1324,$B24,Movimientos!$D$1:$D$1324,$C24,Movimientos!$L$1:$L$1324,A$3,Movimientos!$F$1:$F$1324,"Egreso")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SUMIFS(Movimientos!$J$1:$J$1324,Movimientos!$C$1:$C$1324,$B24,Movimientos!$D$1:$D$1324,$C24,Movimientos!$L$1:$L$1324,A$4,Movimientos!$F$1:$F$1324,"Ingreso")</f>
        <v>1451269.78</v>
      </c>
      <c r="P24" s="44">
        <f>SUMIFS(Movimientos!$J$1:$J$1324,Movimientos!$C$1:$C$1324,$B24,Movimientos!$D$1:$D$1324,$C24,Movimientos!$L$1:$L$1324,A$4,Movimientos!$F$1:$F$1324,"Egreso")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SUMIFS(Movimientos!$J$1:$J$1324,Movimientos!$C$1:$C$1324,$B24,Movimientos!$D$1:$D$1324,$C24,Movimientos!$L$1:$L$1324,A$5,Movimientos!$F$1:$F$1324,"Ingreso")</f>
        <v>0</v>
      </c>
      <c r="U24" s="44">
        <f>SUMIFS(Movimientos!$J$1:$J$1324,Movimientos!$C$1:$C$1324,$B24,Movimientos!$D$1:$D$1324,$C24,Movimientos!$L$1:$L$1324,A$5,Movimientos!$F$1:$F$1324,"Egreso")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SUMIFS(Movimientos!$J$1:$J$1324,Movimientos!$C$1:$C$1324,$B24,Movimientos!$D$1:$D$1324,$C24,Movimientos!$L$1:$L$1324,A$6,Movimientos!$F$1:$F$1324,"Ingreso")</f>
        <v>0</v>
      </c>
      <c r="Z24" s="44">
        <f>SUMIFS(Movimientos!$J$1:$J$1324,Movimientos!$C$1:$C$1324,$B24,Movimientos!$D$1:$D$1324,$C24,Movimientos!$L$1:$L$1324,F$5,Movimientos!$F$1:$F$1324,"Egreso")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SUMIFS(Movimientos!$J$1:$J$1324,Movimientos!$C$1:$C$1324,$B25,Movimientos!$D$1:$D$1324,$C25,Movimientos!$L$1:$L$1324,A$3,Movimientos!$F$1:$F$1324,"Ingreso")</f>
        <v>0</v>
      </c>
      <c r="K25" s="44">
        <f>SUMIFS(Movimientos!$J$1:$J$1324,Movimientos!$C$1:$C$1324,$B25,Movimientos!$D$1:$D$1324,$C25,Movimientos!$L$1:$L$1324,A$3,Movimientos!$F$1:$F$1324,"Egreso")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SUMIFS(Movimientos!$J$1:$J$1324,Movimientos!$C$1:$C$1324,$B25,Movimientos!$D$1:$D$1324,$C25,Movimientos!$L$1:$L$1324,A$4,Movimientos!$F$1:$F$1324,"Ingreso")</f>
        <v>0</v>
      </c>
      <c r="P25" s="44">
        <f>SUMIFS(Movimientos!$J$1:$J$1324,Movimientos!$C$1:$C$1324,$B25,Movimientos!$D$1:$D$1324,$C25,Movimientos!$L$1:$L$1324,A$4,Movimientos!$F$1:$F$1324,"Egreso")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SUMIFS(Movimientos!$J$1:$J$1324,Movimientos!$C$1:$C$1324,$B25,Movimientos!$D$1:$D$1324,$C25,Movimientos!$L$1:$L$1324,A$5,Movimientos!$F$1:$F$1324,"Ingreso")</f>
        <v>0</v>
      </c>
      <c r="U25" s="44">
        <f>SUMIFS(Movimientos!$J$1:$J$1324,Movimientos!$C$1:$C$1324,$B25,Movimientos!$D$1:$D$1324,$C25,Movimientos!$L$1:$L$1324,A$5,Movimientos!$F$1:$F$1324,"Egreso")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SUMIFS(Movimientos!$J$1:$J$1324,Movimientos!$C$1:$C$1324,$B25,Movimientos!$D$1:$D$1324,$C25,Movimientos!$L$1:$L$1324,A$6,Movimientos!$F$1:$F$1324,"Ingreso")</f>
        <v>0</v>
      </c>
      <c r="Z25" s="44">
        <f>SUMIFS(Movimientos!$J$1:$J$1324,Movimientos!$C$1:$C$1324,$B25,Movimientos!$D$1:$D$1324,$C25,Movimientos!$L$1:$L$1324,F$5,Movimientos!$F$1:$F$1324,"Egreso")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SUMIFS(Movimientos!$J$1:$J$1324,Movimientos!$C$1:$C$1324,$B26,Movimientos!$D$1:$D$1324,$C26,Movimientos!$L$1:$L$1324,A$3,Movimientos!$F$1:$F$1324,"Ingreso")</f>
        <v>0</v>
      </c>
      <c r="K26" s="44">
        <f>SUMIFS(Movimientos!$J$1:$J$1324,Movimientos!$C$1:$C$1324,$B26,Movimientos!$D$1:$D$1324,$C26,Movimientos!$L$1:$L$1324,A$3,Movimientos!$F$1:$F$1324,"Egreso")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SUMIFS(Movimientos!$J$1:$J$1324,Movimientos!$C$1:$C$1324,$B26,Movimientos!$D$1:$D$1324,$C26,Movimientos!$L$1:$L$1324,A$4,Movimientos!$F$1:$F$1324,"Ingreso")</f>
        <v>0</v>
      </c>
      <c r="P26" s="44">
        <f>SUMIFS(Movimientos!$J$1:$J$1324,Movimientos!$C$1:$C$1324,$B26,Movimientos!$D$1:$D$1324,$C26,Movimientos!$L$1:$L$1324,A$4,Movimientos!$F$1:$F$1324,"Egreso")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SUMIFS(Movimientos!$J$1:$J$1324,Movimientos!$C$1:$C$1324,$B26,Movimientos!$D$1:$D$1324,$C26,Movimientos!$L$1:$L$1324,A$5,Movimientos!$F$1:$F$1324,"Ingreso")</f>
        <v>0</v>
      </c>
      <c r="U26" s="44">
        <f>SUMIFS(Movimientos!$J$1:$J$1324,Movimientos!$C$1:$C$1324,$B26,Movimientos!$D$1:$D$1324,$C26,Movimientos!$L$1:$L$1324,A$5,Movimientos!$F$1:$F$1324,"Egreso")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SUMIFS(Movimientos!$J$1:$J$1324,Movimientos!$C$1:$C$1324,$B26,Movimientos!$D$1:$D$1324,$C26,Movimientos!$L$1:$L$1324,A$6,Movimientos!$F$1:$F$1324,"Ingreso")</f>
        <v>0</v>
      </c>
      <c r="Z26" s="44">
        <f>SUMIFS(Movimientos!$J$1:$J$1324,Movimientos!$C$1:$C$1324,$B26,Movimientos!$D$1:$D$1324,$C26,Movimientos!$L$1:$L$1324,F$5,Movimientos!$F$1:$F$1324,"Egreso")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SUMIFS(Movimientos!$J$1:$J$1324,Movimientos!$C$1:$C$1324,$B27,Movimientos!$D$1:$D$1324,$C27,Movimientos!$L$1:$L$1324,A$3,Movimientos!$F$1:$F$1324,"Ingreso")</f>
        <v>0</v>
      </c>
      <c r="K27" s="44">
        <f>SUMIFS(Movimientos!$J$1:$J$1324,Movimientos!$C$1:$C$1324,$B27,Movimientos!$D$1:$D$1324,$C27,Movimientos!$L$1:$L$1324,A$3,Movimientos!$F$1:$F$1324,"Egreso")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SUMIFS(Movimientos!$J$1:$J$1324,Movimientos!$C$1:$C$1324,$B27,Movimientos!$D$1:$D$1324,$C27,Movimientos!$L$1:$L$1324,A$4,Movimientos!$F$1:$F$1324,"Ingreso")</f>
        <v>518.65</v>
      </c>
      <c r="P27" s="44">
        <f>SUMIFS(Movimientos!$J$1:$J$1324,Movimientos!$C$1:$C$1324,$B27,Movimientos!$D$1:$D$1324,$C27,Movimientos!$L$1:$L$1324,A$4,Movimientos!$F$1:$F$1324,"Egreso")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SUMIFS(Movimientos!$J$1:$J$1324,Movimientos!$C$1:$C$1324,$B27,Movimientos!$D$1:$D$1324,$C27,Movimientos!$L$1:$L$1324,A$5,Movimientos!$F$1:$F$1324,"Ingreso")</f>
        <v>0</v>
      </c>
      <c r="U27" s="44">
        <f>SUMIFS(Movimientos!$J$1:$J$1324,Movimientos!$C$1:$C$1324,$B27,Movimientos!$D$1:$D$1324,$C27,Movimientos!$L$1:$L$1324,A$5,Movimientos!$F$1:$F$1324,"Egreso")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SUMIFS(Movimientos!$J$1:$J$1324,Movimientos!$C$1:$C$1324,$B27,Movimientos!$D$1:$D$1324,$C27,Movimientos!$L$1:$L$1324,A$6,Movimientos!$F$1:$F$1324,"Ingreso")</f>
        <v>0</v>
      </c>
      <c r="Z27" s="44">
        <f>SUMIFS(Movimientos!$J$1:$J$1324,Movimientos!$C$1:$C$1324,$B27,Movimientos!$D$1:$D$1324,$C27,Movimientos!$L$1:$L$1324,F$5,Movimientos!$F$1:$F$1324,"Egreso")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SUMIFS(Movimientos!$J$1:$J$1324,Movimientos!$C$1:$C$1324,$B28,Movimientos!$D$1:$D$1324,$C28,Movimientos!$L$1:$L$1324,A$3,Movimientos!$F$1:$F$1324,"Ingreso")</f>
        <v>0</v>
      </c>
      <c r="K28" s="44">
        <f>SUMIFS(Movimientos!$J$1:$J$1324,Movimientos!$C$1:$C$1324,$B28,Movimientos!$D$1:$D$1324,$C28,Movimientos!$L$1:$L$1324,A$3,Movimientos!$F$1:$F$1324,"Egreso")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SUMIFS(Movimientos!$J$1:$J$1324,Movimientos!$C$1:$C$1324,$B28,Movimientos!$D$1:$D$1324,$C28,Movimientos!$L$1:$L$1324,A$4,Movimientos!$F$1:$F$1324,"Ingreso")</f>
        <v>0</v>
      </c>
      <c r="P28" s="44">
        <f>SUMIFS(Movimientos!$J$1:$J$1324,Movimientos!$C$1:$C$1324,$B28,Movimientos!$D$1:$D$1324,$C28,Movimientos!$L$1:$L$1324,A$4,Movimientos!$F$1:$F$1324,"Egreso")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SUMIFS(Movimientos!$J$1:$J$1324,Movimientos!$C$1:$C$1324,$B28,Movimientos!$D$1:$D$1324,$C28,Movimientos!$L$1:$L$1324,A$5,Movimientos!$F$1:$F$1324,"Ingreso")</f>
        <v>0</v>
      </c>
      <c r="U28" s="44">
        <f>SUMIFS(Movimientos!$J$1:$J$1324,Movimientos!$C$1:$C$1324,$B28,Movimientos!$D$1:$D$1324,$C28,Movimientos!$L$1:$L$1324,A$5,Movimientos!$F$1:$F$1324,"Egreso")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SUMIFS(Movimientos!$J$1:$J$1324,Movimientos!$C$1:$C$1324,$B28,Movimientos!$D$1:$D$1324,$C28,Movimientos!$L$1:$L$1324,A$6,Movimientos!$F$1:$F$1324,"Ingreso")</f>
        <v>0</v>
      </c>
      <c r="Z28" s="44">
        <f>SUMIFS(Movimientos!$J$1:$J$1324,Movimientos!$C$1:$C$1324,$B28,Movimientos!$D$1:$D$1324,$C28,Movimientos!$L$1:$L$1324,F$5,Movimientos!$F$1:$F$1324,"Egreso")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SUMIFS(Movimientos!$J$1:$J$1324,Movimientos!$C$1:$C$1324,$B29,Movimientos!$D$1:$D$1324,$C29,Movimientos!$L$1:$L$1324,A$3,Movimientos!$F$1:$F$1324,"Ingreso")</f>
        <v>5250</v>
      </c>
      <c r="K29" s="44">
        <f>SUMIFS(Movimientos!$J$1:$J$1324,Movimientos!$C$1:$C$1324,$B29,Movimientos!$D$1:$D$1324,$C29,Movimientos!$L$1:$L$1324,A$3,Movimientos!$F$1:$F$1324,"Egreso")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SUMIFS(Movimientos!$J$1:$J$1324,Movimientos!$C$1:$C$1324,$B29,Movimientos!$D$1:$D$1324,$C29,Movimientos!$L$1:$L$1324,A$4,Movimientos!$F$1:$F$1324,"Ingreso")</f>
        <v>0</v>
      </c>
      <c r="P29" s="44">
        <f>SUMIFS(Movimientos!$J$1:$J$1324,Movimientos!$C$1:$C$1324,$B29,Movimientos!$D$1:$D$1324,$C29,Movimientos!$L$1:$L$1324,A$4,Movimientos!$F$1:$F$1324,"Egreso")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SUMIFS(Movimientos!$J$1:$J$1324,Movimientos!$C$1:$C$1324,$B29,Movimientos!$D$1:$D$1324,$C29,Movimientos!$L$1:$L$1324,A$5,Movimientos!$F$1:$F$1324,"Ingreso")</f>
        <v>30105.4</v>
      </c>
      <c r="U29" s="44">
        <f>SUMIFS(Movimientos!$J$1:$J$1324,Movimientos!$C$1:$C$1324,$B29,Movimientos!$D$1:$D$1324,$C29,Movimientos!$L$1:$L$1324,A$5,Movimientos!$F$1:$F$1324,"Egreso")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SUMIFS(Movimientos!$J$1:$J$1324,Movimientos!$C$1:$C$1324,$B29,Movimientos!$D$1:$D$1324,$C29,Movimientos!$L$1:$L$1324,A$6,Movimientos!$F$1:$F$1324,"Ingreso")</f>
        <v>5250</v>
      </c>
      <c r="Z29" s="44">
        <f>SUMIFS(Movimientos!$J$1:$J$1324,Movimientos!$C$1:$C$1324,$B29,Movimientos!$D$1:$D$1324,$C29,Movimientos!$L$1:$L$1324,F$5,Movimientos!$F$1:$F$1324,"Egreso")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SUMIFS(Movimientos!$J$1:$J$1324,Movimientos!$C$1:$C$1324,$B30,Movimientos!$D$1:$D$1324,$C30,Movimientos!$L$1:$L$1324,A$3,Movimientos!$F$1:$F$1324,"Ingreso")</f>
        <v>0</v>
      </c>
      <c r="K30" s="44">
        <f>SUMIFS(Movimientos!$J$1:$J$1324,Movimientos!$C$1:$C$1324,$B30,Movimientos!$D$1:$D$1324,$C30,Movimientos!$L$1:$L$1324,A$3,Movimientos!$F$1:$F$1324,"Egreso")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SUMIFS(Movimientos!$J$1:$J$1324,Movimientos!$C$1:$C$1324,$B30,Movimientos!$D$1:$D$1324,$C30,Movimientos!$L$1:$L$1324,A$4,Movimientos!$F$1:$F$1324,"Ingreso")</f>
        <v>0</v>
      </c>
      <c r="P30" s="44">
        <f>SUMIFS(Movimientos!$J$1:$J$1324,Movimientos!$C$1:$C$1324,$B30,Movimientos!$D$1:$D$1324,$C30,Movimientos!$L$1:$L$1324,A$4,Movimientos!$F$1:$F$1324,"Egreso")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SUMIFS(Movimientos!$J$1:$J$1324,Movimientos!$C$1:$C$1324,$B30,Movimientos!$D$1:$D$1324,$C30,Movimientos!$L$1:$L$1324,A$5,Movimientos!$F$1:$F$1324,"Ingreso")</f>
        <v>0</v>
      </c>
      <c r="U30" s="44">
        <f>SUMIFS(Movimientos!$J$1:$J$1324,Movimientos!$C$1:$C$1324,$B30,Movimientos!$D$1:$D$1324,$C30,Movimientos!$L$1:$L$1324,A$5,Movimientos!$F$1:$F$1324,"Egreso")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SUMIFS(Movimientos!$J$1:$J$1324,Movimientos!$C$1:$C$1324,$B30,Movimientos!$D$1:$D$1324,$C30,Movimientos!$L$1:$L$1324,A$6,Movimientos!$F$1:$F$1324,"Ingreso")</f>
        <v>0</v>
      </c>
      <c r="Z30" s="44">
        <f>SUMIFS(Movimientos!$J$1:$J$1324,Movimientos!$C$1:$C$1324,$B30,Movimientos!$D$1:$D$1324,$C30,Movimientos!$L$1:$L$1324,F$5,Movimientos!$F$1:$F$1324,"Egreso")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SUMIFS(Movimientos!$J$1:$J$1324,Movimientos!$C$1:$C$1324,$B31,Movimientos!$D$1:$D$1324,$C31,Movimientos!$L$1:$L$1324,A$3,Movimientos!$F$1:$F$1324,"Ingreso")</f>
        <v>15000</v>
      </c>
      <c r="K31" s="44">
        <f>SUMIFS(Movimientos!$J$1:$J$1324,Movimientos!$C$1:$C$1324,$B31,Movimientos!$D$1:$D$1324,$C31,Movimientos!$L$1:$L$1324,A$3,Movimientos!$F$1:$F$1324,"Egreso")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SUMIFS(Movimientos!$J$1:$J$1324,Movimientos!$C$1:$C$1324,$B31,Movimientos!$D$1:$D$1324,$C31,Movimientos!$L$1:$L$1324,A$4,Movimientos!$F$1:$F$1324,"Ingreso")</f>
        <v>15000</v>
      </c>
      <c r="P31" s="44">
        <f>SUMIFS(Movimientos!$J$1:$J$1324,Movimientos!$C$1:$C$1324,$B31,Movimientos!$D$1:$D$1324,$C31,Movimientos!$L$1:$L$1324,A$4,Movimientos!$F$1:$F$1324,"Egreso")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SUMIFS(Movimientos!$J$1:$J$1324,Movimientos!$C$1:$C$1324,$B31,Movimientos!$D$1:$D$1324,$C31,Movimientos!$L$1:$L$1324,A$5,Movimientos!$F$1:$F$1324,"Ingreso")</f>
        <v>21000</v>
      </c>
      <c r="U31" s="44">
        <f>SUMIFS(Movimientos!$J$1:$J$1324,Movimientos!$C$1:$C$1324,$B31,Movimientos!$D$1:$D$1324,$C31,Movimientos!$L$1:$L$1324,A$5,Movimientos!$F$1:$F$1324,"Egreso")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SUMIFS(Movimientos!$J$1:$J$1324,Movimientos!$C$1:$C$1324,$B31,Movimientos!$D$1:$D$1324,$C31,Movimientos!$L$1:$L$1324,A$6,Movimientos!$F$1:$F$1324,"Ingreso")</f>
        <v>8227.09</v>
      </c>
      <c r="Z31" s="44">
        <f>SUMIFS(Movimientos!$J$1:$J$1324,Movimientos!$C$1:$C$1324,$B31,Movimientos!$D$1:$D$1324,$C31,Movimientos!$L$1:$L$1324,F$5,Movimientos!$F$1:$F$1324,"Egreso")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SUMIFS(Movimientos!$J$1:$J$1324,Movimientos!$C$1:$C$1324,$B32,Movimientos!$D$1:$D$1324,$C32,Movimientos!$L$1:$L$1324,A$3,Movimientos!$F$1:$F$1324,"Ingreso")</f>
        <v>12000</v>
      </c>
      <c r="K32" s="44">
        <f>SUMIFS(Movimientos!$J$1:$J$1324,Movimientos!$C$1:$C$1324,$B32,Movimientos!$D$1:$D$1324,$C32,Movimientos!$L$1:$L$1324,A$3,Movimientos!$F$1:$F$1324,"Egreso")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SUMIFS(Movimientos!$J$1:$J$1324,Movimientos!$C$1:$C$1324,$B32,Movimientos!$D$1:$D$1324,$C32,Movimientos!$L$1:$L$1324,A$4,Movimientos!$F$1:$F$1324,"Ingreso")</f>
        <v>8800</v>
      </c>
      <c r="P32" s="44">
        <f>SUMIFS(Movimientos!$J$1:$J$1324,Movimientos!$C$1:$C$1324,$B32,Movimientos!$D$1:$D$1324,$C32,Movimientos!$L$1:$L$1324,A$4,Movimientos!$F$1:$F$1324,"Egreso")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SUMIFS(Movimientos!$J$1:$J$1324,Movimientos!$C$1:$C$1324,$B32,Movimientos!$D$1:$D$1324,$C32,Movimientos!$L$1:$L$1324,A$5,Movimientos!$F$1:$F$1324,"Ingreso")</f>
        <v>9400</v>
      </c>
      <c r="U32" s="44">
        <f>SUMIFS(Movimientos!$J$1:$J$1324,Movimientos!$C$1:$C$1324,$B32,Movimientos!$D$1:$D$1324,$C32,Movimientos!$L$1:$L$1324,A$5,Movimientos!$F$1:$F$1324,"Egreso")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SUMIFS(Movimientos!$J$1:$J$1324,Movimientos!$C$1:$C$1324,$B32,Movimientos!$D$1:$D$1324,$C32,Movimientos!$L$1:$L$1324,A$6,Movimientos!$F$1:$F$1324,"Ingreso")</f>
        <v>7304.8099999999995</v>
      </c>
      <c r="Z32" s="44">
        <f>SUMIFS(Movimientos!$J$1:$J$1324,Movimientos!$C$1:$C$1324,$B32,Movimientos!$D$1:$D$1324,$C32,Movimientos!$L$1:$L$1324,F$5,Movimientos!$F$1:$F$1324,"Egreso")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SUMIFS(Movimientos!$J$1:$J$1324,Movimientos!$C$1:$C$1324,$B33,Movimientos!$D$1:$D$1324,$C33,Movimientos!$L$1:$L$1324,A$3,Movimientos!$F$1:$F$1324,"Ingreso")</f>
        <v>59000</v>
      </c>
      <c r="K33" s="44">
        <f>SUMIFS(Movimientos!$J$1:$J$1324,Movimientos!$C$1:$C$1324,$B33,Movimientos!$D$1:$D$1324,$C33,Movimientos!$L$1:$L$1324,A$3,Movimientos!$F$1:$F$1324,"Egreso")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SUMIFS(Movimientos!$J$1:$J$1324,Movimientos!$C$1:$C$1324,$B33,Movimientos!$D$1:$D$1324,$C33,Movimientos!$L$1:$L$1324,A$4,Movimientos!$F$1:$F$1324,"Ingreso")</f>
        <v>50000</v>
      </c>
      <c r="P33" s="44">
        <f>SUMIFS(Movimientos!$J$1:$J$1324,Movimientos!$C$1:$C$1324,$B33,Movimientos!$D$1:$D$1324,$C33,Movimientos!$L$1:$L$1324,A$4,Movimientos!$F$1:$F$1324,"Egreso")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SUMIFS(Movimientos!$J$1:$J$1324,Movimientos!$C$1:$C$1324,$B33,Movimientos!$D$1:$D$1324,$C33,Movimientos!$L$1:$L$1324,A$5,Movimientos!$F$1:$F$1324,"Ingreso")</f>
        <v>23000</v>
      </c>
      <c r="U33" s="44">
        <f>SUMIFS(Movimientos!$J$1:$J$1324,Movimientos!$C$1:$C$1324,$B33,Movimientos!$D$1:$D$1324,$C33,Movimientos!$L$1:$L$1324,A$5,Movimientos!$F$1:$F$1324,"Egreso")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SUMIFS(Movimientos!$J$1:$J$1324,Movimientos!$C$1:$C$1324,$B33,Movimientos!$D$1:$D$1324,$C33,Movimientos!$L$1:$L$1324,A$6,Movimientos!$F$1:$F$1324,"Ingreso")</f>
        <v>20000</v>
      </c>
      <c r="Z33" s="44">
        <f>SUMIFS(Movimientos!$J$1:$J$1324,Movimientos!$C$1:$C$1324,$B33,Movimientos!$D$1:$D$1324,$C33,Movimientos!$L$1:$L$1324,F$5,Movimientos!$F$1:$F$1324,"Egreso")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SUMIFS(Movimientos!$J$1:$J$1324,Movimientos!$C$1:$C$1324,$B34,Movimientos!$D$1:$D$1324,$C34,Movimientos!$L$1:$L$1324,A$3,Movimientos!$F$1:$F$1324,"Ingreso")</f>
        <v>59000</v>
      </c>
      <c r="K34" s="44">
        <f>SUMIFS(Movimientos!$J$1:$J$1324,Movimientos!$C$1:$C$1324,$B34,Movimientos!$D$1:$D$1324,$C34,Movimientos!$L$1:$L$1324,A$3,Movimientos!$F$1:$F$1324,"Egreso")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SUMIFS(Movimientos!$J$1:$J$1324,Movimientos!$C$1:$C$1324,$B34,Movimientos!$D$1:$D$1324,$C34,Movimientos!$L$1:$L$1324,A$4,Movimientos!$F$1:$F$1324,"Ingreso")</f>
        <v>50000</v>
      </c>
      <c r="P34" s="44">
        <f>SUMIFS(Movimientos!$J$1:$J$1324,Movimientos!$C$1:$C$1324,$B34,Movimientos!$D$1:$D$1324,$C34,Movimientos!$L$1:$L$1324,A$4,Movimientos!$F$1:$F$1324,"Egreso")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SUMIFS(Movimientos!$J$1:$J$1324,Movimientos!$C$1:$C$1324,$B34,Movimientos!$D$1:$D$1324,$C34,Movimientos!$L$1:$L$1324,A$5,Movimientos!$F$1:$F$1324,"Ingreso")</f>
        <v>23000</v>
      </c>
      <c r="U34" s="44">
        <f>SUMIFS(Movimientos!$J$1:$J$1324,Movimientos!$C$1:$C$1324,$B34,Movimientos!$D$1:$D$1324,$C34,Movimientos!$L$1:$L$1324,A$5,Movimientos!$F$1:$F$1324,"Egreso")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SUMIFS(Movimientos!$J$1:$J$1324,Movimientos!$C$1:$C$1324,$B34,Movimientos!$D$1:$D$1324,$C34,Movimientos!$L$1:$L$1324,A$6,Movimientos!$F$1:$F$1324,"Ingreso")</f>
        <v>20000</v>
      </c>
      <c r="Z34" s="44">
        <f>SUMIFS(Movimientos!$J$1:$J$1324,Movimientos!$C$1:$C$1324,$B34,Movimientos!$D$1:$D$1324,$C34,Movimientos!$L$1:$L$1324,F$5,Movimientos!$F$1:$F$1324,"Egreso")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SUMIFS(Movimientos!$J$1:$J$1324,Movimientos!$C$1:$C$1324,$B35,Movimientos!$D$1:$D$1324,$C35,Movimientos!$L$1:$L$1324,A$3,Movimientos!$F$1:$F$1324,"Ingreso")</f>
        <v>0</v>
      </c>
      <c r="K35" s="44">
        <f>SUMIFS(Movimientos!$J$1:$J$1324,Movimientos!$C$1:$C$1324,$B35,Movimientos!$D$1:$D$1324,$C35,Movimientos!$L$1:$L$1324,A$3,Movimientos!$F$1:$F$1324,"Egreso")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SUMIFS(Movimientos!$J$1:$J$1324,Movimientos!$C$1:$C$1324,$B35,Movimientos!$D$1:$D$1324,$C35,Movimientos!$L$1:$L$1324,A$4,Movimientos!$F$1:$F$1324,"Ingreso")</f>
        <v>15000</v>
      </c>
      <c r="P35" s="44">
        <f>SUMIFS(Movimientos!$J$1:$J$1324,Movimientos!$C$1:$C$1324,$B35,Movimientos!$D$1:$D$1324,$C35,Movimientos!$L$1:$L$1324,A$4,Movimientos!$F$1:$F$1324,"Egreso")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SUMIFS(Movimientos!$J$1:$J$1324,Movimientos!$C$1:$C$1324,$B35,Movimientos!$D$1:$D$1324,$C35,Movimientos!$L$1:$L$1324,A$5,Movimientos!$F$1:$F$1324,"Ingreso")</f>
        <v>0</v>
      </c>
      <c r="U35" s="44">
        <f>SUMIFS(Movimientos!$J$1:$J$1324,Movimientos!$C$1:$C$1324,$B35,Movimientos!$D$1:$D$1324,$C35,Movimientos!$L$1:$L$1324,A$5,Movimientos!$F$1:$F$1324,"Egreso")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SUMIFS(Movimientos!$J$1:$J$1324,Movimientos!$C$1:$C$1324,$B35,Movimientos!$D$1:$D$1324,$C35,Movimientos!$L$1:$L$1324,A$6,Movimientos!$F$1:$F$1324,"Ingreso")</f>
        <v>6500</v>
      </c>
      <c r="Z35" s="44">
        <f>SUMIFS(Movimientos!$J$1:$J$1324,Movimientos!$C$1:$C$1324,$B35,Movimientos!$D$1:$D$1324,$C35,Movimientos!$L$1:$L$1324,F$5,Movimientos!$F$1:$F$1324,"Egreso")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68"/>
  <sheetViews>
    <sheetView showGridLines="0" zoomScale="80" zoomScaleNormal="80" workbookViewId="0">
      <pane xSplit="2" ySplit="1" topLeftCell="AC151" activePane="bottomRight" state="frozen"/>
      <selection pane="topRight" activeCell="C1" sqref="C1"/>
      <selection pane="bottomLeft" activeCell="A2" sqref="A2"/>
      <selection pane="bottomRight" activeCell="AD161" sqref="AD161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216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Aparments",Movimientos!$B$1:$B$1324,"&lt;="&amp;$B2))</f>
        <v>0</v>
      </c>
      <c r="AD2" s="24">
        <f>IF(YEAR($B2)*100+MONTH($B2)&lt;--SUBSTITUTE(_xlfn.XLOOKUP("Don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Aparments",Movimientos!$B$1:$B$1324,"&lt;="&amp;$B3))</f>
        <v>0</v>
      </c>
      <c r="AD3" s="24">
        <f>IF(YEAR($B3)*100+MONTH($B3)&lt;--SUBSTITUTE(_xlfn.XLOOKUP("Don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Aparments",Movimientos!$B$1:$B$1324,"&lt;="&amp;$B4))</f>
        <v>0</v>
      </c>
      <c r="AD4" s="24">
        <f>IF(YEAR($B4)*100+MONTH($B4)&lt;--SUBSTITUTE(_xlfn.XLOOKUP("Don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Aparments",Movimientos!$B$1:$B$1324,"&lt;="&amp;$B5))</f>
        <v>0</v>
      </c>
      <c r="AD5" s="24">
        <f>IF(YEAR($B5)*100+MONTH($B5)&lt;--SUBSTITUTE(_xlfn.XLOOKUP("Don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Aparments",Movimientos!$B$1:$B$1324,"&lt;="&amp;$B6))</f>
        <v>0</v>
      </c>
      <c r="AD6" s="24">
        <f>IF(YEAR($B6)*100+MONTH($B6)&lt;--SUBSTITUTE(_xlfn.XLOOKUP("Don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Aparments",Movimientos!$B$1:$B$1324,"&lt;="&amp;$B7))</f>
        <v>0</v>
      </c>
      <c r="AD7" s="24">
        <f>IF(YEAR($B7)*100+MONTH($B7)&lt;--SUBSTITUTE(_xlfn.XLOOKUP("Don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Aparments",Movimientos!$B$1:$B$1324,"&lt;="&amp;$B8))</f>
        <v>0</v>
      </c>
      <c r="AD8" s="24">
        <f>IF(YEAR($B8)*100+MONTH($B8)&lt;--SUBSTITUTE(_xlfn.XLOOKUP("Don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Aparments",Movimientos!$B$1:$B$1324,"&lt;="&amp;$B9))</f>
        <v>0</v>
      </c>
      <c r="AD9" s="24">
        <f>IF(YEAR($B9)*100+MONTH($B9)&lt;--SUBSTITUTE(_xlfn.XLOOKUP("Don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Aparments",Movimientos!$B$1:$B$1324,"&lt;="&amp;$B10))</f>
        <v>0</v>
      </c>
      <c r="AD10" s="24">
        <f>IF(YEAR($B10)*100+MONTH($B10)&lt;--SUBSTITUTE(_xlfn.XLOOKUP("Don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Aparments",Movimientos!$B$1:$B$1324,"&lt;="&amp;$B11))</f>
        <v>0</v>
      </c>
      <c r="AD11" s="24">
        <f>IF(YEAR($B11)*100+MONTH($B11)&lt;--SUBSTITUTE(_xlfn.XLOOKUP("Don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Aparments",Movimientos!$B$1:$B$1324,"&lt;="&amp;$B12))</f>
        <v>0</v>
      </c>
      <c r="AD12" s="24">
        <f>IF(YEAR($B12)*100+MONTH($B12)&lt;--SUBSTITUTE(_xlfn.XLOOKUP("Don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Aparments",Movimientos!$B$1:$B$1324,"&lt;="&amp;$B13))</f>
        <v>0</v>
      </c>
      <c r="AD13" s="24">
        <f>IF(YEAR($B13)*100+MONTH($B13)&lt;--SUBSTITUTE(_xlfn.XLOOKUP("Don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Aparments",Movimientos!$B$1:$B$1324,"&lt;="&amp;$B14))</f>
        <v>0</v>
      </c>
      <c r="AD14" s="24">
        <f>IF(YEAR($B14)*100+MONTH($B14)&lt;--SUBSTITUTE(_xlfn.XLOOKUP("Don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Aparments",Movimientos!$B$1:$B$1324,"&lt;="&amp;$B15))</f>
        <v>0</v>
      </c>
      <c r="AD15" s="24">
        <f>IF(YEAR($B15)*100+MONTH($B15)&lt;--SUBSTITUTE(_xlfn.XLOOKUP("Don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Aparments",Movimientos!$B$1:$B$1324,"&lt;="&amp;$B16))</f>
        <v>0</v>
      </c>
      <c r="AD16" s="24">
        <f>IF(YEAR($B16)*100+MONTH($B16)&lt;--SUBSTITUTE(_xlfn.XLOOKUP("Don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Aparments",Movimientos!$B$1:$B$1324,"&lt;="&amp;$B17))</f>
        <v>0</v>
      </c>
      <c r="AD17" s="24">
        <f>IF(YEAR($B17)*100+MONTH($B17)&lt;--SUBSTITUTE(_xlfn.XLOOKUP("Don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Aparments",Movimientos!$B$1:$B$1324,"&lt;="&amp;$B18))</f>
        <v>0</v>
      </c>
      <c r="AD18" s="24">
        <f>IF(YEAR($B18)*100+MONTH($B18)&lt;--SUBSTITUTE(_xlfn.XLOOKUP("Don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Aparments",Movimientos!$B$1:$B$1324,"&lt;="&amp;$B19))</f>
        <v>0</v>
      </c>
      <c r="AD19" s="24">
        <f>IF(YEAR($B19)*100+MONTH($B19)&lt;--SUBSTITUTE(_xlfn.XLOOKUP("Don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Aparments",Movimientos!$B$1:$B$1324,"&lt;="&amp;$B20))</f>
        <v>0</v>
      </c>
      <c r="AD20" s="24">
        <f>IF(YEAR($B20)*100+MONTH($B20)&lt;--SUBSTITUTE(_xlfn.XLOOKUP("Don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Aparments",Movimientos!$B$1:$B$1324,"&lt;="&amp;$B21))</f>
        <v>0</v>
      </c>
      <c r="AD21" s="24">
        <f>IF(YEAR($B21)*100+MONTH($B21)&lt;--SUBSTITUTE(_xlfn.XLOOKUP("Don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Aparments",Movimientos!$B$1:$B$1324,"&lt;="&amp;$B22))</f>
        <v>0</v>
      </c>
      <c r="AD22" s="24">
        <f>IF(YEAR($B22)*100+MONTH($B22)&lt;--SUBSTITUTE(_xlfn.XLOOKUP("Don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Aparments",Movimientos!$B$1:$B$1324,"&lt;="&amp;$B23))</f>
        <v>0</v>
      </c>
      <c r="AD23" s="24">
        <f>IF(YEAR($B23)*100+MONTH($B23)&lt;--SUBSTITUTE(_xlfn.XLOOKUP("Don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Aparments",Movimientos!$B$1:$B$1324,"&lt;="&amp;$B24))</f>
        <v>0</v>
      </c>
      <c r="AD24" s="24">
        <f>IF(YEAR($B24)*100+MONTH($B24)&lt;--SUBSTITUTE(_xlfn.XLOOKUP("Don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Aparments",Movimientos!$B$1:$B$1324,"&lt;="&amp;$B25))</f>
        <v>0</v>
      </c>
      <c r="AD25" s="24">
        <f>IF(YEAR($B25)*100+MONTH($B25)&lt;--SUBSTITUTE(_xlfn.XLOOKUP("Don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Aparments",Movimientos!$B$1:$B$1324,"&lt;="&amp;$B26))</f>
        <v>0</v>
      </c>
      <c r="AD26" s="24">
        <f>IF(YEAR($B26)*100+MONTH($B26)&lt;--SUBSTITUTE(_xlfn.XLOOKUP("Don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Aparments",Movimientos!$B$1:$B$1324,"&lt;="&amp;$B27))</f>
        <v>0</v>
      </c>
      <c r="AD27" s="24">
        <f>IF(YEAR($B27)*100+MONTH($B27)&lt;--SUBSTITUTE(_xlfn.XLOOKUP("Don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Aparments",Movimientos!$B$1:$B$1324,"&lt;="&amp;$B28))</f>
        <v>0</v>
      </c>
      <c r="AD28" s="24">
        <f>IF(YEAR($B28)*100+MONTH($B28)&lt;--SUBSTITUTE(_xlfn.XLOOKUP("Don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Aparments",Movimientos!$B$1:$B$1324,"&lt;="&amp;$B29))</f>
        <v>0</v>
      </c>
      <c r="AD29" s="24">
        <f>IF(YEAR($B29)*100+MONTH($B29)&lt;--SUBSTITUTE(_xlfn.XLOOKUP("Don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Aparments",Movimientos!$B$1:$B$1324,"&lt;="&amp;$B30))</f>
        <v>0</v>
      </c>
      <c r="AD30" s="24">
        <f>IF(YEAR($B30)*100+MONTH($B30)&lt;--SUBSTITUTE(_xlfn.XLOOKUP("Don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Aparments",Movimientos!$B$1:$B$1324,"&lt;="&amp;$B31))</f>
        <v>0</v>
      </c>
      <c r="AD31" s="24">
        <f>IF(YEAR($B31)*100+MONTH($B31)&lt;--SUBSTITUTE(_xlfn.XLOOKUP("Don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Aparments",Movimientos!$B$1:$B$1324,"&lt;="&amp;$B32))</f>
        <v>0</v>
      </c>
      <c r="AD32" s="24">
        <f>IF(YEAR($B32)*100+MONTH($B32)&lt;--SUBSTITUTE(_xlfn.XLOOKUP("Don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Group")+SUMIFS(Movimientos!$K$1:$K$1324,Movimientos!$C$1:$C$1324,"CFT Group",Movimientos!$B$1:$B$1324,"&lt;="&amp;$B33)</f>
        <v>983394.14000000013</v>
      </c>
      <c r="D33" s="24">
        <f>SUMIFS('Saldos Iniciales'!$D:$D,'Saldos Iniciales'!$A:$A,"M1B")+SUMIFS(Movimientos!$K$1:$K$1324,Movimientos!$C$1:$C$1324,"M1B",Movimientos!$B$1:$B$1324,"&lt;="&amp;$B33)</f>
        <v>69376.390000000174</v>
      </c>
      <c r="E33" s="24">
        <f>SUMIFS('Saldos Iniciales'!$D:$D,'Saldos Iniciales'!$A:$A,"Durand")+SUMIFS(Movimientos!$K$1:$K$1324,Movimientos!$C$1:$C$1324,"Durand",Movimientos!$B$1:$B$1324,"&lt;="&amp;$B33)</f>
        <v>1669.89</v>
      </c>
      <c r="F33" s="24">
        <f>SUMIFS('Saldos Iniciales'!$D:$D,'Saldos Iniciales'!$A:$A,"A&amp;M Imports")+SUMIFS(Movimientos!$K$1:$K$1324,Movimientos!$C$1:$C$1324,"A&amp;M Imports",Movimientos!$B$1:$B$1324,"&lt;="&amp;$B33)</f>
        <v>804853.11999999988</v>
      </c>
      <c r="G33" s="24">
        <f>SUMIFS('Saldos Iniciales'!$D:$D,'Saldos Iniciales'!$A:$A,"SSP Capital")+SUMIFS(Movimientos!$K$1:$K$1324,Movimientos!$C$1:$C$1324,"SSP Capital",Movimientos!$B$1:$B$1324,"&lt;="&amp;$B33)</f>
        <v>1015901.6699999992</v>
      </c>
      <c r="H33" s="24">
        <f>SUMIFS('Saldos Iniciales'!$D:$D,'Saldos Iniciales'!$A:$A,"Cross Family Trust")+SUMIFS(Movimientos!$K$1:$K$1324,Movimientos!$C$1:$C$1324,"Cross Family Trust",Movimientos!$B$1:$B$1324,"&lt;="&amp;$B33)</f>
        <v>131496.38</v>
      </c>
      <c r="I33" s="24">
        <f>SUMIFS('Saldos Iniciales'!$D:$D,'Saldos Iniciales'!$A:$A,"Cross Security Trust")+SUMIFS(Movimientos!$K$1:$K$1324,Movimientos!$C$1:$C$1324,"Cross Security Trust",Movimientos!$B$1:$B$1324,"&lt;="&amp;$B33)</f>
        <v>20375.37</v>
      </c>
      <c r="J33" s="24">
        <f>SUMIFS('Saldos Iniciales'!$D:$D,'Saldos Iniciales'!$A:$A,"Electrama")+SUMIFS(Movimientos!$K$1:$K$1324,Movimientos!$C$1:$C$1324,"Electrama",Movimientos!$B$1:$B$1324,"&lt;="&amp;$B33)</f>
        <v>511.15999999999985</v>
      </c>
      <c r="K33" s="24">
        <f>SUMIFS('Saldos Iniciales'!$D:$D,'Saldos Iniciales'!$A:$A,"Sacred Valley Capital")+SUMIFS(Movimientos!$K$1:$K$1324,Movimientos!$C$1:$C$1324,"Sacred Valley Capital",Movimientos!$B$1:$B$1324,"&lt;="&amp;$B33)</f>
        <v>84.35</v>
      </c>
      <c r="L33" s="24">
        <f>SUMIFS('Saldos Iniciales'!$D:$D,'Saldos Iniciales'!$A:$A,"YWC Capital")+SUMIFS(Movimientos!$K$1:$K$1324,Movimientos!$C$1:$C$1324,"YWC Capital",Movimientos!$B$1:$B$1324,"&lt;="&amp;$B33)</f>
        <v>2237.77</v>
      </c>
      <c r="M33" s="24">
        <f>SUMIFS('Saldos Iniciales'!$D:$D,'Saldos Iniciales'!$A:$A,"Soweto")+SUMIFS(Movimientos!$K$1:$K$1324,Movimientos!$C$1:$C$1324,"Soweto",Movimientos!$B$1:$B$1324,"&lt;="&amp;$B33)</f>
        <v>3349.94</v>
      </c>
      <c r="N33" s="24">
        <f>SUMIFS('Saldos Iniciales'!$D:$D,'Saldos Iniciales'!$A:$A,"Green Stone Trust")+SUMIFS(Movimientos!$K$1:$K$1324,Movimientos!$C$1:$C$1324,"Green Stone Trust",Movimientos!$B$1:$B$1324,"&lt;="&amp;$B33)</f>
        <v>1968.99</v>
      </c>
      <c r="O33" s="24">
        <f>SUMIFS('Saldos Iniciales'!$D:$D,'Saldos Iniciales'!$A:$A,"EC Auto")+SUMIFS(Movimientos!$K$1:$K$1324,Movimientos!$C$1:$C$1324,"EC Auto",Movimientos!$B$1:$B$1324,"&lt;="&amp;$B33)</f>
        <v>901.34</v>
      </c>
      <c r="P33" s="24">
        <f>SUMIFS('Saldos Iniciales'!$D:$D,'Saldos Iniciales'!$A:$A,"Arbor Capital Properties")+SUMIFS(Movimientos!$K$1:$K$1324,Movimientos!$C$1:$C$1324,"Arbor Capital Properties",Movimientos!$B$1:$B$1324,"&lt;="&amp;$B33)</f>
        <v>1428.08</v>
      </c>
      <c r="Q33" s="24">
        <f>SUMIFS('Saldos Iniciales'!$D:$D,'Saldos Iniciales'!$A:$A,"2515 Overbrook")+SUMIFS(Movimientos!$K$1:$K$1324,Movimientos!$C$1:$C$1324,"2515 Overbrook",Movimientos!$B$1:$B$1324,"&lt;="&amp;$B33)</f>
        <v>26416.26999999996</v>
      </c>
      <c r="R33" s="24">
        <f>SUMIFS('Saldos Iniciales'!$D:$D,'Saldos Iniciales'!$A:$A,"112 Florida Ave")+SUMIFS(Movimientos!$K$1:$K$1324,Movimientos!$C$1:$C$1324,"112 Florida Ave",Movimientos!$B$1:$B$1324,"&lt;="&amp;$B33)</f>
        <v>5321.4300000000021</v>
      </c>
      <c r="S33" s="24">
        <f>SUMIFS('Saldos Iniciales'!$D:$D,'Saldos Iniciales'!$A:$A,"3628 Thomas Ave")+SUMIFS(Movimientos!$K$1:$K$1324,Movimientos!$C$1:$C$1324,"3628 Thomas Ave",Movimientos!$B$1:$B$1324,"&lt;="&amp;$B33)</f>
        <v>24833.23</v>
      </c>
      <c r="T33" s="24">
        <f>SUMIFS('Saldos Iniciales'!$D:$D,'Saldos Iniciales'!$A:$A,"Green Harbor Trust")+SUMIFS(Movimientos!$K$1:$K$1324,Movimientos!$C$1:$C$1324,"Green Harbor Trust",Movimientos!$B$1:$B$1324,"&lt;="&amp;$B33)</f>
        <v>345</v>
      </c>
      <c r="U33" s="24">
        <f>SUMIFS('Saldos Iniciales'!$D:$D,'Saldos Iniciales'!$A:$A,"Go Blue")+SUMIFS(Movimientos!$K$1:$K$1324,Movimientos!$C$1:$C$1324,"Go Blue",Movimientos!$B$1:$B$1324,"&lt;="&amp;$B33)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Aparments",Movimientos!$B$1:$B$1324,"&lt;="&amp;$B33))</f>
        <v>0</v>
      </c>
      <c r="AD33" s="24">
        <f>IF(YEAR($B33)*100+MONTH($B33)&lt;--SUBSTITUTE(_xlfn.XLOOKUP("Don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Life",Movimientos!$B$1:$B$1324,"&lt;="&amp;$B33))</f>
        <v>0</v>
      </c>
      <c r="AE33" s="25">
        <f t="shared" ref="AE33:AE64" si="1">SUM(C33:AD33)</f>
        <v>3106582.3399999994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Group")+SUMIFS(Movimientos!$K$1:$K$1324,Movimientos!$C$1:$C$1324,"CFT Group",Movimientos!$B$1:$B$1324,"&lt;="&amp;$B34)</f>
        <v>983394.14000000013</v>
      </c>
      <c r="D34" s="24">
        <f>SUMIFS('Saldos Iniciales'!$D:$D,'Saldos Iniciales'!$A:$A,"M1B")+SUMIFS(Movimientos!$K$1:$K$1324,Movimientos!$C$1:$C$1324,"M1B",Movimientos!$B$1:$B$1324,"&lt;="&amp;$B34)</f>
        <v>69376.390000000174</v>
      </c>
      <c r="E34" s="24">
        <f>SUMIFS('Saldos Iniciales'!$D:$D,'Saldos Iniciales'!$A:$A,"Durand")+SUMIFS(Movimientos!$K$1:$K$1324,Movimientos!$C$1:$C$1324,"Durand",Movimientos!$B$1:$B$1324,"&lt;="&amp;$B34)</f>
        <v>1669.89</v>
      </c>
      <c r="F34" s="24">
        <f>SUMIFS('Saldos Iniciales'!$D:$D,'Saldos Iniciales'!$A:$A,"A&amp;M Imports")+SUMIFS(Movimientos!$K$1:$K$1324,Movimientos!$C$1:$C$1324,"A&amp;M Imports",Movimientos!$B$1:$B$1324,"&lt;="&amp;$B34)</f>
        <v>804853.11999999988</v>
      </c>
      <c r="G34" s="24">
        <f>SUMIFS('Saldos Iniciales'!$D:$D,'Saldos Iniciales'!$A:$A,"SSP Capital")+SUMIFS(Movimientos!$K$1:$K$1324,Movimientos!$C$1:$C$1324,"SSP Capital",Movimientos!$B$1:$B$1324,"&lt;="&amp;$B34)</f>
        <v>1015901.6699999992</v>
      </c>
      <c r="H34" s="24">
        <f>SUMIFS('Saldos Iniciales'!$D:$D,'Saldos Iniciales'!$A:$A,"Cross Family Trust")+SUMIFS(Movimientos!$K$1:$K$1324,Movimientos!$C$1:$C$1324,"Cross Family Trust",Movimientos!$B$1:$B$1324,"&lt;="&amp;$B34)</f>
        <v>131496.38</v>
      </c>
      <c r="I34" s="24">
        <f>SUMIFS('Saldos Iniciales'!$D:$D,'Saldos Iniciales'!$A:$A,"Cross Security Trust")+SUMIFS(Movimientos!$K$1:$K$1324,Movimientos!$C$1:$C$1324,"Cross Security Trust",Movimientos!$B$1:$B$1324,"&lt;="&amp;$B34)</f>
        <v>20375.37</v>
      </c>
      <c r="J34" s="24">
        <f>SUMIFS('Saldos Iniciales'!$D:$D,'Saldos Iniciales'!$A:$A,"Electrama")+SUMIFS(Movimientos!$K$1:$K$1324,Movimientos!$C$1:$C$1324,"Electrama",Movimientos!$B$1:$B$1324,"&lt;="&amp;$B34)</f>
        <v>511.15999999999985</v>
      </c>
      <c r="K34" s="24">
        <f>SUMIFS('Saldos Iniciales'!$D:$D,'Saldos Iniciales'!$A:$A,"Sacred Valley Capital")+SUMIFS(Movimientos!$K$1:$K$1324,Movimientos!$C$1:$C$1324,"Sacred Valley Capital",Movimientos!$B$1:$B$1324,"&lt;="&amp;$B34)</f>
        <v>84.35</v>
      </c>
      <c r="L34" s="24">
        <f>SUMIFS('Saldos Iniciales'!$D:$D,'Saldos Iniciales'!$A:$A,"YWC Capital")+SUMIFS(Movimientos!$K$1:$K$1324,Movimientos!$C$1:$C$1324,"YWC Capital",Movimientos!$B$1:$B$1324,"&lt;="&amp;$B34)</f>
        <v>2237.77</v>
      </c>
      <c r="M34" s="24">
        <f>SUMIFS('Saldos Iniciales'!$D:$D,'Saldos Iniciales'!$A:$A,"Soweto")+SUMIFS(Movimientos!$K$1:$K$1324,Movimientos!$C$1:$C$1324,"Soweto",Movimientos!$B$1:$B$1324,"&lt;="&amp;$B34)</f>
        <v>3349.94</v>
      </c>
      <c r="N34" s="24">
        <f>SUMIFS('Saldos Iniciales'!$D:$D,'Saldos Iniciales'!$A:$A,"Green Stone Trust")+SUMIFS(Movimientos!$K$1:$K$1324,Movimientos!$C$1:$C$1324,"Green Stone Trust",Movimientos!$B$1:$B$1324,"&lt;="&amp;$B34)</f>
        <v>1968.99</v>
      </c>
      <c r="O34" s="24">
        <f>SUMIFS('Saldos Iniciales'!$D:$D,'Saldos Iniciales'!$A:$A,"EC Auto")+SUMIFS(Movimientos!$K$1:$K$1324,Movimientos!$C$1:$C$1324,"EC Auto",Movimientos!$B$1:$B$1324,"&lt;="&amp;$B34)</f>
        <v>901.34</v>
      </c>
      <c r="P34" s="24">
        <f>SUMIFS('Saldos Iniciales'!$D:$D,'Saldos Iniciales'!$A:$A,"Arbor Capital Properties")+SUMIFS(Movimientos!$K$1:$K$1324,Movimientos!$C$1:$C$1324,"Arbor Capital Properties",Movimientos!$B$1:$B$1324,"&lt;="&amp;$B34)</f>
        <v>1428.08</v>
      </c>
      <c r="Q34" s="24">
        <f>SUMIFS('Saldos Iniciales'!$D:$D,'Saldos Iniciales'!$A:$A,"2515 Overbrook")+SUMIFS(Movimientos!$K$1:$K$1324,Movimientos!$C$1:$C$1324,"2515 Overbrook",Movimientos!$B$1:$B$1324,"&lt;="&amp;$B34)</f>
        <v>25789.969999999961</v>
      </c>
      <c r="R34" s="24">
        <f>SUMIFS('Saldos Iniciales'!$D:$D,'Saldos Iniciales'!$A:$A,"112 Florida Ave")+SUMIFS(Movimientos!$K$1:$K$1324,Movimientos!$C$1:$C$1324,"112 Florida Ave",Movimientos!$B$1:$B$1324,"&lt;="&amp;$B34)</f>
        <v>5321.4300000000021</v>
      </c>
      <c r="S34" s="24">
        <f>SUMIFS('Saldos Iniciales'!$D:$D,'Saldos Iniciales'!$A:$A,"3628 Thomas Ave")+SUMIFS(Movimientos!$K$1:$K$1324,Movimientos!$C$1:$C$1324,"3628 Thomas Ave",Movimientos!$B$1:$B$1324,"&lt;="&amp;$B34)</f>
        <v>24833.23</v>
      </c>
      <c r="T34" s="24">
        <f>SUMIFS('Saldos Iniciales'!$D:$D,'Saldos Iniciales'!$A:$A,"Green Harbor Trust")+SUMIFS(Movimientos!$K$1:$K$1324,Movimientos!$C$1:$C$1324,"Green Harbor Trust",Movimientos!$B$1:$B$1324,"&lt;="&amp;$B34)</f>
        <v>345</v>
      </c>
      <c r="U34" s="24">
        <f>SUMIFS('Saldos Iniciales'!$D:$D,'Saldos Iniciales'!$A:$A,"Go Blue")+SUMIFS(Movimientos!$K$1:$K$1324,Movimientos!$C$1:$C$1324,"Go Blue",Movimientos!$B$1:$B$1324,"&lt;="&amp;$B34)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Aparments",Movimientos!$B$1:$B$1324,"&lt;="&amp;$B34))</f>
        <v>0</v>
      </c>
      <c r="AD34" s="24">
        <f>IF(YEAR($B34)*100+MONTH($B34)&lt;--SUBSTITUTE(_xlfn.XLOOKUP("Don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Life",Movimientos!$B$1:$B$1324,"&lt;="&amp;$B34))</f>
        <v>0</v>
      </c>
      <c r="AE34" s="25">
        <f t="shared" si="1"/>
        <v>3102646.4599999995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Group")+SUMIFS(Movimientos!$K$1:$K$1324,Movimientos!$C$1:$C$1324,"CFT Group",Movimientos!$B$1:$B$1324,"&lt;="&amp;$B35)</f>
        <v>983394.14000000013</v>
      </c>
      <c r="D35" s="24">
        <f>SUMIFS('Saldos Iniciales'!$D:$D,'Saldos Iniciales'!$A:$A,"M1B")+SUMIFS(Movimientos!$K$1:$K$1324,Movimientos!$C$1:$C$1324,"M1B",Movimientos!$B$1:$B$1324,"&lt;="&amp;$B35)</f>
        <v>69376.390000000174</v>
      </c>
      <c r="E35" s="24">
        <f>SUMIFS('Saldos Iniciales'!$D:$D,'Saldos Iniciales'!$A:$A,"Durand")+SUMIFS(Movimientos!$K$1:$K$1324,Movimientos!$C$1:$C$1324,"Durand",Movimientos!$B$1:$B$1324,"&lt;="&amp;$B35)</f>
        <v>1669.89</v>
      </c>
      <c r="F35" s="24">
        <f>SUMIFS('Saldos Iniciales'!$D:$D,'Saldos Iniciales'!$A:$A,"A&amp;M Imports")+SUMIFS(Movimientos!$K$1:$K$1324,Movimientos!$C$1:$C$1324,"A&amp;M Imports",Movimientos!$B$1:$B$1324,"&lt;="&amp;$B35)</f>
        <v>804853.11999999988</v>
      </c>
      <c r="G35" s="24">
        <f>SUMIFS('Saldos Iniciales'!$D:$D,'Saldos Iniciales'!$A:$A,"SSP Capital")+SUMIFS(Movimientos!$K$1:$K$1324,Movimientos!$C$1:$C$1324,"SSP Capital",Movimientos!$B$1:$B$1324,"&lt;="&amp;$B35)</f>
        <v>1015611.6599999993</v>
      </c>
      <c r="H35" s="24">
        <f>SUMIFS('Saldos Iniciales'!$D:$D,'Saldos Iniciales'!$A:$A,"Cross Family Trust")+SUMIFS(Movimientos!$K$1:$K$1324,Movimientos!$C$1:$C$1324,"Cross Family Trust",Movimientos!$B$1:$B$1324,"&lt;="&amp;$B35)</f>
        <v>125496.38</v>
      </c>
      <c r="I35" s="24">
        <f>SUMIFS('Saldos Iniciales'!$D:$D,'Saldos Iniciales'!$A:$A,"Cross Security Trust")+SUMIFS(Movimientos!$K$1:$K$1324,Movimientos!$C$1:$C$1324,"Cross Security Trust",Movimientos!$B$1:$B$1324,"&lt;="&amp;$B35)</f>
        <v>20375.37</v>
      </c>
      <c r="J35" s="24">
        <f>SUMIFS('Saldos Iniciales'!$D:$D,'Saldos Iniciales'!$A:$A,"Electrama")+SUMIFS(Movimientos!$K$1:$K$1324,Movimientos!$C$1:$C$1324,"Electrama",Movimientos!$B$1:$B$1324,"&lt;="&amp;$B35)</f>
        <v>511.15999999999985</v>
      </c>
      <c r="K35" s="24">
        <f>SUMIFS('Saldos Iniciales'!$D:$D,'Saldos Iniciales'!$A:$A,"Sacred Valley Capital")+SUMIFS(Movimientos!$K$1:$K$1324,Movimientos!$C$1:$C$1324,"Sacred Valley Capital",Movimientos!$B$1:$B$1324,"&lt;="&amp;$B35)</f>
        <v>84.35</v>
      </c>
      <c r="L35" s="24">
        <f>SUMIFS('Saldos Iniciales'!$D:$D,'Saldos Iniciales'!$A:$A,"YWC Capital")+SUMIFS(Movimientos!$K$1:$K$1324,Movimientos!$C$1:$C$1324,"YWC Capital",Movimientos!$B$1:$B$1324,"&lt;="&amp;$B35)</f>
        <v>2237.77</v>
      </c>
      <c r="M35" s="24">
        <f>SUMIFS('Saldos Iniciales'!$D:$D,'Saldos Iniciales'!$A:$A,"Soweto")+SUMIFS(Movimientos!$K$1:$K$1324,Movimientos!$C$1:$C$1324,"Soweto",Movimientos!$B$1:$B$1324,"&lt;="&amp;$B35)</f>
        <v>3349.94</v>
      </c>
      <c r="N35" s="24">
        <f>SUMIFS('Saldos Iniciales'!$D:$D,'Saldos Iniciales'!$A:$A,"Green Stone Trust")+SUMIFS(Movimientos!$K$1:$K$1324,Movimientos!$C$1:$C$1324,"Green Stone Trust",Movimientos!$B$1:$B$1324,"&lt;="&amp;$B35)</f>
        <v>1968.99</v>
      </c>
      <c r="O35" s="24">
        <f>SUMIFS('Saldos Iniciales'!$D:$D,'Saldos Iniciales'!$A:$A,"EC Auto")+SUMIFS(Movimientos!$K$1:$K$1324,Movimientos!$C$1:$C$1324,"EC Auto",Movimientos!$B$1:$B$1324,"&lt;="&amp;$B35)</f>
        <v>901.34</v>
      </c>
      <c r="P35" s="24">
        <f>SUMIFS('Saldos Iniciales'!$D:$D,'Saldos Iniciales'!$A:$A,"Arbor Capital Properties")+SUMIFS(Movimientos!$K$1:$K$1324,Movimientos!$C$1:$C$1324,"Arbor Capital Properties",Movimientos!$B$1:$B$1324,"&lt;="&amp;$B35)</f>
        <v>1428.08</v>
      </c>
      <c r="Q35" s="24">
        <f>SUMIFS('Saldos Iniciales'!$D:$D,'Saldos Iniciales'!$A:$A,"2515 Overbrook")+SUMIFS(Movimientos!$K$1:$K$1324,Movimientos!$C$1:$C$1324,"2515 Overbrook",Movimientos!$B$1:$B$1324,"&lt;="&amp;$B35)</f>
        <v>25789.969999999961</v>
      </c>
      <c r="R35" s="24">
        <f>SUMIFS('Saldos Iniciales'!$D:$D,'Saldos Iniciales'!$A:$A,"112 Florida Ave")+SUMIFS(Movimientos!$K$1:$K$1324,Movimientos!$C$1:$C$1324,"112 Florida Ave",Movimientos!$B$1:$B$1324,"&lt;="&amp;$B35)</f>
        <v>5321.4300000000021</v>
      </c>
      <c r="S35" s="24">
        <f>SUMIFS('Saldos Iniciales'!$D:$D,'Saldos Iniciales'!$A:$A,"3628 Thomas Ave")+SUMIFS(Movimientos!$K$1:$K$1324,Movimientos!$C$1:$C$1324,"3628 Thomas Ave",Movimientos!$B$1:$B$1324,"&lt;="&amp;$B35)</f>
        <v>24833.23</v>
      </c>
      <c r="T35" s="24">
        <f>SUMIFS('Saldos Iniciales'!$D:$D,'Saldos Iniciales'!$A:$A,"Green Harbor Trust")+SUMIFS(Movimientos!$K$1:$K$1324,Movimientos!$C$1:$C$1324,"Green Harbor Trust",Movimientos!$B$1:$B$1324,"&lt;="&amp;$B35)</f>
        <v>345</v>
      </c>
      <c r="U35" s="24">
        <f>SUMIFS('Saldos Iniciales'!$D:$D,'Saldos Iniciales'!$A:$A,"Go Blue")+SUMIFS(Movimientos!$K$1:$K$1324,Movimientos!$C$1:$C$1324,"Go Blue",Movimientos!$B$1:$B$1324,"&lt;="&amp;$B35)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Aparments",Movimientos!$B$1:$B$1324,"&lt;="&amp;$B35))</f>
        <v>0</v>
      </c>
      <c r="AD35" s="24">
        <f>IF(YEAR($B35)*100+MONTH($B35)&lt;--SUBSTITUTE(_xlfn.XLOOKUP("Don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Life",Movimientos!$B$1:$B$1324,"&lt;="&amp;$B35))</f>
        <v>0</v>
      </c>
      <c r="AE35" s="25">
        <f t="shared" si="1"/>
        <v>3096356.4499999997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Group")+SUMIFS(Movimientos!$K$1:$K$1324,Movimientos!$C$1:$C$1324,"CFT Group",Movimientos!$B$1:$B$1324,"&lt;="&amp;$B36)</f>
        <v>733394.14000000013</v>
      </c>
      <c r="D36" s="24">
        <f>SUMIFS('Saldos Iniciales'!$D:$D,'Saldos Iniciales'!$A:$A,"M1B")+SUMIFS(Movimientos!$K$1:$K$1324,Movimientos!$C$1:$C$1324,"M1B",Movimientos!$B$1:$B$1324,"&lt;="&amp;$B36)</f>
        <v>69376.390000000174</v>
      </c>
      <c r="E36" s="24">
        <f>SUMIFS('Saldos Iniciales'!$D:$D,'Saldos Iniciales'!$A:$A,"Durand")+SUMIFS(Movimientos!$K$1:$K$1324,Movimientos!$C$1:$C$1324,"Durand",Movimientos!$B$1:$B$1324,"&lt;="&amp;$B36)</f>
        <v>1669.89</v>
      </c>
      <c r="F36" s="24">
        <f>SUMIFS('Saldos Iniciales'!$D:$D,'Saldos Iniciales'!$A:$A,"A&amp;M Imports")+SUMIFS(Movimientos!$K$1:$K$1324,Movimientos!$C$1:$C$1324,"A&amp;M Imports",Movimientos!$B$1:$B$1324,"&lt;="&amp;$B36)</f>
        <v>729545.23999999987</v>
      </c>
      <c r="G36" s="24">
        <f>SUMIFS('Saldos Iniciales'!$D:$D,'Saldos Iniciales'!$A:$A,"SSP Capital")+SUMIFS(Movimientos!$K$1:$K$1324,Movimientos!$C$1:$C$1324,"SSP Capital",Movimientos!$B$1:$B$1324,"&lt;="&amp;$B36)</f>
        <v>1171714.4499999993</v>
      </c>
      <c r="H36" s="24">
        <f>SUMIFS('Saldos Iniciales'!$D:$D,'Saldos Iniciales'!$A:$A,"Cross Family Trust")+SUMIFS(Movimientos!$K$1:$K$1324,Movimientos!$C$1:$C$1324,"Cross Family Trust",Movimientos!$B$1:$B$1324,"&lt;="&amp;$B36)</f>
        <v>116496.38</v>
      </c>
      <c r="I36" s="24">
        <f>SUMIFS('Saldos Iniciales'!$D:$D,'Saldos Iniciales'!$A:$A,"Cross Security Trust")+SUMIFS(Movimientos!$K$1:$K$1324,Movimientos!$C$1:$C$1324,"Cross Security Trust",Movimientos!$B$1:$B$1324,"&lt;="&amp;$B36)</f>
        <v>20375.37</v>
      </c>
      <c r="J36" s="24">
        <f>SUMIFS('Saldos Iniciales'!$D:$D,'Saldos Iniciales'!$A:$A,"Electrama")+SUMIFS(Movimientos!$K$1:$K$1324,Movimientos!$C$1:$C$1324,"Electrama",Movimientos!$B$1:$B$1324,"&lt;="&amp;$B36)</f>
        <v>511.15999999999985</v>
      </c>
      <c r="K36" s="24">
        <f>SUMIFS('Saldos Iniciales'!$D:$D,'Saldos Iniciales'!$A:$A,"Sacred Valley Capital")+SUMIFS(Movimientos!$K$1:$K$1324,Movimientos!$C$1:$C$1324,"Sacred Valley Capital",Movimientos!$B$1:$B$1324,"&lt;="&amp;$B36)</f>
        <v>84.35</v>
      </c>
      <c r="L36" s="24">
        <f>SUMIFS('Saldos Iniciales'!$D:$D,'Saldos Iniciales'!$A:$A,"YWC Capital")+SUMIFS(Movimientos!$K$1:$K$1324,Movimientos!$C$1:$C$1324,"YWC Capital",Movimientos!$B$1:$B$1324,"&lt;="&amp;$B36)</f>
        <v>2237.77</v>
      </c>
      <c r="M36" s="24">
        <f>SUMIFS('Saldos Iniciales'!$D:$D,'Saldos Iniciales'!$A:$A,"Soweto")+SUMIFS(Movimientos!$K$1:$K$1324,Movimientos!$C$1:$C$1324,"Soweto",Movimientos!$B$1:$B$1324,"&lt;="&amp;$B36)</f>
        <v>3349.94</v>
      </c>
      <c r="N36" s="24">
        <f>SUMIFS('Saldos Iniciales'!$D:$D,'Saldos Iniciales'!$A:$A,"Green Stone Trust")+SUMIFS(Movimientos!$K$1:$K$1324,Movimientos!$C$1:$C$1324,"Green Stone Trust",Movimientos!$B$1:$B$1324,"&lt;="&amp;$B36)</f>
        <v>1968.99</v>
      </c>
      <c r="O36" s="24">
        <f>SUMIFS('Saldos Iniciales'!$D:$D,'Saldos Iniciales'!$A:$A,"EC Auto")+SUMIFS(Movimientos!$K$1:$K$1324,Movimientos!$C$1:$C$1324,"EC Auto",Movimientos!$B$1:$B$1324,"&lt;="&amp;$B36)</f>
        <v>382.69000000000005</v>
      </c>
      <c r="P36" s="24">
        <f>SUMIFS('Saldos Iniciales'!$D:$D,'Saldos Iniciales'!$A:$A,"Arbor Capital Properties")+SUMIFS(Movimientos!$K$1:$K$1324,Movimientos!$C$1:$C$1324,"Arbor Capital Properties",Movimientos!$B$1:$B$1324,"&lt;="&amp;$B36)</f>
        <v>1428.08</v>
      </c>
      <c r="Q36" s="24">
        <f>SUMIFS('Saldos Iniciales'!$D:$D,'Saldos Iniciales'!$A:$A,"2515 Overbrook")+SUMIFS(Movimientos!$K$1:$K$1324,Movimientos!$C$1:$C$1324,"2515 Overbrook",Movimientos!$B$1:$B$1324,"&lt;="&amp;$B36)</f>
        <v>25789.969999999961</v>
      </c>
      <c r="R36" s="24">
        <f>SUMIFS('Saldos Iniciales'!$D:$D,'Saldos Iniciales'!$A:$A,"112 Florida Ave")+SUMIFS(Movimientos!$K$1:$K$1324,Movimientos!$C$1:$C$1324,"112 Florida Ave",Movimientos!$B$1:$B$1324,"&lt;="&amp;$B36)</f>
        <v>5321.4300000000021</v>
      </c>
      <c r="S36" s="24">
        <f>SUMIFS('Saldos Iniciales'!$D:$D,'Saldos Iniciales'!$A:$A,"3628 Thomas Ave")+SUMIFS(Movimientos!$K$1:$K$1324,Movimientos!$C$1:$C$1324,"3628 Thomas Ave",Movimientos!$B$1:$B$1324,"&lt;="&amp;$B36)</f>
        <v>24833.23</v>
      </c>
      <c r="T36" s="24">
        <f>SUMIFS('Saldos Iniciales'!$D:$D,'Saldos Iniciales'!$A:$A,"Green Harbor Trust")+SUMIFS(Movimientos!$K$1:$K$1324,Movimientos!$C$1:$C$1324,"Green Harbor Trust",Movimientos!$B$1:$B$1324,"&lt;="&amp;$B36)</f>
        <v>345</v>
      </c>
      <c r="U36" s="24">
        <f>SUMIFS('Saldos Iniciales'!$D:$D,'Saldos Iniciales'!$A:$A,"Go Blue")+SUMIFS(Movimientos!$K$1:$K$1324,Movimientos!$C$1:$C$1324,"Go Blue",Movimientos!$B$1:$B$1324,"&lt;="&amp;$B36)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Aparments",Movimientos!$B$1:$B$1324,"&lt;="&amp;$B36))</f>
        <v>0</v>
      </c>
      <c r="AD36" s="24">
        <f>IF(YEAR($B36)*100+MONTH($B36)&lt;--SUBSTITUTE(_xlfn.XLOOKUP("Don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Life",Movimientos!$B$1:$B$1324,"&lt;="&amp;$B36))</f>
        <v>0</v>
      </c>
      <c r="AE36" s="25">
        <f t="shared" si="1"/>
        <v>2916540.5599999996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Group")+SUMIFS(Movimientos!$K$1:$K$1324,Movimientos!$C$1:$C$1324,"CFT Group",Movimientos!$B$1:$B$1324,"&lt;="&amp;$B37)</f>
        <v>733394.14000000013</v>
      </c>
      <c r="D37" s="24">
        <f>SUMIFS('Saldos Iniciales'!$D:$D,'Saldos Iniciales'!$A:$A,"M1B")+SUMIFS(Movimientos!$K$1:$K$1324,Movimientos!$C$1:$C$1324,"M1B",Movimientos!$B$1:$B$1324,"&lt;="&amp;$B37)</f>
        <v>69376.390000000174</v>
      </c>
      <c r="E37" s="24">
        <f>SUMIFS('Saldos Iniciales'!$D:$D,'Saldos Iniciales'!$A:$A,"Durand")+SUMIFS(Movimientos!$K$1:$K$1324,Movimientos!$C$1:$C$1324,"Durand",Movimientos!$B$1:$B$1324,"&lt;="&amp;$B37)</f>
        <v>1669.89</v>
      </c>
      <c r="F37" s="24">
        <f>SUMIFS('Saldos Iniciales'!$D:$D,'Saldos Iniciales'!$A:$A,"A&amp;M Imports")+SUMIFS(Movimientos!$K$1:$K$1324,Movimientos!$C$1:$C$1324,"A&amp;M Imports",Movimientos!$B$1:$B$1324,"&lt;="&amp;$B37)</f>
        <v>729545.23999999987</v>
      </c>
      <c r="G37" s="24">
        <f>SUMIFS('Saldos Iniciales'!$D:$D,'Saldos Iniciales'!$A:$A,"SSP Capital")+SUMIFS(Movimientos!$K$1:$K$1324,Movimientos!$C$1:$C$1324,"SSP Capital",Movimientos!$B$1:$B$1324,"&lt;="&amp;$B37)</f>
        <v>1164028.3199999994</v>
      </c>
      <c r="H37" s="24">
        <f>SUMIFS('Saldos Iniciales'!$D:$D,'Saldos Iniciales'!$A:$A,"Cross Family Trust")+SUMIFS(Movimientos!$K$1:$K$1324,Movimientos!$C$1:$C$1324,"Cross Family Trust",Movimientos!$B$1:$B$1324,"&lt;="&amp;$B37)</f>
        <v>116496.38</v>
      </c>
      <c r="I37" s="24">
        <f>SUMIFS('Saldos Iniciales'!$D:$D,'Saldos Iniciales'!$A:$A,"Cross Security Trust")+SUMIFS(Movimientos!$K$1:$K$1324,Movimientos!$C$1:$C$1324,"Cross Security Trust",Movimientos!$B$1:$B$1324,"&lt;="&amp;$B37)</f>
        <v>20375.37</v>
      </c>
      <c r="J37" s="24">
        <f>SUMIFS('Saldos Iniciales'!$D:$D,'Saldos Iniciales'!$A:$A,"Electrama")+SUMIFS(Movimientos!$K$1:$K$1324,Movimientos!$C$1:$C$1324,"Electrama",Movimientos!$B$1:$B$1324,"&lt;="&amp;$B37)</f>
        <v>511.15999999999985</v>
      </c>
      <c r="K37" s="24">
        <f>SUMIFS('Saldos Iniciales'!$D:$D,'Saldos Iniciales'!$A:$A,"Sacred Valley Capital")+SUMIFS(Movimientos!$K$1:$K$1324,Movimientos!$C$1:$C$1324,"Sacred Valley Capital",Movimientos!$B$1:$B$1324,"&lt;="&amp;$B37)</f>
        <v>84.35</v>
      </c>
      <c r="L37" s="24">
        <f>SUMIFS('Saldos Iniciales'!$D:$D,'Saldos Iniciales'!$A:$A,"YWC Capital")+SUMIFS(Movimientos!$K$1:$K$1324,Movimientos!$C$1:$C$1324,"YWC Capital",Movimientos!$B$1:$B$1324,"&lt;="&amp;$B37)</f>
        <v>2237.77</v>
      </c>
      <c r="M37" s="24">
        <f>SUMIFS('Saldos Iniciales'!$D:$D,'Saldos Iniciales'!$A:$A,"Soweto")+SUMIFS(Movimientos!$K$1:$K$1324,Movimientos!$C$1:$C$1324,"Soweto",Movimientos!$B$1:$B$1324,"&lt;="&amp;$B37)</f>
        <v>3349.94</v>
      </c>
      <c r="N37" s="24">
        <f>SUMIFS('Saldos Iniciales'!$D:$D,'Saldos Iniciales'!$A:$A,"Green Stone Trust")+SUMIFS(Movimientos!$K$1:$K$1324,Movimientos!$C$1:$C$1324,"Green Stone Trust",Movimientos!$B$1:$B$1324,"&lt;="&amp;$B37)</f>
        <v>1968.99</v>
      </c>
      <c r="O37" s="24">
        <f>SUMIFS('Saldos Iniciales'!$D:$D,'Saldos Iniciales'!$A:$A,"EC Auto")+SUMIFS(Movimientos!$K$1:$K$1324,Movimientos!$C$1:$C$1324,"EC Auto",Movimientos!$B$1:$B$1324,"&lt;="&amp;$B37)</f>
        <v>382.69000000000005</v>
      </c>
      <c r="P37" s="24">
        <f>SUMIFS('Saldos Iniciales'!$D:$D,'Saldos Iniciales'!$A:$A,"Arbor Capital Properties")+SUMIFS(Movimientos!$K$1:$K$1324,Movimientos!$C$1:$C$1324,"Arbor Capital Properties",Movimientos!$B$1:$B$1324,"&lt;="&amp;$B37)</f>
        <v>1428.08</v>
      </c>
      <c r="Q37" s="24">
        <f>SUMIFS('Saldos Iniciales'!$D:$D,'Saldos Iniciales'!$A:$A,"2515 Overbrook")+SUMIFS(Movimientos!$K$1:$K$1324,Movimientos!$C$1:$C$1324,"2515 Overbrook",Movimientos!$B$1:$B$1324,"&lt;="&amp;$B37)</f>
        <v>25789.969999999961</v>
      </c>
      <c r="R37" s="24">
        <f>SUMIFS('Saldos Iniciales'!$D:$D,'Saldos Iniciales'!$A:$A,"112 Florida Ave")+SUMIFS(Movimientos!$K$1:$K$1324,Movimientos!$C$1:$C$1324,"112 Florida Ave",Movimientos!$B$1:$B$1324,"&lt;="&amp;$B37)</f>
        <v>5321.4300000000021</v>
      </c>
      <c r="S37" s="24">
        <f>SUMIFS('Saldos Iniciales'!$D:$D,'Saldos Iniciales'!$A:$A,"3628 Thomas Ave")+SUMIFS(Movimientos!$K$1:$K$1324,Movimientos!$C$1:$C$1324,"3628 Thomas Ave",Movimientos!$B$1:$B$1324,"&lt;="&amp;$B37)</f>
        <v>24833.23</v>
      </c>
      <c r="T37" s="24">
        <f>SUMIFS('Saldos Iniciales'!$D:$D,'Saldos Iniciales'!$A:$A,"Green Harbor Trust")+SUMIFS(Movimientos!$K$1:$K$1324,Movimientos!$C$1:$C$1324,"Green Harbor Trust",Movimientos!$B$1:$B$1324,"&lt;="&amp;$B37)</f>
        <v>345</v>
      </c>
      <c r="U37" s="24">
        <f>SUMIFS('Saldos Iniciales'!$D:$D,'Saldos Iniciales'!$A:$A,"Go Blue")+SUMIFS(Movimientos!$K$1:$K$1324,Movimientos!$C$1:$C$1324,"Go Blue",Movimientos!$B$1:$B$1324,"&lt;="&amp;$B37)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Aparments",Movimientos!$B$1:$B$1324,"&lt;="&amp;$B37))</f>
        <v>0</v>
      </c>
      <c r="AD37" s="24">
        <f>IF(YEAR($B37)*100+MONTH($B37)&lt;--SUBSTITUTE(_xlfn.XLOOKUP("Don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Life",Movimientos!$B$1:$B$1324,"&lt;="&amp;$B37))</f>
        <v>0</v>
      </c>
      <c r="AE37" s="25">
        <f t="shared" si="1"/>
        <v>2908854.4299999997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Group")+SUMIFS(Movimientos!$K$1:$K$1324,Movimientos!$C$1:$C$1324,"CFT Group",Movimientos!$B$1:$B$1324,"&lt;="&amp;$B38)</f>
        <v>733394.14000000013</v>
      </c>
      <c r="D38" s="24">
        <f>SUMIFS('Saldos Iniciales'!$D:$D,'Saldos Iniciales'!$A:$A,"M1B")+SUMIFS(Movimientos!$K$1:$K$1324,Movimientos!$C$1:$C$1324,"M1B",Movimientos!$B$1:$B$1324,"&lt;="&amp;$B38)</f>
        <v>69376.390000000174</v>
      </c>
      <c r="E38" s="24">
        <f>SUMIFS('Saldos Iniciales'!$D:$D,'Saldos Iniciales'!$A:$A,"Durand")+SUMIFS(Movimientos!$K$1:$K$1324,Movimientos!$C$1:$C$1324,"Durand",Movimientos!$B$1:$B$1324,"&lt;="&amp;$B38)</f>
        <v>1669.89</v>
      </c>
      <c r="F38" s="24">
        <f>SUMIFS('Saldos Iniciales'!$D:$D,'Saldos Iniciales'!$A:$A,"A&amp;M Imports")+SUMIFS(Movimientos!$K$1:$K$1324,Movimientos!$C$1:$C$1324,"A&amp;M Imports",Movimientos!$B$1:$B$1324,"&lt;="&amp;$B38)</f>
        <v>729545.23999999987</v>
      </c>
      <c r="G38" s="24">
        <f>SUMIFS('Saldos Iniciales'!$D:$D,'Saldos Iniciales'!$A:$A,"SSP Capital")+SUMIFS(Movimientos!$K$1:$K$1324,Movimientos!$C$1:$C$1324,"SSP Capital",Movimientos!$B$1:$B$1324,"&lt;="&amp;$B38)</f>
        <v>1164028.3199999994</v>
      </c>
      <c r="H38" s="24">
        <f>SUMIFS('Saldos Iniciales'!$D:$D,'Saldos Iniciales'!$A:$A,"Cross Family Trust")+SUMIFS(Movimientos!$K$1:$K$1324,Movimientos!$C$1:$C$1324,"Cross Family Trust",Movimientos!$B$1:$B$1324,"&lt;="&amp;$B38)</f>
        <v>116496.38</v>
      </c>
      <c r="I38" s="24">
        <f>SUMIFS('Saldos Iniciales'!$D:$D,'Saldos Iniciales'!$A:$A,"Cross Security Trust")+SUMIFS(Movimientos!$K$1:$K$1324,Movimientos!$C$1:$C$1324,"Cross Security Trust",Movimientos!$B$1:$B$1324,"&lt;="&amp;$B38)</f>
        <v>20375.37</v>
      </c>
      <c r="J38" s="24">
        <f>SUMIFS('Saldos Iniciales'!$D:$D,'Saldos Iniciales'!$A:$A,"Electrama")+SUMIFS(Movimientos!$K$1:$K$1324,Movimientos!$C$1:$C$1324,"Electrama",Movimientos!$B$1:$B$1324,"&lt;="&amp;$B38)</f>
        <v>511.15999999999985</v>
      </c>
      <c r="K38" s="24">
        <f>SUMIFS('Saldos Iniciales'!$D:$D,'Saldos Iniciales'!$A:$A,"Sacred Valley Capital")+SUMIFS(Movimientos!$K$1:$K$1324,Movimientos!$C$1:$C$1324,"Sacred Valley Capital",Movimientos!$B$1:$B$1324,"&lt;="&amp;$B38)</f>
        <v>84.35</v>
      </c>
      <c r="L38" s="24">
        <f>SUMIFS('Saldos Iniciales'!$D:$D,'Saldos Iniciales'!$A:$A,"YWC Capital")+SUMIFS(Movimientos!$K$1:$K$1324,Movimientos!$C$1:$C$1324,"YWC Capital",Movimientos!$B$1:$B$1324,"&lt;="&amp;$B38)</f>
        <v>2237.77</v>
      </c>
      <c r="M38" s="24">
        <f>SUMIFS('Saldos Iniciales'!$D:$D,'Saldos Iniciales'!$A:$A,"Soweto")+SUMIFS(Movimientos!$K$1:$K$1324,Movimientos!$C$1:$C$1324,"Soweto",Movimientos!$B$1:$B$1324,"&lt;="&amp;$B38)</f>
        <v>3349.94</v>
      </c>
      <c r="N38" s="24">
        <f>SUMIFS('Saldos Iniciales'!$D:$D,'Saldos Iniciales'!$A:$A,"Green Stone Trust")+SUMIFS(Movimientos!$K$1:$K$1324,Movimientos!$C$1:$C$1324,"Green Stone Trust",Movimientos!$B$1:$B$1324,"&lt;="&amp;$B38)</f>
        <v>1968.99</v>
      </c>
      <c r="O38" s="24">
        <f>SUMIFS('Saldos Iniciales'!$D:$D,'Saldos Iniciales'!$A:$A,"EC Auto")+SUMIFS(Movimientos!$K$1:$K$1324,Movimientos!$C$1:$C$1324,"EC Auto",Movimientos!$B$1:$B$1324,"&lt;="&amp;$B38)</f>
        <v>382.69000000000005</v>
      </c>
      <c r="P38" s="24">
        <f>SUMIFS('Saldos Iniciales'!$D:$D,'Saldos Iniciales'!$A:$A,"Arbor Capital Properties")+SUMIFS(Movimientos!$K$1:$K$1324,Movimientos!$C$1:$C$1324,"Arbor Capital Properties",Movimientos!$B$1:$B$1324,"&lt;="&amp;$B38)</f>
        <v>1428.08</v>
      </c>
      <c r="Q38" s="24">
        <f>SUMIFS('Saldos Iniciales'!$D:$D,'Saldos Iniciales'!$A:$A,"2515 Overbrook")+SUMIFS(Movimientos!$K$1:$K$1324,Movimientos!$C$1:$C$1324,"2515 Overbrook",Movimientos!$B$1:$B$1324,"&lt;="&amp;$B38)</f>
        <v>25789.969999999961</v>
      </c>
      <c r="R38" s="24">
        <f>SUMIFS('Saldos Iniciales'!$D:$D,'Saldos Iniciales'!$A:$A,"112 Florida Ave")+SUMIFS(Movimientos!$K$1:$K$1324,Movimientos!$C$1:$C$1324,"112 Florida Ave",Movimientos!$B$1:$B$1324,"&lt;="&amp;$B38)</f>
        <v>5321.4300000000021</v>
      </c>
      <c r="S38" s="24">
        <f>SUMIFS('Saldos Iniciales'!$D:$D,'Saldos Iniciales'!$A:$A,"3628 Thomas Ave")+SUMIFS(Movimientos!$K$1:$K$1324,Movimientos!$C$1:$C$1324,"3628 Thomas Ave",Movimientos!$B$1:$B$1324,"&lt;="&amp;$B38)</f>
        <v>24833.23</v>
      </c>
      <c r="T38" s="24">
        <f>SUMIFS('Saldos Iniciales'!$D:$D,'Saldos Iniciales'!$A:$A,"Green Harbor Trust")+SUMIFS(Movimientos!$K$1:$K$1324,Movimientos!$C$1:$C$1324,"Green Harbor Trust",Movimientos!$B$1:$B$1324,"&lt;="&amp;$B38)</f>
        <v>345</v>
      </c>
      <c r="U38" s="24">
        <f>SUMIFS('Saldos Iniciales'!$D:$D,'Saldos Iniciales'!$A:$A,"Go Blue")+SUMIFS(Movimientos!$K$1:$K$1324,Movimientos!$C$1:$C$1324,"Go Blue",Movimientos!$B$1:$B$1324,"&lt;="&amp;$B38)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Aparments",Movimientos!$B$1:$B$1324,"&lt;="&amp;$B38))</f>
        <v>0</v>
      </c>
      <c r="AD38" s="24">
        <f>IF(YEAR($B38)*100+MONTH($B38)&lt;--SUBSTITUTE(_xlfn.XLOOKUP("Don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Life",Movimientos!$B$1:$B$1324,"&lt;="&amp;$B38))</f>
        <v>0</v>
      </c>
      <c r="AE38" s="25">
        <f t="shared" si="1"/>
        <v>2908854.4299999997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Group")+SUMIFS(Movimientos!$K$1:$K$1324,Movimientos!$C$1:$C$1324,"CFT Group",Movimientos!$B$1:$B$1324,"&lt;="&amp;$B39)</f>
        <v>733394.14000000013</v>
      </c>
      <c r="D39" s="24">
        <f>SUMIFS('Saldos Iniciales'!$D:$D,'Saldos Iniciales'!$A:$A,"M1B")+SUMIFS(Movimientos!$K$1:$K$1324,Movimientos!$C$1:$C$1324,"M1B",Movimientos!$B$1:$B$1324,"&lt;="&amp;$B39)</f>
        <v>69376.390000000174</v>
      </c>
      <c r="E39" s="24">
        <f>SUMIFS('Saldos Iniciales'!$D:$D,'Saldos Iniciales'!$A:$A,"Durand")+SUMIFS(Movimientos!$K$1:$K$1324,Movimientos!$C$1:$C$1324,"Durand",Movimientos!$B$1:$B$1324,"&lt;="&amp;$B39)</f>
        <v>1669.89</v>
      </c>
      <c r="F39" s="24">
        <f>SUMIFS('Saldos Iniciales'!$D:$D,'Saldos Iniciales'!$A:$A,"A&amp;M Imports")+SUMIFS(Movimientos!$K$1:$K$1324,Movimientos!$C$1:$C$1324,"A&amp;M Imports",Movimientos!$B$1:$B$1324,"&lt;="&amp;$B39)</f>
        <v>729545.23999999987</v>
      </c>
      <c r="G39" s="24">
        <f>SUMIFS('Saldos Iniciales'!$D:$D,'Saldos Iniciales'!$A:$A,"SSP Capital")+SUMIFS(Movimientos!$K$1:$K$1324,Movimientos!$C$1:$C$1324,"SSP Capital",Movimientos!$B$1:$B$1324,"&lt;="&amp;$B39)</f>
        <v>1164028.3199999994</v>
      </c>
      <c r="H39" s="24">
        <f>SUMIFS('Saldos Iniciales'!$D:$D,'Saldos Iniciales'!$A:$A,"Cross Family Trust")+SUMIFS(Movimientos!$K$1:$K$1324,Movimientos!$C$1:$C$1324,"Cross Family Trust",Movimientos!$B$1:$B$1324,"&lt;="&amp;$B39)</f>
        <v>116496.38</v>
      </c>
      <c r="I39" s="24">
        <f>SUMIFS('Saldos Iniciales'!$D:$D,'Saldos Iniciales'!$A:$A,"Cross Security Trust")+SUMIFS(Movimientos!$K$1:$K$1324,Movimientos!$C$1:$C$1324,"Cross Security Trust",Movimientos!$B$1:$B$1324,"&lt;="&amp;$B39)</f>
        <v>20375.37</v>
      </c>
      <c r="J39" s="24">
        <f>SUMIFS('Saldos Iniciales'!$D:$D,'Saldos Iniciales'!$A:$A,"Electrama")+SUMIFS(Movimientos!$K$1:$K$1324,Movimientos!$C$1:$C$1324,"Electrama",Movimientos!$B$1:$B$1324,"&lt;="&amp;$B39)</f>
        <v>511.15999999999985</v>
      </c>
      <c r="K39" s="24">
        <f>SUMIFS('Saldos Iniciales'!$D:$D,'Saldos Iniciales'!$A:$A,"Sacred Valley Capital")+SUMIFS(Movimientos!$K$1:$K$1324,Movimientos!$C$1:$C$1324,"Sacred Valley Capital",Movimientos!$B$1:$B$1324,"&lt;="&amp;$B39)</f>
        <v>84.35</v>
      </c>
      <c r="L39" s="24">
        <f>SUMIFS('Saldos Iniciales'!$D:$D,'Saldos Iniciales'!$A:$A,"YWC Capital")+SUMIFS(Movimientos!$K$1:$K$1324,Movimientos!$C$1:$C$1324,"YWC Capital",Movimientos!$B$1:$B$1324,"&lt;="&amp;$B39)</f>
        <v>2237.77</v>
      </c>
      <c r="M39" s="24">
        <f>SUMIFS('Saldos Iniciales'!$D:$D,'Saldos Iniciales'!$A:$A,"Soweto")+SUMIFS(Movimientos!$K$1:$K$1324,Movimientos!$C$1:$C$1324,"Soweto",Movimientos!$B$1:$B$1324,"&lt;="&amp;$B39)</f>
        <v>3349.94</v>
      </c>
      <c r="N39" s="24">
        <f>SUMIFS('Saldos Iniciales'!$D:$D,'Saldos Iniciales'!$A:$A,"Green Stone Trust")+SUMIFS(Movimientos!$K$1:$K$1324,Movimientos!$C$1:$C$1324,"Green Stone Trust",Movimientos!$B$1:$B$1324,"&lt;="&amp;$B39)</f>
        <v>1968.99</v>
      </c>
      <c r="O39" s="24">
        <f>SUMIFS('Saldos Iniciales'!$D:$D,'Saldos Iniciales'!$A:$A,"EC Auto")+SUMIFS(Movimientos!$K$1:$K$1324,Movimientos!$C$1:$C$1324,"EC Auto",Movimientos!$B$1:$B$1324,"&lt;="&amp;$B39)</f>
        <v>382.69000000000005</v>
      </c>
      <c r="P39" s="24">
        <f>SUMIFS('Saldos Iniciales'!$D:$D,'Saldos Iniciales'!$A:$A,"Arbor Capital Properties")+SUMIFS(Movimientos!$K$1:$K$1324,Movimientos!$C$1:$C$1324,"Arbor Capital Properties",Movimientos!$B$1:$B$1324,"&lt;="&amp;$B39)</f>
        <v>1428.08</v>
      </c>
      <c r="Q39" s="24">
        <f>SUMIFS('Saldos Iniciales'!$D:$D,'Saldos Iniciales'!$A:$A,"2515 Overbrook")+SUMIFS(Movimientos!$K$1:$K$1324,Movimientos!$C$1:$C$1324,"2515 Overbrook",Movimientos!$B$1:$B$1324,"&lt;="&amp;$B39)</f>
        <v>25789.969999999961</v>
      </c>
      <c r="R39" s="24">
        <f>SUMIFS('Saldos Iniciales'!$D:$D,'Saldos Iniciales'!$A:$A,"112 Florida Ave")+SUMIFS(Movimientos!$K$1:$K$1324,Movimientos!$C$1:$C$1324,"112 Florida Ave",Movimientos!$B$1:$B$1324,"&lt;="&amp;$B39)</f>
        <v>5321.4300000000021</v>
      </c>
      <c r="S39" s="24">
        <f>SUMIFS('Saldos Iniciales'!$D:$D,'Saldos Iniciales'!$A:$A,"3628 Thomas Ave")+SUMIFS(Movimientos!$K$1:$K$1324,Movimientos!$C$1:$C$1324,"3628 Thomas Ave",Movimientos!$B$1:$B$1324,"&lt;="&amp;$B39)</f>
        <v>24833.23</v>
      </c>
      <c r="T39" s="24">
        <f>SUMIFS('Saldos Iniciales'!$D:$D,'Saldos Iniciales'!$A:$A,"Green Harbor Trust")+SUMIFS(Movimientos!$K$1:$K$1324,Movimientos!$C$1:$C$1324,"Green Harbor Trust",Movimientos!$B$1:$B$1324,"&lt;="&amp;$B39)</f>
        <v>345</v>
      </c>
      <c r="U39" s="24">
        <f>SUMIFS('Saldos Iniciales'!$D:$D,'Saldos Iniciales'!$A:$A,"Go Blue")+SUMIFS(Movimientos!$K$1:$K$1324,Movimientos!$C$1:$C$1324,"Go Blue",Movimientos!$B$1:$B$1324,"&lt;="&amp;$B39)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Aparments",Movimientos!$B$1:$B$1324,"&lt;="&amp;$B39))</f>
        <v>0</v>
      </c>
      <c r="AD39" s="24">
        <f>IF(YEAR($B39)*100+MONTH($B39)&lt;--SUBSTITUTE(_xlfn.XLOOKUP("Don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Life",Movimientos!$B$1:$B$1324,"&lt;="&amp;$B39))</f>
        <v>0</v>
      </c>
      <c r="AE39" s="25">
        <f t="shared" si="1"/>
        <v>2908854.4299999997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Group")+SUMIFS(Movimientos!$K$1:$K$1324,Movimientos!$C$1:$C$1324,"CFT Group",Movimientos!$B$1:$B$1324,"&lt;="&amp;$B40)</f>
        <v>733394.14000000013</v>
      </c>
      <c r="D40" s="24">
        <f>SUMIFS('Saldos Iniciales'!$D:$D,'Saldos Iniciales'!$A:$A,"M1B")+SUMIFS(Movimientos!$K$1:$K$1324,Movimientos!$C$1:$C$1324,"M1B",Movimientos!$B$1:$B$1324,"&lt;="&amp;$B40)</f>
        <v>69376.390000000174</v>
      </c>
      <c r="E40" s="24">
        <f>SUMIFS('Saldos Iniciales'!$D:$D,'Saldos Iniciales'!$A:$A,"Durand")+SUMIFS(Movimientos!$K$1:$K$1324,Movimientos!$C$1:$C$1324,"Durand",Movimientos!$B$1:$B$1324,"&lt;="&amp;$B40)</f>
        <v>1669.89</v>
      </c>
      <c r="F40" s="24">
        <f>SUMIFS('Saldos Iniciales'!$D:$D,'Saldos Iniciales'!$A:$A,"A&amp;M Imports")+SUMIFS(Movimientos!$K$1:$K$1324,Movimientos!$C$1:$C$1324,"A&amp;M Imports",Movimientos!$B$1:$B$1324,"&lt;="&amp;$B40)</f>
        <v>729545.23999999987</v>
      </c>
      <c r="G40" s="24">
        <f>SUMIFS('Saldos Iniciales'!$D:$D,'Saldos Iniciales'!$A:$A,"SSP Capital")+SUMIFS(Movimientos!$K$1:$K$1324,Movimientos!$C$1:$C$1324,"SSP Capital",Movimientos!$B$1:$B$1324,"&lt;="&amp;$B40)</f>
        <v>1164028.3199999994</v>
      </c>
      <c r="H40" s="24">
        <f>SUMIFS('Saldos Iniciales'!$D:$D,'Saldos Iniciales'!$A:$A,"Cross Family Trust")+SUMIFS(Movimientos!$K$1:$K$1324,Movimientos!$C$1:$C$1324,"Cross Family Trust",Movimientos!$B$1:$B$1324,"&lt;="&amp;$B40)</f>
        <v>116496.38</v>
      </c>
      <c r="I40" s="24">
        <f>SUMIFS('Saldos Iniciales'!$D:$D,'Saldos Iniciales'!$A:$A,"Cross Security Trust")+SUMIFS(Movimientos!$K$1:$K$1324,Movimientos!$C$1:$C$1324,"Cross Security Trust",Movimientos!$B$1:$B$1324,"&lt;="&amp;$B40)</f>
        <v>20375.37</v>
      </c>
      <c r="J40" s="24">
        <f>SUMIFS('Saldos Iniciales'!$D:$D,'Saldos Iniciales'!$A:$A,"Electrama")+SUMIFS(Movimientos!$K$1:$K$1324,Movimientos!$C$1:$C$1324,"Electrama",Movimientos!$B$1:$B$1324,"&lt;="&amp;$B40)</f>
        <v>511.15999999999985</v>
      </c>
      <c r="K40" s="24">
        <f>SUMIFS('Saldos Iniciales'!$D:$D,'Saldos Iniciales'!$A:$A,"Sacred Valley Capital")+SUMIFS(Movimientos!$K$1:$K$1324,Movimientos!$C$1:$C$1324,"Sacred Valley Capital",Movimientos!$B$1:$B$1324,"&lt;="&amp;$B40)</f>
        <v>84.35</v>
      </c>
      <c r="L40" s="24">
        <f>SUMIFS('Saldos Iniciales'!$D:$D,'Saldos Iniciales'!$A:$A,"YWC Capital")+SUMIFS(Movimientos!$K$1:$K$1324,Movimientos!$C$1:$C$1324,"YWC Capital",Movimientos!$B$1:$B$1324,"&lt;="&amp;$B40)</f>
        <v>2237.77</v>
      </c>
      <c r="M40" s="24">
        <f>SUMIFS('Saldos Iniciales'!$D:$D,'Saldos Iniciales'!$A:$A,"Soweto")+SUMIFS(Movimientos!$K$1:$K$1324,Movimientos!$C$1:$C$1324,"Soweto",Movimientos!$B$1:$B$1324,"&lt;="&amp;$B40)</f>
        <v>3349.94</v>
      </c>
      <c r="N40" s="24">
        <f>SUMIFS('Saldos Iniciales'!$D:$D,'Saldos Iniciales'!$A:$A,"Green Stone Trust")+SUMIFS(Movimientos!$K$1:$K$1324,Movimientos!$C$1:$C$1324,"Green Stone Trust",Movimientos!$B$1:$B$1324,"&lt;="&amp;$B40)</f>
        <v>1968.99</v>
      </c>
      <c r="O40" s="24">
        <f>SUMIFS('Saldos Iniciales'!$D:$D,'Saldos Iniciales'!$A:$A,"EC Auto")+SUMIFS(Movimientos!$K$1:$K$1324,Movimientos!$C$1:$C$1324,"EC Auto",Movimientos!$B$1:$B$1324,"&lt;="&amp;$B40)</f>
        <v>382.69000000000005</v>
      </c>
      <c r="P40" s="24">
        <f>SUMIFS('Saldos Iniciales'!$D:$D,'Saldos Iniciales'!$A:$A,"Arbor Capital Properties")+SUMIFS(Movimientos!$K$1:$K$1324,Movimientos!$C$1:$C$1324,"Arbor Capital Properties",Movimientos!$B$1:$B$1324,"&lt;="&amp;$B40)</f>
        <v>1428.08</v>
      </c>
      <c r="Q40" s="24">
        <f>SUMIFS('Saldos Iniciales'!$D:$D,'Saldos Iniciales'!$A:$A,"2515 Overbrook")+SUMIFS(Movimientos!$K$1:$K$1324,Movimientos!$C$1:$C$1324,"2515 Overbrook",Movimientos!$B$1:$B$1324,"&lt;="&amp;$B40)</f>
        <v>25789.969999999961</v>
      </c>
      <c r="R40" s="24">
        <f>SUMIFS('Saldos Iniciales'!$D:$D,'Saldos Iniciales'!$A:$A,"112 Florida Ave")+SUMIFS(Movimientos!$K$1:$K$1324,Movimientos!$C$1:$C$1324,"112 Florida Ave",Movimientos!$B$1:$B$1324,"&lt;="&amp;$B40)</f>
        <v>5321.4300000000021</v>
      </c>
      <c r="S40" s="24">
        <f>SUMIFS('Saldos Iniciales'!$D:$D,'Saldos Iniciales'!$A:$A,"3628 Thomas Ave")+SUMIFS(Movimientos!$K$1:$K$1324,Movimientos!$C$1:$C$1324,"3628 Thomas Ave",Movimientos!$B$1:$B$1324,"&lt;="&amp;$B40)</f>
        <v>24833.23</v>
      </c>
      <c r="T40" s="24">
        <f>SUMIFS('Saldos Iniciales'!$D:$D,'Saldos Iniciales'!$A:$A,"Green Harbor Trust")+SUMIFS(Movimientos!$K$1:$K$1324,Movimientos!$C$1:$C$1324,"Green Harbor Trust",Movimientos!$B$1:$B$1324,"&lt;="&amp;$B40)</f>
        <v>345</v>
      </c>
      <c r="U40" s="24">
        <f>SUMIFS('Saldos Iniciales'!$D:$D,'Saldos Iniciales'!$A:$A,"Go Blue")+SUMIFS(Movimientos!$K$1:$K$1324,Movimientos!$C$1:$C$1324,"Go Blue",Movimientos!$B$1:$B$1324,"&lt;="&amp;$B40)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Aparments",Movimientos!$B$1:$B$1324,"&lt;="&amp;$B40))</f>
        <v>0</v>
      </c>
      <c r="AD40" s="24">
        <f>IF(YEAR($B40)*100+MONTH($B40)&lt;--SUBSTITUTE(_xlfn.XLOOKUP("Don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Life",Movimientos!$B$1:$B$1324,"&lt;="&amp;$B40))</f>
        <v>0</v>
      </c>
      <c r="AE40" s="25">
        <f t="shared" si="1"/>
        <v>2907882.84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Group")+SUMIFS(Movimientos!$K$1:$K$1324,Movimientos!$C$1:$C$1324,"CFT Group",Movimientos!$B$1:$B$1324,"&lt;="&amp;$B41)</f>
        <v>847381.29000000015</v>
      </c>
      <c r="D41" s="24">
        <f>SUMIFS('Saldos Iniciales'!$D:$D,'Saldos Iniciales'!$A:$A,"M1B")+SUMIFS(Movimientos!$K$1:$K$1324,Movimientos!$C$1:$C$1324,"M1B",Movimientos!$B$1:$B$1324,"&lt;="&amp;$B41)</f>
        <v>69376.390000000174</v>
      </c>
      <c r="E41" s="24">
        <f>SUMIFS('Saldos Iniciales'!$D:$D,'Saldos Iniciales'!$A:$A,"Durand")+SUMIFS(Movimientos!$K$1:$K$1324,Movimientos!$C$1:$C$1324,"Durand",Movimientos!$B$1:$B$1324,"&lt;="&amp;$B41)</f>
        <v>1669.89</v>
      </c>
      <c r="F41" s="24">
        <f>SUMIFS('Saldos Iniciales'!$D:$D,'Saldos Iniciales'!$A:$A,"A&amp;M Imports")+SUMIFS(Movimientos!$K$1:$K$1324,Movimientos!$C$1:$C$1324,"A&amp;M Imports",Movimientos!$B$1:$B$1324,"&lt;="&amp;$B41)</f>
        <v>729545.23999999987</v>
      </c>
      <c r="G41" s="24">
        <f>SUMIFS('Saldos Iniciales'!$D:$D,'Saldos Iniciales'!$A:$A,"SSP Capital")+SUMIFS(Movimientos!$K$1:$K$1324,Movimientos!$C$1:$C$1324,"SSP Capital",Movimientos!$B$1:$B$1324,"&lt;="&amp;$B41)</f>
        <v>1160274.0499999993</v>
      </c>
      <c r="H41" s="24">
        <f>SUMIFS('Saldos Iniciales'!$D:$D,'Saldos Iniciales'!$A:$A,"Cross Family Trust")+SUMIFS(Movimientos!$K$1:$K$1324,Movimientos!$C$1:$C$1324,"Cross Family Trust",Movimientos!$B$1:$B$1324,"&lt;="&amp;$B41)</f>
        <v>116496.38</v>
      </c>
      <c r="I41" s="24">
        <f>SUMIFS('Saldos Iniciales'!$D:$D,'Saldos Iniciales'!$A:$A,"Cross Security Trust")+SUMIFS(Movimientos!$K$1:$K$1324,Movimientos!$C$1:$C$1324,"Cross Security Trust",Movimientos!$B$1:$B$1324,"&lt;="&amp;$B41)</f>
        <v>20375.37</v>
      </c>
      <c r="J41" s="24">
        <f>SUMIFS('Saldos Iniciales'!$D:$D,'Saldos Iniciales'!$A:$A,"Electrama")+SUMIFS(Movimientos!$K$1:$K$1324,Movimientos!$C$1:$C$1324,"Electrama",Movimientos!$B$1:$B$1324,"&lt;="&amp;$B41)</f>
        <v>511.15999999999985</v>
      </c>
      <c r="K41" s="24">
        <f>SUMIFS('Saldos Iniciales'!$D:$D,'Saldos Iniciales'!$A:$A,"Sacred Valley Capital")+SUMIFS(Movimientos!$K$1:$K$1324,Movimientos!$C$1:$C$1324,"Sacred Valley Capital",Movimientos!$B$1:$B$1324,"&lt;="&amp;$B41)</f>
        <v>84.35</v>
      </c>
      <c r="L41" s="24">
        <f>SUMIFS('Saldos Iniciales'!$D:$D,'Saldos Iniciales'!$A:$A,"YWC Capital")+SUMIFS(Movimientos!$K$1:$K$1324,Movimientos!$C$1:$C$1324,"YWC Capital",Movimientos!$B$1:$B$1324,"&lt;="&amp;$B41)</f>
        <v>2237.77</v>
      </c>
      <c r="M41" s="24">
        <f>SUMIFS('Saldos Iniciales'!$D:$D,'Saldos Iniciales'!$A:$A,"Soweto")+SUMIFS(Movimientos!$K$1:$K$1324,Movimientos!$C$1:$C$1324,"Soweto",Movimientos!$B$1:$B$1324,"&lt;="&amp;$B41)</f>
        <v>3349.94</v>
      </c>
      <c r="N41" s="24">
        <f>SUMIFS('Saldos Iniciales'!$D:$D,'Saldos Iniciales'!$A:$A,"Green Stone Trust")+SUMIFS(Movimientos!$K$1:$K$1324,Movimientos!$C$1:$C$1324,"Green Stone Trust",Movimientos!$B$1:$B$1324,"&lt;="&amp;$B41)</f>
        <v>1968.99</v>
      </c>
      <c r="O41" s="24">
        <f>SUMIFS('Saldos Iniciales'!$D:$D,'Saldos Iniciales'!$A:$A,"EC Auto")+SUMIFS(Movimientos!$K$1:$K$1324,Movimientos!$C$1:$C$1324,"EC Auto",Movimientos!$B$1:$B$1324,"&lt;="&amp;$B41)</f>
        <v>382.69000000000005</v>
      </c>
      <c r="P41" s="24">
        <f>SUMIFS('Saldos Iniciales'!$D:$D,'Saldos Iniciales'!$A:$A,"Arbor Capital Properties")+SUMIFS(Movimientos!$K$1:$K$1324,Movimientos!$C$1:$C$1324,"Arbor Capital Properties",Movimientos!$B$1:$B$1324,"&lt;="&amp;$B41)</f>
        <v>1428.08</v>
      </c>
      <c r="Q41" s="24">
        <f>SUMIFS('Saldos Iniciales'!$D:$D,'Saldos Iniciales'!$A:$A,"2515 Overbrook")+SUMIFS(Movimientos!$K$1:$K$1324,Movimientos!$C$1:$C$1324,"2515 Overbrook",Movimientos!$B$1:$B$1324,"&lt;="&amp;$B41)</f>
        <v>25789.969999999961</v>
      </c>
      <c r="R41" s="24">
        <f>SUMIFS('Saldos Iniciales'!$D:$D,'Saldos Iniciales'!$A:$A,"112 Florida Ave")+SUMIFS(Movimientos!$K$1:$K$1324,Movimientos!$C$1:$C$1324,"112 Florida Ave",Movimientos!$B$1:$B$1324,"&lt;="&amp;$B41)</f>
        <v>5321.4300000000021</v>
      </c>
      <c r="S41" s="24">
        <f>SUMIFS('Saldos Iniciales'!$D:$D,'Saldos Iniciales'!$A:$A,"3628 Thomas Ave")+SUMIFS(Movimientos!$K$1:$K$1324,Movimientos!$C$1:$C$1324,"3628 Thomas Ave",Movimientos!$B$1:$B$1324,"&lt;="&amp;$B41)</f>
        <v>24833.23</v>
      </c>
      <c r="T41" s="24">
        <f>SUMIFS('Saldos Iniciales'!$D:$D,'Saldos Iniciales'!$A:$A,"Green Harbor Trust")+SUMIFS(Movimientos!$K$1:$K$1324,Movimientos!$C$1:$C$1324,"Green Harbor Trust",Movimientos!$B$1:$B$1324,"&lt;="&amp;$B41)</f>
        <v>345</v>
      </c>
      <c r="U41" s="24">
        <f>SUMIFS('Saldos Iniciales'!$D:$D,'Saldos Iniciales'!$A:$A,"Go Blue")+SUMIFS(Movimientos!$K$1:$K$1324,Movimientos!$C$1:$C$1324,"Go Blue",Movimientos!$B$1:$B$1324,"&lt;="&amp;$B41)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Aparments",Movimientos!$B$1:$B$1324,"&lt;="&amp;$B41))</f>
        <v>0</v>
      </c>
      <c r="AD41" s="24">
        <f>IF(YEAR($B41)*100+MONTH($B41)&lt;--SUBSTITUTE(_xlfn.XLOOKUP("Don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Life",Movimientos!$B$1:$B$1324,"&lt;="&amp;$B41))</f>
        <v>0</v>
      </c>
      <c r="AE41" s="25">
        <f t="shared" si="1"/>
        <v>3017954.3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Group")+SUMIFS(Movimientos!$K$1:$K$1324,Movimientos!$C$1:$C$1324,"CFT Group",Movimientos!$B$1:$B$1324,"&lt;="&amp;$B42)</f>
        <v>2288745.9500000002</v>
      </c>
      <c r="D42" s="24">
        <f>SUMIFS('Saldos Iniciales'!$D:$D,'Saldos Iniciales'!$A:$A,"M1B")+SUMIFS(Movimientos!$K$1:$K$1324,Movimientos!$C$1:$C$1324,"M1B",Movimientos!$B$1:$B$1324,"&lt;="&amp;$B42)</f>
        <v>69376.390000000174</v>
      </c>
      <c r="E42" s="24">
        <f>SUMIFS('Saldos Iniciales'!$D:$D,'Saldos Iniciales'!$A:$A,"Durand")+SUMIFS(Movimientos!$K$1:$K$1324,Movimientos!$C$1:$C$1324,"Durand",Movimientos!$B$1:$B$1324,"&lt;="&amp;$B42)</f>
        <v>1669.89</v>
      </c>
      <c r="F42" s="24">
        <f>SUMIFS('Saldos Iniciales'!$D:$D,'Saldos Iniciales'!$A:$A,"A&amp;M Imports")+SUMIFS(Movimientos!$K$1:$K$1324,Movimientos!$C$1:$C$1324,"A&amp;M Imports",Movimientos!$B$1:$B$1324,"&lt;="&amp;$B42)</f>
        <v>744306.80999999982</v>
      </c>
      <c r="G42" s="24">
        <f>SUMIFS('Saldos Iniciales'!$D:$D,'Saldos Iniciales'!$A:$A,"SSP Capital")+SUMIFS(Movimientos!$K$1:$K$1324,Movimientos!$C$1:$C$1324,"SSP Capital",Movimientos!$B$1:$B$1324,"&lt;="&amp;$B42)</f>
        <v>1160274.0499999993</v>
      </c>
      <c r="H42" s="24">
        <f>SUMIFS('Saldos Iniciales'!$D:$D,'Saldos Iniciales'!$A:$A,"Cross Family Trust")+SUMIFS(Movimientos!$K$1:$K$1324,Movimientos!$C$1:$C$1324,"Cross Family Trust",Movimientos!$B$1:$B$1324,"&lt;="&amp;$B42)</f>
        <v>116496.38</v>
      </c>
      <c r="I42" s="24">
        <f>SUMIFS('Saldos Iniciales'!$D:$D,'Saldos Iniciales'!$A:$A,"Cross Security Trust")+SUMIFS(Movimientos!$K$1:$K$1324,Movimientos!$C$1:$C$1324,"Cross Security Trust",Movimientos!$B$1:$B$1324,"&lt;="&amp;$B42)</f>
        <v>20375.37</v>
      </c>
      <c r="J42" s="24">
        <f>SUMIFS('Saldos Iniciales'!$D:$D,'Saldos Iniciales'!$A:$A,"Electrama")+SUMIFS(Movimientos!$K$1:$K$1324,Movimientos!$C$1:$C$1324,"Electrama",Movimientos!$B$1:$B$1324,"&lt;="&amp;$B42)</f>
        <v>511.15999999999985</v>
      </c>
      <c r="K42" s="24">
        <f>SUMIFS('Saldos Iniciales'!$D:$D,'Saldos Iniciales'!$A:$A,"Sacred Valley Capital")+SUMIFS(Movimientos!$K$1:$K$1324,Movimientos!$C$1:$C$1324,"Sacred Valley Capital",Movimientos!$B$1:$B$1324,"&lt;="&amp;$B42)</f>
        <v>84.35</v>
      </c>
      <c r="L42" s="24">
        <f>SUMIFS('Saldos Iniciales'!$D:$D,'Saldos Iniciales'!$A:$A,"YWC Capital")+SUMIFS(Movimientos!$K$1:$K$1324,Movimientos!$C$1:$C$1324,"YWC Capital",Movimientos!$B$1:$B$1324,"&lt;="&amp;$B42)</f>
        <v>2237.77</v>
      </c>
      <c r="M42" s="24">
        <f>SUMIFS('Saldos Iniciales'!$D:$D,'Saldos Iniciales'!$A:$A,"Soweto")+SUMIFS(Movimientos!$K$1:$K$1324,Movimientos!$C$1:$C$1324,"Soweto",Movimientos!$B$1:$B$1324,"&lt;="&amp;$B42)</f>
        <v>3349.94</v>
      </c>
      <c r="N42" s="24">
        <f>SUMIFS('Saldos Iniciales'!$D:$D,'Saldos Iniciales'!$A:$A,"Green Stone Trust")+SUMIFS(Movimientos!$K$1:$K$1324,Movimientos!$C$1:$C$1324,"Green Stone Trust",Movimientos!$B$1:$B$1324,"&lt;="&amp;$B42)</f>
        <v>1968.99</v>
      </c>
      <c r="O42" s="24">
        <f>SUMIFS('Saldos Iniciales'!$D:$D,'Saldos Iniciales'!$A:$A,"EC Auto")+SUMIFS(Movimientos!$K$1:$K$1324,Movimientos!$C$1:$C$1324,"EC Auto",Movimientos!$B$1:$B$1324,"&lt;="&amp;$B42)</f>
        <v>382.69000000000005</v>
      </c>
      <c r="P42" s="24">
        <f>SUMIFS('Saldos Iniciales'!$D:$D,'Saldos Iniciales'!$A:$A,"Arbor Capital Properties")+SUMIFS(Movimientos!$K$1:$K$1324,Movimientos!$C$1:$C$1324,"Arbor Capital Properties",Movimientos!$B$1:$B$1324,"&lt;="&amp;$B42)</f>
        <v>1428.08</v>
      </c>
      <c r="Q42" s="24">
        <f>SUMIFS('Saldos Iniciales'!$D:$D,'Saldos Iniciales'!$A:$A,"2515 Overbrook")+SUMIFS(Movimientos!$K$1:$K$1324,Movimientos!$C$1:$C$1324,"2515 Overbrook",Movimientos!$B$1:$B$1324,"&lt;="&amp;$B42)</f>
        <v>25789.969999999961</v>
      </c>
      <c r="R42" s="24">
        <f>SUMIFS('Saldos Iniciales'!$D:$D,'Saldos Iniciales'!$A:$A,"112 Florida Ave")+SUMIFS(Movimientos!$K$1:$K$1324,Movimientos!$C$1:$C$1324,"112 Florida Ave",Movimientos!$B$1:$B$1324,"&lt;="&amp;$B42)</f>
        <v>5321.4300000000021</v>
      </c>
      <c r="S42" s="24">
        <f>SUMIFS('Saldos Iniciales'!$D:$D,'Saldos Iniciales'!$A:$A,"3628 Thomas Ave")+SUMIFS(Movimientos!$K$1:$K$1324,Movimientos!$C$1:$C$1324,"3628 Thomas Ave",Movimientos!$B$1:$B$1324,"&lt;="&amp;$B42)</f>
        <v>24743.98</v>
      </c>
      <c r="T42" s="24">
        <f>SUMIFS('Saldos Iniciales'!$D:$D,'Saldos Iniciales'!$A:$A,"Green Harbor Trust")+SUMIFS(Movimientos!$K$1:$K$1324,Movimientos!$C$1:$C$1324,"Green Harbor Trust",Movimientos!$B$1:$B$1324,"&lt;="&amp;$B42)</f>
        <v>345</v>
      </c>
      <c r="U42" s="24">
        <f>SUMIFS('Saldos Iniciales'!$D:$D,'Saldos Iniciales'!$A:$A,"Go Blue")+SUMIFS(Movimientos!$K$1:$K$1324,Movimientos!$C$1:$C$1324,"Go Blue",Movimientos!$B$1:$B$1324,"&lt;="&amp;$B42)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Aparments",Movimientos!$B$1:$B$1324,"&lt;="&amp;$B42))</f>
        <v>0</v>
      </c>
      <c r="AD42" s="24">
        <f>IF(YEAR($B42)*100+MONTH($B42)&lt;--SUBSTITUTE(_xlfn.XLOOKUP("Don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Life",Movimientos!$B$1:$B$1324,"&lt;="&amp;$B42))</f>
        <v>0</v>
      </c>
      <c r="AE42" s="25">
        <f t="shared" si="1"/>
        <v>4473991.28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Group")+SUMIFS(Movimientos!$K$1:$K$1324,Movimientos!$C$1:$C$1324,"CFT Group",Movimientos!$B$1:$B$1324,"&lt;="&amp;$B43)</f>
        <v>1837784.84</v>
      </c>
      <c r="D43" s="24">
        <f>SUMIFS('Saldos Iniciales'!$D:$D,'Saldos Iniciales'!$A:$A,"M1B")+SUMIFS(Movimientos!$K$1:$K$1324,Movimientos!$C$1:$C$1324,"M1B",Movimientos!$B$1:$B$1324,"&lt;="&amp;$B43)</f>
        <v>69376.390000000174</v>
      </c>
      <c r="E43" s="24">
        <f>SUMIFS('Saldos Iniciales'!$D:$D,'Saldos Iniciales'!$A:$A,"Durand")+SUMIFS(Movimientos!$K$1:$K$1324,Movimientos!$C$1:$C$1324,"Durand",Movimientos!$B$1:$B$1324,"&lt;="&amp;$B43)</f>
        <v>1669.89</v>
      </c>
      <c r="F43" s="24">
        <f>SUMIFS('Saldos Iniciales'!$D:$D,'Saldos Iniciales'!$A:$A,"A&amp;M Imports")+SUMIFS(Movimientos!$K$1:$K$1324,Movimientos!$C$1:$C$1324,"A&amp;M Imports",Movimientos!$B$1:$B$1324,"&lt;="&amp;$B43)</f>
        <v>564626.20999999985</v>
      </c>
      <c r="G43" s="24">
        <f>SUMIFS('Saldos Iniciales'!$D:$D,'Saldos Iniciales'!$A:$A,"SSP Capital")+SUMIFS(Movimientos!$K$1:$K$1324,Movimientos!$C$1:$C$1324,"SSP Capital",Movimientos!$B$1:$B$1324,"&lt;="&amp;$B43)</f>
        <v>794731.82999999926</v>
      </c>
      <c r="H43" s="24">
        <f>SUMIFS('Saldos Iniciales'!$D:$D,'Saldos Iniciales'!$A:$A,"Cross Family Trust")+SUMIFS(Movimientos!$K$1:$K$1324,Movimientos!$C$1:$C$1324,"Cross Family Trust",Movimientos!$B$1:$B$1324,"&lt;="&amp;$B43)</f>
        <v>116496.38</v>
      </c>
      <c r="I43" s="24">
        <f>SUMIFS('Saldos Iniciales'!$D:$D,'Saldos Iniciales'!$A:$A,"Cross Security Trust")+SUMIFS(Movimientos!$K$1:$K$1324,Movimientos!$C$1:$C$1324,"Cross Security Trust",Movimientos!$B$1:$B$1324,"&lt;="&amp;$B43)</f>
        <v>20375.37</v>
      </c>
      <c r="J43" s="24">
        <f>SUMIFS('Saldos Iniciales'!$D:$D,'Saldos Iniciales'!$A:$A,"Electrama")+SUMIFS(Movimientos!$K$1:$K$1324,Movimientos!$C$1:$C$1324,"Electrama",Movimientos!$B$1:$B$1324,"&lt;="&amp;$B43)</f>
        <v>511.15999999999985</v>
      </c>
      <c r="K43" s="24">
        <f>SUMIFS('Saldos Iniciales'!$D:$D,'Saldos Iniciales'!$A:$A,"Sacred Valley Capital")+SUMIFS(Movimientos!$K$1:$K$1324,Movimientos!$C$1:$C$1324,"Sacred Valley Capital",Movimientos!$B$1:$B$1324,"&lt;="&amp;$B43)</f>
        <v>84.35</v>
      </c>
      <c r="L43" s="24">
        <f>SUMIFS('Saldos Iniciales'!$D:$D,'Saldos Iniciales'!$A:$A,"YWC Capital")+SUMIFS(Movimientos!$K$1:$K$1324,Movimientos!$C$1:$C$1324,"YWC Capital",Movimientos!$B$1:$B$1324,"&lt;="&amp;$B43)</f>
        <v>2237.77</v>
      </c>
      <c r="M43" s="24">
        <f>SUMIFS('Saldos Iniciales'!$D:$D,'Saldos Iniciales'!$A:$A,"Soweto")+SUMIFS(Movimientos!$K$1:$K$1324,Movimientos!$C$1:$C$1324,"Soweto",Movimientos!$B$1:$B$1324,"&lt;="&amp;$B43)</f>
        <v>3349.94</v>
      </c>
      <c r="N43" s="24">
        <f>SUMIFS('Saldos Iniciales'!$D:$D,'Saldos Iniciales'!$A:$A,"Green Stone Trust")+SUMIFS(Movimientos!$K$1:$K$1324,Movimientos!$C$1:$C$1324,"Green Stone Trust",Movimientos!$B$1:$B$1324,"&lt;="&amp;$B43)</f>
        <v>1968.99</v>
      </c>
      <c r="O43" s="24">
        <f>SUMIFS('Saldos Iniciales'!$D:$D,'Saldos Iniciales'!$A:$A,"EC Auto")+SUMIFS(Movimientos!$K$1:$K$1324,Movimientos!$C$1:$C$1324,"EC Auto",Movimientos!$B$1:$B$1324,"&lt;="&amp;$B43)</f>
        <v>382.69000000000005</v>
      </c>
      <c r="P43" s="24">
        <f>SUMIFS('Saldos Iniciales'!$D:$D,'Saldos Iniciales'!$A:$A,"Arbor Capital Properties")+SUMIFS(Movimientos!$K$1:$K$1324,Movimientos!$C$1:$C$1324,"Arbor Capital Properties",Movimientos!$B$1:$B$1324,"&lt;="&amp;$B43)</f>
        <v>1428.08</v>
      </c>
      <c r="Q43" s="24">
        <f>SUMIFS('Saldos Iniciales'!$D:$D,'Saldos Iniciales'!$A:$A,"2515 Overbrook")+SUMIFS(Movimientos!$K$1:$K$1324,Movimientos!$C$1:$C$1324,"2515 Overbrook",Movimientos!$B$1:$B$1324,"&lt;="&amp;$B43)</f>
        <v>25789.969999999961</v>
      </c>
      <c r="R43" s="24">
        <f>SUMIFS('Saldos Iniciales'!$D:$D,'Saldos Iniciales'!$A:$A,"112 Florida Ave")+SUMIFS(Movimientos!$K$1:$K$1324,Movimientos!$C$1:$C$1324,"112 Florida Ave",Movimientos!$B$1:$B$1324,"&lt;="&amp;$B43)</f>
        <v>5321.4300000000021</v>
      </c>
      <c r="S43" s="24">
        <f>SUMIFS('Saldos Iniciales'!$D:$D,'Saldos Iniciales'!$A:$A,"3628 Thomas Ave")+SUMIFS(Movimientos!$K$1:$K$1324,Movimientos!$C$1:$C$1324,"3628 Thomas Ave",Movimientos!$B$1:$B$1324,"&lt;="&amp;$B43)</f>
        <v>24743.98</v>
      </c>
      <c r="T43" s="24">
        <f>SUMIFS('Saldos Iniciales'!$D:$D,'Saldos Iniciales'!$A:$A,"Green Harbor Trust")+SUMIFS(Movimientos!$K$1:$K$1324,Movimientos!$C$1:$C$1324,"Green Harbor Trust",Movimientos!$B$1:$B$1324,"&lt;="&amp;$B43)</f>
        <v>345</v>
      </c>
      <c r="U43" s="24">
        <f>SUMIFS('Saldos Iniciales'!$D:$D,'Saldos Iniciales'!$A:$A,"Go Blue")+SUMIFS(Movimientos!$K$1:$K$1324,Movimientos!$C$1:$C$1324,"Go Blue",Movimientos!$B$1:$B$1324,"&lt;="&amp;$B43)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Aparments",Movimientos!$B$1:$B$1324,"&lt;="&amp;$B43))</f>
        <v>0</v>
      </c>
      <c r="AD43" s="24">
        <f>IF(YEAR($B43)*100+MONTH($B43)&lt;--SUBSTITUTE(_xlfn.XLOOKUP("Don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Life",Movimientos!$B$1:$B$1324,"&lt;="&amp;$B43))</f>
        <v>0</v>
      </c>
      <c r="AE43" s="25">
        <f t="shared" si="1"/>
        <v>3525292.3499999996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Group")+SUMIFS(Movimientos!$K$1:$K$1324,Movimientos!$C$1:$C$1324,"CFT Group",Movimientos!$B$1:$B$1324,"&lt;="&amp;$B44)</f>
        <v>1837784.84</v>
      </c>
      <c r="D44" s="24">
        <f>SUMIFS('Saldos Iniciales'!$D:$D,'Saldos Iniciales'!$A:$A,"M1B")+SUMIFS(Movimientos!$K$1:$K$1324,Movimientos!$C$1:$C$1324,"M1B",Movimientos!$B$1:$B$1324,"&lt;="&amp;$B44)</f>
        <v>69376.390000000174</v>
      </c>
      <c r="E44" s="24">
        <f>SUMIFS('Saldos Iniciales'!$D:$D,'Saldos Iniciales'!$A:$A,"Durand")+SUMIFS(Movimientos!$K$1:$K$1324,Movimientos!$C$1:$C$1324,"Durand",Movimientos!$B$1:$B$1324,"&lt;="&amp;$B44)</f>
        <v>1669.89</v>
      </c>
      <c r="F44" s="24">
        <f>SUMIFS('Saldos Iniciales'!$D:$D,'Saldos Iniciales'!$A:$A,"A&amp;M Imports")+SUMIFS(Movimientos!$K$1:$K$1324,Movimientos!$C$1:$C$1324,"A&amp;M Imports",Movimientos!$B$1:$B$1324,"&lt;="&amp;$B44)</f>
        <v>564626.20999999985</v>
      </c>
      <c r="G44" s="24">
        <f>SUMIFS('Saldos Iniciales'!$D:$D,'Saldos Iniciales'!$A:$A,"SSP Capital")+SUMIFS(Movimientos!$K$1:$K$1324,Movimientos!$C$1:$C$1324,"SSP Capital",Movimientos!$B$1:$B$1324,"&lt;="&amp;$B44)</f>
        <v>3763348.8299999996</v>
      </c>
      <c r="H44" s="24">
        <f>SUMIFS('Saldos Iniciales'!$D:$D,'Saldos Iniciales'!$A:$A,"Cross Family Trust")+SUMIFS(Movimientos!$K$1:$K$1324,Movimientos!$C$1:$C$1324,"Cross Family Trust",Movimientos!$B$1:$B$1324,"&lt;="&amp;$B44)</f>
        <v>116496.38</v>
      </c>
      <c r="I44" s="24">
        <f>SUMIFS('Saldos Iniciales'!$D:$D,'Saldos Iniciales'!$A:$A,"Cross Security Trust")+SUMIFS(Movimientos!$K$1:$K$1324,Movimientos!$C$1:$C$1324,"Cross Security Trust",Movimientos!$B$1:$B$1324,"&lt;="&amp;$B44)</f>
        <v>20375.989999999998</v>
      </c>
      <c r="J44" s="24">
        <f>SUMIFS('Saldos Iniciales'!$D:$D,'Saldos Iniciales'!$A:$A,"Electrama")+SUMIFS(Movimientos!$K$1:$K$1324,Movimientos!$C$1:$C$1324,"Electrama",Movimientos!$B$1:$B$1324,"&lt;="&amp;$B44)</f>
        <v>511.15999999999985</v>
      </c>
      <c r="K44" s="24">
        <f>SUMIFS('Saldos Iniciales'!$D:$D,'Saldos Iniciales'!$A:$A,"Sacred Valley Capital")+SUMIFS(Movimientos!$K$1:$K$1324,Movimientos!$C$1:$C$1324,"Sacred Valley Capital",Movimientos!$B$1:$B$1324,"&lt;="&amp;$B44)</f>
        <v>84.35</v>
      </c>
      <c r="L44" s="24">
        <f>SUMIFS('Saldos Iniciales'!$D:$D,'Saldos Iniciales'!$A:$A,"YWC Capital")+SUMIFS(Movimientos!$K$1:$K$1324,Movimientos!$C$1:$C$1324,"YWC Capital",Movimientos!$B$1:$B$1324,"&lt;="&amp;$B44)</f>
        <v>2237.77</v>
      </c>
      <c r="M44" s="24">
        <f>SUMIFS('Saldos Iniciales'!$D:$D,'Saldos Iniciales'!$A:$A,"Soweto")+SUMIFS(Movimientos!$K$1:$K$1324,Movimientos!$C$1:$C$1324,"Soweto",Movimientos!$B$1:$B$1324,"&lt;="&amp;$B44)</f>
        <v>3349.94</v>
      </c>
      <c r="N44" s="24">
        <f>SUMIFS('Saldos Iniciales'!$D:$D,'Saldos Iniciales'!$A:$A,"Green Stone Trust")+SUMIFS(Movimientos!$K$1:$K$1324,Movimientos!$C$1:$C$1324,"Green Stone Trust",Movimientos!$B$1:$B$1324,"&lt;="&amp;$B44)</f>
        <v>1968.99</v>
      </c>
      <c r="O44" s="24">
        <f>SUMIFS('Saldos Iniciales'!$D:$D,'Saldos Iniciales'!$A:$A,"EC Auto")+SUMIFS(Movimientos!$K$1:$K$1324,Movimientos!$C$1:$C$1324,"EC Auto",Movimientos!$B$1:$B$1324,"&lt;="&amp;$B44)</f>
        <v>382.69000000000005</v>
      </c>
      <c r="P44" s="24">
        <f>SUMIFS('Saldos Iniciales'!$D:$D,'Saldos Iniciales'!$A:$A,"Arbor Capital Properties")+SUMIFS(Movimientos!$K$1:$K$1324,Movimientos!$C$1:$C$1324,"Arbor Capital Properties",Movimientos!$B$1:$B$1324,"&lt;="&amp;$B44)</f>
        <v>1428.08</v>
      </c>
      <c r="Q44" s="24">
        <f>SUMIFS('Saldos Iniciales'!$D:$D,'Saldos Iniciales'!$A:$A,"2515 Overbrook")+SUMIFS(Movimientos!$K$1:$K$1324,Movimientos!$C$1:$C$1324,"2515 Overbrook",Movimientos!$B$1:$B$1324,"&lt;="&amp;$B44)</f>
        <v>27789.969999999961</v>
      </c>
      <c r="R44" s="24">
        <f>SUMIFS('Saldos Iniciales'!$D:$D,'Saldos Iniciales'!$A:$A,"112 Florida Ave")+SUMIFS(Movimientos!$K$1:$K$1324,Movimientos!$C$1:$C$1324,"112 Florida Ave",Movimientos!$B$1:$B$1324,"&lt;="&amp;$B44)</f>
        <v>5321.4300000000021</v>
      </c>
      <c r="S44" s="24">
        <f>SUMIFS('Saldos Iniciales'!$D:$D,'Saldos Iniciales'!$A:$A,"3628 Thomas Ave")+SUMIFS(Movimientos!$K$1:$K$1324,Movimientos!$C$1:$C$1324,"3628 Thomas Ave",Movimientos!$B$1:$B$1324,"&lt;="&amp;$B44)</f>
        <v>24484.85</v>
      </c>
      <c r="T44" s="24">
        <f>SUMIFS('Saldos Iniciales'!$D:$D,'Saldos Iniciales'!$A:$A,"Green Harbor Trust")+SUMIFS(Movimientos!$K$1:$K$1324,Movimientos!$C$1:$C$1324,"Green Harbor Trust",Movimientos!$B$1:$B$1324,"&lt;="&amp;$B44)</f>
        <v>345</v>
      </c>
      <c r="U44" s="24">
        <f>SUMIFS('Saldos Iniciales'!$D:$D,'Saldos Iniciales'!$A:$A,"Go Blue")+SUMIFS(Movimientos!$K$1:$K$1324,Movimientos!$C$1:$C$1324,"Go Blue",Movimientos!$B$1:$B$1324,"&lt;="&amp;$B44)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Aparments",Movimientos!$B$1:$B$1324,"&lt;="&amp;$B44))</f>
        <v>0</v>
      </c>
      <c r="AD44" s="24">
        <f>IF(YEAR($B44)*100+MONTH($B44)&lt;--SUBSTITUTE(_xlfn.XLOOKUP("Don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Life",Movimientos!$B$1:$B$1324,"&lt;="&amp;$B44))</f>
        <v>0</v>
      </c>
      <c r="AE44" s="25">
        <f t="shared" si="1"/>
        <v>6495650.8399999999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Group")+SUMIFS(Movimientos!$K$1:$K$1324,Movimientos!$C$1:$C$1324,"CFT Group",Movimientos!$B$1:$B$1324,"&lt;="&amp;$B45)</f>
        <v>1837784.84</v>
      </c>
      <c r="D45" s="24">
        <f>SUMIFS('Saldos Iniciales'!$D:$D,'Saldos Iniciales'!$A:$A,"M1B")+SUMIFS(Movimientos!$K$1:$K$1324,Movimientos!$C$1:$C$1324,"M1B",Movimientos!$B$1:$B$1324,"&lt;="&amp;$B45)</f>
        <v>69376.390000000174</v>
      </c>
      <c r="E45" s="24">
        <f>SUMIFS('Saldos Iniciales'!$D:$D,'Saldos Iniciales'!$A:$A,"Durand")+SUMIFS(Movimientos!$K$1:$K$1324,Movimientos!$C$1:$C$1324,"Durand",Movimientos!$B$1:$B$1324,"&lt;="&amp;$B45)</f>
        <v>1669.89</v>
      </c>
      <c r="F45" s="24">
        <f>SUMIFS('Saldos Iniciales'!$D:$D,'Saldos Iniciales'!$A:$A,"A&amp;M Imports")+SUMIFS(Movimientos!$K$1:$K$1324,Movimientos!$C$1:$C$1324,"A&amp;M Imports",Movimientos!$B$1:$B$1324,"&lt;="&amp;$B45)</f>
        <v>564626.20999999985</v>
      </c>
      <c r="G45" s="24">
        <f>SUMIFS('Saldos Iniciales'!$D:$D,'Saldos Iniciales'!$A:$A,"SSP Capital")+SUMIFS(Movimientos!$K$1:$K$1324,Movimientos!$C$1:$C$1324,"SSP Capital",Movimientos!$B$1:$B$1324,"&lt;="&amp;$B45)</f>
        <v>3763348.8299999996</v>
      </c>
      <c r="H45" s="24">
        <f>SUMIFS('Saldos Iniciales'!$D:$D,'Saldos Iniciales'!$A:$A,"Cross Family Trust")+SUMIFS(Movimientos!$K$1:$K$1324,Movimientos!$C$1:$C$1324,"Cross Family Trust",Movimientos!$B$1:$B$1324,"&lt;="&amp;$B45)</f>
        <v>116496.38</v>
      </c>
      <c r="I45" s="24">
        <f>SUMIFS('Saldos Iniciales'!$D:$D,'Saldos Iniciales'!$A:$A,"Cross Security Trust")+SUMIFS(Movimientos!$K$1:$K$1324,Movimientos!$C$1:$C$1324,"Cross Security Trust",Movimientos!$B$1:$B$1324,"&lt;="&amp;$B45)</f>
        <v>20375.989999999998</v>
      </c>
      <c r="J45" s="24">
        <f>SUMIFS('Saldos Iniciales'!$D:$D,'Saldos Iniciales'!$A:$A,"Electrama")+SUMIFS(Movimientos!$K$1:$K$1324,Movimientos!$C$1:$C$1324,"Electrama",Movimientos!$B$1:$B$1324,"&lt;="&amp;$B45)</f>
        <v>511.15999999999985</v>
      </c>
      <c r="K45" s="24">
        <f>SUMIFS('Saldos Iniciales'!$D:$D,'Saldos Iniciales'!$A:$A,"Sacred Valley Capital")+SUMIFS(Movimientos!$K$1:$K$1324,Movimientos!$C$1:$C$1324,"Sacred Valley Capital",Movimientos!$B$1:$B$1324,"&lt;="&amp;$B45)</f>
        <v>84.35</v>
      </c>
      <c r="L45" s="24">
        <f>SUMIFS('Saldos Iniciales'!$D:$D,'Saldos Iniciales'!$A:$A,"YWC Capital")+SUMIFS(Movimientos!$K$1:$K$1324,Movimientos!$C$1:$C$1324,"YWC Capital",Movimientos!$B$1:$B$1324,"&lt;="&amp;$B45)</f>
        <v>2237.77</v>
      </c>
      <c r="M45" s="24">
        <f>SUMIFS('Saldos Iniciales'!$D:$D,'Saldos Iniciales'!$A:$A,"Soweto")+SUMIFS(Movimientos!$K$1:$K$1324,Movimientos!$C$1:$C$1324,"Soweto",Movimientos!$B$1:$B$1324,"&lt;="&amp;$B45)</f>
        <v>3349.94</v>
      </c>
      <c r="N45" s="24">
        <f>SUMIFS('Saldos Iniciales'!$D:$D,'Saldos Iniciales'!$A:$A,"Green Stone Trust")+SUMIFS(Movimientos!$K$1:$K$1324,Movimientos!$C$1:$C$1324,"Green Stone Trust",Movimientos!$B$1:$B$1324,"&lt;="&amp;$B45)</f>
        <v>1968.99</v>
      </c>
      <c r="O45" s="24">
        <f>SUMIFS('Saldos Iniciales'!$D:$D,'Saldos Iniciales'!$A:$A,"EC Auto")+SUMIFS(Movimientos!$K$1:$K$1324,Movimientos!$C$1:$C$1324,"EC Auto",Movimientos!$B$1:$B$1324,"&lt;="&amp;$B45)</f>
        <v>382.69000000000005</v>
      </c>
      <c r="P45" s="24">
        <f>SUMIFS('Saldos Iniciales'!$D:$D,'Saldos Iniciales'!$A:$A,"Arbor Capital Properties")+SUMIFS(Movimientos!$K$1:$K$1324,Movimientos!$C$1:$C$1324,"Arbor Capital Properties",Movimientos!$B$1:$B$1324,"&lt;="&amp;$B45)</f>
        <v>1428.08</v>
      </c>
      <c r="Q45" s="24">
        <f>SUMIFS('Saldos Iniciales'!$D:$D,'Saldos Iniciales'!$A:$A,"2515 Overbrook")+SUMIFS(Movimientos!$K$1:$K$1324,Movimientos!$C$1:$C$1324,"2515 Overbrook",Movimientos!$B$1:$B$1324,"&lt;="&amp;$B45)</f>
        <v>27789.969999999961</v>
      </c>
      <c r="R45" s="24">
        <f>SUMIFS('Saldos Iniciales'!$D:$D,'Saldos Iniciales'!$A:$A,"112 Florida Ave")+SUMIFS(Movimientos!$K$1:$K$1324,Movimientos!$C$1:$C$1324,"112 Florida Ave",Movimientos!$B$1:$B$1324,"&lt;="&amp;$B45)</f>
        <v>5321.4300000000021</v>
      </c>
      <c r="S45" s="24">
        <f>SUMIFS('Saldos Iniciales'!$D:$D,'Saldos Iniciales'!$A:$A,"3628 Thomas Ave")+SUMIFS(Movimientos!$K$1:$K$1324,Movimientos!$C$1:$C$1324,"3628 Thomas Ave",Movimientos!$B$1:$B$1324,"&lt;="&amp;$B45)</f>
        <v>24484.85</v>
      </c>
      <c r="T45" s="24">
        <f>SUMIFS('Saldos Iniciales'!$D:$D,'Saldos Iniciales'!$A:$A,"Green Harbor Trust")+SUMIFS(Movimientos!$K$1:$K$1324,Movimientos!$C$1:$C$1324,"Green Harbor Trust",Movimientos!$B$1:$B$1324,"&lt;="&amp;$B45)</f>
        <v>345</v>
      </c>
      <c r="U45" s="24">
        <f>SUMIFS('Saldos Iniciales'!$D:$D,'Saldos Iniciales'!$A:$A,"Go Blue")+SUMIFS(Movimientos!$K$1:$K$1324,Movimientos!$C$1:$C$1324,"Go Blue",Movimientos!$B$1:$B$1324,"&lt;="&amp;$B45)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Aparments",Movimientos!$B$1:$B$1324,"&lt;="&amp;$B45))</f>
        <v>0</v>
      </c>
      <c r="AD45" s="24">
        <f>IF(YEAR($B45)*100+MONTH($B45)&lt;--SUBSTITUTE(_xlfn.XLOOKUP("Don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Life",Movimientos!$B$1:$B$1324,"&lt;="&amp;$B45))</f>
        <v>0</v>
      </c>
      <c r="AE45" s="25">
        <f t="shared" si="1"/>
        <v>6495650.8399999999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Group")+SUMIFS(Movimientos!$K$1:$K$1324,Movimientos!$C$1:$C$1324,"CFT Group",Movimientos!$B$1:$B$1324,"&lt;="&amp;$B46)</f>
        <v>1837784.84</v>
      </c>
      <c r="D46" s="24">
        <f>SUMIFS('Saldos Iniciales'!$D:$D,'Saldos Iniciales'!$A:$A,"M1B")+SUMIFS(Movimientos!$K$1:$K$1324,Movimientos!$C$1:$C$1324,"M1B",Movimientos!$B$1:$B$1324,"&lt;="&amp;$B46)</f>
        <v>69376.390000000174</v>
      </c>
      <c r="E46" s="24">
        <f>SUMIFS('Saldos Iniciales'!$D:$D,'Saldos Iniciales'!$A:$A,"Durand")+SUMIFS(Movimientos!$K$1:$K$1324,Movimientos!$C$1:$C$1324,"Durand",Movimientos!$B$1:$B$1324,"&lt;="&amp;$B46)</f>
        <v>1669.89</v>
      </c>
      <c r="F46" s="24">
        <f>SUMIFS('Saldos Iniciales'!$D:$D,'Saldos Iniciales'!$A:$A,"A&amp;M Imports")+SUMIFS(Movimientos!$K$1:$K$1324,Movimientos!$C$1:$C$1324,"A&amp;M Imports",Movimientos!$B$1:$B$1324,"&lt;="&amp;$B46)</f>
        <v>564626.20999999985</v>
      </c>
      <c r="G46" s="24">
        <f>SUMIFS('Saldos Iniciales'!$D:$D,'Saldos Iniciales'!$A:$A,"SSP Capital")+SUMIFS(Movimientos!$K$1:$K$1324,Movimientos!$C$1:$C$1324,"SSP Capital",Movimientos!$B$1:$B$1324,"&lt;="&amp;$B46)</f>
        <v>3763348.8299999996</v>
      </c>
      <c r="H46" s="24">
        <f>SUMIFS('Saldos Iniciales'!$D:$D,'Saldos Iniciales'!$A:$A,"Cross Family Trust")+SUMIFS(Movimientos!$K$1:$K$1324,Movimientos!$C$1:$C$1324,"Cross Family Trust",Movimientos!$B$1:$B$1324,"&lt;="&amp;$B46)</f>
        <v>116496.38</v>
      </c>
      <c r="I46" s="24">
        <f>SUMIFS('Saldos Iniciales'!$D:$D,'Saldos Iniciales'!$A:$A,"Cross Security Trust")+SUMIFS(Movimientos!$K$1:$K$1324,Movimientos!$C$1:$C$1324,"Cross Security Trust",Movimientos!$B$1:$B$1324,"&lt;="&amp;$B46)</f>
        <v>20375.989999999998</v>
      </c>
      <c r="J46" s="24">
        <f>SUMIFS('Saldos Iniciales'!$D:$D,'Saldos Iniciales'!$A:$A,"Electrama")+SUMIFS(Movimientos!$K$1:$K$1324,Movimientos!$C$1:$C$1324,"Electrama",Movimientos!$B$1:$B$1324,"&lt;="&amp;$B46)</f>
        <v>511.15999999999985</v>
      </c>
      <c r="K46" s="24">
        <f>SUMIFS('Saldos Iniciales'!$D:$D,'Saldos Iniciales'!$A:$A,"Sacred Valley Capital")+SUMIFS(Movimientos!$K$1:$K$1324,Movimientos!$C$1:$C$1324,"Sacred Valley Capital",Movimientos!$B$1:$B$1324,"&lt;="&amp;$B46)</f>
        <v>84.35</v>
      </c>
      <c r="L46" s="24">
        <f>SUMIFS('Saldos Iniciales'!$D:$D,'Saldos Iniciales'!$A:$A,"YWC Capital")+SUMIFS(Movimientos!$K$1:$K$1324,Movimientos!$C$1:$C$1324,"YWC Capital",Movimientos!$B$1:$B$1324,"&lt;="&amp;$B46)</f>
        <v>2237.77</v>
      </c>
      <c r="M46" s="24">
        <f>SUMIFS('Saldos Iniciales'!$D:$D,'Saldos Iniciales'!$A:$A,"Soweto")+SUMIFS(Movimientos!$K$1:$K$1324,Movimientos!$C$1:$C$1324,"Soweto",Movimientos!$B$1:$B$1324,"&lt;="&amp;$B46)</f>
        <v>3349.94</v>
      </c>
      <c r="N46" s="24">
        <f>SUMIFS('Saldos Iniciales'!$D:$D,'Saldos Iniciales'!$A:$A,"Green Stone Trust")+SUMIFS(Movimientos!$K$1:$K$1324,Movimientos!$C$1:$C$1324,"Green Stone Trust",Movimientos!$B$1:$B$1324,"&lt;="&amp;$B46)</f>
        <v>1968.99</v>
      </c>
      <c r="O46" s="24">
        <f>SUMIFS('Saldos Iniciales'!$D:$D,'Saldos Iniciales'!$A:$A,"EC Auto")+SUMIFS(Movimientos!$K$1:$K$1324,Movimientos!$C$1:$C$1324,"EC Auto",Movimientos!$B$1:$B$1324,"&lt;="&amp;$B46)</f>
        <v>382.69000000000005</v>
      </c>
      <c r="P46" s="24">
        <f>SUMIFS('Saldos Iniciales'!$D:$D,'Saldos Iniciales'!$A:$A,"Arbor Capital Properties")+SUMIFS(Movimientos!$K$1:$K$1324,Movimientos!$C$1:$C$1324,"Arbor Capital Properties",Movimientos!$B$1:$B$1324,"&lt;="&amp;$B46)</f>
        <v>1428.08</v>
      </c>
      <c r="Q46" s="24">
        <f>SUMIFS('Saldos Iniciales'!$D:$D,'Saldos Iniciales'!$A:$A,"2515 Overbrook")+SUMIFS(Movimientos!$K$1:$K$1324,Movimientos!$C$1:$C$1324,"2515 Overbrook",Movimientos!$B$1:$B$1324,"&lt;="&amp;$B46)</f>
        <v>27789.969999999961</v>
      </c>
      <c r="R46" s="24">
        <f>SUMIFS('Saldos Iniciales'!$D:$D,'Saldos Iniciales'!$A:$A,"112 Florida Ave")+SUMIFS(Movimientos!$K$1:$K$1324,Movimientos!$C$1:$C$1324,"112 Florida Ave",Movimientos!$B$1:$B$1324,"&lt;="&amp;$B46)</f>
        <v>5321.4300000000021</v>
      </c>
      <c r="S46" s="24">
        <f>SUMIFS('Saldos Iniciales'!$D:$D,'Saldos Iniciales'!$A:$A,"3628 Thomas Ave")+SUMIFS(Movimientos!$K$1:$K$1324,Movimientos!$C$1:$C$1324,"3628 Thomas Ave",Movimientos!$B$1:$B$1324,"&lt;="&amp;$B46)</f>
        <v>24484.85</v>
      </c>
      <c r="T46" s="24">
        <f>SUMIFS('Saldos Iniciales'!$D:$D,'Saldos Iniciales'!$A:$A,"Green Harbor Trust")+SUMIFS(Movimientos!$K$1:$K$1324,Movimientos!$C$1:$C$1324,"Green Harbor Trust",Movimientos!$B$1:$B$1324,"&lt;="&amp;$B46)</f>
        <v>345</v>
      </c>
      <c r="U46" s="24">
        <f>SUMIFS('Saldos Iniciales'!$D:$D,'Saldos Iniciales'!$A:$A,"Go Blue")+SUMIFS(Movimientos!$K$1:$K$1324,Movimientos!$C$1:$C$1324,"Go Blue",Movimientos!$B$1:$B$1324,"&lt;="&amp;$B46)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Aparments",Movimientos!$B$1:$B$1324,"&lt;="&amp;$B46))</f>
        <v>0</v>
      </c>
      <c r="AD46" s="24">
        <f>IF(YEAR($B46)*100+MONTH($B46)&lt;--SUBSTITUTE(_xlfn.XLOOKUP("Don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Life",Movimientos!$B$1:$B$1324,"&lt;="&amp;$B46))</f>
        <v>0</v>
      </c>
      <c r="AE46" s="25">
        <f t="shared" si="1"/>
        <v>6495650.8399999999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Group")+SUMIFS(Movimientos!$K$1:$K$1324,Movimientos!$C$1:$C$1324,"CFT Group",Movimientos!$B$1:$B$1324,"&lt;="&amp;$B47)</f>
        <v>985975.94000000029</v>
      </c>
      <c r="D47" s="24">
        <f>SUMIFS('Saldos Iniciales'!$D:$D,'Saldos Iniciales'!$A:$A,"M1B")+SUMIFS(Movimientos!$K$1:$K$1324,Movimientos!$C$1:$C$1324,"M1B",Movimientos!$B$1:$B$1324,"&lt;="&amp;$B47)</f>
        <v>69376.390000000174</v>
      </c>
      <c r="E47" s="24">
        <f>SUMIFS('Saldos Iniciales'!$D:$D,'Saldos Iniciales'!$A:$A,"Durand")+SUMIFS(Movimientos!$K$1:$K$1324,Movimientos!$C$1:$C$1324,"Durand",Movimientos!$B$1:$B$1324,"&lt;="&amp;$B47)</f>
        <v>1669.89</v>
      </c>
      <c r="F47" s="24">
        <f>SUMIFS('Saldos Iniciales'!$D:$D,'Saldos Iniciales'!$A:$A,"A&amp;M Imports")+SUMIFS(Movimientos!$K$1:$K$1324,Movimientos!$C$1:$C$1324,"A&amp;M Imports",Movimientos!$B$1:$B$1324,"&lt;="&amp;$B47)</f>
        <v>503904.80999999982</v>
      </c>
      <c r="G47" s="24">
        <f>SUMIFS('Saldos Iniciales'!$D:$D,'Saldos Iniciales'!$A:$A,"SSP Capital")+SUMIFS(Movimientos!$K$1:$K$1324,Movimientos!$C$1:$C$1324,"SSP Capital",Movimientos!$B$1:$B$1324,"&lt;="&amp;$B47)</f>
        <v>3331737.2399999998</v>
      </c>
      <c r="H47" s="24">
        <f>SUMIFS('Saldos Iniciales'!$D:$D,'Saldos Iniciales'!$A:$A,"Cross Family Trust")+SUMIFS(Movimientos!$K$1:$K$1324,Movimientos!$C$1:$C$1324,"Cross Family Trust",Movimientos!$B$1:$B$1324,"&lt;="&amp;$B47)</f>
        <v>116496.38</v>
      </c>
      <c r="I47" s="24">
        <f>SUMIFS('Saldos Iniciales'!$D:$D,'Saldos Iniciales'!$A:$A,"Cross Security Trust")+SUMIFS(Movimientos!$K$1:$K$1324,Movimientos!$C$1:$C$1324,"Cross Security Trust",Movimientos!$B$1:$B$1324,"&lt;="&amp;$B47)</f>
        <v>20375.989999999998</v>
      </c>
      <c r="J47" s="24">
        <f>SUMIFS('Saldos Iniciales'!$D:$D,'Saldos Iniciales'!$A:$A,"Electrama")+SUMIFS(Movimientos!$K$1:$K$1324,Movimientos!$C$1:$C$1324,"Electrama",Movimientos!$B$1:$B$1324,"&lt;="&amp;$B47)</f>
        <v>511.15999999999985</v>
      </c>
      <c r="K47" s="24">
        <f>SUMIFS('Saldos Iniciales'!$D:$D,'Saldos Iniciales'!$A:$A,"Sacred Valley Capital")+SUMIFS(Movimientos!$K$1:$K$1324,Movimientos!$C$1:$C$1324,"Sacred Valley Capital",Movimientos!$B$1:$B$1324,"&lt;="&amp;$B47)</f>
        <v>84.35</v>
      </c>
      <c r="L47" s="24">
        <f>SUMIFS('Saldos Iniciales'!$D:$D,'Saldos Iniciales'!$A:$A,"YWC Capital")+SUMIFS(Movimientos!$K$1:$K$1324,Movimientos!$C$1:$C$1324,"YWC Capital",Movimientos!$B$1:$B$1324,"&lt;="&amp;$B47)</f>
        <v>2237.77</v>
      </c>
      <c r="M47" s="24">
        <f>SUMIFS('Saldos Iniciales'!$D:$D,'Saldos Iniciales'!$A:$A,"Soweto")+SUMIFS(Movimientos!$K$1:$K$1324,Movimientos!$C$1:$C$1324,"Soweto",Movimientos!$B$1:$B$1324,"&lt;="&amp;$B47)</f>
        <v>3349.94</v>
      </c>
      <c r="N47" s="24">
        <f>SUMIFS('Saldos Iniciales'!$D:$D,'Saldos Iniciales'!$A:$A,"Green Stone Trust")+SUMIFS(Movimientos!$K$1:$K$1324,Movimientos!$C$1:$C$1324,"Green Stone Trust",Movimientos!$B$1:$B$1324,"&lt;="&amp;$B47)</f>
        <v>1968.99</v>
      </c>
      <c r="O47" s="24">
        <f>SUMIFS('Saldos Iniciales'!$D:$D,'Saldos Iniciales'!$A:$A,"EC Auto")+SUMIFS(Movimientos!$K$1:$K$1324,Movimientos!$C$1:$C$1324,"EC Auto",Movimientos!$B$1:$B$1324,"&lt;="&amp;$B47)</f>
        <v>382.69000000000005</v>
      </c>
      <c r="P47" s="24">
        <f>SUMIFS('Saldos Iniciales'!$D:$D,'Saldos Iniciales'!$A:$A,"Arbor Capital Properties")+SUMIFS(Movimientos!$K$1:$K$1324,Movimientos!$C$1:$C$1324,"Arbor Capital Properties",Movimientos!$B$1:$B$1324,"&lt;="&amp;$B47)</f>
        <v>1428.08</v>
      </c>
      <c r="Q47" s="24">
        <f>SUMIFS('Saldos Iniciales'!$D:$D,'Saldos Iniciales'!$A:$A,"2515 Overbrook")+SUMIFS(Movimientos!$K$1:$K$1324,Movimientos!$C$1:$C$1324,"2515 Overbrook",Movimientos!$B$1:$B$1324,"&lt;="&amp;$B47)</f>
        <v>29789.969999999961</v>
      </c>
      <c r="R47" s="24">
        <f>SUMIFS('Saldos Iniciales'!$D:$D,'Saldos Iniciales'!$A:$A,"112 Florida Ave")+SUMIFS(Movimientos!$K$1:$K$1324,Movimientos!$C$1:$C$1324,"112 Florida Ave",Movimientos!$B$1:$B$1324,"&lt;="&amp;$B47)</f>
        <v>5321.4300000000021</v>
      </c>
      <c r="S47" s="24">
        <f>SUMIFS('Saldos Iniciales'!$D:$D,'Saldos Iniciales'!$A:$A,"3628 Thomas Ave")+SUMIFS(Movimientos!$K$1:$K$1324,Movimientos!$C$1:$C$1324,"3628 Thomas Ave",Movimientos!$B$1:$B$1324,"&lt;="&amp;$B47)</f>
        <v>20484.849999999999</v>
      </c>
      <c r="T47" s="24">
        <f>SUMIFS('Saldos Iniciales'!$D:$D,'Saldos Iniciales'!$A:$A,"Green Harbor Trust")+SUMIFS(Movimientos!$K$1:$K$1324,Movimientos!$C$1:$C$1324,"Green Harbor Trust",Movimientos!$B$1:$B$1324,"&lt;="&amp;$B47)</f>
        <v>345</v>
      </c>
      <c r="U47" s="24">
        <f>SUMIFS('Saldos Iniciales'!$D:$D,'Saldos Iniciales'!$A:$A,"Go Blue")+SUMIFS(Movimientos!$K$1:$K$1324,Movimientos!$C$1:$C$1324,"Go Blue",Movimientos!$B$1:$B$1324,"&lt;="&amp;$B47)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Aparments",Movimientos!$B$1:$B$1324,"&lt;="&amp;$B47))</f>
        <v>0</v>
      </c>
      <c r="AD47" s="24">
        <f>IF(YEAR($B47)*100+MONTH($B47)&lt;--SUBSTITUTE(_xlfn.XLOOKUP("Don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Life",Movimientos!$B$1:$B$1324,"&lt;="&amp;$B47))</f>
        <v>0</v>
      </c>
      <c r="AE47" s="25">
        <f t="shared" si="1"/>
        <v>5149458.9499999993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Group")+SUMIFS(Movimientos!$K$1:$K$1324,Movimientos!$C$1:$C$1324,"CFT Group",Movimientos!$B$1:$B$1324,"&lt;="&amp;$B48)</f>
        <v>1086358.7500000002</v>
      </c>
      <c r="D48" s="24">
        <f>SUMIFS('Saldos Iniciales'!$D:$D,'Saldos Iniciales'!$A:$A,"M1B")+SUMIFS(Movimientos!$K$1:$K$1324,Movimientos!$C$1:$C$1324,"M1B",Movimientos!$B$1:$B$1324,"&lt;="&amp;$B48)</f>
        <v>69376.390000000174</v>
      </c>
      <c r="E48" s="24">
        <f>SUMIFS('Saldos Iniciales'!$D:$D,'Saldos Iniciales'!$A:$A,"Durand")+SUMIFS(Movimientos!$K$1:$K$1324,Movimientos!$C$1:$C$1324,"Durand",Movimientos!$B$1:$B$1324,"&lt;="&amp;$B48)</f>
        <v>1669.89</v>
      </c>
      <c r="F48" s="24">
        <f>SUMIFS('Saldos Iniciales'!$D:$D,'Saldos Iniciales'!$A:$A,"A&amp;M Imports")+SUMIFS(Movimientos!$K$1:$K$1324,Movimientos!$C$1:$C$1324,"A&amp;M Imports",Movimientos!$B$1:$B$1324,"&lt;="&amp;$B48)</f>
        <v>503904.80999999982</v>
      </c>
      <c r="G48" s="24">
        <f>SUMIFS('Saldos Iniciales'!$D:$D,'Saldos Iniciales'!$A:$A,"SSP Capital")+SUMIFS(Movimientos!$K$1:$K$1324,Movimientos!$C$1:$C$1324,"SSP Capital",Movimientos!$B$1:$B$1324,"&lt;="&amp;$B48)</f>
        <v>3329246.88</v>
      </c>
      <c r="H48" s="24">
        <f>SUMIFS('Saldos Iniciales'!$D:$D,'Saldos Iniciales'!$A:$A,"Cross Family Trust")+SUMIFS(Movimientos!$K$1:$K$1324,Movimientos!$C$1:$C$1324,"Cross Family Trust",Movimientos!$B$1:$B$1324,"&lt;="&amp;$B48)</f>
        <v>116496.38</v>
      </c>
      <c r="I48" s="24">
        <f>SUMIFS('Saldos Iniciales'!$D:$D,'Saldos Iniciales'!$A:$A,"Cross Security Trust")+SUMIFS(Movimientos!$K$1:$K$1324,Movimientos!$C$1:$C$1324,"Cross Security Trust",Movimientos!$B$1:$B$1324,"&lt;="&amp;$B48)</f>
        <v>20375.989999999998</v>
      </c>
      <c r="J48" s="24">
        <f>SUMIFS('Saldos Iniciales'!$D:$D,'Saldos Iniciales'!$A:$A,"Electrama")+SUMIFS(Movimientos!$K$1:$K$1324,Movimientos!$C$1:$C$1324,"Electrama",Movimientos!$B$1:$B$1324,"&lt;="&amp;$B48)</f>
        <v>511.15999999999985</v>
      </c>
      <c r="K48" s="24">
        <f>SUMIFS('Saldos Iniciales'!$D:$D,'Saldos Iniciales'!$A:$A,"Sacred Valley Capital")+SUMIFS(Movimientos!$K$1:$K$1324,Movimientos!$C$1:$C$1324,"Sacred Valley Capital",Movimientos!$B$1:$B$1324,"&lt;="&amp;$B48)</f>
        <v>84.35</v>
      </c>
      <c r="L48" s="24">
        <f>SUMIFS('Saldos Iniciales'!$D:$D,'Saldos Iniciales'!$A:$A,"YWC Capital")+SUMIFS(Movimientos!$K$1:$K$1324,Movimientos!$C$1:$C$1324,"YWC Capital",Movimientos!$B$1:$B$1324,"&lt;="&amp;$B48)</f>
        <v>2237.77</v>
      </c>
      <c r="M48" s="24">
        <f>SUMIFS('Saldos Iniciales'!$D:$D,'Saldos Iniciales'!$A:$A,"Soweto")+SUMIFS(Movimientos!$K$1:$K$1324,Movimientos!$C$1:$C$1324,"Soweto",Movimientos!$B$1:$B$1324,"&lt;="&amp;$B48)</f>
        <v>3349.94</v>
      </c>
      <c r="N48" s="24">
        <f>SUMIFS('Saldos Iniciales'!$D:$D,'Saldos Iniciales'!$A:$A,"Green Stone Trust")+SUMIFS(Movimientos!$K$1:$K$1324,Movimientos!$C$1:$C$1324,"Green Stone Trust",Movimientos!$B$1:$B$1324,"&lt;="&amp;$B48)</f>
        <v>1968.99</v>
      </c>
      <c r="O48" s="24">
        <f>SUMIFS('Saldos Iniciales'!$D:$D,'Saldos Iniciales'!$A:$A,"EC Auto")+SUMIFS(Movimientos!$K$1:$K$1324,Movimientos!$C$1:$C$1324,"EC Auto",Movimientos!$B$1:$B$1324,"&lt;="&amp;$B48)</f>
        <v>382.69000000000005</v>
      </c>
      <c r="P48" s="24">
        <f>SUMIFS('Saldos Iniciales'!$D:$D,'Saldos Iniciales'!$A:$A,"Arbor Capital Properties")+SUMIFS(Movimientos!$K$1:$K$1324,Movimientos!$C$1:$C$1324,"Arbor Capital Properties",Movimientos!$B$1:$B$1324,"&lt;="&amp;$B48)</f>
        <v>1428.08</v>
      </c>
      <c r="Q48" s="24">
        <f>SUMIFS('Saldos Iniciales'!$D:$D,'Saldos Iniciales'!$A:$A,"2515 Overbrook")+SUMIFS(Movimientos!$K$1:$K$1324,Movimientos!$C$1:$C$1324,"2515 Overbrook",Movimientos!$B$1:$B$1324,"&lt;="&amp;$B48)</f>
        <v>29789.969999999961</v>
      </c>
      <c r="R48" s="24">
        <f>SUMIFS('Saldos Iniciales'!$D:$D,'Saldos Iniciales'!$A:$A,"112 Florida Ave")+SUMIFS(Movimientos!$K$1:$K$1324,Movimientos!$C$1:$C$1324,"112 Florida Ave",Movimientos!$B$1:$B$1324,"&lt;="&amp;$B48)</f>
        <v>20321.43</v>
      </c>
      <c r="S48" s="24">
        <f>SUMIFS('Saldos Iniciales'!$D:$D,'Saldos Iniciales'!$A:$A,"3628 Thomas Ave")+SUMIFS(Movimientos!$K$1:$K$1324,Movimientos!$C$1:$C$1324,"3628 Thomas Ave",Movimientos!$B$1:$B$1324,"&lt;="&amp;$B48)</f>
        <v>19811.349999999999</v>
      </c>
      <c r="T48" s="24">
        <f>SUMIFS('Saldos Iniciales'!$D:$D,'Saldos Iniciales'!$A:$A,"Green Harbor Trust")+SUMIFS(Movimientos!$K$1:$K$1324,Movimientos!$C$1:$C$1324,"Green Harbor Trust",Movimientos!$B$1:$B$1324,"&lt;="&amp;$B48)</f>
        <v>345</v>
      </c>
      <c r="U48" s="24">
        <f>SUMIFS('Saldos Iniciales'!$D:$D,'Saldos Iniciales'!$A:$A,"Go Blue")+SUMIFS(Movimientos!$K$1:$K$1324,Movimientos!$C$1:$C$1324,"Go Blue",Movimientos!$B$1:$B$1324,"&lt;="&amp;$B48)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Aparments",Movimientos!$B$1:$B$1324,"&lt;="&amp;$B48))</f>
        <v>0</v>
      </c>
      <c r="AD48" s="24">
        <f>IF(YEAR($B48)*100+MONTH($B48)&lt;--SUBSTITUTE(_xlfn.XLOOKUP("Don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Life",Movimientos!$B$1:$B$1324,"&lt;="&amp;$B48))</f>
        <v>0</v>
      </c>
      <c r="AE48" s="25">
        <f t="shared" si="1"/>
        <v>5258994.18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Group")+SUMIFS(Movimientos!$K$1:$K$1324,Movimientos!$C$1:$C$1324,"CFT Group",Movimientos!$B$1:$B$1324,"&lt;="&amp;$B49)</f>
        <v>1098358.7500000002</v>
      </c>
      <c r="D49" s="24">
        <f>SUMIFS('Saldos Iniciales'!$D:$D,'Saldos Iniciales'!$A:$A,"M1B")+SUMIFS(Movimientos!$K$1:$K$1324,Movimientos!$C$1:$C$1324,"M1B",Movimientos!$B$1:$B$1324,"&lt;="&amp;$B49)</f>
        <v>69376.390000000174</v>
      </c>
      <c r="E49" s="24">
        <f>SUMIFS('Saldos Iniciales'!$D:$D,'Saldos Iniciales'!$A:$A,"Durand")+SUMIFS(Movimientos!$K$1:$K$1324,Movimientos!$C$1:$C$1324,"Durand",Movimientos!$B$1:$B$1324,"&lt;="&amp;$B49)</f>
        <v>1669.89</v>
      </c>
      <c r="F49" s="24">
        <f>SUMIFS('Saldos Iniciales'!$D:$D,'Saldos Iniciales'!$A:$A,"A&amp;M Imports")+SUMIFS(Movimientos!$K$1:$K$1324,Movimientos!$C$1:$C$1324,"A&amp;M Imports",Movimientos!$B$1:$B$1324,"&lt;="&amp;$B49)</f>
        <v>503904.80999999982</v>
      </c>
      <c r="G49" s="24">
        <f>SUMIFS('Saldos Iniciales'!$D:$D,'Saldos Iniciales'!$A:$A,"SSP Capital")+SUMIFS(Movimientos!$K$1:$K$1324,Movimientos!$C$1:$C$1324,"SSP Capital",Movimientos!$B$1:$B$1324,"&lt;="&amp;$B49)</f>
        <v>3326863.3899999997</v>
      </c>
      <c r="H49" s="24">
        <f>SUMIFS('Saldos Iniciales'!$D:$D,'Saldos Iniciales'!$A:$A,"Cross Family Trust")+SUMIFS(Movimientos!$K$1:$K$1324,Movimientos!$C$1:$C$1324,"Cross Family Trust",Movimientos!$B$1:$B$1324,"&lt;="&amp;$B49)</f>
        <v>116496.38</v>
      </c>
      <c r="I49" s="24">
        <f>SUMIFS('Saldos Iniciales'!$D:$D,'Saldos Iniciales'!$A:$A,"Cross Security Trust")+SUMIFS(Movimientos!$K$1:$K$1324,Movimientos!$C$1:$C$1324,"Cross Security Trust",Movimientos!$B$1:$B$1324,"&lt;="&amp;$B49)</f>
        <v>20375.989999999998</v>
      </c>
      <c r="J49" s="24">
        <f>SUMIFS('Saldos Iniciales'!$D:$D,'Saldos Iniciales'!$A:$A,"Electrama")+SUMIFS(Movimientos!$K$1:$K$1324,Movimientos!$C$1:$C$1324,"Electrama",Movimientos!$B$1:$B$1324,"&lt;="&amp;$B49)</f>
        <v>511.15999999999985</v>
      </c>
      <c r="K49" s="24">
        <f>SUMIFS('Saldos Iniciales'!$D:$D,'Saldos Iniciales'!$A:$A,"Sacred Valley Capital")+SUMIFS(Movimientos!$K$1:$K$1324,Movimientos!$C$1:$C$1324,"Sacred Valley Capital",Movimientos!$B$1:$B$1324,"&lt;="&amp;$B49)</f>
        <v>84.35</v>
      </c>
      <c r="L49" s="24">
        <f>SUMIFS('Saldos Iniciales'!$D:$D,'Saldos Iniciales'!$A:$A,"YWC Capital")+SUMIFS(Movimientos!$K$1:$K$1324,Movimientos!$C$1:$C$1324,"YWC Capital",Movimientos!$B$1:$B$1324,"&lt;="&amp;$B49)</f>
        <v>2237.77</v>
      </c>
      <c r="M49" s="24">
        <f>SUMIFS('Saldos Iniciales'!$D:$D,'Saldos Iniciales'!$A:$A,"Soweto")+SUMIFS(Movimientos!$K$1:$K$1324,Movimientos!$C$1:$C$1324,"Soweto",Movimientos!$B$1:$B$1324,"&lt;="&amp;$B49)</f>
        <v>3349.94</v>
      </c>
      <c r="N49" s="24">
        <f>SUMIFS('Saldos Iniciales'!$D:$D,'Saldos Iniciales'!$A:$A,"Green Stone Trust")+SUMIFS(Movimientos!$K$1:$K$1324,Movimientos!$C$1:$C$1324,"Green Stone Trust",Movimientos!$B$1:$B$1324,"&lt;="&amp;$B49)</f>
        <v>1968.99</v>
      </c>
      <c r="O49" s="24">
        <f>SUMIFS('Saldos Iniciales'!$D:$D,'Saldos Iniciales'!$A:$A,"EC Auto")+SUMIFS(Movimientos!$K$1:$K$1324,Movimientos!$C$1:$C$1324,"EC Auto",Movimientos!$B$1:$B$1324,"&lt;="&amp;$B49)</f>
        <v>382.69000000000005</v>
      </c>
      <c r="P49" s="24">
        <f>SUMIFS('Saldos Iniciales'!$D:$D,'Saldos Iniciales'!$A:$A,"Arbor Capital Properties")+SUMIFS(Movimientos!$K$1:$K$1324,Movimientos!$C$1:$C$1324,"Arbor Capital Properties",Movimientos!$B$1:$B$1324,"&lt;="&amp;$B49)</f>
        <v>1428.08</v>
      </c>
      <c r="Q49" s="24">
        <f>SUMIFS('Saldos Iniciales'!$D:$D,'Saldos Iniciales'!$A:$A,"2515 Overbrook")+SUMIFS(Movimientos!$K$1:$K$1324,Movimientos!$C$1:$C$1324,"2515 Overbrook",Movimientos!$B$1:$B$1324,"&lt;="&amp;$B49)</f>
        <v>29789.969999999961</v>
      </c>
      <c r="R49" s="24">
        <f>SUMIFS('Saldos Iniciales'!$D:$D,'Saldos Iniciales'!$A:$A,"112 Florida Ave")+SUMIFS(Movimientos!$K$1:$K$1324,Movimientos!$C$1:$C$1324,"112 Florida Ave",Movimientos!$B$1:$B$1324,"&lt;="&amp;$B49)</f>
        <v>20321.43</v>
      </c>
      <c r="S49" s="24">
        <f>SUMIFS('Saldos Iniciales'!$D:$D,'Saldos Iniciales'!$A:$A,"3628 Thomas Ave")+SUMIFS(Movimientos!$K$1:$K$1324,Movimientos!$C$1:$C$1324,"3628 Thomas Ave",Movimientos!$B$1:$B$1324,"&lt;="&amp;$B49)</f>
        <v>16681.349999999999</v>
      </c>
      <c r="T49" s="24">
        <f>SUMIFS('Saldos Iniciales'!$D:$D,'Saldos Iniciales'!$A:$A,"Green Harbor Trust")+SUMIFS(Movimientos!$K$1:$K$1324,Movimientos!$C$1:$C$1324,"Green Harbor Trust",Movimientos!$B$1:$B$1324,"&lt;="&amp;$B49)</f>
        <v>345</v>
      </c>
      <c r="U49" s="24">
        <f>SUMIFS('Saldos Iniciales'!$D:$D,'Saldos Iniciales'!$A:$A,"Go Blue")+SUMIFS(Movimientos!$K$1:$K$1324,Movimientos!$C$1:$C$1324,"Go Blue",Movimientos!$B$1:$B$1324,"&lt;="&amp;$B49)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Aparments",Movimientos!$B$1:$B$1324,"&lt;="&amp;$B49))</f>
        <v>0</v>
      </c>
      <c r="AD49" s="24">
        <f>IF(YEAR($B49)*100+MONTH($B49)&lt;--SUBSTITUTE(_xlfn.XLOOKUP("Don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Life",Movimientos!$B$1:$B$1324,"&lt;="&amp;$B49))</f>
        <v>0</v>
      </c>
      <c r="AE49" s="25">
        <f t="shared" si="1"/>
        <v>5264480.6899999995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Group")+SUMIFS(Movimientos!$K$1:$K$1324,Movimientos!$C$1:$C$1324,"CFT Group",Movimientos!$B$1:$B$1324,"&lt;="&amp;$B50)</f>
        <v>1098358.7500000002</v>
      </c>
      <c r="D50" s="24">
        <f>SUMIFS('Saldos Iniciales'!$D:$D,'Saldos Iniciales'!$A:$A,"M1B")+SUMIFS(Movimientos!$K$1:$K$1324,Movimientos!$C$1:$C$1324,"M1B",Movimientos!$B$1:$B$1324,"&lt;="&amp;$B50)</f>
        <v>69376.390000000174</v>
      </c>
      <c r="E50" s="24">
        <f>SUMIFS('Saldos Iniciales'!$D:$D,'Saldos Iniciales'!$A:$A,"Durand")+SUMIFS(Movimientos!$K$1:$K$1324,Movimientos!$C$1:$C$1324,"Durand",Movimientos!$B$1:$B$1324,"&lt;="&amp;$B50)</f>
        <v>1669.89</v>
      </c>
      <c r="F50" s="24">
        <f>SUMIFS('Saldos Iniciales'!$D:$D,'Saldos Iniciales'!$A:$A,"A&amp;M Imports")+SUMIFS(Movimientos!$K$1:$K$1324,Movimientos!$C$1:$C$1324,"A&amp;M Imports",Movimientos!$B$1:$B$1324,"&lt;="&amp;$B50)</f>
        <v>503904.80999999982</v>
      </c>
      <c r="G50" s="24">
        <f>SUMIFS('Saldos Iniciales'!$D:$D,'Saldos Iniciales'!$A:$A,"SSP Capital")+SUMIFS(Movimientos!$K$1:$K$1324,Movimientos!$C$1:$C$1324,"SSP Capital",Movimientos!$B$1:$B$1324,"&lt;="&amp;$B50)</f>
        <v>3326696.7299999995</v>
      </c>
      <c r="H50" s="24">
        <f>SUMIFS('Saldos Iniciales'!$D:$D,'Saldos Iniciales'!$A:$A,"Cross Family Trust")+SUMIFS(Movimientos!$K$1:$K$1324,Movimientos!$C$1:$C$1324,"Cross Family Trust",Movimientos!$B$1:$B$1324,"&lt;="&amp;$B50)</f>
        <v>116496.38</v>
      </c>
      <c r="I50" s="24">
        <f>SUMIFS('Saldos Iniciales'!$D:$D,'Saldos Iniciales'!$A:$A,"Cross Security Trust")+SUMIFS(Movimientos!$K$1:$K$1324,Movimientos!$C$1:$C$1324,"Cross Security Trust",Movimientos!$B$1:$B$1324,"&lt;="&amp;$B50)</f>
        <v>20375.989999999998</v>
      </c>
      <c r="J50" s="24">
        <f>SUMIFS('Saldos Iniciales'!$D:$D,'Saldos Iniciales'!$A:$A,"Electrama")+SUMIFS(Movimientos!$K$1:$K$1324,Movimientos!$C$1:$C$1324,"Electrama",Movimientos!$B$1:$B$1324,"&lt;="&amp;$B50)</f>
        <v>511.15999999999985</v>
      </c>
      <c r="K50" s="24">
        <f>SUMIFS('Saldos Iniciales'!$D:$D,'Saldos Iniciales'!$A:$A,"Sacred Valley Capital")+SUMIFS(Movimientos!$K$1:$K$1324,Movimientos!$C$1:$C$1324,"Sacred Valley Capital",Movimientos!$B$1:$B$1324,"&lt;="&amp;$B50)</f>
        <v>84.35</v>
      </c>
      <c r="L50" s="24">
        <f>SUMIFS('Saldos Iniciales'!$D:$D,'Saldos Iniciales'!$A:$A,"YWC Capital")+SUMIFS(Movimientos!$K$1:$K$1324,Movimientos!$C$1:$C$1324,"YWC Capital",Movimientos!$B$1:$B$1324,"&lt;="&amp;$B50)</f>
        <v>2237.77</v>
      </c>
      <c r="M50" s="24">
        <f>SUMIFS('Saldos Iniciales'!$D:$D,'Saldos Iniciales'!$A:$A,"Soweto")+SUMIFS(Movimientos!$K$1:$K$1324,Movimientos!$C$1:$C$1324,"Soweto",Movimientos!$B$1:$B$1324,"&lt;="&amp;$B50)</f>
        <v>3349.94</v>
      </c>
      <c r="N50" s="24">
        <f>SUMIFS('Saldos Iniciales'!$D:$D,'Saldos Iniciales'!$A:$A,"Green Stone Trust")+SUMIFS(Movimientos!$K$1:$K$1324,Movimientos!$C$1:$C$1324,"Green Stone Trust",Movimientos!$B$1:$B$1324,"&lt;="&amp;$B50)</f>
        <v>1968.99</v>
      </c>
      <c r="O50" s="24">
        <f>SUMIFS('Saldos Iniciales'!$D:$D,'Saldos Iniciales'!$A:$A,"EC Auto")+SUMIFS(Movimientos!$K$1:$K$1324,Movimientos!$C$1:$C$1324,"EC Auto",Movimientos!$B$1:$B$1324,"&lt;="&amp;$B50)</f>
        <v>382.69000000000005</v>
      </c>
      <c r="P50" s="24">
        <f>SUMIFS('Saldos Iniciales'!$D:$D,'Saldos Iniciales'!$A:$A,"Arbor Capital Properties")+SUMIFS(Movimientos!$K$1:$K$1324,Movimientos!$C$1:$C$1324,"Arbor Capital Properties",Movimientos!$B$1:$B$1324,"&lt;="&amp;$B50)</f>
        <v>1428.08</v>
      </c>
      <c r="Q50" s="24">
        <f>SUMIFS('Saldos Iniciales'!$D:$D,'Saldos Iniciales'!$A:$A,"2515 Overbrook")+SUMIFS(Movimientos!$K$1:$K$1324,Movimientos!$C$1:$C$1324,"2515 Overbrook",Movimientos!$B$1:$B$1324,"&lt;="&amp;$B50)</f>
        <v>29789.969999999961</v>
      </c>
      <c r="R50" s="24">
        <f>SUMIFS('Saldos Iniciales'!$D:$D,'Saldos Iniciales'!$A:$A,"112 Florida Ave")+SUMIFS(Movimientos!$K$1:$K$1324,Movimientos!$C$1:$C$1324,"112 Florida Ave",Movimientos!$B$1:$B$1324,"&lt;="&amp;$B50)</f>
        <v>20321.43</v>
      </c>
      <c r="S50" s="24">
        <f>SUMIFS('Saldos Iniciales'!$D:$D,'Saldos Iniciales'!$A:$A,"3628 Thomas Ave")+SUMIFS(Movimientos!$K$1:$K$1324,Movimientos!$C$1:$C$1324,"3628 Thomas Ave",Movimientos!$B$1:$B$1324,"&lt;="&amp;$B50)</f>
        <v>16681.349999999999</v>
      </c>
      <c r="T50" s="24">
        <f>SUMIFS('Saldos Iniciales'!$D:$D,'Saldos Iniciales'!$A:$A,"Green Harbor Trust")+SUMIFS(Movimientos!$K$1:$K$1324,Movimientos!$C$1:$C$1324,"Green Harbor Trust",Movimientos!$B$1:$B$1324,"&lt;="&amp;$B50)</f>
        <v>345</v>
      </c>
      <c r="U50" s="24">
        <f>SUMIFS('Saldos Iniciales'!$D:$D,'Saldos Iniciales'!$A:$A,"Go Blue")+SUMIFS(Movimientos!$K$1:$K$1324,Movimientos!$C$1:$C$1324,"Go Blue",Movimientos!$B$1:$B$1324,"&lt;="&amp;$B50)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Aparments",Movimientos!$B$1:$B$1324,"&lt;="&amp;$B50))</f>
        <v>0</v>
      </c>
      <c r="AD50" s="24">
        <f>IF(YEAR($B50)*100+MONTH($B50)&lt;--SUBSTITUTE(_xlfn.XLOOKUP("Don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Life",Movimientos!$B$1:$B$1324,"&lt;="&amp;$B50))</f>
        <v>0</v>
      </c>
      <c r="AE50" s="25">
        <f t="shared" si="1"/>
        <v>5264314.0299999993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Group")+SUMIFS(Movimientos!$K$1:$K$1324,Movimientos!$C$1:$C$1324,"CFT Group",Movimientos!$B$1:$B$1324,"&lt;="&amp;$B51)</f>
        <v>1098358.7500000002</v>
      </c>
      <c r="D51" s="24">
        <f>SUMIFS('Saldos Iniciales'!$D:$D,'Saldos Iniciales'!$A:$A,"M1B")+SUMIFS(Movimientos!$K$1:$K$1324,Movimientos!$C$1:$C$1324,"M1B",Movimientos!$B$1:$B$1324,"&lt;="&amp;$B51)</f>
        <v>69376.390000000174</v>
      </c>
      <c r="E51" s="24">
        <f>SUMIFS('Saldos Iniciales'!$D:$D,'Saldos Iniciales'!$A:$A,"Durand")+SUMIFS(Movimientos!$K$1:$K$1324,Movimientos!$C$1:$C$1324,"Durand",Movimientos!$B$1:$B$1324,"&lt;="&amp;$B51)</f>
        <v>1669.89</v>
      </c>
      <c r="F51" s="24">
        <f>SUMIFS('Saldos Iniciales'!$D:$D,'Saldos Iniciales'!$A:$A,"A&amp;M Imports")+SUMIFS(Movimientos!$K$1:$K$1324,Movimientos!$C$1:$C$1324,"A&amp;M Imports",Movimientos!$B$1:$B$1324,"&lt;="&amp;$B51)</f>
        <v>503904.80999999982</v>
      </c>
      <c r="G51" s="24">
        <f>SUMIFS('Saldos Iniciales'!$D:$D,'Saldos Iniciales'!$A:$A,"SSP Capital")+SUMIFS(Movimientos!$K$1:$K$1324,Movimientos!$C$1:$C$1324,"SSP Capital",Movimientos!$B$1:$B$1324,"&lt;="&amp;$B51)</f>
        <v>3326696.7299999995</v>
      </c>
      <c r="H51" s="24">
        <f>SUMIFS('Saldos Iniciales'!$D:$D,'Saldos Iniciales'!$A:$A,"Cross Family Trust")+SUMIFS(Movimientos!$K$1:$K$1324,Movimientos!$C$1:$C$1324,"Cross Family Trust",Movimientos!$B$1:$B$1324,"&lt;="&amp;$B51)</f>
        <v>116496.38</v>
      </c>
      <c r="I51" s="24">
        <f>SUMIFS('Saldos Iniciales'!$D:$D,'Saldos Iniciales'!$A:$A,"Cross Security Trust")+SUMIFS(Movimientos!$K$1:$K$1324,Movimientos!$C$1:$C$1324,"Cross Security Trust",Movimientos!$B$1:$B$1324,"&lt;="&amp;$B51)</f>
        <v>20375.989999999998</v>
      </c>
      <c r="J51" s="24">
        <f>SUMIFS('Saldos Iniciales'!$D:$D,'Saldos Iniciales'!$A:$A,"Electrama")+SUMIFS(Movimientos!$K$1:$K$1324,Movimientos!$C$1:$C$1324,"Electrama",Movimientos!$B$1:$B$1324,"&lt;="&amp;$B51)</f>
        <v>511.15999999999985</v>
      </c>
      <c r="K51" s="24">
        <f>SUMIFS('Saldos Iniciales'!$D:$D,'Saldos Iniciales'!$A:$A,"Sacred Valley Capital")+SUMIFS(Movimientos!$K$1:$K$1324,Movimientos!$C$1:$C$1324,"Sacred Valley Capital",Movimientos!$B$1:$B$1324,"&lt;="&amp;$B51)</f>
        <v>84.35</v>
      </c>
      <c r="L51" s="24">
        <f>SUMIFS('Saldos Iniciales'!$D:$D,'Saldos Iniciales'!$A:$A,"YWC Capital")+SUMIFS(Movimientos!$K$1:$K$1324,Movimientos!$C$1:$C$1324,"YWC Capital",Movimientos!$B$1:$B$1324,"&lt;="&amp;$B51)</f>
        <v>2237.77</v>
      </c>
      <c r="M51" s="24">
        <f>SUMIFS('Saldos Iniciales'!$D:$D,'Saldos Iniciales'!$A:$A,"Soweto")+SUMIFS(Movimientos!$K$1:$K$1324,Movimientos!$C$1:$C$1324,"Soweto",Movimientos!$B$1:$B$1324,"&lt;="&amp;$B51)</f>
        <v>3349.94</v>
      </c>
      <c r="N51" s="24">
        <f>SUMIFS('Saldos Iniciales'!$D:$D,'Saldos Iniciales'!$A:$A,"Green Stone Trust")+SUMIFS(Movimientos!$K$1:$K$1324,Movimientos!$C$1:$C$1324,"Green Stone Trust",Movimientos!$B$1:$B$1324,"&lt;="&amp;$B51)</f>
        <v>1968.99</v>
      </c>
      <c r="O51" s="24">
        <f>SUMIFS('Saldos Iniciales'!$D:$D,'Saldos Iniciales'!$A:$A,"EC Auto")+SUMIFS(Movimientos!$K$1:$K$1324,Movimientos!$C$1:$C$1324,"EC Auto",Movimientos!$B$1:$B$1324,"&lt;="&amp;$B51)</f>
        <v>382.69000000000005</v>
      </c>
      <c r="P51" s="24">
        <f>SUMIFS('Saldos Iniciales'!$D:$D,'Saldos Iniciales'!$A:$A,"Arbor Capital Properties")+SUMIFS(Movimientos!$K$1:$K$1324,Movimientos!$C$1:$C$1324,"Arbor Capital Properties",Movimientos!$B$1:$B$1324,"&lt;="&amp;$B51)</f>
        <v>1428.08</v>
      </c>
      <c r="Q51" s="24">
        <f>SUMIFS('Saldos Iniciales'!$D:$D,'Saldos Iniciales'!$A:$A,"2515 Overbrook")+SUMIFS(Movimientos!$K$1:$K$1324,Movimientos!$C$1:$C$1324,"2515 Overbrook",Movimientos!$B$1:$B$1324,"&lt;="&amp;$B51)</f>
        <v>29789.969999999961</v>
      </c>
      <c r="R51" s="24">
        <f>SUMIFS('Saldos Iniciales'!$D:$D,'Saldos Iniciales'!$A:$A,"112 Florida Ave")+SUMIFS(Movimientos!$K$1:$K$1324,Movimientos!$C$1:$C$1324,"112 Florida Ave",Movimientos!$B$1:$B$1324,"&lt;="&amp;$B51)</f>
        <v>20321.43</v>
      </c>
      <c r="S51" s="24">
        <f>SUMIFS('Saldos Iniciales'!$D:$D,'Saldos Iniciales'!$A:$A,"3628 Thomas Ave")+SUMIFS(Movimientos!$K$1:$K$1324,Movimientos!$C$1:$C$1324,"3628 Thomas Ave",Movimientos!$B$1:$B$1324,"&lt;="&amp;$B51)</f>
        <v>16681.349999999999</v>
      </c>
      <c r="T51" s="24">
        <f>SUMIFS('Saldos Iniciales'!$D:$D,'Saldos Iniciales'!$A:$A,"Green Harbor Trust")+SUMIFS(Movimientos!$K$1:$K$1324,Movimientos!$C$1:$C$1324,"Green Harbor Trust",Movimientos!$B$1:$B$1324,"&lt;="&amp;$B51)</f>
        <v>345</v>
      </c>
      <c r="U51" s="24">
        <f>SUMIFS('Saldos Iniciales'!$D:$D,'Saldos Iniciales'!$A:$A,"Go Blue")+SUMIFS(Movimientos!$K$1:$K$1324,Movimientos!$C$1:$C$1324,"Go Blue",Movimientos!$B$1:$B$1324,"&lt;="&amp;$B51)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Aparments",Movimientos!$B$1:$B$1324,"&lt;="&amp;$B51))</f>
        <v>0</v>
      </c>
      <c r="AD51" s="24">
        <f>IF(YEAR($B51)*100+MONTH($B51)&lt;--SUBSTITUTE(_xlfn.XLOOKUP("Don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Life",Movimientos!$B$1:$B$1324,"&lt;="&amp;$B51))</f>
        <v>0</v>
      </c>
      <c r="AE51" s="25">
        <f t="shared" si="1"/>
        <v>5264314.0299999993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Group")+SUMIFS(Movimientos!$K$1:$K$1324,Movimientos!$C$1:$C$1324,"CFT Group",Movimientos!$B$1:$B$1324,"&lt;="&amp;$B52)</f>
        <v>1098358.7500000002</v>
      </c>
      <c r="D52" s="24">
        <f>SUMIFS('Saldos Iniciales'!$D:$D,'Saldos Iniciales'!$A:$A,"M1B")+SUMIFS(Movimientos!$K$1:$K$1324,Movimientos!$C$1:$C$1324,"M1B",Movimientos!$B$1:$B$1324,"&lt;="&amp;$B52)</f>
        <v>69376.390000000174</v>
      </c>
      <c r="E52" s="24">
        <f>SUMIFS('Saldos Iniciales'!$D:$D,'Saldos Iniciales'!$A:$A,"Durand")+SUMIFS(Movimientos!$K$1:$K$1324,Movimientos!$C$1:$C$1324,"Durand",Movimientos!$B$1:$B$1324,"&lt;="&amp;$B52)</f>
        <v>1669.89</v>
      </c>
      <c r="F52" s="24">
        <f>SUMIFS('Saldos Iniciales'!$D:$D,'Saldos Iniciales'!$A:$A,"A&amp;M Imports")+SUMIFS(Movimientos!$K$1:$K$1324,Movimientos!$C$1:$C$1324,"A&amp;M Imports",Movimientos!$B$1:$B$1324,"&lt;="&amp;$B52)</f>
        <v>503904.80999999982</v>
      </c>
      <c r="G52" s="24">
        <f>SUMIFS('Saldos Iniciales'!$D:$D,'Saldos Iniciales'!$A:$A,"SSP Capital")+SUMIFS(Movimientos!$K$1:$K$1324,Movimientos!$C$1:$C$1324,"SSP Capital",Movimientos!$B$1:$B$1324,"&lt;="&amp;$B52)</f>
        <v>3326696.7299999995</v>
      </c>
      <c r="H52" s="24">
        <f>SUMIFS('Saldos Iniciales'!$D:$D,'Saldos Iniciales'!$A:$A,"Cross Family Trust")+SUMIFS(Movimientos!$K$1:$K$1324,Movimientos!$C$1:$C$1324,"Cross Family Trust",Movimientos!$B$1:$B$1324,"&lt;="&amp;$B52)</f>
        <v>116496.38</v>
      </c>
      <c r="I52" s="24">
        <f>SUMIFS('Saldos Iniciales'!$D:$D,'Saldos Iniciales'!$A:$A,"Cross Security Trust")+SUMIFS(Movimientos!$K$1:$K$1324,Movimientos!$C$1:$C$1324,"Cross Security Trust",Movimientos!$B$1:$B$1324,"&lt;="&amp;$B52)</f>
        <v>20375.989999999998</v>
      </c>
      <c r="J52" s="24">
        <f>SUMIFS('Saldos Iniciales'!$D:$D,'Saldos Iniciales'!$A:$A,"Electrama")+SUMIFS(Movimientos!$K$1:$K$1324,Movimientos!$C$1:$C$1324,"Electrama",Movimientos!$B$1:$B$1324,"&lt;="&amp;$B52)</f>
        <v>511.15999999999985</v>
      </c>
      <c r="K52" s="24">
        <f>SUMIFS('Saldos Iniciales'!$D:$D,'Saldos Iniciales'!$A:$A,"Sacred Valley Capital")+SUMIFS(Movimientos!$K$1:$K$1324,Movimientos!$C$1:$C$1324,"Sacred Valley Capital",Movimientos!$B$1:$B$1324,"&lt;="&amp;$B52)</f>
        <v>84.35</v>
      </c>
      <c r="L52" s="24">
        <f>SUMIFS('Saldos Iniciales'!$D:$D,'Saldos Iniciales'!$A:$A,"YWC Capital")+SUMIFS(Movimientos!$K$1:$K$1324,Movimientos!$C$1:$C$1324,"YWC Capital",Movimientos!$B$1:$B$1324,"&lt;="&amp;$B52)</f>
        <v>2237.77</v>
      </c>
      <c r="M52" s="24">
        <f>SUMIFS('Saldos Iniciales'!$D:$D,'Saldos Iniciales'!$A:$A,"Soweto")+SUMIFS(Movimientos!$K$1:$K$1324,Movimientos!$C$1:$C$1324,"Soweto",Movimientos!$B$1:$B$1324,"&lt;="&amp;$B52)</f>
        <v>3349.94</v>
      </c>
      <c r="N52" s="24">
        <f>SUMIFS('Saldos Iniciales'!$D:$D,'Saldos Iniciales'!$A:$A,"Green Stone Trust")+SUMIFS(Movimientos!$K$1:$K$1324,Movimientos!$C$1:$C$1324,"Green Stone Trust",Movimientos!$B$1:$B$1324,"&lt;="&amp;$B52)</f>
        <v>1968.99</v>
      </c>
      <c r="O52" s="24">
        <f>SUMIFS('Saldos Iniciales'!$D:$D,'Saldos Iniciales'!$A:$A,"EC Auto")+SUMIFS(Movimientos!$K$1:$K$1324,Movimientos!$C$1:$C$1324,"EC Auto",Movimientos!$B$1:$B$1324,"&lt;="&amp;$B52)</f>
        <v>382.69000000000005</v>
      </c>
      <c r="P52" s="24">
        <f>SUMIFS('Saldos Iniciales'!$D:$D,'Saldos Iniciales'!$A:$A,"Arbor Capital Properties")+SUMIFS(Movimientos!$K$1:$K$1324,Movimientos!$C$1:$C$1324,"Arbor Capital Properties",Movimientos!$B$1:$B$1324,"&lt;="&amp;$B52)</f>
        <v>1428.08</v>
      </c>
      <c r="Q52" s="24">
        <f>SUMIFS('Saldos Iniciales'!$D:$D,'Saldos Iniciales'!$A:$A,"2515 Overbrook")+SUMIFS(Movimientos!$K$1:$K$1324,Movimientos!$C$1:$C$1324,"2515 Overbrook",Movimientos!$B$1:$B$1324,"&lt;="&amp;$B52)</f>
        <v>29789.969999999961</v>
      </c>
      <c r="R52" s="24">
        <f>SUMIFS('Saldos Iniciales'!$D:$D,'Saldos Iniciales'!$A:$A,"112 Florida Ave")+SUMIFS(Movimientos!$K$1:$K$1324,Movimientos!$C$1:$C$1324,"112 Florida Ave",Movimientos!$B$1:$B$1324,"&lt;="&amp;$B52)</f>
        <v>20321.43</v>
      </c>
      <c r="S52" s="24">
        <f>SUMIFS('Saldos Iniciales'!$D:$D,'Saldos Iniciales'!$A:$A,"3628 Thomas Ave")+SUMIFS(Movimientos!$K$1:$K$1324,Movimientos!$C$1:$C$1324,"3628 Thomas Ave",Movimientos!$B$1:$B$1324,"&lt;="&amp;$B52)</f>
        <v>16681.349999999999</v>
      </c>
      <c r="T52" s="24">
        <f>SUMIFS('Saldos Iniciales'!$D:$D,'Saldos Iniciales'!$A:$A,"Green Harbor Trust")+SUMIFS(Movimientos!$K$1:$K$1324,Movimientos!$C$1:$C$1324,"Green Harbor Trust",Movimientos!$B$1:$B$1324,"&lt;="&amp;$B52)</f>
        <v>345</v>
      </c>
      <c r="U52" s="24">
        <f>SUMIFS('Saldos Iniciales'!$D:$D,'Saldos Iniciales'!$A:$A,"Go Blue")+SUMIFS(Movimientos!$K$1:$K$1324,Movimientos!$C$1:$C$1324,"Go Blue",Movimientos!$B$1:$B$1324,"&lt;="&amp;$B52)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Aparments",Movimientos!$B$1:$B$1324,"&lt;="&amp;$B52))</f>
        <v>0</v>
      </c>
      <c r="AD52" s="24">
        <f>IF(YEAR($B52)*100+MONTH($B52)&lt;--SUBSTITUTE(_xlfn.XLOOKUP("Don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Life",Movimientos!$B$1:$B$1324,"&lt;="&amp;$B52))</f>
        <v>0</v>
      </c>
      <c r="AE52" s="25">
        <f t="shared" si="1"/>
        <v>5264314.0299999993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Group")+SUMIFS(Movimientos!$K$1:$K$1324,Movimientos!$C$1:$C$1324,"CFT Group",Movimientos!$B$1:$B$1324,"&lt;="&amp;$B53)</f>
        <v>1098358.7500000002</v>
      </c>
      <c r="D53" s="24">
        <f>SUMIFS('Saldos Iniciales'!$D:$D,'Saldos Iniciales'!$A:$A,"M1B")+SUMIFS(Movimientos!$K$1:$K$1324,Movimientos!$C$1:$C$1324,"M1B",Movimientos!$B$1:$B$1324,"&lt;="&amp;$B53)</f>
        <v>69376.390000000174</v>
      </c>
      <c r="E53" s="24">
        <f>SUMIFS('Saldos Iniciales'!$D:$D,'Saldos Iniciales'!$A:$A,"Durand")+SUMIFS(Movimientos!$K$1:$K$1324,Movimientos!$C$1:$C$1324,"Durand",Movimientos!$B$1:$B$1324,"&lt;="&amp;$B53)</f>
        <v>1669.89</v>
      </c>
      <c r="F53" s="24">
        <f>SUMIFS('Saldos Iniciales'!$D:$D,'Saldos Iniciales'!$A:$A,"A&amp;M Imports")+SUMIFS(Movimientos!$K$1:$K$1324,Movimientos!$C$1:$C$1324,"A&amp;M Imports",Movimientos!$B$1:$B$1324,"&lt;="&amp;$B53)</f>
        <v>503904.80999999982</v>
      </c>
      <c r="G53" s="24">
        <f>SUMIFS('Saldos Iniciales'!$D:$D,'Saldos Iniciales'!$A:$A,"SSP Capital")+SUMIFS(Movimientos!$K$1:$K$1324,Movimientos!$C$1:$C$1324,"SSP Capital",Movimientos!$B$1:$B$1324,"&lt;="&amp;$B53)</f>
        <v>3326696.7299999995</v>
      </c>
      <c r="H53" s="24">
        <f>SUMIFS('Saldos Iniciales'!$D:$D,'Saldos Iniciales'!$A:$A,"Cross Family Trust")+SUMIFS(Movimientos!$K$1:$K$1324,Movimientos!$C$1:$C$1324,"Cross Family Trust",Movimientos!$B$1:$B$1324,"&lt;="&amp;$B53)</f>
        <v>116496.38</v>
      </c>
      <c r="I53" s="24">
        <f>SUMIFS('Saldos Iniciales'!$D:$D,'Saldos Iniciales'!$A:$A,"Cross Security Trust")+SUMIFS(Movimientos!$K$1:$K$1324,Movimientos!$C$1:$C$1324,"Cross Security Trust",Movimientos!$B$1:$B$1324,"&lt;="&amp;$B53)</f>
        <v>20375.989999999998</v>
      </c>
      <c r="J53" s="24">
        <f>SUMIFS('Saldos Iniciales'!$D:$D,'Saldos Iniciales'!$A:$A,"Electrama")+SUMIFS(Movimientos!$K$1:$K$1324,Movimientos!$C$1:$C$1324,"Electrama",Movimientos!$B$1:$B$1324,"&lt;="&amp;$B53)</f>
        <v>511.15999999999985</v>
      </c>
      <c r="K53" s="24">
        <f>SUMIFS('Saldos Iniciales'!$D:$D,'Saldos Iniciales'!$A:$A,"Sacred Valley Capital")+SUMIFS(Movimientos!$K$1:$K$1324,Movimientos!$C$1:$C$1324,"Sacred Valley Capital",Movimientos!$B$1:$B$1324,"&lt;="&amp;$B53)</f>
        <v>84.35</v>
      </c>
      <c r="L53" s="24">
        <f>SUMIFS('Saldos Iniciales'!$D:$D,'Saldos Iniciales'!$A:$A,"YWC Capital")+SUMIFS(Movimientos!$K$1:$K$1324,Movimientos!$C$1:$C$1324,"YWC Capital",Movimientos!$B$1:$B$1324,"&lt;="&amp;$B53)</f>
        <v>2237.77</v>
      </c>
      <c r="M53" s="24">
        <f>SUMIFS('Saldos Iniciales'!$D:$D,'Saldos Iniciales'!$A:$A,"Soweto")+SUMIFS(Movimientos!$K$1:$K$1324,Movimientos!$C$1:$C$1324,"Soweto",Movimientos!$B$1:$B$1324,"&lt;="&amp;$B53)</f>
        <v>3349.94</v>
      </c>
      <c r="N53" s="24">
        <f>SUMIFS('Saldos Iniciales'!$D:$D,'Saldos Iniciales'!$A:$A,"Green Stone Trust")+SUMIFS(Movimientos!$K$1:$K$1324,Movimientos!$C$1:$C$1324,"Green Stone Trust",Movimientos!$B$1:$B$1324,"&lt;="&amp;$B53)</f>
        <v>1968.99</v>
      </c>
      <c r="O53" s="24">
        <f>SUMIFS('Saldos Iniciales'!$D:$D,'Saldos Iniciales'!$A:$A,"EC Auto")+SUMIFS(Movimientos!$K$1:$K$1324,Movimientos!$C$1:$C$1324,"EC Auto",Movimientos!$B$1:$B$1324,"&lt;="&amp;$B53)</f>
        <v>382.69000000000005</v>
      </c>
      <c r="P53" s="24">
        <f>SUMIFS('Saldos Iniciales'!$D:$D,'Saldos Iniciales'!$A:$A,"Arbor Capital Properties")+SUMIFS(Movimientos!$K$1:$K$1324,Movimientos!$C$1:$C$1324,"Arbor Capital Properties",Movimientos!$B$1:$B$1324,"&lt;="&amp;$B53)</f>
        <v>1428.08</v>
      </c>
      <c r="Q53" s="24">
        <f>SUMIFS('Saldos Iniciales'!$D:$D,'Saldos Iniciales'!$A:$A,"2515 Overbrook")+SUMIFS(Movimientos!$K$1:$K$1324,Movimientos!$C$1:$C$1324,"2515 Overbrook",Movimientos!$B$1:$B$1324,"&lt;="&amp;$B53)</f>
        <v>29789.969999999961</v>
      </c>
      <c r="R53" s="24">
        <f>SUMIFS('Saldos Iniciales'!$D:$D,'Saldos Iniciales'!$A:$A,"112 Florida Ave")+SUMIFS(Movimientos!$K$1:$K$1324,Movimientos!$C$1:$C$1324,"112 Florida Ave",Movimientos!$B$1:$B$1324,"&lt;="&amp;$B53)</f>
        <v>20321.43</v>
      </c>
      <c r="S53" s="24">
        <f>SUMIFS('Saldos Iniciales'!$D:$D,'Saldos Iniciales'!$A:$A,"3628 Thomas Ave")+SUMIFS(Movimientos!$K$1:$K$1324,Movimientos!$C$1:$C$1324,"3628 Thomas Ave",Movimientos!$B$1:$B$1324,"&lt;="&amp;$B53)</f>
        <v>16681.349999999999</v>
      </c>
      <c r="T53" s="24">
        <f>SUMIFS('Saldos Iniciales'!$D:$D,'Saldos Iniciales'!$A:$A,"Green Harbor Trust")+SUMIFS(Movimientos!$K$1:$K$1324,Movimientos!$C$1:$C$1324,"Green Harbor Trust",Movimientos!$B$1:$B$1324,"&lt;="&amp;$B53)</f>
        <v>345</v>
      </c>
      <c r="U53" s="24">
        <f>SUMIFS('Saldos Iniciales'!$D:$D,'Saldos Iniciales'!$A:$A,"Go Blue")+SUMIFS(Movimientos!$K$1:$K$1324,Movimientos!$C$1:$C$1324,"Go Blue",Movimientos!$B$1:$B$1324,"&lt;="&amp;$B53)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Aparments",Movimientos!$B$1:$B$1324,"&lt;="&amp;$B53))</f>
        <v>0</v>
      </c>
      <c r="AD53" s="24">
        <f>IF(YEAR($B53)*100+MONTH($B53)&lt;--SUBSTITUTE(_xlfn.XLOOKUP("Don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Life",Movimientos!$B$1:$B$1324,"&lt;="&amp;$B53))</f>
        <v>0</v>
      </c>
      <c r="AE53" s="25">
        <f t="shared" si="1"/>
        <v>5264314.0299999993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Group")+SUMIFS(Movimientos!$K$1:$K$1324,Movimientos!$C$1:$C$1324,"CFT Group",Movimientos!$B$1:$B$1324,"&lt;="&amp;$B54)</f>
        <v>7613332.1400000006</v>
      </c>
      <c r="D54" s="24">
        <f>SUMIFS('Saldos Iniciales'!$D:$D,'Saldos Iniciales'!$A:$A,"M1B")+SUMIFS(Movimientos!$K$1:$K$1324,Movimientos!$C$1:$C$1324,"M1B",Movimientos!$B$1:$B$1324,"&lt;="&amp;$B54)</f>
        <v>69376.390000000174</v>
      </c>
      <c r="E54" s="24">
        <f>SUMIFS('Saldos Iniciales'!$D:$D,'Saldos Iniciales'!$A:$A,"Durand")+SUMIFS(Movimientos!$K$1:$K$1324,Movimientos!$C$1:$C$1324,"Durand",Movimientos!$B$1:$B$1324,"&lt;="&amp;$B54)</f>
        <v>1669.89</v>
      </c>
      <c r="F54" s="24">
        <f>SUMIFS('Saldos Iniciales'!$D:$D,'Saldos Iniciales'!$A:$A,"A&amp;M Imports")+SUMIFS(Movimientos!$K$1:$K$1324,Movimientos!$C$1:$C$1324,"A&amp;M Imports",Movimientos!$B$1:$B$1324,"&lt;="&amp;$B54)</f>
        <v>503904.80999999982</v>
      </c>
      <c r="G54" s="24">
        <f>SUMIFS('Saldos Iniciales'!$D:$D,'Saldos Iniciales'!$A:$A,"SSP Capital")+SUMIFS(Movimientos!$K$1:$K$1324,Movimientos!$C$1:$C$1324,"SSP Capital",Movimientos!$B$1:$B$1324,"&lt;="&amp;$B54)</f>
        <v>3325868.6899999995</v>
      </c>
      <c r="H54" s="24">
        <f>SUMIFS('Saldos Iniciales'!$D:$D,'Saldos Iniciales'!$A:$A,"Cross Family Trust")+SUMIFS(Movimientos!$K$1:$K$1324,Movimientos!$C$1:$C$1324,"Cross Family Trust",Movimientos!$B$1:$B$1324,"&lt;="&amp;$B54)</f>
        <v>116496.38</v>
      </c>
      <c r="I54" s="24">
        <f>SUMIFS('Saldos Iniciales'!$D:$D,'Saldos Iniciales'!$A:$A,"Cross Security Trust")+SUMIFS(Movimientos!$K$1:$K$1324,Movimientos!$C$1:$C$1324,"Cross Security Trust",Movimientos!$B$1:$B$1324,"&lt;="&amp;$B54)</f>
        <v>20375.989999999998</v>
      </c>
      <c r="J54" s="24">
        <f>SUMIFS('Saldos Iniciales'!$D:$D,'Saldos Iniciales'!$A:$A,"Electrama")+SUMIFS(Movimientos!$K$1:$K$1324,Movimientos!$C$1:$C$1324,"Electrama",Movimientos!$B$1:$B$1324,"&lt;="&amp;$B54)</f>
        <v>511.15999999999985</v>
      </c>
      <c r="K54" s="24">
        <f>SUMIFS('Saldos Iniciales'!$D:$D,'Saldos Iniciales'!$A:$A,"Sacred Valley Capital")+SUMIFS(Movimientos!$K$1:$K$1324,Movimientos!$C$1:$C$1324,"Sacred Valley Capital",Movimientos!$B$1:$B$1324,"&lt;="&amp;$B54)</f>
        <v>84.35</v>
      </c>
      <c r="L54" s="24">
        <f>SUMIFS('Saldos Iniciales'!$D:$D,'Saldos Iniciales'!$A:$A,"YWC Capital")+SUMIFS(Movimientos!$K$1:$K$1324,Movimientos!$C$1:$C$1324,"YWC Capital",Movimientos!$B$1:$B$1324,"&lt;="&amp;$B54)</f>
        <v>2237.77</v>
      </c>
      <c r="M54" s="24">
        <f>SUMIFS('Saldos Iniciales'!$D:$D,'Saldos Iniciales'!$A:$A,"Soweto")+SUMIFS(Movimientos!$K$1:$K$1324,Movimientos!$C$1:$C$1324,"Soweto",Movimientos!$B$1:$B$1324,"&lt;="&amp;$B54)</f>
        <v>3349.94</v>
      </c>
      <c r="N54" s="24">
        <f>SUMIFS('Saldos Iniciales'!$D:$D,'Saldos Iniciales'!$A:$A,"Green Stone Trust")+SUMIFS(Movimientos!$K$1:$K$1324,Movimientos!$C$1:$C$1324,"Green Stone Trust",Movimientos!$B$1:$B$1324,"&lt;="&amp;$B54)</f>
        <v>1968.99</v>
      </c>
      <c r="O54" s="24">
        <f>SUMIFS('Saldos Iniciales'!$D:$D,'Saldos Iniciales'!$A:$A,"EC Auto")+SUMIFS(Movimientos!$K$1:$K$1324,Movimientos!$C$1:$C$1324,"EC Auto",Movimientos!$B$1:$B$1324,"&lt;="&amp;$B54)</f>
        <v>382.69000000000005</v>
      </c>
      <c r="P54" s="24">
        <f>SUMIFS('Saldos Iniciales'!$D:$D,'Saldos Iniciales'!$A:$A,"Arbor Capital Properties")+SUMIFS(Movimientos!$K$1:$K$1324,Movimientos!$C$1:$C$1324,"Arbor Capital Properties",Movimientos!$B$1:$B$1324,"&lt;="&amp;$B54)</f>
        <v>1428.08</v>
      </c>
      <c r="Q54" s="24">
        <f>SUMIFS('Saldos Iniciales'!$D:$D,'Saldos Iniciales'!$A:$A,"2515 Overbrook")+SUMIFS(Movimientos!$K$1:$K$1324,Movimientos!$C$1:$C$1324,"2515 Overbrook",Movimientos!$B$1:$B$1324,"&lt;="&amp;$B54)</f>
        <v>31039.969999999961</v>
      </c>
      <c r="R54" s="24">
        <f>SUMIFS('Saldos Iniciales'!$D:$D,'Saldos Iniciales'!$A:$A,"112 Florida Ave")+SUMIFS(Movimientos!$K$1:$K$1324,Movimientos!$C$1:$C$1324,"112 Florida Ave",Movimientos!$B$1:$B$1324,"&lt;="&amp;$B54)</f>
        <v>20321.43</v>
      </c>
      <c r="S54" s="24">
        <f>SUMIFS('Saldos Iniciales'!$D:$D,'Saldos Iniciales'!$A:$A,"3628 Thomas Ave")+SUMIFS(Movimientos!$K$1:$K$1324,Movimientos!$C$1:$C$1324,"3628 Thomas Ave",Movimientos!$B$1:$B$1324,"&lt;="&amp;$B54)</f>
        <v>16681.349999999999</v>
      </c>
      <c r="T54" s="24">
        <f>SUMIFS('Saldos Iniciales'!$D:$D,'Saldos Iniciales'!$A:$A,"Green Harbor Trust")+SUMIFS(Movimientos!$K$1:$K$1324,Movimientos!$C$1:$C$1324,"Green Harbor Trust",Movimientos!$B$1:$B$1324,"&lt;="&amp;$B54)</f>
        <v>345</v>
      </c>
      <c r="U54" s="24">
        <f>SUMIFS('Saldos Iniciales'!$D:$D,'Saldos Iniciales'!$A:$A,"Go Blue")+SUMIFS(Movimientos!$K$1:$K$1324,Movimientos!$C$1:$C$1324,"Go Blue",Movimientos!$B$1:$B$1324,"&lt;="&amp;$B54)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Aparments",Movimientos!$B$1:$B$1324,"&lt;="&amp;$B54))</f>
        <v>0</v>
      </c>
      <c r="AD54" s="24">
        <f>IF(YEAR($B54)*100+MONTH($B54)&lt;--SUBSTITUTE(_xlfn.XLOOKUP("Don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Life",Movimientos!$B$1:$B$1324,"&lt;="&amp;$B54))</f>
        <v>0</v>
      </c>
      <c r="AE54" s="25">
        <f t="shared" si="1"/>
        <v>11779484.699999999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Group")+SUMIFS(Movimientos!$K$1:$K$1324,Movimientos!$C$1:$C$1324,"CFT Group",Movimientos!$B$1:$B$1324,"&lt;="&amp;$B55)</f>
        <v>7675741.5900000008</v>
      </c>
      <c r="D55" s="24">
        <f>SUMIFS('Saldos Iniciales'!$D:$D,'Saldos Iniciales'!$A:$A,"M1B")+SUMIFS(Movimientos!$K$1:$K$1324,Movimientos!$C$1:$C$1324,"M1B",Movimientos!$B$1:$B$1324,"&lt;="&amp;$B55)</f>
        <v>69376.390000000174</v>
      </c>
      <c r="E55" s="24">
        <f>SUMIFS('Saldos Iniciales'!$D:$D,'Saldos Iniciales'!$A:$A,"Durand")+SUMIFS(Movimientos!$K$1:$K$1324,Movimientos!$C$1:$C$1324,"Durand",Movimientos!$B$1:$B$1324,"&lt;="&amp;$B55)</f>
        <v>1669.89</v>
      </c>
      <c r="F55" s="24">
        <f>SUMIFS('Saldos Iniciales'!$D:$D,'Saldos Iniciales'!$A:$A,"A&amp;M Imports")+SUMIFS(Movimientos!$K$1:$K$1324,Movimientos!$C$1:$C$1324,"A&amp;M Imports",Movimientos!$B$1:$B$1324,"&lt;="&amp;$B55)</f>
        <v>503904.80999999982</v>
      </c>
      <c r="G55" s="24">
        <f>SUMIFS('Saldos Iniciales'!$D:$D,'Saldos Iniciales'!$A:$A,"SSP Capital")+SUMIFS(Movimientos!$K$1:$K$1324,Movimientos!$C$1:$C$1324,"SSP Capital",Movimientos!$B$1:$B$1324,"&lt;="&amp;$B55)</f>
        <v>3325868.6899999995</v>
      </c>
      <c r="H55" s="24">
        <f>SUMIFS('Saldos Iniciales'!$D:$D,'Saldos Iniciales'!$A:$A,"Cross Family Trust")+SUMIFS(Movimientos!$K$1:$K$1324,Movimientos!$C$1:$C$1324,"Cross Family Trust",Movimientos!$B$1:$B$1324,"&lt;="&amp;$B55)</f>
        <v>116496.38</v>
      </c>
      <c r="I55" s="24">
        <f>SUMIFS('Saldos Iniciales'!$D:$D,'Saldos Iniciales'!$A:$A,"Cross Security Trust")+SUMIFS(Movimientos!$K$1:$K$1324,Movimientos!$C$1:$C$1324,"Cross Security Trust",Movimientos!$B$1:$B$1324,"&lt;="&amp;$B55)</f>
        <v>20375.989999999998</v>
      </c>
      <c r="J55" s="24">
        <f>SUMIFS('Saldos Iniciales'!$D:$D,'Saldos Iniciales'!$A:$A,"Electrama")+SUMIFS(Movimientos!$K$1:$K$1324,Movimientos!$C$1:$C$1324,"Electrama",Movimientos!$B$1:$B$1324,"&lt;="&amp;$B55)</f>
        <v>511.15999999999985</v>
      </c>
      <c r="K55" s="24">
        <f>SUMIFS('Saldos Iniciales'!$D:$D,'Saldos Iniciales'!$A:$A,"Sacred Valley Capital")+SUMIFS(Movimientos!$K$1:$K$1324,Movimientos!$C$1:$C$1324,"Sacred Valley Capital",Movimientos!$B$1:$B$1324,"&lt;="&amp;$B55)</f>
        <v>84.35</v>
      </c>
      <c r="L55" s="24">
        <f>SUMIFS('Saldos Iniciales'!$D:$D,'Saldos Iniciales'!$A:$A,"YWC Capital")+SUMIFS(Movimientos!$K$1:$K$1324,Movimientos!$C$1:$C$1324,"YWC Capital",Movimientos!$B$1:$B$1324,"&lt;="&amp;$B55)</f>
        <v>2237.77</v>
      </c>
      <c r="M55" s="24">
        <f>SUMIFS('Saldos Iniciales'!$D:$D,'Saldos Iniciales'!$A:$A,"Soweto")+SUMIFS(Movimientos!$K$1:$K$1324,Movimientos!$C$1:$C$1324,"Soweto",Movimientos!$B$1:$B$1324,"&lt;="&amp;$B55)</f>
        <v>3349.94</v>
      </c>
      <c r="N55" s="24">
        <f>SUMIFS('Saldos Iniciales'!$D:$D,'Saldos Iniciales'!$A:$A,"Green Stone Trust")+SUMIFS(Movimientos!$K$1:$K$1324,Movimientos!$C$1:$C$1324,"Green Stone Trust",Movimientos!$B$1:$B$1324,"&lt;="&amp;$B55)</f>
        <v>1968.99</v>
      </c>
      <c r="O55" s="24">
        <f>SUMIFS('Saldos Iniciales'!$D:$D,'Saldos Iniciales'!$A:$A,"EC Auto")+SUMIFS(Movimientos!$K$1:$K$1324,Movimientos!$C$1:$C$1324,"EC Auto",Movimientos!$B$1:$B$1324,"&lt;="&amp;$B55)</f>
        <v>382.69000000000005</v>
      </c>
      <c r="P55" s="24">
        <f>SUMIFS('Saldos Iniciales'!$D:$D,'Saldos Iniciales'!$A:$A,"Arbor Capital Properties")+SUMIFS(Movimientos!$K$1:$K$1324,Movimientos!$C$1:$C$1324,"Arbor Capital Properties",Movimientos!$B$1:$B$1324,"&lt;="&amp;$B55)</f>
        <v>1428.08</v>
      </c>
      <c r="Q55" s="24">
        <f>SUMIFS('Saldos Iniciales'!$D:$D,'Saldos Iniciales'!$A:$A,"2515 Overbrook")+SUMIFS(Movimientos!$K$1:$K$1324,Movimientos!$C$1:$C$1324,"2515 Overbrook",Movimientos!$B$1:$B$1324,"&lt;="&amp;$B55)</f>
        <v>31039.969999999961</v>
      </c>
      <c r="R55" s="24">
        <f>SUMIFS('Saldos Iniciales'!$D:$D,'Saldos Iniciales'!$A:$A,"112 Florida Ave")+SUMIFS(Movimientos!$K$1:$K$1324,Movimientos!$C$1:$C$1324,"112 Florida Ave",Movimientos!$B$1:$B$1324,"&lt;="&amp;$B55)</f>
        <v>20321.43</v>
      </c>
      <c r="S55" s="24">
        <f>SUMIFS('Saldos Iniciales'!$D:$D,'Saldos Iniciales'!$A:$A,"3628 Thomas Ave")+SUMIFS(Movimientos!$K$1:$K$1324,Movimientos!$C$1:$C$1324,"3628 Thomas Ave",Movimientos!$B$1:$B$1324,"&lt;="&amp;$B55)</f>
        <v>16681.349999999999</v>
      </c>
      <c r="T55" s="24">
        <f>SUMIFS('Saldos Iniciales'!$D:$D,'Saldos Iniciales'!$A:$A,"Green Harbor Trust")+SUMIFS(Movimientos!$K$1:$K$1324,Movimientos!$C$1:$C$1324,"Green Harbor Trust",Movimientos!$B$1:$B$1324,"&lt;="&amp;$B55)</f>
        <v>345</v>
      </c>
      <c r="U55" s="24">
        <f>SUMIFS('Saldos Iniciales'!$D:$D,'Saldos Iniciales'!$A:$A,"Go Blue")+SUMIFS(Movimientos!$K$1:$K$1324,Movimientos!$C$1:$C$1324,"Go Blue",Movimientos!$B$1:$B$1324,"&lt;="&amp;$B55)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Aparments",Movimientos!$B$1:$B$1324,"&lt;="&amp;$B55))</f>
        <v>0</v>
      </c>
      <c r="AD55" s="24">
        <f>IF(YEAR($B55)*100+MONTH($B55)&lt;--SUBSTITUTE(_xlfn.XLOOKUP("Don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Life",Movimientos!$B$1:$B$1324,"&lt;="&amp;$B55))</f>
        <v>0</v>
      </c>
      <c r="AE55" s="25">
        <f t="shared" si="1"/>
        <v>11841765.780000001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Group")+SUMIFS(Movimientos!$K$1:$K$1324,Movimientos!$C$1:$C$1324,"CFT Group",Movimientos!$B$1:$B$1324,"&lt;="&amp;$B56)</f>
        <v>7742810.7100000009</v>
      </c>
      <c r="D56" s="24">
        <f>SUMIFS('Saldos Iniciales'!$D:$D,'Saldos Iniciales'!$A:$A,"M1B")+SUMIFS(Movimientos!$K$1:$K$1324,Movimientos!$C$1:$C$1324,"M1B",Movimientos!$B$1:$B$1324,"&lt;="&amp;$B56)</f>
        <v>72386.190000000177</v>
      </c>
      <c r="E56" s="24">
        <f>SUMIFS('Saldos Iniciales'!$D:$D,'Saldos Iniciales'!$A:$A,"Durand")+SUMIFS(Movimientos!$K$1:$K$1324,Movimientos!$C$1:$C$1324,"Durand",Movimientos!$B$1:$B$1324,"&lt;="&amp;$B56)</f>
        <v>1669.89</v>
      </c>
      <c r="F56" s="24">
        <f>SUMIFS('Saldos Iniciales'!$D:$D,'Saldos Iniciales'!$A:$A,"A&amp;M Imports")+SUMIFS(Movimientos!$K$1:$K$1324,Movimientos!$C$1:$C$1324,"A&amp;M Imports",Movimientos!$B$1:$B$1324,"&lt;="&amp;$B56)</f>
        <v>532766.72999999986</v>
      </c>
      <c r="G56" s="24">
        <f>SUMIFS('Saldos Iniciales'!$D:$D,'Saldos Iniciales'!$A:$A,"SSP Capital")+SUMIFS(Movimientos!$K$1:$K$1324,Movimientos!$C$1:$C$1324,"SSP Capital",Movimientos!$B$1:$B$1324,"&lt;="&amp;$B56)</f>
        <v>3325868.6899999995</v>
      </c>
      <c r="H56" s="24">
        <f>SUMIFS('Saldos Iniciales'!$D:$D,'Saldos Iniciales'!$A:$A,"Cross Family Trust")+SUMIFS(Movimientos!$K$1:$K$1324,Movimientos!$C$1:$C$1324,"Cross Family Trust",Movimientos!$B$1:$B$1324,"&lt;="&amp;$B56)</f>
        <v>116496.38</v>
      </c>
      <c r="I56" s="24">
        <f>SUMIFS('Saldos Iniciales'!$D:$D,'Saldos Iniciales'!$A:$A,"Cross Security Trust")+SUMIFS(Movimientos!$K$1:$K$1324,Movimientos!$C$1:$C$1324,"Cross Security Trust",Movimientos!$B$1:$B$1324,"&lt;="&amp;$B56)</f>
        <v>20375.989999999998</v>
      </c>
      <c r="J56" s="24">
        <f>SUMIFS('Saldos Iniciales'!$D:$D,'Saldos Iniciales'!$A:$A,"Electrama")+SUMIFS(Movimientos!$K$1:$K$1324,Movimientos!$C$1:$C$1324,"Electrama",Movimientos!$B$1:$B$1324,"&lt;="&amp;$B56)</f>
        <v>511.15999999999985</v>
      </c>
      <c r="K56" s="24">
        <f>SUMIFS('Saldos Iniciales'!$D:$D,'Saldos Iniciales'!$A:$A,"Sacred Valley Capital")+SUMIFS(Movimientos!$K$1:$K$1324,Movimientos!$C$1:$C$1324,"Sacred Valley Capital",Movimientos!$B$1:$B$1324,"&lt;="&amp;$B56)</f>
        <v>84.35</v>
      </c>
      <c r="L56" s="24">
        <f>SUMIFS('Saldos Iniciales'!$D:$D,'Saldos Iniciales'!$A:$A,"YWC Capital")+SUMIFS(Movimientos!$K$1:$K$1324,Movimientos!$C$1:$C$1324,"YWC Capital",Movimientos!$B$1:$B$1324,"&lt;="&amp;$B56)</f>
        <v>2237.77</v>
      </c>
      <c r="M56" s="24">
        <f>SUMIFS('Saldos Iniciales'!$D:$D,'Saldos Iniciales'!$A:$A,"Soweto")+SUMIFS(Movimientos!$K$1:$K$1324,Movimientos!$C$1:$C$1324,"Soweto",Movimientos!$B$1:$B$1324,"&lt;="&amp;$B56)</f>
        <v>3349.94</v>
      </c>
      <c r="N56" s="24">
        <f>SUMIFS('Saldos Iniciales'!$D:$D,'Saldos Iniciales'!$A:$A,"Green Stone Trust")+SUMIFS(Movimientos!$K$1:$K$1324,Movimientos!$C$1:$C$1324,"Green Stone Trust",Movimientos!$B$1:$B$1324,"&lt;="&amp;$B56)</f>
        <v>1968.99</v>
      </c>
      <c r="O56" s="24">
        <f>SUMIFS('Saldos Iniciales'!$D:$D,'Saldos Iniciales'!$A:$A,"EC Auto")+SUMIFS(Movimientos!$K$1:$K$1324,Movimientos!$C$1:$C$1324,"EC Auto",Movimientos!$B$1:$B$1324,"&lt;="&amp;$B56)</f>
        <v>382.69000000000005</v>
      </c>
      <c r="P56" s="24">
        <f>SUMIFS('Saldos Iniciales'!$D:$D,'Saldos Iniciales'!$A:$A,"Arbor Capital Properties")+SUMIFS(Movimientos!$K$1:$K$1324,Movimientos!$C$1:$C$1324,"Arbor Capital Properties",Movimientos!$B$1:$B$1324,"&lt;="&amp;$B56)</f>
        <v>1428.08</v>
      </c>
      <c r="Q56" s="24">
        <f>SUMIFS('Saldos Iniciales'!$D:$D,'Saldos Iniciales'!$A:$A,"2515 Overbrook")+SUMIFS(Movimientos!$K$1:$K$1324,Movimientos!$C$1:$C$1324,"2515 Overbrook",Movimientos!$B$1:$B$1324,"&lt;="&amp;$B56)</f>
        <v>31039.969999999961</v>
      </c>
      <c r="R56" s="24">
        <f>SUMIFS('Saldos Iniciales'!$D:$D,'Saldos Iniciales'!$A:$A,"112 Florida Ave")+SUMIFS(Movimientos!$K$1:$K$1324,Movimientos!$C$1:$C$1324,"112 Florida Ave",Movimientos!$B$1:$B$1324,"&lt;="&amp;$B56)</f>
        <v>20321.43</v>
      </c>
      <c r="S56" s="24">
        <f>SUMIFS('Saldos Iniciales'!$D:$D,'Saldos Iniciales'!$A:$A,"3628 Thomas Ave")+SUMIFS(Movimientos!$K$1:$K$1324,Movimientos!$C$1:$C$1324,"3628 Thomas Ave",Movimientos!$B$1:$B$1324,"&lt;="&amp;$B56)</f>
        <v>16681.349999999999</v>
      </c>
      <c r="T56" s="24">
        <f>SUMIFS('Saldos Iniciales'!$D:$D,'Saldos Iniciales'!$A:$A,"Green Harbor Trust")+SUMIFS(Movimientos!$K$1:$K$1324,Movimientos!$C$1:$C$1324,"Green Harbor Trust",Movimientos!$B$1:$B$1324,"&lt;="&amp;$B56)</f>
        <v>345</v>
      </c>
      <c r="U56" s="24">
        <f>SUMIFS('Saldos Iniciales'!$D:$D,'Saldos Iniciales'!$A:$A,"Go Blue")+SUMIFS(Movimientos!$K$1:$K$1324,Movimientos!$C$1:$C$1324,"Go Blue",Movimientos!$B$1:$B$1324,"&lt;="&amp;$B56)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Aparments",Movimientos!$B$1:$B$1324,"&lt;="&amp;$B56))</f>
        <v>0</v>
      </c>
      <c r="AD56" s="24">
        <f>IF(YEAR($B56)*100+MONTH($B56)&lt;--SUBSTITUTE(_xlfn.XLOOKUP("Don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Life",Movimientos!$B$1:$B$1324,"&lt;="&amp;$B56))</f>
        <v>0</v>
      </c>
      <c r="AE56" s="25">
        <f t="shared" si="1"/>
        <v>11940706.620000001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Group")+SUMIFS(Movimientos!$K$1:$K$1324,Movimientos!$C$1:$C$1324,"CFT Group",Movimientos!$B$1:$B$1324,"&lt;="&amp;$B57)</f>
        <v>6298935.7100000009</v>
      </c>
      <c r="D57" s="24">
        <f>SUMIFS('Saldos Iniciales'!$D:$D,'Saldos Iniciales'!$A:$A,"M1B")+SUMIFS(Movimientos!$K$1:$K$1324,Movimientos!$C$1:$C$1324,"M1B",Movimientos!$B$1:$B$1324,"&lt;="&amp;$B57)</f>
        <v>72386.190000000177</v>
      </c>
      <c r="E57" s="24">
        <f>SUMIFS('Saldos Iniciales'!$D:$D,'Saldos Iniciales'!$A:$A,"Durand")+SUMIFS(Movimientos!$K$1:$K$1324,Movimientos!$C$1:$C$1324,"Durand",Movimientos!$B$1:$B$1324,"&lt;="&amp;$B57)</f>
        <v>1669.89</v>
      </c>
      <c r="F57" s="24">
        <f>SUMIFS('Saldos Iniciales'!$D:$D,'Saldos Iniciales'!$A:$A,"A&amp;M Imports")+SUMIFS(Movimientos!$K$1:$K$1324,Movimientos!$C$1:$C$1324,"A&amp;M Imports",Movimientos!$B$1:$B$1324,"&lt;="&amp;$B57)</f>
        <v>472766.72999999986</v>
      </c>
      <c r="G57" s="24">
        <f>SUMIFS('Saldos Iniciales'!$D:$D,'Saldos Iniciales'!$A:$A,"SSP Capital")+SUMIFS(Movimientos!$K$1:$K$1324,Movimientos!$C$1:$C$1324,"SSP Capital",Movimientos!$B$1:$B$1324,"&lt;="&amp;$B57)</f>
        <v>1933152.7099999995</v>
      </c>
      <c r="H57" s="24">
        <f>SUMIFS('Saldos Iniciales'!$D:$D,'Saldos Iniciales'!$A:$A,"Cross Family Trust")+SUMIFS(Movimientos!$K$1:$K$1324,Movimientos!$C$1:$C$1324,"Cross Family Trust",Movimientos!$B$1:$B$1324,"&lt;="&amp;$B57)</f>
        <v>1996496.38</v>
      </c>
      <c r="I57" s="24">
        <f>SUMIFS('Saldos Iniciales'!$D:$D,'Saldos Iniciales'!$A:$A,"Cross Security Trust")+SUMIFS(Movimientos!$K$1:$K$1324,Movimientos!$C$1:$C$1324,"Cross Security Trust",Movimientos!$B$1:$B$1324,"&lt;="&amp;$B57)</f>
        <v>330375.99000000005</v>
      </c>
      <c r="J57" s="24">
        <f>SUMIFS('Saldos Iniciales'!$D:$D,'Saldos Iniciales'!$A:$A,"Electrama")+SUMIFS(Movimientos!$K$1:$K$1324,Movimientos!$C$1:$C$1324,"Electrama",Movimientos!$B$1:$B$1324,"&lt;="&amp;$B57)</f>
        <v>511.15999999999985</v>
      </c>
      <c r="K57" s="24">
        <f>SUMIFS('Saldos Iniciales'!$D:$D,'Saldos Iniciales'!$A:$A,"Sacred Valley Capital")+SUMIFS(Movimientos!$K$1:$K$1324,Movimientos!$C$1:$C$1324,"Sacred Valley Capital",Movimientos!$B$1:$B$1324,"&lt;="&amp;$B57)</f>
        <v>84.35</v>
      </c>
      <c r="L57" s="24">
        <f>SUMIFS('Saldos Iniciales'!$D:$D,'Saldos Iniciales'!$A:$A,"YWC Capital")+SUMIFS(Movimientos!$K$1:$K$1324,Movimientos!$C$1:$C$1324,"YWC Capital",Movimientos!$B$1:$B$1324,"&lt;="&amp;$B57)</f>
        <v>2237.77</v>
      </c>
      <c r="M57" s="24">
        <f>SUMIFS('Saldos Iniciales'!$D:$D,'Saldos Iniciales'!$A:$A,"Soweto")+SUMIFS(Movimientos!$K$1:$K$1324,Movimientos!$C$1:$C$1324,"Soweto",Movimientos!$B$1:$B$1324,"&lt;="&amp;$B57)</f>
        <v>3349.94</v>
      </c>
      <c r="N57" s="24">
        <f>SUMIFS('Saldos Iniciales'!$D:$D,'Saldos Iniciales'!$A:$A,"Green Stone Trust")+SUMIFS(Movimientos!$K$1:$K$1324,Movimientos!$C$1:$C$1324,"Green Stone Trust",Movimientos!$B$1:$B$1324,"&lt;="&amp;$B57)</f>
        <v>1968.99</v>
      </c>
      <c r="O57" s="24">
        <f>SUMIFS('Saldos Iniciales'!$D:$D,'Saldos Iniciales'!$A:$A,"EC Auto")+SUMIFS(Movimientos!$K$1:$K$1324,Movimientos!$C$1:$C$1324,"EC Auto",Movimientos!$B$1:$B$1324,"&lt;="&amp;$B57)</f>
        <v>382.69000000000005</v>
      </c>
      <c r="P57" s="24">
        <f>SUMIFS('Saldos Iniciales'!$D:$D,'Saldos Iniciales'!$A:$A,"Arbor Capital Properties")+SUMIFS(Movimientos!$K$1:$K$1324,Movimientos!$C$1:$C$1324,"Arbor Capital Properties",Movimientos!$B$1:$B$1324,"&lt;="&amp;$B57)</f>
        <v>1428.08</v>
      </c>
      <c r="Q57" s="24">
        <f>SUMIFS('Saldos Iniciales'!$D:$D,'Saldos Iniciales'!$A:$A,"2515 Overbrook")+SUMIFS(Movimientos!$K$1:$K$1324,Movimientos!$C$1:$C$1324,"2515 Overbrook",Movimientos!$B$1:$B$1324,"&lt;="&amp;$B57)</f>
        <v>31039.969999999961</v>
      </c>
      <c r="R57" s="24">
        <f>SUMIFS('Saldos Iniciales'!$D:$D,'Saldos Iniciales'!$A:$A,"112 Florida Ave")+SUMIFS(Movimientos!$K$1:$K$1324,Movimientos!$C$1:$C$1324,"112 Florida Ave",Movimientos!$B$1:$B$1324,"&lt;="&amp;$B57)</f>
        <v>20321.43</v>
      </c>
      <c r="S57" s="24">
        <f>SUMIFS('Saldos Iniciales'!$D:$D,'Saldos Iniciales'!$A:$A,"3628 Thomas Ave")+SUMIFS(Movimientos!$K$1:$K$1324,Movimientos!$C$1:$C$1324,"3628 Thomas Ave",Movimientos!$B$1:$B$1324,"&lt;="&amp;$B57)</f>
        <v>28473.599999999999</v>
      </c>
      <c r="T57" s="24">
        <f>SUMIFS('Saldos Iniciales'!$D:$D,'Saldos Iniciales'!$A:$A,"Green Harbor Trust")+SUMIFS(Movimientos!$K$1:$K$1324,Movimientos!$C$1:$C$1324,"Green Harbor Trust",Movimientos!$B$1:$B$1324,"&lt;="&amp;$B57)</f>
        <v>345</v>
      </c>
      <c r="U57" s="24">
        <f>SUMIFS('Saldos Iniciales'!$D:$D,'Saldos Iniciales'!$A:$A,"Go Blue")+SUMIFS(Movimientos!$K$1:$K$1324,Movimientos!$C$1:$C$1324,"Go Blue",Movimientos!$B$1:$B$1324,"&lt;="&amp;$B57)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Aparments",Movimientos!$B$1:$B$1324,"&lt;="&amp;$B57))</f>
        <v>0</v>
      </c>
      <c r="AD57" s="24">
        <f>IF(YEAR($B57)*100+MONTH($B57)&lt;--SUBSTITUTE(_xlfn.XLOOKUP("Don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Life",Movimientos!$B$1:$B$1324,"&lt;="&amp;$B57))</f>
        <v>0</v>
      </c>
      <c r="AE57" s="25">
        <f t="shared" si="1"/>
        <v>11233952.009999998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Group")+SUMIFS(Movimientos!$K$1:$K$1324,Movimientos!$C$1:$C$1324,"CFT Group",Movimientos!$B$1:$B$1324,"&lt;="&amp;$B58)</f>
        <v>6288055.7100000009</v>
      </c>
      <c r="D58" s="24">
        <f>SUMIFS('Saldos Iniciales'!$D:$D,'Saldos Iniciales'!$A:$A,"M1B")+SUMIFS(Movimientos!$K$1:$K$1324,Movimientos!$C$1:$C$1324,"M1B",Movimientos!$B$1:$B$1324,"&lt;="&amp;$B58)</f>
        <v>72386.190000000177</v>
      </c>
      <c r="E58" s="24">
        <f>SUMIFS('Saldos Iniciales'!$D:$D,'Saldos Iniciales'!$A:$A,"Durand")+SUMIFS(Movimientos!$K$1:$K$1324,Movimientos!$C$1:$C$1324,"Durand",Movimientos!$B$1:$B$1324,"&lt;="&amp;$B58)</f>
        <v>1669.89</v>
      </c>
      <c r="F58" s="24">
        <f>SUMIFS('Saldos Iniciales'!$D:$D,'Saldos Iniciales'!$A:$A,"A&amp;M Imports")+SUMIFS(Movimientos!$K$1:$K$1324,Movimientos!$C$1:$C$1324,"A&amp;M Imports",Movimientos!$B$1:$B$1324,"&lt;="&amp;$B58)</f>
        <v>472766.72999999986</v>
      </c>
      <c r="G58" s="24">
        <f>SUMIFS('Saldos Iniciales'!$D:$D,'Saldos Iniciales'!$A:$A,"SSP Capital")+SUMIFS(Movimientos!$K$1:$K$1324,Movimientos!$C$1:$C$1324,"SSP Capital",Movimientos!$B$1:$B$1324,"&lt;="&amp;$B58)</f>
        <v>1932389.7199999993</v>
      </c>
      <c r="H58" s="24">
        <f>SUMIFS('Saldos Iniciales'!$D:$D,'Saldos Iniciales'!$A:$A,"Cross Family Trust")+SUMIFS(Movimientos!$K$1:$K$1324,Movimientos!$C$1:$C$1324,"Cross Family Trust",Movimientos!$B$1:$B$1324,"&lt;="&amp;$B58)</f>
        <v>1396496.38</v>
      </c>
      <c r="I58" s="24">
        <f>SUMIFS('Saldos Iniciales'!$D:$D,'Saldos Iniciales'!$A:$A,"Cross Security Trust")+SUMIFS(Movimientos!$K$1:$K$1324,Movimientos!$C$1:$C$1324,"Cross Security Trust",Movimientos!$B$1:$B$1324,"&lt;="&amp;$B58)</f>
        <v>330375.99000000005</v>
      </c>
      <c r="J58" s="24">
        <f>SUMIFS('Saldos Iniciales'!$D:$D,'Saldos Iniciales'!$A:$A,"Electrama")+SUMIFS(Movimientos!$K$1:$K$1324,Movimientos!$C$1:$C$1324,"Electrama",Movimientos!$B$1:$B$1324,"&lt;="&amp;$B58)</f>
        <v>511.15999999999985</v>
      </c>
      <c r="K58" s="24">
        <f>SUMIFS('Saldos Iniciales'!$D:$D,'Saldos Iniciales'!$A:$A,"Sacred Valley Capital")+SUMIFS(Movimientos!$K$1:$K$1324,Movimientos!$C$1:$C$1324,"Sacred Valley Capital",Movimientos!$B$1:$B$1324,"&lt;="&amp;$B58)</f>
        <v>84.35</v>
      </c>
      <c r="L58" s="24">
        <f>SUMIFS('Saldos Iniciales'!$D:$D,'Saldos Iniciales'!$A:$A,"YWC Capital")+SUMIFS(Movimientos!$K$1:$K$1324,Movimientos!$C$1:$C$1324,"YWC Capital",Movimientos!$B$1:$B$1324,"&lt;="&amp;$B58)</f>
        <v>2237.77</v>
      </c>
      <c r="M58" s="24">
        <f>SUMIFS('Saldos Iniciales'!$D:$D,'Saldos Iniciales'!$A:$A,"Soweto")+SUMIFS(Movimientos!$K$1:$K$1324,Movimientos!$C$1:$C$1324,"Soweto",Movimientos!$B$1:$B$1324,"&lt;="&amp;$B58)</f>
        <v>3349.94</v>
      </c>
      <c r="N58" s="24">
        <f>SUMIFS('Saldos Iniciales'!$D:$D,'Saldos Iniciales'!$A:$A,"Green Stone Trust")+SUMIFS(Movimientos!$K$1:$K$1324,Movimientos!$C$1:$C$1324,"Green Stone Trust",Movimientos!$B$1:$B$1324,"&lt;="&amp;$B58)</f>
        <v>1968.99</v>
      </c>
      <c r="O58" s="24">
        <f>SUMIFS('Saldos Iniciales'!$D:$D,'Saldos Iniciales'!$A:$A,"EC Auto")+SUMIFS(Movimientos!$K$1:$K$1324,Movimientos!$C$1:$C$1324,"EC Auto",Movimientos!$B$1:$B$1324,"&lt;="&amp;$B58)</f>
        <v>382.69000000000005</v>
      </c>
      <c r="P58" s="24">
        <f>SUMIFS('Saldos Iniciales'!$D:$D,'Saldos Iniciales'!$A:$A,"Arbor Capital Properties")+SUMIFS(Movimientos!$K$1:$K$1324,Movimientos!$C$1:$C$1324,"Arbor Capital Properties",Movimientos!$B$1:$B$1324,"&lt;="&amp;$B58)</f>
        <v>1428.08</v>
      </c>
      <c r="Q58" s="24">
        <f>SUMIFS('Saldos Iniciales'!$D:$D,'Saldos Iniciales'!$A:$A,"2515 Overbrook")+SUMIFS(Movimientos!$K$1:$K$1324,Movimientos!$C$1:$C$1324,"2515 Overbrook",Movimientos!$B$1:$B$1324,"&lt;="&amp;$B58)</f>
        <v>31039.969999999961</v>
      </c>
      <c r="R58" s="24">
        <f>SUMIFS('Saldos Iniciales'!$D:$D,'Saldos Iniciales'!$A:$A,"112 Florida Ave")+SUMIFS(Movimientos!$K$1:$K$1324,Movimientos!$C$1:$C$1324,"112 Florida Ave",Movimientos!$B$1:$B$1324,"&lt;="&amp;$B58)</f>
        <v>20321.43</v>
      </c>
      <c r="S58" s="24">
        <f>SUMIFS('Saldos Iniciales'!$D:$D,'Saldos Iniciales'!$A:$A,"3628 Thomas Ave")+SUMIFS(Movimientos!$K$1:$K$1324,Movimientos!$C$1:$C$1324,"3628 Thomas Ave",Movimientos!$B$1:$B$1324,"&lt;="&amp;$B58)</f>
        <v>28458.6</v>
      </c>
      <c r="T58" s="24">
        <f>SUMIFS('Saldos Iniciales'!$D:$D,'Saldos Iniciales'!$A:$A,"Green Harbor Trust")+SUMIFS(Movimientos!$K$1:$K$1324,Movimientos!$C$1:$C$1324,"Green Harbor Trust",Movimientos!$B$1:$B$1324,"&lt;="&amp;$B58)</f>
        <v>345</v>
      </c>
      <c r="U58" s="24">
        <f>SUMIFS('Saldos Iniciales'!$D:$D,'Saldos Iniciales'!$A:$A,"Go Blue")+SUMIFS(Movimientos!$K$1:$K$1324,Movimientos!$C$1:$C$1324,"Go Blue",Movimientos!$B$1:$B$1324,"&lt;="&amp;$B58)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Aparments",Movimientos!$B$1:$B$1324,"&lt;="&amp;$B58))</f>
        <v>0</v>
      </c>
      <c r="AD58" s="24">
        <f>IF(YEAR($B58)*100+MONTH($B58)&lt;--SUBSTITUTE(_xlfn.XLOOKUP("Don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Life",Movimientos!$B$1:$B$1324,"&lt;="&amp;$B58))</f>
        <v>0</v>
      </c>
      <c r="AE58" s="25">
        <f t="shared" si="1"/>
        <v>10614187.23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Group")+SUMIFS(Movimientos!$K$1:$K$1324,Movimientos!$C$1:$C$1324,"CFT Group",Movimientos!$B$1:$B$1324,"&lt;="&amp;$B59)</f>
        <v>6288055.7100000009</v>
      </c>
      <c r="D59" s="24">
        <f>SUMIFS('Saldos Iniciales'!$D:$D,'Saldos Iniciales'!$A:$A,"M1B")+SUMIFS(Movimientos!$K$1:$K$1324,Movimientos!$C$1:$C$1324,"M1B",Movimientos!$B$1:$B$1324,"&lt;="&amp;$B59)</f>
        <v>72386.190000000177</v>
      </c>
      <c r="E59" s="24">
        <f>SUMIFS('Saldos Iniciales'!$D:$D,'Saldos Iniciales'!$A:$A,"Durand")+SUMIFS(Movimientos!$K$1:$K$1324,Movimientos!$C$1:$C$1324,"Durand",Movimientos!$B$1:$B$1324,"&lt;="&amp;$B59)</f>
        <v>1669.89</v>
      </c>
      <c r="F59" s="24">
        <f>SUMIFS('Saldos Iniciales'!$D:$D,'Saldos Iniciales'!$A:$A,"A&amp;M Imports")+SUMIFS(Movimientos!$K$1:$K$1324,Movimientos!$C$1:$C$1324,"A&amp;M Imports",Movimientos!$B$1:$B$1324,"&lt;="&amp;$B59)</f>
        <v>472766.72999999986</v>
      </c>
      <c r="G59" s="24">
        <f>SUMIFS('Saldos Iniciales'!$D:$D,'Saldos Iniciales'!$A:$A,"SSP Capital")+SUMIFS(Movimientos!$K$1:$K$1324,Movimientos!$C$1:$C$1324,"SSP Capital",Movimientos!$B$1:$B$1324,"&lt;="&amp;$B59)</f>
        <v>1932389.7199999993</v>
      </c>
      <c r="H59" s="24">
        <f>SUMIFS('Saldos Iniciales'!$D:$D,'Saldos Iniciales'!$A:$A,"Cross Family Trust")+SUMIFS(Movimientos!$K$1:$K$1324,Movimientos!$C$1:$C$1324,"Cross Family Trust",Movimientos!$B$1:$B$1324,"&lt;="&amp;$B59)</f>
        <v>1396496.38</v>
      </c>
      <c r="I59" s="24">
        <f>SUMIFS('Saldos Iniciales'!$D:$D,'Saldos Iniciales'!$A:$A,"Cross Security Trust")+SUMIFS(Movimientos!$K$1:$K$1324,Movimientos!$C$1:$C$1324,"Cross Security Trust",Movimientos!$B$1:$B$1324,"&lt;="&amp;$B59)</f>
        <v>330375.99000000005</v>
      </c>
      <c r="J59" s="24">
        <f>SUMIFS('Saldos Iniciales'!$D:$D,'Saldos Iniciales'!$A:$A,"Electrama")+SUMIFS(Movimientos!$K$1:$K$1324,Movimientos!$C$1:$C$1324,"Electrama",Movimientos!$B$1:$B$1324,"&lt;="&amp;$B59)</f>
        <v>511.15999999999985</v>
      </c>
      <c r="K59" s="24">
        <f>SUMIFS('Saldos Iniciales'!$D:$D,'Saldos Iniciales'!$A:$A,"Sacred Valley Capital")+SUMIFS(Movimientos!$K$1:$K$1324,Movimientos!$C$1:$C$1324,"Sacred Valley Capital",Movimientos!$B$1:$B$1324,"&lt;="&amp;$B59)</f>
        <v>84.35</v>
      </c>
      <c r="L59" s="24">
        <f>SUMIFS('Saldos Iniciales'!$D:$D,'Saldos Iniciales'!$A:$A,"YWC Capital")+SUMIFS(Movimientos!$K$1:$K$1324,Movimientos!$C$1:$C$1324,"YWC Capital",Movimientos!$B$1:$B$1324,"&lt;="&amp;$B59)</f>
        <v>2237.77</v>
      </c>
      <c r="M59" s="24">
        <f>SUMIFS('Saldos Iniciales'!$D:$D,'Saldos Iniciales'!$A:$A,"Soweto")+SUMIFS(Movimientos!$K$1:$K$1324,Movimientos!$C$1:$C$1324,"Soweto",Movimientos!$B$1:$B$1324,"&lt;="&amp;$B59)</f>
        <v>3349.94</v>
      </c>
      <c r="N59" s="24">
        <f>SUMIFS('Saldos Iniciales'!$D:$D,'Saldos Iniciales'!$A:$A,"Green Stone Trust")+SUMIFS(Movimientos!$K$1:$K$1324,Movimientos!$C$1:$C$1324,"Green Stone Trust",Movimientos!$B$1:$B$1324,"&lt;="&amp;$B59)</f>
        <v>1968.99</v>
      </c>
      <c r="O59" s="24">
        <f>SUMIFS('Saldos Iniciales'!$D:$D,'Saldos Iniciales'!$A:$A,"EC Auto")+SUMIFS(Movimientos!$K$1:$K$1324,Movimientos!$C$1:$C$1324,"EC Auto",Movimientos!$B$1:$B$1324,"&lt;="&amp;$B59)</f>
        <v>382.69000000000005</v>
      </c>
      <c r="P59" s="24">
        <f>SUMIFS('Saldos Iniciales'!$D:$D,'Saldos Iniciales'!$A:$A,"Arbor Capital Properties")+SUMIFS(Movimientos!$K$1:$K$1324,Movimientos!$C$1:$C$1324,"Arbor Capital Properties",Movimientos!$B$1:$B$1324,"&lt;="&amp;$B59)</f>
        <v>1428.08</v>
      </c>
      <c r="Q59" s="24">
        <f>SUMIFS('Saldos Iniciales'!$D:$D,'Saldos Iniciales'!$A:$A,"2515 Overbrook")+SUMIFS(Movimientos!$K$1:$K$1324,Movimientos!$C$1:$C$1324,"2515 Overbrook",Movimientos!$B$1:$B$1324,"&lt;="&amp;$B59)</f>
        <v>31039.969999999961</v>
      </c>
      <c r="R59" s="24">
        <f>SUMIFS('Saldos Iniciales'!$D:$D,'Saldos Iniciales'!$A:$A,"112 Florida Ave")+SUMIFS(Movimientos!$K$1:$K$1324,Movimientos!$C$1:$C$1324,"112 Florida Ave",Movimientos!$B$1:$B$1324,"&lt;="&amp;$B59)</f>
        <v>20321.43</v>
      </c>
      <c r="S59" s="24">
        <f>SUMIFS('Saldos Iniciales'!$D:$D,'Saldos Iniciales'!$A:$A,"3628 Thomas Ave")+SUMIFS(Movimientos!$K$1:$K$1324,Movimientos!$C$1:$C$1324,"3628 Thomas Ave",Movimientos!$B$1:$B$1324,"&lt;="&amp;$B59)</f>
        <v>28458.6</v>
      </c>
      <c r="T59" s="24">
        <f>SUMIFS('Saldos Iniciales'!$D:$D,'Saldos Iniciales'!$A:$A,"Green Harbor Trust")+SUMIFS(Movimientos!$K$1:$K$1324,Movimientos!$C$1:$C$1324,"Green Harbor Trust",Movimientos!$B$1:$B$1324,"&lt;="&amp;$B59)</f>
        <v>345</v>
      </c>
      <c r="U59" s="24">
        <f>SUMIFS('Saldos Iniciales'!$D:$D,'Saldos Iniciales'!$A:$A,"Go Blue")+SUMIFS(Movimientos!$K$1:$K$1324,Movimientos!$C$1:$C$1324,"Go Blue",Movimientos!$B$1:$B$1324,"&lt;="&amp;$B59)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Aparments",Movimientos!$B$1:$B$1324,"&lt;="&amp;$B59))</f>
        <v>0</v>
      </c>
      <c r="AD59" s="24">
        <f>IF(YEAR($B59)*100+MONTH($B59)&lt;--SUBSTITUTE(_xlfn.XLOOKUP("Don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Life",Movimientos!$B$1:$B$1324,"&lt;="&amp;$B59))</f>
        <v>0</v>
      </c>
      <c r="AE59" s="25">
        <f t="shared" si="1"/>
        <v>10614187.23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Group")+SUMIFS(Movimientos!$K$1:$K$1324,Movimientos!$C$1:$C$1324,"CFT Group",Movimientos!$B$1:$B$1324,"&lt;="&amp;$B60)</f>
        <v>6288055.7100000009</v>
      </c>
      <c r="D60" s="24">
        <f>SUMIFS('Saldos Iniciales'!$D:$D,'Saldos Iniciales'!$A:$A,"M1B")+SUMIFS(Movimientos!$K$1:$K$1324,Movimientos!$C$1:$C$1324,"M1B",Movimientos!$B$1:$B$1324,"&lt;="&amp;$B60)</f>
        <v>72386.190000000177</v>
      </c>
      <c r="E60" s="24">
        <f>SUMIFS('Saldos Iniciales'!$D:$D,'Saldos Iniciales'!$A:$A,"Durand")+SUMIFS(Movimientos!$K$1:$K$1324,Movimientos!$C$1:$C$1324,"Durand",Movimientos!$B$1:$B$1324,"&lt;="&amp;$B60)</f>
        <v>1669.89</v>
      </c>
      <c r="F60" s="24">
        <f>SUMIFS('Saldos Iniciales'!$D:$D,'Saldos Iniciales'!$A:$A,"A&amp;M Imports")+SUMIFS(Movimientos!$K$1:$K$1324,Movimientos!$C$1:$C$1324,"A&amp;M Imports",Movimientos!$B$1:$B$1324,"&lt;="&amp;$B60)</f>
        <v>472766.72999999986</v>
      </c>
      <c r="G60" s="24">
        <f>SUMIFS('Saldos Iniciales'!$D:$D,'Saldos Iniciales'!$A:$A,"SSP Capital")+SUMIFS(Movimientos!$K$1:$K$1324,Movimientos!$C$1:$C$1324,"SSP Capital",Movimientos!$B$1:$B$1324,"&lt;="&amp;$B60)</f>
        <v>1932389.7199999993</v>
      </c>
      <c r="H60" s="24">
        <f>SUMIFS('Saldos Iniciales'!$D:$D,'Saldos Iniciales'!$A:$A,"Cross Family Trust")+SUMIFS(Movimientos!$K$1:$K$1324,Movimientos!$C$1:$C$1324,"Cross Family Trust",Movimientos!$B$1:$B$1324,"&lt;="&amp;$B60)</f>
        <v>1396496.38</v>
      </c>
      <c r="I60" s="24">
        <f>SUMIFS('Saldos Iniciales'!$D:$D,'Saldos Iniciales'!$A:$A,"Cross Security Trust")+SUMIFS(Movimientos!$K$1:$K$1324,Movimientos!$C$1:$C$1324,"Cross Security Trust",Movimientos!$B$1:$B$1324,"&lt;="&amp;$B60)</f>
        <v>330375.99000000005</v>
      </c>
      <c r="J60" s="24">
        <f>SUMIFS('Saldos Iniciales'!$D:$D,'Saldos Iniciales'!$A:$A,"Electrama")+SUMIFS(Movimientos!$K$1:$K$1324,Movimientos!$C$1:$C$1324,"Electrama",Movimientos!$B$1:$B$1324,"&lt;="&amp;$B60)</f>
        <v>511.15999999999985</v>
      </c>
      <c r="K60" s="24">
        <f>SUMIFS('Saldos Iniciales'!$D:$D,'Saldos Iniciales'!$A:$A,"Sacred Valley Capital")+SUMIFS(Movimientos!$K$1:$K$1324,Movimientos!$C$1:$C$1324,"Sacred Valley Capital",Movimientos!$B$1:$B$1324,"&lt;="&amp;$B60)</f>
        <v>84.35</v>
      </c>
      <c r="L60" s="24">
        <f>SUMIFS('Saldos Iniciales'!$D:$D,'Saldos Iniciales'!$A:$A,"YWC Capital")+SUMIFS(Movimientos!$K$1:$K$1324,Movimientos!$C$1:$C$1324,"YWC Capital",Movimientos!$B$1:$B$1324,"&lt;="&amp;$B60)</f>
        <v>2237.77</v>
      </c>
      <c r="M60" s="24">
        <f>SUMIFS('Saldos Iniciales'!$D:$D,'Saldos Iniciales'!$A:$A,"Soweto")+SUMIFS(Movimientos!$K$1:$K$1324,Movimientos!$C$1:$C$1324,"Soweto",Movimientos!$B$1:$B$1324,"&lt;="&amp;$B60)</f>
        <v>3349.94</v>
      </c>
      <c r="N60" s="24">
        <f>SUMIFS('Saldos Iniciales'!$D:$D,'Saldos Iniciales'!$A:$A,"Green Stone Trust")+SUMIFS(Movimientos!$K$1:$K$1324,Movimientos!$C$1:$C$1324,"Green Stone Trust",Movimientos!$B$1:$B$1324,"&lt;="&amp;$B60)</f>
        <v>1968.99</v>
      </c>
      <c r="O60" s="24">
        <f>SUMIFS('Saldos Iniciales'!$D:$D,'Saldos Iniciales'!$A:$A,"EC Auto")+SUMIFS(Movimientos!$K$1:$K$1324,Movimientos!$C$1:$C$1324,"EC Auto",Movimientos!$B$1:$B$1324,"&lt;="&amp;$B60)</f>
        <v>382.69000000000005</v>
      </c>
      <c r="P60" s="24">
        <f>SUMIFS('Saldos Iniciales'!$D:$D,'Saldos Iniciales'!$A:$A,"Arbor Capital Properties")+SUMIFS(Movimientos!$K$1:$K$1324,Movimientos!$C$1:$C$1324,"Arbor Capital Properties",Movimientos!$B$1:$B$1324,"&lt;="&amp;$B60)</f>
        <v>1428.08</v>
      </c>
      <c r="Q60" s="24">
        <f>SUMIFS('Saldos Iniciales'!$D:$D,'Saldos Iniciales'!$A:$A,"2515 Overbrook")+SUMIFS(Movimientos!$K$1:$K$1324,Movimientos!$C$1:$C$1324,"2515 Overbrook",Movimientos!$B$1:$B$1324,"&lt;="&amp;$B60)</f>
        <v>31039.969999999961</v>
      </c>
      <c r="R60" s="24">
        <f>SUMIFS('Saldos Iniciales'!$D:$D,'Saldos Iniciales'!$A:$A,"112 Florida Ave")+SUMIFS(Movimientos!$K$1:$K$1324,Movimientos!$C$1:$C$1324,"112 Florida Ave",Movimientos!$B$1:$B$1324,"&lt;="&amp;$B60)</f>
        <v>20321.43</v>
      </c>
      <c r="S60" s="24">
        <f>SUMIFS('Saldos Iniciales'!$D:$D,'Saldos Iniciales'!$A:$A,"3628 Thomas Ave")+SUMIFS(Movimientos!$K$1:$K$1324,Movimientos!$C$1:$C$1324,"3628 Thomas Ave",Movimientos!$B$1:$B$1324,"&lt;="&amp;$B60)</f>
        <v>28458.6</v>
      </c>
      <c r="T60" s="24">
        <f>SUMIFS('Saldos Iniciales'!$D:$D,'Saldos Iniciales'!$A:$A,"Green Harbor Trust")+SUMIFS(Movimientos!$K$1:$K$1324,Movimientos!$C$1:$C$1324,"Green Harbor Trust",Movimientos!$B$1:$B$1324,"&lt;="&amp;$B60)</f>
        <v>345</v>
      </c>
      <c r="U60" s="24">
        <f>SUMIFS('Saldos Iniciales'!$D:$D,'Saldos Iniciales'!$A:$A,"Go Blue")+SUMIFS(Movimientos!$K$1:$K$1324,Movimientos!$C$1:$C$1324,"Go Blue",Movimientos!$B$1:$B$1324,"&lt;="&amp;$B60)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Aparments",Movimientos!$B$1:$B$1324,"&lt;="&amp;$B60))</f>
        <v>0</v>
      </c>
      <c r="AD60" s="24">
        <f>IF(YEAR($B60)*100+MONTH($B60)&lt;--SUBSTITUTE(_xlfn.XLOOKUP("Don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Life",Movimientos!$B$1:$B$1324,"&lt;="&amp;$B60))</f>
        <v>0</v>
      </c>
      <c r="AE60" s="25">
        <f t="shared" si="1"/>
        <v>10614187.23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Group")+SUMIFS(Movimientos!$K$1:$K$1324,Movimientos!$C$1:$C$1324,"CFT Group",Movimientos!$B$1:$B$1324,"&lt;="&amp;$B61)</f>
        <v>6299174.8100000015</v>
      </c>
      <c r="D61" s="24">
        <f>SUMIFS('Saldos Iniciales'!$D:$D,'Saldos Iniciales'!$A:$A,"M1B")+SUMIFS(Movimientos!$K$1:$K$1324,Movimientos!$C$1:$C$1324,"M1B",Movimientos!$B$1:$B$1324,"&lt;="&amp;$B61)</f>
        <v>72386.190000000177</v>
      </c>
      <c r="E61" s="24">
        <f>SUMIFS('Saldos Iniciales'!$D:$D,'Saldos Iniciales'!$A:$A,"Durand")+SUMIFS(Movimientos!$K$1:$K$1324,Movimientos!$C$1:$C$1324,"Durand",Movimientos!$B$1:$B$1324,"&lt;="&amp;$B61)</f>
        <v>1669.89</v>
      </c>
      <c r="F61" s="24">
        <f>SUMIFS('Saldos Iniciales'!$D:$D,'Saldos Iniciales'!$A:$A,"A&amp;M Imports")+SUMIFS(Movimientos!$K$1:$K$1324,Movimientos!$C$1:$C$1324,"A&amp;M Imports",Movimientos!$B$1:$B$1324,"&lt;="&amp;$B61)</f>
        <v>489745.62999999989</v>
      </c>
      <c r="G61" s="24">
        <f>SUMIFS('Saldos Iniciales'!$D:$D,'Saldos Iniciales'!$A:$A,"SSP Capital")+SUMIFS(Movimientos!$K$1:$K$1324,Movimientos!$C$1:$C$1324,"SSP Capital",Movimientos!$B$1:$B$1324,"&lt;="&amp;$B61)</f>
        <v>1768167.9199999995</v>
      </c>
      <c r="H61" s="24">
        <f>SUMIFS('Saldos Iniciales'!$D:$D,'Saldos Iniciales'!$A:$A,"Cross Family Trust")+SUMIFS(Movimientos!$K$1:$K$1324,Movimientos!$C$1:$C$1324,"Cross Family Trust",Movimientos!$B$1:$B$1324,"&lt;="&amp;$B61)</f>
        <v>396496.38</v>
      </c>
      <c r="I61" s="24">
        <f>SUMIFS('Saldos Iniciales'!$D:$D,'Saldos Iniciales'!$A:$A,"Cross Security Trust")+SUMIFS(Movimientos!$K$1:$K$1324,Movimientos!$C$1:$C$1324,"Cross Security Trust",Movimientos!$B$1:$B$1324,"&lt;="&amp;$B61)</f>
        <v>327405.99000000005</v>
      </c>
      <c r="J61" s="24">
        <f>SUMIFS('Saldos Iniciales'!$D:$D,'Saldos Iniciales'!$A:$A,"Electrama")+SUMIFS(Movimientos!$K$1:$K$1324,Movimientos!$C$1:$C$1324,"Electrama",Movimientos!$B$1:$B$1324,"&lt;="&amp;$B61)</f>
        <v>511.15999999999985</v>
      </c>
      <c r="K61" s="24">
        <f>SUMIFS('Saldos Iniciales'!$D:$D,'Saldos Iniciales'!$A:$A,"Sacred Valley Capital")+SUMIFS(Movimientos!$K$1:$K$1324,Movimientos!$C$1:$C$1324,"Sacred Valley Capital",Movimientos!$B$1:$B$1324,"&lt;="&amp;$B61)</f>
        <v>84.35</v>
      </c>
      <c r="L61" s="24">
        <f>SUMIFS('Saldos Iniciales'!$D:$D,'Saldos Iniciales'!$A:$A,"YWC Capital")+SUMIFS(Movimientos!$K$1:$K$1324,Movimientos!$C$1:$C$1324,"YWC Capital",Movimientos!$B$1:$B$1324,"&lt;="&amp;$B61)</f>
        <v>2237.77</v>
      </c>
      <c r="M61" s="24">
        <f>SUMIFS('Saldos Iniciales'!$D:$D,'Saldos Iniciales'!$A:$A,"Soweto")+SUMIFS(Movimientos!$K$1:$K$1324,Movimientos!$C$1:$C$1324,"Soweto",Movimientos!$B$1:$B$1324,"&lt;="&amp;$B61)</f>
        <v>3349.94</v>
      </c>
      <c r="N61" s="24">
        <f>SUMIFS('Saldos Iniciales'!$D:$D,'Saldos Iniciales'!$A:$A,"Green Stone Trust")+SUMIFS(Movimientos!$K$1:$K$1324,Movimientos!$C$1:$C$1324,"Green Stone Trust",Movimientos!$B$1:$B$1324,"&lt;="&amp;$B61)</f>
        <v>1968.99</v>
      </c>
      <c r="O61" s="24">
        <f>SUMIFS('Saldos Iniciales'!$D:$D,'Saldos Iniciales'!$A:$A,"EC Auto")+SUMIFS(Movimientos!$K$1:$K$1324,Movimientos!$C$1:$C$1324,"EC Auto",Movimientos!$B$1:$B$1324,"&lt;="&amp;$B61)</f>
        <v>382.69000000000005</v>
      </c>
      <c r="P61" s="24">
        <f>SUMIFS('Saldos Iniciales'!$D:$D,'Saldos Iniciales'!$A:$A,"Arbor Capital Properties")+SUMIFS(Movimientos!$K$1:$K$1324,Movimientos!$C$1:$C$1324,"Arbor Capital Properties",Movimientos!$B$1:$B$1324,"&lt;="&amp;$B61)</f>
        <v>1428.08</v>
      </c>
      <c r="Q61" s="24">
        <f>SUMIFS('Saldos Iniciales'!$D:$D,'Saldos Iniciales'!$A:$A,"2515 Overbrook")+SUMIFS(Movimientos!$K$1:$K$1324,Movimientos!$C$1:$C$1324,"2515 Overbrook",Movimientos!$B$1:$B$1324,"&lt;="&amp;$B61)</f>
        <v>31039.969999999961</v>
      </c>
      <c r="R61" s="24">
        <f>SUMIFS('Saldos Iniciales'!$D:$D,'Saldos Iniciales'!$A:$A,"112 Florida Ave")+SUMIFS(Movimientos!$K$1:$K$1324,Movimientos!$C$1:$C$1324,"112 Florida Ave",Movimientos!$B$1:$B$1324,"&lt;="&amp;$B61)</f>
        <v>20321.43</v>
      </c>
      <c r="S61" s="24">
        <f>SUMIFS('Saldos Iniciales'!$D:$D,'Saldos Iniciales'!$A:$A,"3628 Thomas Ave")+SUMIFS(Movimientos!$K$1:$K$1324,Movimientos!$C$1:$C$1324,"3628 Thomas Ave",Movimientos!$B$1:$B$1324,"&lt;="&amp;$B61)</f>
        <v>28458.6</v>
      </c>
      <c r="T61" s="24">
        <f>SUMIFS('Saldos Iniciales'!$D:$D,'Saldos Iniciales'!$A:$A,"Green Harbor Trust")+SUMIFS(Movimientos!$K$1:$K$1324,Movimientos!$C$1:$C$1324,"Green Harbor Trust",Movimientos!$B$1:$B$1324,"&lt;="&amp;$B61)</f>
        <v>345</v>
      </c>
      <c r="U61" s="24">
        <f>SUMIFS('Saldos Iniciales'!$D:$D,'Saldos Iniciales'!$A:$A,"Go Blue")+SUMIFS(Movimientos!$K$1:$K$1324,Movimientos!$C$1:$C$1324,"Go Blue",Movimientos!$B$1:$B$1324,"&lt;="&amp;$B61)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Aparments",Movimientos!$B$1:$B$1324,"&lt;="&amp;$B61))</f>
        <v>0</v>
      </c>
      <c r="AD61" s="24">
        <f>IF(YEAR($B61)*100+MONTH($B61)&lt;--SUBSTITUTE(_xlfn.XLOOKUP("Don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Life",Movimientos!$B$1:$B$1324,"&lt;="&amp;$B61))</f>
        <v>0</v>
      </c>
      <c r="AE61" s="25">
        <f t="shared" si="1"/>
        <v>9469047.5700000003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Group")+SUMIFS(Movimientos!$K$1:$K$1324,Movimientos!$C$1:$C$1324,"CFT Group",Movimientos!$B$1:$B$1324,"&lt;="&amp;$B62)</f>
        <v>6295585.7500000009</v>
      </c>
      <c r="D62" s="24">
        <f>SUMIFS('Saldos Iniciales'!$D:$D,'Saldos Iniciales'!$A:$A,"M1B")+SUMIFS(Movimientos!$K$1:$K$1324,Movimientos!$C$1:$C$1324,"M1B",Movimientos!$B$1:$B$1324,"&lt;="&amp;$B62)</f>
        <v>79139.680000000168</v>
      </c>
      <c r="E62" s="24">
        <f>SUMIFS('Saldos Iniciales'!$D:$D,'Saldos Iniciales'!$A:$A,"Durand")+SUMIFS(Movimientos!$K$1:$K$1324,Movimientos!$C$1:$C$1324,"Durand",Movimientos!$B$1:$B$1324,"&lt;="&amp;$B62)</f>
        <v>1669.89</v>
      </c>
      <c r="F62" s="24">
        <f>SUMIFS('Saldos Iniciales'!$D:$D,'Saldos Iniciales'!$A:$A,"A&amp;M Imports")+SUMIFS(Movimientos!$K$1:$K$1324,Movimientos!$C$1:$C$1324,"A&amp;M Imports",Movimientos!$B$1:$B$1324,"&lt;="&amp;$B62)</f>
        <v>489745.62999999989</v>
      </c>
      <c r="G62" s="24">
        <f>SUMIFS('Saldos Iniciales'!$D:$D,'Saldos Iniciales'!$A:$A,"SSP Capital")+SUMIFS(Movimientos!$K$1:$K$1324,Movimientos!$C$1:$C$1324,"SSP Capital",Movimientos!$B$1:$B$1324,"&lt;="&amp;$B62)</f>
        <v>1696284.7299999995</v>
      </c>
      <c r="H62" s="24">
        <f>SUMIFS('Saldos Iniciales'!$D:$D,'Saldos Iniciales'!$A:$A,"Cross Family Trust")+SUMIFS(Movimientos!$K$1:$K$1324,Movimientos!$C$1:$C$1324,"Cross Family Trust",Movimientos!$B$1:$B$1324,"&lt;="&amp;$B62)</f>
        <v>390496.38</v>
      </c>
      <c r="I62" s="24">
        <f>SUMIFS('Saldos Iniciales'!$D:$D,'Saldos Iniciales'!$A:$A,"Cross Security Trust")+SUMIFS(Movimientos!$K$1:$K$1324,Movimientos!$C$1:$C$1324,"Cross Security Trust",Movimientos!$B$1:$B$1324,"&lt;="&amp;$B62)</f>
        <v>267503.99000000005</v>
      </c>
      <c r="J62" s="24">
        <f>SUMIFS('Saldos Iniciales'!$D:$D,'Saldos Iniciales'!$A:$A,"Electrama")+SUMIFS(Movimientos!$K$1:$K$1324,Movimientos!$C$1:$C$1324,"Electrama",Movimientos!$B$1:$B$1324,"&lt;="&amp;$B62)</f>
        <v>511.15999999999985</v>
      </c>
      <c r="K62" s="24">
        <f>SUMIFS('Saldos Iniciales'!$D:$D,'Saldos Iniciales'!$A:$A,"Sacred Valley Capital")+SUMIFS(Movimientos!$K$1:$K$1324,Movimientos!$C$1:$C$1324,"Sacred Valley Capital",Movimientos!$B$1:$B$1324,"&lt;="&amp;$B62)</f>
        <v>84.35</v>
      </c>
      <c r="L62" s="24">
        <f>SUMIFS('Saldos Iniciales'!$D:$D,'Saldos Iniciales'!$A:$A,"YWC Capital")+SUMIFS(Movimientos!$K$1:$K$1324,Movimientos!$C$1:$C$1324,"YWC Capital",Movimientos!$B$1:$B$1324,"&lt;="&amp;$B62)</f>
        <v>2237.77</v>
      </c>
      <c r="M62" s="24">
        <f>SUMIFS('Saldos Iniciales'!$D:$D,'Saldos Iniciales'!$A:$A,"Soweto")+SUMIFS(Movimientos!$K$1:$K$1324,Movimientos!$C$1:$C$1324,"Soweto",Movimientos!$B$1:$B$1324,"&lt;="&amp;$B62)</f>
        <v>3349.94</v>
      </c>
      <c r="N62" s="24">
        <f>SUMIFS('Saldos Iniciales'!$D:$D,'Saldos Iniciales'!$A:$A,"Green Stone Trust")+SUMIFS(Movimientos!$K$1:$K$1324,Movimientos!$C$1:$C$1324,"Green Stone Trust",Movimientos!$B$1:$B$1324,"&lt;="&amp;$B62)</f>
        <v>1968.99</v>
      </c>
      <c r="O62" s="24">
        <f>SUMIFS('Saldos Iniciales'!$D:$D,'Saldos Iniciales'!$A:$A,"EC Auto")+SUMIFS(Movimientos!$K$1:$K$1324,Movimientos!$C$1:$C$1324,"EC Auto",Movimientos!$B$1:$B$1324,"&lt;="&amp;$B62)</f>
        <v>382.69000000000005</v>
      </c>
      <c r="P62" s="24">
        <f>SUMIFS('Saldos Iniciales'!$D:$D,'Saldos Iniciales'!$A:$A,"Arbor Capital Properties")+SUMIFS(Movimientos!$K$1:$K$1324,Movimientos!$C$1:$C$1324,"Arbor Capital Properties",Movimientos!$B$1:$B$1324,"&lt;="&amp;$B62)</f>
        <v>1428.08</v>
      </c>
      <c r="Q62" s="24">
        <f>SUMIFS('Saldos Iniciales'!$D:$D,'Saldos Iniciales'!$A:$A,"2515 Overbrook")+SUMIFS(Movimientos!$K$1:$K$1324,Movimientos!$C$1:$C$1324,"2515 Overbrook",Movimientos!$B$1:$B$1324,"&lt;="&amp;$B62)</f>
        <v>31039.969999999961</v>
      </c>
      <c r="R62" s="24">
        <f>SUMIFS('Saldos Iniciales'!$D:$D,'Saldos Iniciales'!$A:$A,"112 Florida Ave")+SUMIFS(Movimientos!$K$1:$K$1324,Movimientos!$C$1:$C$1324,"112 Florida Ave",Movimientos!$B$1:$B$1324,"&lt;="&amp;$B62)</f>
        <v>20321.43</v>
      </c>
      <c r="S62" s="24">
        <f>SUMIFS('Saldos Iniciales'!$D:$D,'Saldos Iniciales'!$A:$A,"3628 Thomas Ave")+SUMIFS(Movimientos!$K$1:$K$1324,Movimientos!$C$1:$C$1324,"3628 Thomas Ave",Movimientos!$B$1:$B$1324,"&lt;="&amp;$B62)</f>
        <v>28458.6</v>
      </c>
      <c r="T62" s="24">
        <f>SUMIFS('Saldos Iniciales'!$D:$D,'Saldos Iniciales'!$A:$A,"Green Harbor Trust")+SUMIFS(Movimientos!$K$1:$K$1324,Movimientos!$C$1:$C$1324,"Green Harbor Trust",Movimientos!$B$1:$B$1324,"&lt;="&amp;$B62)</f>
        <v>345</v>
      </c>
      <c r="U62" s="24">
        <f>SUMIFS('Saldos Iniciales'!$D:$D,'Saldos Iniciales'!$A:$A,"Go Blue")+SUMIFS(Movimientos!$K$1:$K$1324,Movimientos!$C$1:$C$1324,"Go Blue",Movimientos!$B$1:$B$1324,"&lt;="&amp;$B62)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Aparments",Movimientos!$B$1:$B$1324,"&lt;="&amp;$B62))</f>
        <v>0</v>
      </c>
      <c r="AD62" s="24">
        <f>IF(YEAR($B62)*100+MONTH($B62)&lt;--SUBSTITUTE(_xlfn.XLOOKUP("Don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Life",Movimientos!$B$1:$B$1324,"&lt;="&amp;$B62))</f>
        <v>0</v>
      </c>
      <c r="AE62" s="25">
        <f t="shared" si="1"/>
        <v>9334426.8099999987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Group")+SUMIFS(Movimientos!$K$1:$K$1324,Movimientos!$C$1:$C$1324,"CFT Group",Movimientos!$B$1:$B$1324,"&lt;="&amp;$B63)</f>
        <v>6295585.7500000009</v>
      </c>
      <c r="D63" s="24">
        <f>SUMIFS('Saldos Iniciales'!$D:$D,'Saldos Iniciales'!$A:$A,"M1B")+SUMIFS(Movimientos!$K$1:$K$1324,Movimientos!$C$1:$C$1324,"M1B",Movimientos!$B$1:$B$1324,"&lt;="&amp;$B63)</f>
        <v>79139.680000000168</v>
      </c>
      <c r="E63" s="24">
        <f>SUMIFS('Saldos Iniciales'!$D:$D,'Saldos Iniciales'!$A:$A,"Durand")+SUMIFS(Movimientos!$K$1:$K$1324,Movimientos!$C$1:$C$1324,"Durand",Movimientos!$B$1:$B$1324,"&lt;="&amp;$B63)</f>
        <v>1669.89</v>
      </c>
      <c r="F63" s="24">
        <f>SUMIFS('Saldos Iniciales'!$D:$D,'Saldos Iniciales'!$A:$A,"A&amp;M Imports")+SUMIFS(Movimientos!$K$1:$K$1324,Movimientos!$C$1:$C$1324,"A&amp;M Imports",Movimientos!$B$1:$B$1324,"&lt;="&amp;$B63)</f>
        <v>507936.37999999989</v>
      </c>
      <c r="G63" s="24">
        <f>SUMIFS('Saldos Iniciales'!$D:$D,'Saldos Iniciales'!$A:$A,"SSP Capital")+SUMIFS(Movimientos!$K$1:$K$1324,Movimientos!$C$1:$C$1324,"SSP Capital",Movimientos!$B$1:$B$1324,"&lt;="&amp;$B63)</f>
        <v>1696284.7299999995</v>
      </c>
      <c r="H63" s="24">
        <f>SUMIFS('Saldos Iniciales'!$D:$D,'Saldos Iniciales'!$A:$A,"Cross Family Trust")+SUMIFS(Movimientos!$K$1:$K$1324,Movimientos!$C$1:$C$1324,"Cross Family Trust",Movimientos!$B$1:$B$1324,"&lt;="&amp;$B63)</f>
        <v>390496.38</v>
      </c>
      <c r="I63" s="24">
        <f>SUMIFS('Saldos Iniciales'!$D:$D,'Saldos Iniciales'!$A:$A,"Cross Security Trust")+SUMIFS(Movimientos!$K$1:$K$1324,Movimientos!$C$1:$C$1324,"Cross Security Trust",Movimientos!$B$1:$B$1324,"&lt;="&amp;$B63)</f>
        <v>267503.99000000005</v>
      </c>
      <c r="J63" s="24">
        <f>SUMIFS('Saldos Iniciales'!$D:$D,'Saldos Iniciales'!$A:$A,"Electrama")+SUMIFS(Movimientos!$K$1:$K$1324,Movimientos!$C$1:$C$1324,"Electrama",Movimientos!$B$1:$B$1324,"&lt;="&amp;$B63)</f>
        <v>511.15999999999985</v>
      </c>
      <c r="K63" s="24">
        <f>SUMIFS('Saldos Iniciales'!$D:$D,'Saldos Iniciales'!$A:$A,"Sacred Valley Capital")+SUMIFS(Movimientos!$K$1:$K$1324,Movimientos!$C$1:$C$1324,"Sacred Valley Capital",Movimientos!$B$1:$B$1324,"&lt;="&amp;$B63)</f>
        <v>54.400000000000006</v>
      </c>
      <c r="L63" s="24">
        <f>SUMIFS('Saldos Iniciales'!$D:$D,'Saldos Iniciales'!$A:$A,"YWC Capital")+SUMIFS(Movimientos!$K$1:$K$1324,Movimientos!$C$1:$C$1324,"YWC Capital",Movimientos!$B$1:$B$1324,"&lt;="&amp;$B63)</f>
        <v>2207.8200000000002</v>
      </c>
      <c r="M63" s="24">
        <f>SUMIFS('Saldos Iniciales'!$D:$D,'Saldos Iniciales'!$A:$A,"Soweto")+SUMIFS(Movimientos!$K$1:$K$1324,Movimientos!$C$1:$C$1324,"Soweto",Movimientos!$B$1:$B$1324,"&lt;="&amp;$B63)</f>
        <v>3349.94</v>
      </c>
      <c r="N63" s="24">
        <f>SUMIFS('Saldos Iniciales'!$D:$D,'Saldos Iniciales'!$A:$A,"Green Stone Trust")+SUMIFS(Movimientos!$K$1:$K$1324,Movimientos!$C$1:$C$1324,"Green Stone Trust",Movimientos!$B$1:$B$1324,"&lt;="&amp;$B63)</f>
        <v>1968.99</v>
      </c>
      <c r="O63" s="24">
        <f>SUMIFS('Saldos Iniciales'!$D:$D,'Saldos Iniciales'!$A:$A,"EC Auto")+SUMIFS(Movimientos!$K$1:$K$1324,Movimientos!$C$1:$C$1324,"EC Auto",Movimientos!$B$1:$B$1324,"&lt;="&amp;$B63)</f>
        <v>382.69000000000005</v>
      </c>
      <c r="P63" s="24">
        <f>SUMIFS('Saldos Iniciales'!$D:$D,'Saldos Iniciales'!$A:$A,"Arbor Capital Properties")+SUMIFS(Movimientos!$K$1:$K$1324,Movimientos!$C$1:$C$1324,"Arbor Capital Properties",Movimientos!$B$1:$B$1324,"&lt;="&amp;$B63)</f>
        <v>1412.08</v>
      </c>
      <c r="Q63" s="24">
        <f>SUMIFS('Saldos Iniciales'!$D:$D,'Saldos Iniciales'!$A:$A,"2515 Overbrook")+SUMIFS(Movimientos!$K$1:$K$1324,Movimientos!$C$1:$C$1324,"2515 Overbrook",Movimientos!$B$1:$B$1324,"&lt;="&amp;$B63)</f>
        <v>22496.639999999959</v>
      </c>
      <c r="R63" s="24">
        <f>SUMIFS('Saldos Iniciales'!$D:$D,'Saldos Iniciales'!$A:$A,"112 Florida Ave")+SUMIFS(Movimientos!$K$1:$K$1324,Movimientos!$C$1:$C$1324,"112 Florida Ave",Movimientos!$B$1:$B$1324,"&lt;="&amp;$B63)</f>
        <v>10522.800000000003</v>
      </c>
      <c r="S63" s="24">
        <f>SUMIFS('Saldos Iniciales'!$D:$D,'Saldos Iniciales'!$A:$A,"3628 Thomas Ave")+SUMIFS(Movimientos!$K$1:$K$1324,Movimientos!$C$1:$C$1324,"3628 Thomas Ave",Movimientos!$B$1:$B$1324,"&lt;="&amp;$B63)</f>
        <v>19685.559999999998</v>
      </c>
      <c r="T63" s="24">
        <f>SUMIFS('Saldos Iniciales'!$D:$D,'Saldos Iniciales'!$A:$A,"Green Harbor Trust")+SUMIFS(Movimientos!$K$1:$K$1324,Movimientos!$C$1:$C$1324,"Green Harbor Trust",Movimientos!$B$1:$B$1324,"&lt;="&amp;$B63)</f>
        <v>345</v>
      </c>
      <c r="U63" s="24">
        <f>SUMIFS('Saldos Iniciales'!$D:$D,'Saldos Iniciales'!$A:$A,"Go Blue")+SUMIFS(Movimientos!$K$1:$K$1324,Movimientos!$C$1:$C$1324,"Go Blue",Movimientos!$B$1:$B$1324,"&lt;="&amp;$B63)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Aparments",Movimientos!$B$1:$B$1324,"&lt;="&amp;$B63))</f>
        <v>0</v>
      </c>
      <c r="AD63" s="24">
        <f>IF(YEAR($B63)*100+MONTH($B63)&lt;--SUBSTITUTE(_xlfn.XLOOKUP("Don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Life",Movimientos!$B$1:$B$1324,"&lt;="&amp;$B63))</f>
        <v>0</v>
      </c>
      <c r="AE63" s="25">
        <f t="shared" si="1"/>
        <v>9324993.160000002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Group")+SUMIFS(Movimientos!$K$1:$K$1324,Movimientos!$C$1:$C$1324,"CFT Group",Movimientos!$B$1:$B$1324,"&lt;="&amp;$B64)</f>
        <v>5592585.7500000009</v>
      </c>
      <c r="D64" s="24">
        <f>SUMIFS('Saldos Iniciales'!$D:$D,'Saldos Iniciales'!$A:$A,"M1B")+SUMIFS(Movimientos!$K$1:$K$1324,Movimientos!$C$1:$C$1324,"M1B",Movimientos!$B$1:$B$1324,"&lt;="&amp;$B64)</f>
        <v>79139.680000000168</v>
      </c>
      <c r="E64" s="24">
        <f>SUMIFS('Saldos Iniciales'!$D:$D,'Saldos Iniciales'!$A:$A,"Durand")+SUMIFS(Movimientos!$K$1:$K$1324,Movimientos!$C$1:$C$1324,"Durand",Movimientos!$B$1:$B$1324,"&lt;="&amp;$B64)</f>
        <v>1669.89</v>
      </c>
      <c r="F64" s="24">
        <f>SUMIFS('Saldos Iniciales'!$D:$D,'Saldos Iniciales'!$A:$A,"A&amp;M Imports")+SUMIFS(Movimientos!$K$1:$K$1324,Movimientos!$C$1:$C$1324,"A&amp;M Imports",Movimientos!$B$1:$B$1324,"&lt;="&amp;$B64)</f>
        <v>350475.62999999989</v>
      </c>
      <c r="G64" s="24">
        <f>SUMIFS('Saldos Iniciales'!$D:$D,'Saldos Iniciales'!$A:$A,"SSP Capital")+SUMIFS(Movimientos!$K$1:$K$1324,Movimientos!$C$1:$C$1324,"SSP Capital",Movimientos!$B$1:$B$1324,"&lt;="&amp;$B64)</f>
        <v>1761564.8799999994</v>
      </c>
      <c r="H64" s="24">
        <f>SUMIFS('Saldos Iniciales'!$D:$D,'Saldos Iniciales'!$A:$A,"Cross Family Trust")+SUMIFS(Movimientos!$K$1:$K$1324,Movimientos!$C$1:$C$1324,"Cross Family Trust",Movimientos!$B$1:$B$1324,"&lt;="&amp;$B64)</f>
        <v>220496.38</v>
      </c>
      <c r="I64" s="24">
        <f>SUMIFS('Saldos Iniciales'!$D:$D,'Saldos Iniciales'!$A:$A,"Cross Security Trust")+SUMIFS(Movimientos!$K$1:$K$1324,Movimientos!$C$1:$C$1324,"Cross Security Trust",Movimientos!$B$1:$B$1324,"&lt;="&amp;$B64)</f>
        <v>267503.99000000005</v>
      </c>
      <c r="J64" s="24">
        <f>SUMIFS('Saldos Iniciales'!$D:$D,'Saldos Iniciales'!$A:$A,"Electrama")+SUMIFS(Movimientos!$K$1:$K$1324,Movimientos!$C$1:$C$1324,"Electrama",Movimientos!$B$1:$B$1324,"&lt;="&amp;$B64)</f>
        <v>511.15999999999985</v>
      </c>
      <c r="K64" s="24">
        <f>SUMIFS('Saldos Iniciales'!$D:$D,'Saldos Iniciales'!$A:$A,"Sacred Valley Capital")+SUMIFS(Movimientos!$K$1:$K$1324,Movimientos!$C$1:$C$1324,"Sacred Valley Capital",Movimientos!$B$1:$B$1324,"&lt;="&amp;$B64)</f>
        <v>54.400000000000006</v>
      </c>
      <c r="L64" s="24">
        <f>SUMIFS('Saldos Iniciales'!$D:$D,'Saldos Iniciales'!$A:$A,"YWC Capital")+SUMIFS(Movimientos!$K$1:$K$1324,Movimientos!$C$1:$C$1324,"YWC Capital",Movimientos!$B$1:$B$1324,"&lt;="&amp;$B64)</f>
        <v>2207.8200000000002</v>
      </c>
      <c r="M64" s="24">
        <f>SUMIFS('Saldos Iniciales'!$D:$D,'Saldos Iniciales'!$A:$A,"Soweto")+SUMIFS(Movimientos!$K$1:$K$1324,Movimientos!$C$1:$C$1324,"Soweto",Movimientos!$B$1:$B$1324,"&lt;="&amp;$B64)</f>
        <v>3349.94</v>
      </c>
      <c r="N64" s="24">
        <f>SUMIFS('Saldos Iniciales'!$D:$D,'Saldos Iniciales'!$A:$A,"Green Stone Trust")+SUMIFS(Movimientos!$K$1:$K$1324,Movimientos!$C$1:$C$1324,"Green Stone Trust",Movimientos!$B$1:$B$1324,"&lt;="&amp;$B64)</f>
        <v>1968.99</v>
      </c>
      <c r="O64" s="24">
        <f>SUMIFS('Saldos Iniciales'!$D:$D,'Saldos Iniciales'!$A:$A,"EC Auto")+SUMIFS(Movimientos!$K$1:$K$1324,Movimientos!$C$1:$C$1324,"EC Auto",Movimientos!$B$1:$B$1324,"&lt;="&amp;$B64)</f>
        <v>382.69000000000005</v>
      </c>
      <c r="P64" s="24">
        <f>SUMIFS('Saldos Iniciales'!$D:$D,'Saldos Iniciales'!$A:$A,"Arbor Capital Properties")+SUMIFS(Movimientos!$K$1:$K$1324,Movimientos!$C$1:$C$1324,"Arbor Capital Properties",Movimientos!$B$1:$B$1324,"&lt;="&amp;$B64)</f>
        <v>1412.08</v>
      </c>
      <c r="Q64" s="24">
        <f>SUMIFS('Saldos Iniciales'!$D:$D,'Saldos Iniciales'!$A:$A,"2515 Overbrook")+SUMIFS(Movimientos!$K$1:$K$1324,Movimientos!$C$1:$C$1324,"2515 Overbrook",Movimientos!$B$1:$B$1324,"&lt;="&amp;$B64)</f>
        <v>22496.639999999959</v>
      </c>
      <c r="R64" s="24">
        <f>SUMIFS('Saldos Iniciales'!$D:$D,'Saldos Iniciales'!$A:$A,"112 Florida Ave")+SUMIFS(Movimientos!$K$1:$K$1324,Movimientos!$C$1:$C$1324,"112 Florida Ave",Movimientos!$B$1:$B$1324,"&lt;="&amp;$B64)</f>
        <v>10522.800000000003</v>
      </c>
      <c r="S64" s="24">
        <f>SUMIFS('Saldos Iniciales'!$D:$D,'Saldos Iniciales'!$A:$A,"3628 Thomas Ave")+SUMIFS(Movimientos!$K$1:$K$1324,Movimientos!$C$1:$C$1324,"3628 Thomas Ave",Movimientos!$B$1:$B$1324,"&lt;="&amp;$B64)</f>
        <v>28485.559999999998</v>
      </c>
      <c r="T64" s="24">
        <f>SUMIFS('Saldos Iniciales'!$D:$D,'Saldos Iniciales'!$A:$A,"Green Harbor Trust")+SUMIFS(Movimientos!$K$1:$K$1324,Movimientos!$C$1:$C$1324,"Green Harbor Trust",Movimientos!$B$1:$B$1324,"&lt;="&amp;$B64)</f>
        <v>345</v>
      </c>
      <c r="U64" s="24">
        <f>SUMIFS('Saldos Iniciales'!$D:$D,'Saldos Iniciales'!$A:$A,"Go Blue")+SUMIFS(Movimientos!$K$1:$K$1324,Movimientos!$C$1:$C$1324,"Go Blue",Movimientos!$B$1:$B$1324,"&lt;="&amp;$B64)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Aparments",Movimientos!$B$1:$B$1324,"&lt;="&amp;$B64))</f>
        <v>0</v>
      </c>
      <c r="AD64" s="24">
        <f>IF(YEAR($B64)*100+MONTH($B64)&lt;--SUBSTITUTE(_xlfn.XLOOKUP("Don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Life",Movimientos!$B$1:$B$1324,"&lt;="&amp;$B64))</f>
        <v>0</v>
      </c>
      <c r="AE64" s="25">
        <f t="shared" si="1"/>
        <v>8381414.5000000009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Group")+SUMIFS(Movimientos!$K$1:$K$1324,Movimientos!$C$1:$C$1324,"CFT Group",Movimientos!$B$1:$B$1324,"&lt;="&amp;$B65)</f>
        <v>5592585.7500000009</v>
      </c>
      <c r="D65" s="24">
        <f>SUMIFS('Saldos Iniciales'!$D:$D,'Saldos Iniciales'!$A:$A,"M1B")+SUMIFS(Movimientos!$K$1:$K$1324,Movimientos!$C$1:$C$1324,"M1B",Movimientos!$B$1:$B$1324,"&lt;="&amp;$B65)</f>
        <v>79139.680000000168</v>
      </c>
      <c r="E65" s="24">
        <f>SUMIFS('Saldos Iniciales'!$D:$D,'Saldos Iniciales'!$A:$A,"Durand")+SUMIFS(Movimientos!$K$1:$K$1324,Movimientos!$C$1:$C$1324,"Durand",Movimientos!$B$1:$B$1324,"&lt;="&amp;$B65)</f>
        <v>1669.89</v>
      </c>
      <c r="F65" s="24">
        <f>SUMIFS('Saldos Iniciales'!$D:$D,'Saldos Iniciales'!$A:$A,"A&amp;M Imports")+SUMIFS(Movimientos!$K$1:$K$1324,Movimientos!$C$1:$C$1324,"A&amp;M Imports",Movimientos!$B$1:$B$1324,"&lt;="&amp;$B65)</f>
        <v>350475.62999999989</v>
      </c>
      <c r="G65" s="24">
        <f>SUMIFS('Saldos Iniciales'!$D:$D,'Saldos Iniciales'!$A:$A,"SSP Capital")+SUMIFS(Movimientos!$K$1:$K$1324,Movimientos!$C$1:$C$1324,"SSP Capital",Movimientos!$B$1:$B$1324,"&lt;="&amp;$B65)</f>
        <v>1761564.8799999994</v>
      </c>
      <c r="H65" s="24">
        <f>SUMIFS('Saldos Iniciales'!$D:$D,'Saldos Iniciales'!$A:$A,"Cross Family Trust")+SUMIFS(Movimientos!$K$1:$K$1324,Movimientos!$C$1:$C$1324,"Cross Family Trust",Movimientos!$B$1:$B$1324,"&lt;="&amp;$B65)</f>
        <v>220496.38</v>
      </c>
      <c r="I65" s="24">
        <f>SUMIFS('Saldos Iniciales'!$D:$D,'Saldos Iniciales'!$A:$A,"Cross Security Trust")+SUMIFS(Movimientos!$K$1:$K$1324,Movimientos!$C$1:$C$1324,"Cross Security Trust",Movimientos!$B$1:$B$1324,"&lt;="&amp;$B65)</f>
        <v>267503.99000000005</v>
      </c>
      <c r="J65" s="24">
        <f>SUMIFS('Saldos Iniciales'!$D:$D,'Saldos Iniciales'!$A:$A,"Electrama")+SUMIFS(Movimientos!$K$1:$K$1324,Movimientos!$C$1:$C$1324,"Electrama",Movimientos!$B$1:$B$1324,"&lt;="&amp;$B65)</f>
        <v>471.15999999999985</v>
      </c>
      <c r="K65" s="24">
        <f>SUMIFS('Saldos Iniciales'!$D:$D,'Saldos Iniciales'!$A:$A,"Sacred Valley Capital")+SUMIFS(Movimientos!$K$1:$K$1324,Movimientos!$C$1:$C$1324,"Sacred Valley Capital",Movimientos!$B$1:$B$1324,"&lt;="&amp;$B65)</f>
        <v>54.400000000000006</v>
      </c>
      <c r="L65" s="24">
        <f>SUMIFS('Saldos Iniciales'!$D:$D,'Saldos Iniciales'!$A:$A,"YWC Capital")+SUMIFS(Movimientos!$K$1:$K$1324,Movimientos!$C$1:$C$1324,"YWC Capital",Movimientos!$B$1:$B$1324,"&lt;="&amp;$B65)</f>
        <v>2207.8200000000002</v>
      </c>
      <c r="M65" s="24">
        <f>SUMIFS('Saldos Iniciales'!$D:$D,'Saldos Iniciales'!$A:$A,"Soweto")+SUMIFS(Movimientos!$K$1:$K$1324,Movimientos!$C$1:$C$1324,"Soweto",Movimientos!$B$1:$B$1324,"&lt;="&amp;$B65)</f>
        <v>3349.94</v>
      </c>
      <c r="N65" s="24">
        <f>SUMIFS('Saldos Iniciales'!$D:$D,'Saldos Iniciales'!$A:$A,"Green Stone Trust")+SUMIFS(Movimientos!$K$1:$K$1324,Movimientos!$C$1:$C$1324,"Green Stone Trust",Movimientos!$B$1:$B$1324,"&lt;="&amp;$B65)</f>
        <v>1968.99</v>
      </c>
      <c r="O65" s="24">
        <f>SUMIFS('Saldos Iniciales'!$D:$D,'Saldos Iniciales'!$A:$A,"EC Auto")+SUMIFS(Movimientos!$K$1:$K$1324,Movimientos!$C$1:$C$1324,"EC Auto",Movimientos!$B$1:$B$1324,"&lt;="&amp;$B65)</f>
        <v>382.69000000000005</v>
      </c>
      <c r="P65" s="24">
        <f>SUMIFS('Saldos Iniciales'!$D:$D,'Saldos Iniciales'!$A:$A,"Arbor Capital Properties")+SUMIFS(Movimientos!$K$1:$K$1324,Movimientos!$C$1:$C$1324,"Arbor Capital Properties",Movimientos!$B$1:$B$1324,"&lt;="&amp;$B65)</f>
        <v>1412.08</v>
      </c>
      <c r="Q65" s="24">
        <f>SUMIFS('Saldos Iniciales'!$D:$D,'Saldos Iniciales'!$A:$A,"2515 Overbrook")+SUMIFS(Movimientos!$K$1:$K$1324,Movimientos!$C$1:$C$1324,"2515 Overbrook",Movimientos!$B$1:$B$1324,"&lt;="&amp;$B65)</f>
        <v>22496.639999999959</v>
      </c>
      <c r="R65" s="24">
        <f>SUMIFS('Saldos Iniciales'!$D:$D,'Saldos Iniciales'!$A:$A,"112 Florida Ave")+SUMIFS(Movimientos!$K$1:$K$1324,Movimientos!$C$1:$C$1324,"112 Florida Ave",Movimientos!$B$1:$B$1324,"&lt;="&amp;$B65)</f>
        <v>10522.800000000003</v>
      </c>
      <c r="S65" s="24">
        <f>SUMIFS('Saldos Iniciales'!$D:$D,'Saldos Iniciales'!$A:$A,"3628 Thomas Ave")+SUMIFS(Movimientos!$K$1:$K$1324,Movimientos!$C$1:$C$1324,"3628 Thomas Ave",Movimientos!$B$1:$B$1324,"&lt;="&amp;$B65)</f>
        <v>28485.559999999998</v>
      </c>
      <c r="T65" s="24">
        <f>SUMIFS('Saldos Iniciales'!$D:$D,'Saldos Iniciales'!$A:$A,"Green Harbor Trust")+SUMIFS(Movimientos!$K$1:$K$1324,Movimientos!$C$1:$C$1324,"Green Harbor Trust",Movimientos!$B$1:$B$1324,"&lt;="&amp;$B65)</f>
        <v>345</v>
      </c>
      <c r="U65" s="24">
        <f>SUMIFS('Saldos Iniciales'!$D:$D,'Saldos Iniciales'!$A:$A,"Go Blue")+SUMIFS(Movimientos!$K$1:$K$1324,Movimientos!$C$1:$C$1324,"Go Blue",Movimientos!$B$1:$B$1324,"&lt;="&amp;$B65)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Aparments",Movimientos!$B$1:$B$1324,"&lt;="&amp;$B65))</f>
        <v>0</v>
      </c>
      <c r="AD65" s="24">
        <f>IF(YEAR($B65)*100+MONTH($B65)&lt;--SUBSTITUTE(_xlfn.XLOOKUP("Don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Life",Movimientos!$B$1:$B$1324,"&lt;="&amp;$B65))</f>
        <v>0</v>
      </c>
      <c r="AE65" s="25">
        <f t="shared" ref="AE65:AE96" si="3">SUM(C65:AD65)</f>
        <v>8378252.3200000012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Group")+SUMIFS(Movimientos!$K$1:$K$1324,Movimientos!$C$1:$C$1324,"CFT Group",Movimientos!$B$1:$B$1324,"&lt;="&amp;$B66)</f>
        <v>5592585.7500000009</v>
      </c>
      <c r="D66" s="24">
        <f>SUMIFS('Saldos Iniciales'!$D:$D,'Saldos Iniciales'!$A:$A,"M1B")+SUMIFS(Movimientos!$K$1:$K$1324,Movimientos!$C$1:$C$1324,"M1B",Movimientos!$B$1:$B$1324,"&lt;="&amp;$B66)</f>
        <v>79139.680000000168</v>
      </c>
      <c r="E66" s="24">
        <f>SUMIFS('Saldos Iniciales'!$D:$D,'Saldos Iniciales'!$A:$A,"Durand")+SUMIFS(Movimientos!$K$1:$K$1324,Movimientos!$C$1:$C$1324,"Durand",Movimientos!$B$1:$B$1324,"&lt;="&amp;$B66)</f>
        <v>1669.89</v>
      </c>
      <c r="F66" s="24">
        <f>SUMIFS('Saldos Iniciales'!$D:$D,'Saldos Iniciales'!$A:$A,"A&amp;M Imports")+SUMIFS(Movimientos!$K$1:$K$1324,Movimientos!$C$1:$C$1324,"A&amp;M Imports",Movimientos!$B$1:$B$1324,"&lt;="&amp;$B66)</f>
        <v>350475.62999999989</v>
      </c>
      <c r="G66" s="24">
        <f>SUMIFS('Saldos Iniciales'!$D:$D,'Saldos Iniciales'!$A:$A,"SSP Capital")+SUMIFS(Movimientos!$K$1:$K$1324,Movimientos!$C$1:$C$1324,"SSP Capital",Movimientos!$B$1:$B$1324,"&lt;="&amp;$B66)</f>
        <v>1761564.8799999994</v>
      </c>
      <c r="H66" s="24">
        <f>SUMIFS('Saldos Iniciales'!$D:$D,'Saldos Iniciales'!$A:$A,"Cross Family Trust")+SUMIFS(Movimientos!$K$1:$K$1324,Movimientos!$C$1:$C$1324,"Cross Family Trust",Movimientos!$B$1:$B$1324,"&lt;="&amp;$B66)</f>
        <v>220496.38</v>
      </c>
      <c r="I66" s="24">
        <f>SUMIFS('Saldos Iniciales'!$D:$D,'Saldos Iniciales'!$A:$A,"Cross Security Trust")+SUMIFS(Movimientos!$K$1:$K$1324,Movimientos!$C$1:$C$1324,"Cross Security Trust",Movimientos!$B$1:$B$1324,"&lt;="&amp;$B66)</f>
        <v>267503.99000000005</v>
      </c>
      <c r="J66" s="24">
        <f>SUMIFS('Saldos Iniciales'!$D:$D,'Saldos Iniciales'!$A:$A,"Electrama")+SUMIFS(Movimientos!$K$1:$K$1324,Movimientos!$C$1:$C$1324,"Electrama",Movimientos!$B$1:$B$1324,"&lt;="&amp;$B66)</f>
        <v>471.15999999999985</v>
      </c>
      <c r="K66" s="24">
        <f>SUMIFS('Saldos Iniciales'!$D:$D,'Saldos Iniciales'!$A:$A,"Sacred Valley Capital")+SUMIFS(Movimientos!$K$1:$K$1324,Movimientos!$C$1:$C$1324,"Sacred Valley Capital",Movimientos!$B$1:$B$1324,"&lt;="&amp;$B66)</f>
        <v>54.400000000000006</v>
      </c>
      <c r="L66" s="24">
        <f>SUMIFS('Saldos Iniciales'!$D:$D,'Saldos Iniciales'!$A:$A,"YWC Capital")+SUMIFS(Movimientos!$K$1:$K$1324,Movimientos!$C$1:$C$1324,"YWC Capital",Movimientos!$B$1:$B$1324,"&lt;="&amp;$B66)</f>
        <v>2207.8200000000002</v>
      </c>
      <c r="M66" s="24">
        <f>SUMIFS('Saldos Iniciales'!$D:$D,'Saldos Iniciales'!$A:$A,"Soweto")+SUMIFS(Movimientos!$K$1:$K$1324,Movimientos!$C$1:$C$1324,"Soweto",Movimientos!$B$1:$B$1324,"&lt;="&amp;$B66)</f>
        <v>3349.94</v>
      </c>
      <c r="N66" s="24">
        <f>SUMIFS('Saldos Iniciales'!$D:$D,'Saldos Iniciales'!$A:$A,"Green Stone Trust")+SUMIFS(Movimientos!$K$1:$K$1324,Movimientos!$C$1:$C$1324,"Green Stone Trust",Movimientos!$B$1:$B$1324,"&lt;="&amp;$B66)</f>
        <v>1968.99</v>
      </c>
      <c r="O66" s="24">
        <f>SUMIFS('Saldos Iniciales'!$D:$D,'Saldos Iniciales'!$A:$A,"EC Auto")+SUMIFS(Movimientos!$K$1:$K$1324,Movimientos!$C$1:$C$1324,"EC Auto",Movimientos!$B$1:$B$1324,"&lt;="&amp;$B66)</f>
        <v>382.69000000000005</v>
      </c>
      <c r="P66" s="24">
        <f>SUMIFS('Saldos Iniciales'!$D:$D,'Saldos Iniciales'!$A:$A,"Arbor Capital Properties")+SUMIFS(Movimientos!$K$1:$K$1324,Movimientos!$C$1:$C$1324,"Arbor Capital Properties",Movimientos!$B$1:$B$1324,"&lt;="&amp;$B66)</f>
        <v>1412.08</v>
      </c>
      <c r="Q66" s="24">
        <f>SUMIFS('Saldos Iniciales'!$D:$D,'Saldos Iniciales'!$A:$A,"2515 Overbrook")+SUMIFS(Movimientos!$K$1:$K$1324,Movimientos!$C$1:$C$1324,"2515 Overbrook",Movimientos!$B$1:$B$1324,"&lt;="&amp;$B66)</f>
        <v>22496.639999999959</v>
      </c>
      <c r="R66" s="24">
        <f>SUMIFS('Saldos Iniciales'!$D:$D,'Saldos Iniciales'!$A:$A,"112 Florida Ave")+SUMIFS(Movimientos!$K$1:$K$1324,Movimientos!$C$1:$C$1324,"112 Florida Ave",Movimientos!$B$1:$B$1324,"&lt;="&amp;$B66)</f>
        <v>10522.800000000003</v>
      </c>
      <c r="S66" s="24">
        <f>SUMIFS('Saldos Iniciales'!$D:$D,'Saldos Iniciales'!$A:$A,"3628 Thomas Ave")+SUMIFS(Movimientos!$K$1:$K$1324,Movimientos!$C$1:$C$1324,"3628 Thomas Ave",Movimientos!$B$1:$B$1324,"&lt;="&amp;$B66)</f>
        <v>28485.559999999998</v>
      </c>
      <c r="T66" s="24">
        <f>SUMIFS('Saldos Iniciales'!$D:$D,'Saldos Iniciales'!$A:$A,"Green Harbor Trust")+SUMIFS(Movimientos!$K$1:$K$1324,Movimientos!$C$1:$C$1324,"Green Harbor Trust",Movimientos!$B$1:$B$1324,"&lt;="&amp;$B66)</f>
        <v>345</v>
      </c>
      <c r="U66" s="24">
        <f>SUMIFS('Saldos Iniciales'!$D:$D,'Saldos Iniciales'!$A:$A,"Go Blue")+SUMIFS(Movimientos!$K$1:$K$1324,Movimientos!$C$1:$C$1324,"Go Blue",Movimientos!$B$1:$B$1324,"&lt;="&amp;$B66)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Aparments",Movimientos!$B$1:$B$1324,"&lt;="&amp;$B66))</f>
        <v>0</v>
      </c>
      <c r="AD66" s="24">
        <f>IF(YEAR($B66)*100+MONTH($B66)&lt;--SUBSTITUTE(_xlfn.XLOOKUP("Don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Life",Movimientos!$B$1:$B$1324,"&lt;="&amp;$B66))</f>
        <v>0</v>
      </c>
      <c r="AE66" s="25">
        <f t="shared" si="3"/>
        <v>8378252.3200000012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Group")+SUMIFS(Movimientos!$K$1:$K$1324,Movimientos!$C$1:$C$1324,"CFT Group",Movimientos!$B$1:$B$1324,"&lt;="&amp;$B67)</f>
        <v>5592585.7500000009</v>
      </c>
      <c r="D67" s="24">
        <f>SUMIFS('Saldos Iniciales'!$D:$D,'Saldos Iniciales'!$A:$A,"M1B")+SUMIFS(Movimientos!$K$1:$K$1324,Movimientos!$C$1:$C$1324,"M1B",Movimientos!$B$1:$B$1324,"&lt;="&amp;$B67)</f>
        <v>79139.680000000168</v>
      </c>
      <c r="E67" s="24">
        <f>SUMIFS('Saldos Iniciales'!$D:$D,'Saldos Iniciales'!$A:$A,"Durand")+SUMIFS(Movimientos!$K$1:$K$1324,Movimientos!$C$1:$C$1324,"Durand",Movimientos!$B$1:$B$1324,"&lt;="&amp;$B67)</f>
        <v>1669.89</v>
      </c>
      <c r="F67" s="24">
        <f>SUMIFS('Saldos Iniciales'!$D:$D,'Saldos Iniciales'!$A:$A,"A&amp;M Imports")+SUMIFS(Movimientos!$K$1:$K$1324,Movimientos!$C$1:$C$1324,"A&amp;M Imports",Movimientos!$B$1:$B$1324,"&lt;="&amp;$B67)</f>
        <v>350475.62999999989</v>
      </c>
      <c r="G67" s="24">
        <f>SUMIFS('Saldos Iniciales'!$D:$D,'Saldos Iniciales'!$A:$A,"SSP Capital")+SUMIFS(Movimientos!$K$1:$K$1324,Movimientos!$C$1:$C$1324,"SSP Capital",Movimientos!$B$1:$B$1324,"&lt;="&amp;$B67)</f>
        <v>1761564.8799999994</v>
      </c>
      <c r="H67" s="24">
        <f>SUMIFS('Saldos Iniciales'!$D:$D,'Saldos Iniciales'!$A:$A,"Cross Family Trust")+SUMIFS(Movimientos!$K$1:$K$1324,Movimientos!$C$1:$C$1324,"Cross Family Trust",Movimientos!$B$1:$B$1324,"&lt;="&amp;$B67)</f>
        <v>220496.38</v>
      </c>
      <c r="I67" s="24">
        <f>SUMIFS('Saldos Iniciales'!$D:$D,'Saldos Iniciales'!$A:$A,"Cross Security Trust")+SUMIFS(Movimientos!$K$1:$K$1324,Movimientos!$C$1:$C$1324,"Cross Security Trust",Movimientos!$B$1:$B$1324,"&lt;="&amp;$B67)</f>
        <v>267503.99000000005</v>
      </c>
      <c r="J67" s="24">
        <f>SUMIFS('Saldos Iniciales'!$D:$D,'Saldos Iniciales'!$A:$A,"Electrama")+SUMIFS(Movimientos!$K$1:$K$1324,Movimientos!$C$1:$C$1324,"Electrama",Movimientos!$B$1:$B$1324,"&lt;="&amp;$B67)</f>
        <v>471.15999999999985</v>
      </c>
      <c r="K67" s="24">
        <f>SUMIFS('Saldos Iniciales'!$D:$D,'Saldos Iniciales'!$A:$A,"Sacred Valley Capital")+SUMIFS(Movimientos!$K$1:$K$1324,Movimientos!$C$1:$C$1324,"Sacred Valley Capital",Movimientos!$B$1:$B$1324,"&lt;="&amp;$B67)</f>
        <v>54.400000000000006</v>
      </c>
      <c r="L67" s="24">
        <f>SUMIFS('Saldos Iniciales'!$D:$D,'Saldos Iniciales'!$A:$A,"YWC Capital")+SUMIFS(Movimientos!$K$1:$K$1324,Movimientos!$C$1:$C$1324,"YWC Capital",Movimientos!$B$1:$B$1324,"&lt;="&amp;$B67)</f>
        <v>2207.8200000000002</v>
      </c>
      <c r="M67" s="24">
        <f>SUMIFS('Saldos Iniciales'!$D:$D,'Saldos Iniciales'!$A:$A,"Soweto")+SUMIFS(Movimientos!$K$1:$K$1324,Movimientos!$C$1:$C$1324,"Soweto",Movimientos!$B$1:$B$1324,"&lt;="&amp;$B67)</f>
        <v>3349.94</v>
      </c>
      <c r="N67" s="24">
        <f>SUMIFS('Saldos Iniciales'!$D:$D,'Saldos Iniciales'!$A:$A,"Green Stone Trust")+SUMIFS(Movimientos!$K$1:$K$1324,Movimientos!$C$1:$C$1324,"Green Stone Trust",Movimientos!$B$1:$B$1324,"&lt;="&amp;$B67)</f>
        <v>1968.99</v>
      </c>
      <c r="O67" s="24">
        <f>SUMIFS('Saldos Iniciales'!$D:$D,'Saldos Iniciales'!$A:$A,"EC Auto")+SUMIFS(Movimientos!$K$1:$K$1324,Movimientos!$C$1:$C$1324,"EC Auto",Movimientos!$B$1:$B$1324,"&lt;="&amp;$B67)</f>
        <v>382.69000000000005</v>
      </c>
      <c r="P67" s="24">
        <f>SUMIFS('Saldos Iniciales'!$D:$D,'Saldos Iniciales'!$A:$A,"Arbor Capital Properties")+SUMIFS(Movimientos!$K$1:$K$1324,Movimientos!$C$1:$C$1324,"Arbor Capital Properties",Movimientos!$B$1:$B$1324,"&lt;="&amp;$B67)</f>
        <v>1412.08</v>
      </c>
      <c r="Q67" s="24">
        <f>SUMIFS('Saldos Iniciales'!$D:$D,'Saldos Iniciales'!$A:$A,"2515 Overbrook")+SUMIFS(Movimientos!$K$1:$K$1324,Movimientos!$C$1:$C$1324,"2515 Overbrook",Movimientos!$B$1:$B$1324,"&lt;="&amp;$B67)</f>
        <v>22496.639999999959</v>
      </c>
      <c r="R67" s="24">
        <f>SUMIFS('Saldos Iniciales'!$D:$D,'Saldos Iniciales'!$A:$A,"112 Florida Ave")+SUMIFS(Movimientos!$K$1:$K$1324,Movimientos!$C$1:$C$1324,"112 Florida Ave",Movimientos!$B$1:$B$1324,"&lt;="&amp;$B67)</f>
        <v>10522.800000000003</v>
      </c>
      <c r="S67" s="24">
        <f>SUMIFS('Saldos Iniciales'!$D:$D,'Saldos Iniciales'!$A:$A,"3628 Thomas Ave")+SUMIFS(Movimientos!$K$1:$K$1324,Movimientos!$C$1:$C$1324,"3628 Thomas Ave",Movimientos!$B$1:$B$1324,"&lt;="&amp;$B67)</f>
        <v>28485.559999999998</v>
      </c>
      <c r="T67" s="24">
        <f>SUMIFS('Saldos Iniciales'!$D:$D,'Saldos Iniciales'!$A:$A,"Green Harbor Trust")+SUMIFS(Movimientos!$K$1:$K$1324,Movimientos!$C$1:$C$1324,"Green Harbor Trust",Movimientos!$B$1:$B$1324,"&lt;="&amp;$B67)</f>
        <v>345</v>
      </c>
      <c r="U67" s="24">
        <f>SUMIFS('Saldos Iniciales'!$D:$D,'Saldos Iniciales'!$A:$A,"Go Blue")+SUMIFS(Movimientos!$K$1:$K$1324,Movimientos!$C$1:$C$1324,"Go Blue",Movimientos!$B$1:$B$1324,"&lt;="&amp;$B67)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Aparments",Movimientos!$B$1:$B$1324,"&lt;="&amp;$B67))</f>
        <v>0</v>
      </c>
      <c r="AD67" s="24">
        <f>IF(YEAR($B67)*100+MONTH($B67)&lt;--SUBSTITUTE(_xlfn.XLOOKUP("Don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Life",Movimientos!$B$1:$B$1324,"&lt;="&amp;$B67))</f>
        <v>0</v>
      </c>
      <c r="AE67" s="25">
        <f t="shared" si="3"/>
        <v>8378252.3200000012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Group")+SUMIFS(Movimientos!$K$1:$K$1324,Movimientos!$C$1:$C$1324,"CFT Group",Movimientos!$B$1:$B$1324,"&lt;="&amp;$B68)</f>
        <v>5592585.7500000009</v>
      </c>
      <c r="D68" s="24">
        <f>SUMIFS('Saldos Iniciales'!$D:$D,'Saldos Iniciales'!$A:$A,"M1B")+SUMIFS(Movimientos!$K$1:$K$1324,Movimientos!$C$1:$C$1324,"M1B",Movimientos!$B$1:$B$1324,"&lt;="&amp;$B68)</f>
        <v>79139.680000000168</v>
      </c>
      <c r="E68" s="24">
        <f>SUMIFS('Saldos Iniciales'!$D:$D,'Saldos Iniciales'!$A:$A,"Durand")+SUMIFS(Movimientos!$K$1:$K$1324,Movimientos!$C$1:$C$1324,"Durand",Movimientos!$B$1:$B$1324,"&lt;="&amp;$B68)</f>
        <v>1669.89</v>
      </c>
      <c r="F68" s="24">
        <f>SUMIFS('Saldos Iniciales'!$D:$D,'Saldos Iniciales'!$A:$A,"A&amp;M Imports")+SUMIFS(Movimientos!$K$1:$K$1324,Movimientos!$C$1:$C$1324,"A&amp;M Imports",Movimientos!$B$1:$B$1324,"&lt;="&amp;$B68)</f>
        <v>350475.62999999989</v>
      </c>
      <c r="G68" s="24">
        <f>SUMIFS('Saldos Iniciales'!$D:$D,'Saldos Iniciales'!$A:$A,"SSP Capital")+SUMIFS(Movimientos!$K$1:$K$1324,Movimientos!$C$1:$C$1324,"SSP Capital",Movimientos!$B$1:$B$1324,"&lt;="&amp;$B68)</f>
        <v>1761026.4599999995</v>
      </c>
      <c r="H68" s="24">
        <f>SUMIFS('Saldos Iniciales'!$D:$D,'Saldos Iniciales'!$A:$A,"Cross Family Trust")+SUMIFS(Movimientos!$K$1:$K$1324,Movimientos!$C$1:$C$1324,"Cross Family Trust",Movimientos!$B$1:$B$1324,"&lt;="&amp;$B68)</f>
        <v>220496.38</v>
      </c>
      <c r="I68" s="24">
        <f>SUMIFS('Saldos Iniciales'!$D:$D,'Saldos Iniciales'!$A:$A,"Cross Security Trust")+SUMIFS(Movimientos!$K$1:$K$1324,Movimientos!$C$1:$C$1324,"Cross Security Trust",Movimientos!$B$1:$B$1324,"&lt;="&amp;$B68)</f>
        <v>267503.99000000005</v>
      </c>
      <c r="J68" s="24">
        <f>SUMIFS('Saldos Iniciales'!$D:$D,'Saldos Iniciales'!$A:$A,"Electrama")+SUMIFS(Movimientos!$K$1:$K$1324,Movimientos!$C$1:$C$1324,"Electrama",Movimientos!$B$1:$B$1324,"&lt;="&amp;$B68)</f>
        <v>471.15999999999985</v>
      </c>
      <c r="K68" s="24">
        <f>SUMIFS('Saldos Iniciales'!$D:$D,'Saldos Iniciales'!$A:$A,"Sacred Valley Capital")+SUMIFS(Movimientos!$K$1:$K$1324,Movimientos!$C$1:$C$1324,"Sacred Valley Capital",Movimientos!$B$1:$B$1324,"&lt;="&amp;$B68)</f>
        <v>54.400000000000006</v>
      </c>
      <c r="L68" s="24">
        <f>SUMIFS('Saldos Iniciales'!$D:$D,'Saldos Iniciales'!$A:$A,"YWC Capital")+SUMIFS(Movimientos!$K$1:$K$1324,Movimientos!$C$1:$C$1324,"YWC Capital",Movimientos!$B$1:$B$1324,"&lt;="&amp;$B68)</f>
        <v>2207.8200000000002</v>
      </c>
      <c r="M68" s="24">
        <f>SUMIFS('Saldos Iniciales'!$D:$D,'Saldos Iniciales'!$A:$A,"Soweto")+SUMIFS(Movimientos!$K$1:$K$1324,Movimientos!$C$1:$C$1324,"Soweto",Movimientos!$B$1:$B$1324,"&lt;="&amp;$B68)</f>
        <v>3349.94</v>
      </c>
      <c r="N68" s="24">
        <f>SUMIFS('Saldos Iniciales'!$D:$D,'Saldos Iniciales'!$A:$A,"Green Stone Trust")+SUMIFS(Movimientos!$K$1:$K$1324,Movimientos!$C$1:$C$1324,"Green Stone Trust",Movimientos!$B$1:$B$1324,"&lt;="&amp;$B68)</f>
        <v>1968.99</v>
      </c>
      <c r="O68" s="24">
        <f>SUMIFS('Saldos Iniciales'!$D:$D,'Saldos Iniciales'!$A:$A,"EC Auto")+SUMIFS(Movimientos!$K$1:$K$1324,Movimientos!$C$1:$C$1324,"EC Auto",Movimientos!$B$1:$B$1324,"&lt;="&amp;$B68)</f>
        <v>382.69000000000005</v>
      </c>
      <c r="P68" s="24">
        <f>SUMIFS('Saldos Iniciales'!$D:$D,'Saldos Iniciales'!$A:$A,"Arbor Capital Properties")+SUMIFS(Movimientos!$K$1:$K$1324,Movimientos!$C$1:$C$1324,"Arbor Capital Properties",Movimientos!$B$1:$B$1324,"&lt;="&amp;$B68)</f>
        <v>1412.08</v>
      </c>
      <c r="Q68" s="24">
        <f>SUMIFS('Saldos Iniciales'!$D:$D,'Saldos Iniciales'!$A:$A,"2515 Overbrook")+SUMIFS(Movimientos!$K$1:$K$1324,Movimientos!$C$1:$C$1324,"2515 Overbrook",Movimientos!$B$1:$B$1324,"&lt;="&amp;$B68)</f>
        <v>22496.639999999959</v>
      </c>
      <c r="R68" s="24">
        <f>SUMIFS('Saldos Iniciales'!$D:$D,'Saldos Iniciales'!$A:$A,"112 Florida Ave")+SUMIFS(Movimientos!$K$1:$K$1324,Movimientos!$C$1:$C$1324,"112 Florida Ave",Movimientos!$B$1:$B$1324,"&lt;="&amp;$B68)</f>
        <v>10522.800000000003</v>
      </c>
      <c r="S68" s="24">
        <f>SUMIFS('Saldos Iniciales'!$D:$D,'Saldos Iniciales'!$A:$A,"3628 Thomas Ave")+SUMIFS(Movimientos!$K$1:$K$1324,Movimientos!$C$1:$C$1324,"3628 Thomas Ave",Movimientos!$B$1:$B$1324,"&lt;="&amp;$B68)</f>
        <v>28485.559999999998</v>
      </c>
      <c r="T68" s="24">
        <f>SUMIFS('Saldos Iniciales'!$D:$D,'Saldos Iniciales'!$A:$A,"Green Harbor Trust")+SUMIFS(Movimientos!$K$1:$K$1324,Movimientos!$C$1:$C$1324,"Green Harbor Trust",Movimientos!$B$1:$B$1324,"&lt;="&amp;$B68)</f>
        <v>345</v>
      </c>
      <c r="U68" s="24">
        <f>SUMIFS('Saldos Iniciales'!$D:$D,'Saldos Iniciales'!$A:$A,"Go Blue")+SUMIFS(Movimientos!$K$1:$K$1324,Movimientos!$C$1:$C$1324,"Go Blue",Movimientos!$B$1:$B$1324,"&lt;="&amp;$B68)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Aparments",Movimientos!$B$1:$B$1324,"&lt;="&amp;$B68))</f>
        <v>0</v>
      </c>
      <c r="AD68" s="24">
        <f>IF(YEAR($B68)*100+MONTH($B68)&lt;--SUBSTITUTE(_xlfn.XLOOKUP("Don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Life",Movimientos!$B$1:$B$1324,"&lt;="&amp;$B68))</f>
        <v>0</v>
      </c>
      <c r="AE68" s="25">
        <f t="shared" si="3"/>
        <v>8359760.2000000011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Group")+SUMIFS(Movimientos!$K$1:$K$1324,Movimientos!$C$1:$C$1324,"CFT Group",Movimientos!$B$1:$B$1324,"&lt;="&amp;$B69)</f>
        <v>5592585.7500000009</v>
      </c>
      <c r="D69" s="24">
        <f>SUMIFS('Saldos Iniciales'!$D:$D,'Saldos Iniciales'!$A:$A,"M1B")+SUMIFS(Movimientos!$K$1:$K$1324,Movimientos!$C$1:$C$1324,"M1B",Movimientos!$B$1:$B$1324,"&lt;="&amp;$B69)</f>
        <v>79139.680000000168</v>
      </c>
      <c r="E69" s="24">
        <f>SUMIFS('Saldos Iniciales'!$D:$D,'Saldos Iniciales'!$A:$A,"Durand")+SUMIFS(Movimientos!$K$1:$K$1324,Movimientos!$C$1:$C$1324,"Durand",Movimientos!$B$1:$B$1324,"&lt;="&amp;$B69)</f>
        <v>1669.89</v>
      </c>
      <c r="F69" s="24">
        <f>SUMIFS('Saldos Iniciales'!$D:$D,'Saldos Iniciales'!$A:$A,"A&amp;M Imports")+SUMIFS(Movimientos!$K$1:$K$1324,Movimientos!$C$1:$C$1324,"A&amp;M Imports",Movimientos!$B$1:$B$1324,"&lt;="&amp;$B69)</f>
        <v>350475.62999999989</v>
      </c>
      <c r="G69" s="24">
        <f>SUMIFS('Saldos Iniciales'!$D:$D,'Saldos Iniciales'!$A:$A,"SSP Capital")+SUMIFS(Movimientos!$K$1:$K$1324,Movimientos!$C$1:$C$1324,"SSP Capital",Movimientos!$B$1:$B$1324,"&lt;="&amp;$B69)</f>
        <v>1761026.4599999995</v>
      </c>
      <c r="H69" s="24">
        <f>SUMIFS('Saldos Iniciales'!$D:$D,'Saldos Iniciales'!$A:$A,"Cross Family Trust")+SUMIFS(Movimientos!$K$1:$K$1324,Movimientos!$C$1:$C$1324,"Cross Family Trust",Movimientos!$B$1:$B$1324,"&lt;="&amp;$B69)</f>
        <v>220496.38</v>
      </c>
      <c r="I69" s="24">
        <f>SUMIFS('Saldos Iniciales'!$D:$D,'Saldos Iniciales'!$A:$A,"Cross Security Trust")+SUMIFS(Movimientos!$K$1:$K$1324,Movimientos!$C$1:$C$1324,"Cross Security Trust",Movimientos!$B$1:$B$1324,"&lt;="&amp;$B69)</f>
        <v>267503.99000000005</v>
      </c>
      <c r="J69" s="24">
        <f>SUMIFS('Saldos Iniciales'!$D:$D,'Saldos Iniciales'!$A:$A,"Electrama")+SUMIFS(Movimientos!$K$1:$K$1324,Movimientos!$C$1:$C$1324,"Electrama",Movimientos!$B$1:$B$1324,"&lt;="&amp;$B69)</f>
        <v>471.15999999999985</v>
      </c>
      <c r="K69" s="24">
        <f>SUMIFS('Saldos Iniciales'!$D:$D,'Saldos Iniciales'!$A:$A,"Sacred Valley Capital")+SUMIFS(Movimientos!$K$1:$K$1324,Movimientos!$C$1:$C$1324,"Sacred Valley Capital",Movimientos!$B$1:$B$1324,"&lt;="&amp;$B69)</f>
        <v>54.400000000000006</v>
      </c>
      <c r="L69" s="24">
        <f>SUMIFS('Saldos Iniciales'!$D:$D,'Saldos Iniciales'!$A:$A,"YWC Capital")+SUMIFS(Movimientos!$K$1:$K$1324,Movimientos!$C$1:$C$1324,"YWC Capital",Movimientos!$B$1:$B$1324,"&lt;="&amp;$B69)</f>
        <v>2207.8200000000002</v>
      </c>
      <c r="M69" s="24">
        <f>SUMIFS('Saldos Iniciales'!$D:$D,'Saldos Iniciales'!$A:$A,"Soweto")+SUMIFS(Movimientos!$K$1:$K$1324,Movimientos!$C$1:$C$1324,"Soweto",Movimientos!$B$1:$B$1324,"&lt;="&amp;$B69)</f>
        <v>3349.94</v>
      </c>
      <c r="N69" s="24">
        <f>SUMIFS('Saldos Iniciales'!$D:$D,'Saldos Iniciales'!$A:$A,"Green Stone Trust")+SUMIFS(Movimientos!$K$1:$K$1324,Movimientos!$C$1:$C$1324,"Green Stone Trust",Movimientos!$B$1:$B$1324,"&lt;="&amp;$B69)</f>
        <v>1968.99</v>
      </c>
      <c r="O69" s="24">
        <f>SUMIFS('Saldos Iniciales'!$D:$D,'Saldos Iniciales'!$A:$A,"EC Auto")+SUMIFS(Movimientos!$K$1:$K$1324,Movimientos!$C$1:$C$1324,"EC Auto",Movimientos!$B$1:$B$1324,"&lt;="&amp;$B69)</f>
        <v>382.69000000000005</v>
      </c>
      <c r="P69" s="24">
        <f>SUMIFS('Saldos Iniciales'!$D:$D,'Saldos Iniciales'!$A:$A,"Arbor Capital Properties")+SUMIFS(Movimientos!$K$1:$K$1324,Movimientos!$C$1:$C$1324,"Arbor Capital Properties",Movimientos!$B$1:$B$1324,"&lt;="&amp;$B69)</f>
        <v>1412.08</v>
      </c>
      <c r="Q69" s="24">
        <f>SUMIFS('Saldos Iniciales'!$D:$D,'Saldos Iniciales'!$A:$A,"2515 Overbrook")+SUMIFS(Movimientos!$K$1:$K$1324,Movimientos!$C$1:$C$1324,"2515 Overbrook",Movimientos!$B$1:$B$1324,"&lt;="&amp;$B69)</f>
        <v>22496.639999999959</v>
      </c>
      <c r="R69" s="24">
        <f>SUMIFS('Saldos Iniciales'!$D:$D,'Saldos Iniciales'!$A:$A,"112 Florida Ave")+SUMIFS(Movimientos!$K$1:$K$1324,Movimientos!$C$1:$C$1324,"112 Florida Ave",Movimientos!$B$1:$B$1324,"&lt;="&amp;$B69)</f>
        <v>10522.800000000003</v>
      </c>
      <c r="S69" s="24">
        <f>SUMIFS('Saldos Iniciales'!$D:$D,'Saldos Iniciales'!$A:$A,"3628 Thomas Ave")+SUMIFS(Movimientos!$K$1:$K$1324,Movimientos!$C$1:$C$1324,"3628 Thomas Ave",Movimientos!$B$1:$B$1324,"&lt;="&amp;$B69)</f>
        <v>28485.559999999998</v>
      </c>
      <c r="T69" s="24">
        <f>SUMIFS('Saldos Iniciales'!$D:$D,'Saldos Iniciales'!$A:$A,"Green Harbor Trust")+SUMIFS(Movimientos!$K$1:$K$1324,Movimientos!$C$1:$C$1324,"Green Harbor Trust",Movimientos!$B$1:$B$1324,"&lt;="&amp;$B69)</f>
        <v>345</v>
      </c>
      <c r="U69" s="24">
        <f>SUMIFS('Saldos Iniciales'!$D:$D,'Saldos Iniciales'!$A:$A,"Go Blue")+SUMIFS(Movimientos!$K$1:$K$1324,Movimientos!$C$1:$C$1324,"Go Blue",Movimientos!$B$1:$B$1324,"&lt;="&amp;$B69)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Aparments",Movimientos!$B$1:$B$1324,"&lt;="&amp;$B69))</f>
        <v>0</v>
      </c>
      <c r="AD69" s="24">
        <f>IF(YEAR($B69)*100+MONTH($B69)&lt;--SUBSTITUTE(_xlfn.XLOOKUP("Don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Life",Movimientos!$B$1:$B$1324,"&lt;="&amp;$B69))</f>
        <v>0</v>
      </c>
      <c r="AE69" s="25">
        <f t="shared" si="3"/>
        <v>8359093.4500000011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Group")+SUMIFS(Movimientos!$K$1:$K$1324,Movimientos!$C$1:$C$1324,"CFT Group",Movimientos!$B$1:$B$1324,"&lt;="&amp;$B70)</f>
        <v>5592585.7500000009</v>
      </c>
      <c r="D70" s="24">
        <f>SUMIFS('Saldos Iniciales'!$D:$D,'Saldos Iniciales'!$A:$A,"M1B")+SUMIFS(Movimientos!$K$1:$K$1324,Movimientos!$C$1:$C$1324,"M1B",Movimientos!$B$1:$B$1324,"&lt;="&amp;$B70)</f>
        <v>79139.680000000168</v>
      </c>
      <c r="E70" s="24">
        <f>SUMIFS('Saldos Iniciales'!$D:$D,'Saldos Iniciales'!$A:$A,"Durand")+SUMIFS(Movimientos!$K$1:$K$1324,Movimientos!$C$1:$C$1324,"Durand",Movimientos!$B$1:$B$1324,"&lt;="&amp;$B70)</f>
        <v>1669.89</v>
      </c>
      <c r="F70" s="24">
        <f>SUMIFS('Saldos Iniciales'!$D:$D,'Saldos Iniciales'!$A:$A,"A&amp;M Imports")+SUMIFS(Movimientos!$K$1:$K$1324,Movimientos!$C$1:$C$1324,"A&amp;M Imports",Movimientos!$B$1:$B$1324,"&lt;="&amp;$B70)</f>
        <v>350475.62999999989</v>
      </c>
      <c r="G70" s="24">
        <f>SUMIFS('Saldos Iniciales'!$D:$D,'Saldos Iniciales'!$A:$A,"SSP Capital")+SUMIFS(Movimientos!$K$1:$K$1324,Movimientos!$C$1:$C$1324,"SSP Capital",Movimientos!$B$1:$B$1324,"&lt;="&amp;$B70)</f>
        <v>1751695.8399999994</v>
      </c>
      <c r="H70" s="24">
        <f>SUMIFS('Saldos Iniciales'!$D:$D,'Saldos Iniciales'!$A:$A,"Cross Family Trust")+SUMIFS(Movimientos!$K$1:$K$1324,Movimientos!$C$1:$C$1324,"Cross Family Trust",Movimientos!$B$1:$B$1324,"&lt;="&amp;$B70)</f>
        <v>220496.38</v>
      </c>
      <c r="I70" s="24">
        <f>SUMIFS('Saldos Iniciales'!$D:$D,'Saldos Iniciales'!$A:$A,"Cross Security Trust")+SUMIFS(Movimientos!$K$1:$K$1324,Movimientos!$C$1:$C$1324,"Cross Security Trust",Movimientos!$B$1:$B$1324,"&lt;="&amp;$B70)</f>
        <v>267503.99000000005</v>
      </c>
      <c r="J70" s="24">
        <f>SUMIFS('Saldos Iniciales'!$D:$D,'Saldos Iniciales'!$A:$A,"Electrama")+SUMIFS(Movimientos!$K$1:$K$1324,Movimientos!$C$1:$C$1324,"Electrama",Movimientos!$B$1:$B$1324,"&lt;="&amp;$B70)</f>
        <v>471.15999999999985</v>
      </c>
      <c r="K70" s="24">
        <f>SUMIFS('Saldos Iniciales'!$D:$D,'Saldos Iniciales'!$A:$A,"Sacred Valley Capital")+SUMIFS(Movimientos!$K$1:$K$1324,Movimientos!$C$1:$C$1324,"Sacred Valley Capital",Movimientos!$B$1:$B$1324,"&lt;="&amp;$B70)</f>
        <v>54.400000000000006</v>
      </c>
      <c r="L70" s="24">
        <f>SUMIFS('Saldos Iniciales'!$D:$D,'Saldos Iniciales'!$A:$A,"YWC Capital")+SUMIFS(Movimientos!$K$1:$K$1324,Movimientos!$C$1:$C$1324,"YWC Capital",Movimientos!$B$1:$B$1324,"&lt;="&amp;$B70)</f>
        <v>2207.8200000000002</v>
      </c>
      <c r="M70" s="24">
        <f>SUMIFS('Saldos Iniciales'!$D:$D,'Saldos Iniciales'!$A:$A,"Soweto")+SUMIFS(Movimientos!$K$1:$K$1324,Movimientos!$C$1:$C$1324,"Soweto",Movimientos!$B$1:$B$1324,"&lt;="&amp;$B70)</f>
        <v>3334.94</v>
      </c>
      <c r="N70" s="24">
        <f>SUMIFS('Saldos Iniciales'!$D:$D,'Saldos Iniciales'!$A:$A,"Green Stone Trust")+SUMIFS(Movimientos!$K$1:$K$1324,Movimientos!$C$1:$C$1324,"Green Stone Trust",Movimientos!$B$1:$B$1324,"&lt;="&amp;$B70)</f>
        <v>1968.99</v>
      </c>
      <c r="O70" s="24">
        <f>SUMIFS('Saldos Iniciales'!$D:$D,'Saldos Iniciales'!$A:$A,"EC Auto")+SUMIFS(Movimientos!$K$1:$K$1324,Movimientos!$C$1:$C$1324,"EC Auto",Movimientos!$B$1:$B$1324,"&lt;="&amp;$B70)</f>
        <v>382.69000000000005</v>
      </c>
      <c r="P70" s="24">
        <f>SUMIFS('Saldos Iniciales'!$D:$D,'Saldos Iniciales'!$A:$A,"Arbor Capital Properties")+SUMIFS(Movimientos!$K$1:$K$1324,Movimientos!$C$1:$C$1324,"Arbor Capital Properties",Movimientos!$B$1:$B$1324,"&lt;="&amp;$B70)</f>
        <v>1412.08</v>
      </c>
      <c r="Q70" s="24">
        <f>SUMIFS('Saldos Iniciales'!$D:$D,'Saldos Iniciales'!$A:$A,"2515 Overbrook")+SUMIFS(Movimientos!$K$1:$K$1324,Movimientos!$C$1:$C$1324,"2515 Overbrook",Movimientos!$B$1:$B$1324,"&lt;="&amp;$B70)</f>
        <v>22496.639999999959</v>
      </c>
      <c r="R70" s="24">
        <f>SUMIFS('Saldos Iniciales'!$D:$D,'Saldos Iniciales'!$A:$A,"112 Florida Ave")+SUMIFS(Movimientos!$K$1:$K$1324,Movimientos!$C$1:$C$1324,"112 Florida Ave",Movimientos!$B$1:$B$1324,"&lt;="&amp;$B70)</f>
        <v>6522.8000000000029</v>
      </c>
      <c r="S70" s="24">
        <f>SUMIFS('Saldos Iniciales'!$D:$D,'Saldos Iniciales'!$A:$A,"3628 Thomas Ave")+SUMIFS(Movimientos!$K$1:$K$1324,Movimientos!$C$1:$C$1324,"3628 Thomas Ave",Movimientos!$B$1:$B$1324,"&lt;="&amp;$B70)</f>
        <v>28485.559999999998</v>
      </c>
      <c r="T70" s="24">
        <f>SUMIFS('Saldos Iniciales'!$D:$D,'Saldos Iniciales'!$A:$A,"Green Harbor Trust")+SUMIFS(Movimientos!$K$1:$K$1324,Movimientos!$C$1:$C$1324,"Green Harbor Trust",Movimientos!$B$1:$B$1324,"&lt;="&amp;$B70)</f>
        <v>345</v>
      </c>
      <c r="U70" s="24">
        <f>SUMIFS('Saldos Iniciales'!$D:$D,'Saldos Iniciales'!$A:$A,"Go Blue")+SUMIFS(Movimientos!$K$1:$K$1324,Movimientos!$C$1:$C$1324,"Go Blue",Movimientos!$B$1:$B$1324,"&lt;="&amp;$B70)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Aparments",Movimientos!$B$1:$B$1324,"&lt;="&amp;$B70))</f>
        <v>0</v>
      </c>
      <c r="AD70" s="24">
        <f>IF(YEAR($B70)*100+MONTH($B70)&lt;--SUBSTITUTE(_xlfn.XLOOKUP("Don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Life",Movimientos!$B$1:$B$1324,"&lt;="&amp;$B70))</f>
        <v>0</v>
      </c>
      <c r="AE70" s="25">
        <f t="shared" si="3"/>
        <v>8345747.8300000019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Group")+SUMIFS(Movimientos!$K$1:$K$1324,Movimientos!$C$1:$C$1324,"CFT Group",Movimientos!$B$1:$B$1324,"&lt;="&amp;$B71)</f>
        <v>4377944.080000001</v>
      </c>
      <c r="D71" s="24">
        <f>SUMIFS('Saldos Iniciales'!$D:$D,'Saldos Iniciales'!$A:$A,"M1B")+SUMIFS(Movimientos!$K$1:$K$1324,Movimientos!$C$1:$C$1324,"M1B",Movimientos!$B$1:$B$1324,"&lt;="&amp;$B71)</f>
        <v>73157.680000000168</v>
      </c>
      <c r="E71" s="24">
        <f>SUMIFS('Saldos Iniciales'!$D:$D,'Saldos Iniciales'!$A:$A,"Durand")+SUMIFS(Movimientos!$K$1:$K$1324,Movimientos!$C$1:$C$1324,"Durand",Movimientos!$B$1:$B$1324,"&lt;="&amp;$B71)</f>
        <v>1669.89</v>
      </c>
      <c r="F71" s="24">
        <f>SUMIFS('Saldos Iniciales'!$D:$D,'Saldos Iniciales'!$A:$A,"A&amp;M Imports")+SUMIFS(Movimientos!$K$1:$K$1324,Movimientos!$C$1:$C$1324,"A&amp;M Imports",Movimientos!$B$1:$B$1324,"&lt;="&amp;$B71)</f>
        <v>290475.62999999989</v>
      </c>
      <c r="G71" s="24">
        <f>SUMIFS('Saldos Iniciales'!$D:$D,'Saldos Iniciales'!$A:$A,"SSP Capital")+SUMIFS(Movimientos!$K$1:$K$1324,Movimientos!$C$1:$C$1324,"SSP Capital",Movimientos!$B$1:$B$1324,"&lt;="&amp;$B71)</f>
        <v>2119592.9399999995</v>
      </c>
      <c r="H71" s="24">
        <f>SUMIFS('Saldos Iniciales'!$D:$D,'Saldos Iniciales'!$A:$A,"Cross Family Trust")+SUMIFS(Movimientos!$K$1:$K$1324,Movimientos!$C$1:$C$1324,"Cross Family Trust",Movimientos!$B$1:$B$1324,"&lt;="&amp;$B71)</f>
        <v>200496.38</v>
      </c>
      <c r="I71" s="24">
        <f>SUMIFS('Saldos Iniciales'!$D:$D,'Saldos Iniciales'!$A:$A,"Cross Security Trust")+SUMIFS(Movimientos!$K$1:$K$1324,Movimientos!$C$1:$C$1324,"Cross Security Trust",Movimientos!$B$1:$B$1324,"&lt;="&amp;$B71)</f>
        <v>267503.99000000005</v>
      </c>
      <c r="J71" s="24">
        <f>SUMIFS('Saldos Iniciales'!$D:$D,'Saldos Iniciales'!$A:$A,"Electrama")+SUMIFS(Movimientos!$K$1:$K$1324,Movimientos!$C$1:$C$1324,"Electrama",Movimientos!$B$1:$B$1324,"&lt;="&amp;$B71)</f>
        <v>15130.45</v>
      </c>
      <c r="K71" s="24">
        <f>SUMIFS('Saldos Iniciales'!$D:$D,'Saldos Iniciales'!$A:$A,"Sacred Valley Capital")+SUMIFS(Movimientos!$K$1:$K$1324,Movimientos!$C$1:$C$1324,"Sacred Valley Capital",Movimientos!$B$1:$B$1324,"&lt;="&amp;$B71)</f>
        <v>54.400000000000006</v>
      </c>
      <c r="L71" s="24">
        <f>SUMIFS('Saldos Iniciales'!$D:$D,'Saldos Iniciales'!$A:$A,"YWC Capital")+SUMIFS(Movimientos!$K$1:$K$1324,Movimientos!$C$1:$C$1324,"YWC Capital",Movimientos!$B$1:$B$1324,"&lt;="&amp;$B71)</f>
        <v>2207.8200000000002</v>
      </c>
      <c r="M71" s="24">
        <f>SUMIFS('Saldos Iniciales'!$D:$D,'Saldos Iniciales'!$A:$A,"Soweto")+SUMIFS(Movimientos!$K$1:$K$1324,Movimientos!$C$1:$C$1324,"Soweto",Movimientos!$B$1:$B$1324,"&lt;="&amp;$B71)</f>
        <v>1454604.72</v>
      </c>
      <c r="N71" s="24">
        <f>SUMIFS('Saldos Iniciales'!$D:$D,'Saldos Iniciales'!$A:$A,"Green Stone Trust")+SUMIFS(Movimientos!$K$1:$K$1324,Movimientos!$C$1:$C$1324,"Green Stone Trust",Movimientos!$B$1:$B$1324,"&lt;="&amp;$B71)</f>
        <v>1968.99</v>
      </c>
      <c r="O71" s="24">
        <f>SUMIFS('Saldos Iniciales'!$D:$D,'Saldos Iniciales'!$A:$A,"EC Auto")+SUMIFS(Movimientos!$K$1:$K$1324,Movimientos!$C$1:$C$1324,"EC Auto",Movimientos!$B$1:$B$1324,"&lt;="&amp;$B71)</f>
        <v>382.69000000000005</v>
      </c>
      <c r="P71" s="24">
        <f>SUMIFS('Saldos Iniciales'!$D:$D,'Saldos Iniciales'!$A:$A,"Arbor Capital Properties")+SUMIFS(Movimientos!$K$1:$K$1324,Movimientos!$C$1:$C$1324,"Arbor Capital Properties",Movimientos!$B$1:$B$1324,"&lt;="&amp;$B71)</f>
        <v>1412.08</v>
      </c>
      <c r="Q71" s="24">
        <f>SUMIFS('Saldos Iniciales'!$D:$D,'Saldos Iniciales'!$A:$A,"2515 Overbrook")+SUMIFS(Movimientos!$K$1:$K$1324,Movimientos!$C$1:$C$1324,"2515 Overbrook",Movimientos!$B$1:$B$1324,"&lt;="&amp;$B71)</f>
        <v>22496.639999999959</v>
      </c>
      <c r="R71" s="24">
        <f>SUMIFS('Saldos Iniciales'!$D:$D,'Saldos Iniciales'!$A:$A,"112 Florida Ave")+SUMIFS(Movimientos!$K$1:$K$1324,Movimientos!$C$1:$C$1324,"112 Florida Ave",Movimientos!$B$1:$B$1324,"&lt;="&amp;$B71)</f>
        <v>6522.8000000000029</v>
      </c>
      <c r="S71" s="24">
        <f>SUMIFS('Saldos Iniciales'!$D:$D,'Saldos Iniciales'!$A:$A,"3628 Thomas Ave")+SUMIFS(Movimientos!$K$1:$K$1324,Movimientos!$C$1:$C$1324,"3628 Thomas Ave",Movimientos!$B$1:$B$1324,"&lt;="&amp;$B71)</f>
        <v>28485.559999999998</v>
      </c>
      <c r="T71" s="24">
        <f>SUMIFS('Saldos Iniciales'!$D:$D,'Saldos Iniciales'!$A:$A,"Green Harbor Trust")+SUMIFS(Movimientos!$K$1:$K$1324,Movimientos!$C$1:$C$1324,"Green Harbor Trust",Movimientos!$B$1:$B$1324,"&lt;="&amp;$B71)</f>
        <v>345</v>
      </c>
      <c r="U71" s="24">
        <f>SUMIFS('Saldos Iniciales'!$D:$D,'Saldos Iniciales'!$A:$A,"Go Blue")+SUMIFS(Movimientos!$K$1:$K$1324,Movimientos!$C$1:$C$1324,"Go Blue",Movimientos!$B$1:$B$1324,"&lt;="&amp;$B71)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Aparments",Movimientos!$B$1:$B$1324,"&lt;="&amp;$B71))</f>
        <v>0</v>
      </c>
      <c r="AD71" s="24">
        <f>IF(YEAR($B71)*100+MONTH($B71)&lt;--SUBSTITUTE(_xlfn.XLOOKUP("Don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Life",Movimientos!$B$1:$B$1324,"&lt;="&amp;$B71))</f>
        <v>0</v>
      </c>
      <c r="AE71" s="25">
        <f t="shared" si="3"/>
        <v>8896351.8600000031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Group")+SUMIFS(Movimientos!$K$1:$K$1324,Movimientos!$C$1:$C$1324,"CFT Group",Movimientos!$B$1:$B$1324,"&lt;="&amp;$B72)</f>
        <v>4163755.7500000005</v>
      </c>
      <c r="D72" s="24">
        <f>SUMIFS('Saldos Iniciales'!$D:$D,'Saldos Iniciales'!$A:$A,"M1B")+SUMIFS(Movimientos!$K$1:$K$1324,Movimientos!$C$1:$C$1324,"M1B",Movimientos!$B$1:$B$1324,"&lt;="&amp;$B72)</f>
        <v>73157.680000000168</v>
      </c>
      <c r="E72" s="24">
        <f>SUMIFS('Saldos Iniciales'!$D:$D,'Saldos Iniciales'!$A:$A,"Durand")+SUMIFS(Movimientos!$K$1:$K$1324,Movimientos!$C$1:$C$1324,"Durand",Movimientos!$B$1:$B$1324,"&lt;="&amp;$B72)</f>
        <v>1669.89</v>
      </c>
      <c r="F72" s="24">
        <f>SUMIFS('Saldos Iniciales'!$D:$D,'Saldos Iniciales'!$A:$A,"A&amp;M Imports")+SUMIFS(Movimientos!$K$1:$K$1324,Movimientos!$C$1:$C$1324,"A&amp;M Imports",Movimientos!$B$1:$B$1324,"&lt;="&amp;$B72)</f>
        <v>290141.62999999989</v>
      </c>
      <c r="G72" s="24">
        <f>SUMIFS('Saldos Iniciales'!$D:$D,'Saldos Iniciales'!$A:$A,"SSP Capital")+SUMIFS(Movimientos!$K$1:$K$1324,Movimientos!$C$1:$C$1324,"SSP Capital",Movimientos!$B$1:$B$1324,"&lt;="&amp;$B72)</f>
        <v>1921752.2699999993</v>
      </c>
      <c r="H72" s="24">
        <f>SUMIFS('Saldos Iniciales'!$D:$D,'Saldos Iniciales'!$A:$A,"Cross Family Trust")+SUMIFS(Movimientos!$K$1:$K$1324,Movimientos!$C$1:$C$1324,"Cross Family Trust",Movimientos!$B$1:$B$1324,"&lt;="&amp;$B72)</f>
        <v>200496.38</v>
      </c>
      <c r="I72" s="24">
        <f>SUMIFS('Saldos Iniciales'!$D:$D,'Saldos Iniciales'!$A:$A,"Cross Security Trust")+SUMIFS(Movimientos!$K$1:$K$1324,Movimientos!$C$1:$C$1324,"Cross Security Trust",Movimientos!$B$1:$B$1324,"&lt;="&amp;$B72)</f>
        <v>267503.99000000005</v>
      </c>
      <c r="J72" s="24">
        <f>SUMIFS('Saldos Iniciales'!$D:$D,'Saldos Iniciales'!$A:$A,"Electrama")+SUMIFS(Movimientos!$K$1:$K$1324,Movimientos!$C$1:$C$1324,"Electrama",Movimientos!$B$1:$B$1324,"&lt;="&amp;$B72)</f>
        <v>14580.45</v>
      </c>
      <c r="K72" s="24">
        <f>SUMIFS('Saldos Iniciales'!$D:$D,'Saldos Iniciales'!$A:$A,"Sacred Valley Capital")+SUMIFS(Movimientos!$K$1:$K$1324,Movimientos!$C$1:$C$1324,"Sacred Valley Capital",Movimientos!$B$1:$B$1324,"&lt;="&amp;$B72)</f>
        <v>54.400000000000006</v>
      </c>
      <c r="L72" s="24">
        <f>SUMIFS('Saldos Iniciales'!$D:$D,'Saldos Iniciales'!$A:$A,"YWC Capital")+SUMIFS(Movimientos!$K$1:$K$1324,Movimientos!$C$1:$C$1324,"YWC Capital",Movimientos!$B$1:$B$1324,"&lt;="&amp;$B72)</f>
        <v>2207.8200000000002</v>
      </c>
      <c r="M72" s="24">
        <f>SUMIFS('Saldos Iniciales'!$D:$D,'Saldos Iniciales'!$A:$A,"Soweto")+SUMIFS(Movimientos!$K$1:$K$1324,Movimientos!$C$1:$C$1324,"Soweto",Movimientos!$B$1:$B$1324,"&lt;="&amp;$B72)</f>
        <v>1454589.72</v>
      </c>
      <c r="N72" s="24">
        <f>SUMIFS('Saldos Iniciales'!$D:$D,'Saldos Iniciales'!$A:$A,"Green Stone Trust")+SUMIFS(Movimientos!$K$1:$K$1324,Movimientos!$C$1:$C$1324,"Green Stone Trust",Movimientos!$B$1:$B$1324,"&lt;="&amp;$B72)</f>
        <v>1968.99</v>
      </c>
      <c r="O72" s="24">
        <f>SUMIFS('Saldos Iniciales'!$D:$D,'Saldos Iniciales'!$A:$A,"EC Auto")+SUMIFS(Movimientos!$K$1:$K$1324,Movimientos!$C$1:$C$1324,"EC Auto",Movimientos!$B$1:$B$1324,"&lt;="&amp;$B72)</f>
        <v>382.69000000000005</v>
      </c>
      <c r="P72" s="24">
        <f>SUMIFS('Saldos Iniciales'!$D:$D,'Saldos Iniciales'!$A:$A,"Arbor Capital Properties")+SUMIFS(Movimientos!$K$1:$K$1324,Movimientos!$C$1:$C$1324,"Arbor Capital Properties",Movimientos!$B$1:$B$1324,"&lt;="&amp;$B72)</f>
        <v>1412.08</v>
      </c>
      <c r="Q72" s="24">
        <f>SUMIFS('Saldos Iniciales'!$D:$D,'Saldos Iniciales'!$A:$A,"2515 Overbrook")+SUMIFS(Movimientos!$K$1:$K$1324,Movimientos!$C$1:$C$1324,"2515 Overbrook",Movimientos!$B$1:$B$1324,"&lt;="&amp;$B72)</f>
        <v>22496.639999999959</v>
      </c>
      <c r="R72" s="24">
        <f>SUMIFS('Saldos Iniciales'!$D:$D,'Saldos Iniciales'!$A:$A,"112 Florida Ave")+SUMIFS(Movimientos!$K$1:$K$1324,Movimientos!$C$1:$C$1324,"112 Florida Ave",Movimientos!$B$1:$B$1324,"&lt;="&amp;$B72)</f>
        <v>6522.8000000000029</v>
      </c>
      <c r="S72" s="24">
        <f>SUMIFS('Saldos Iniciales'!$D:$D,'Saldos Iniciales'!$A:$A,"3628 Thomas Ave")+SUMIFS(Movimientos!$K$1:$K$1324,Movimientos!$C$1:$C$1324,"3628 Thomas Ave",Movimientos!$B$1:$B$1324,"&lt;="&amp;$B72)</f>
        <v>28485.559999999998</v>
      </c>
      <c r="T72" s="24">
        <f>SUMIFS('Saldos Iniciales'!$D:$D,'Saldos Iniciales'!$A:$A,"Green Harbor Trust")+SUMIFS(Movimientos!$K$1:$K$1324,Movimientos!$C$1:$C$1324,"Green Harbor Trust",Movimientos!$B$1:$B$1324,"&lt;="&amp;$B72)</f>
        <v>345</v>
      </c>
      <c r="U72" s="24">
        <f>SUMIFS('Saldos Iniciales'!$D:$D,'Saldos Iniciales'!$A:$A,"Go Blue")+SUMIFS(Movimientos!$K$1:$K$1324,Movimientos!$C$1:$C$1324,"Go Blue",Movimientos!$B$1:$B$1324,"&lt;="&amp;$B72)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Aparments",Movimientos!$B$1:$B$1324,"&lt;="&amp;$B72))</f>
        <v>0</v>
      </c>
      <c r="AD72" s="24">
        <f>IF(YEAR($B72)*100+MONTH($B72)&lt;--SUBSTITUTE(_xlfn.XLOOKUP("Don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Life",Movimientos!$B$1:$B$1324,"&lt;="&amp;$B72))</f>
        <v>0</v>
      </c>
      <c r="AE72" s="25">
        <f t="shared" si="3"/>
        <v>8483423.8600000013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Group")+SUMIFS(Movimientos!$K$1:$K$1324,Movimientos!$C$1:$C$1324,"CFT Group",Movimientos!$B$1:$B$1324,"&lt;="&amp;$B73)</f>
        <v>4163755.7500000005</v>
      </c>
      <c r="D73" s="24">
        <f>SUMIFS('Saldos Iniciales'!$D:$D,'Saldos Iniciales'!$A:$A,"M1B")+SUMIFS(Movimientos!$K$1:$K$1324,Movimientos!$C$1:$C$1324,"M1B",Movimientos!$B$1:$B$1324,"&lt;="&amp;$B73)</f>
        <v>73157.680000000168</v>
      </c>
      <c r="E73" s="24">
        <f>SUMIFS('Saldos Iniciales'!$D:$D,'Saldos Iniciales'!$A:$A,"Durand")+SUMIFS(Movimientos!$K$1:$K$1324,Movimientos!$C$1:$C$1324,"Durand",Movimientos!$B$1:$B$1324,"&lt;="&amp;$B73)</f>
        <v>1669.89</v>
      </c>
      <c r="F73" s="24">
        <f>SUMIFS('Saldos Iniciales'!$D:$D,'Saldos Iniciales'!$A:$A,"A&amp;M Imports")+SUMIFS(Movimientos!$K$1:$K$1324,Movimientos!$C$1:$C$1324,"A&amp;M Imports",Movimientos!$B$1:$B$1324,"&lt;="&amp;$B73)</f>
        <v>290141.62999999989</v>
      </c>
      <c r="G73" s="24">
        <f>SUMIFS('Saldos Iniciales'!$D:$D,'Saldos Iniciales'!$A:$A,"SSP Capital")+SUMIFS(Movimientos!$K$1:$K$1324,Movimientos!$C$1:$C$1324,"SSP Capital",Movimientos!$B$1:$B$1324,"&lt;="&amp;$B73)</f>
        <v>1921752.2699999993</v>
      </c>
      <c r="H73" s="24">
        <f>SUMIFS('Saldos Iniciales'!$D:$D,'Saldos Iniciales'!$A:$A,"Cross Family Trust")+SUMIFS(Movimientos!$K$1:$K$1324,Movimientos!$C$1:$C$1324,"Cross Family Trust",Movimientos!$B$1:$B$1324,"&lt;="&amp;$B73)</f>
        <v>200496.38</v>
      </c>
      <c r="I73" s="24">
        <f>SUMIFS('Saldos Iniciales'!$D:$D,'Saldos Iniciales'!$A:$A,"Cross Security Trust")+SUMIFS(Movimientos!$K$1:$K$1324,Movimientos!$C$1:$C$1324,"Cross Security Trust",Movimientos!$B$1:$B$1324,"&lt;="&amp;$B73)</f>
        <v>267503.99000000005</v>
      </c>
      <c r="J73" s="24">
        <f>SUMIFS('Saldos Iniciales'!$D:$D,'Saldos Iniciales'!$A:$A,"Electrama")+SUMIFS(Movimientos!$K$1:$K$1324,Movimientos!$C$1:$C$1324,"Electrama",Movimientos!$B$1:$B$1324,"&lt;="&amp;$B73)</f>
        <v>14580.45</v>
      </c>
      <c r="K73" s="24">
        <f>SUMIFS('Saldos Iniciales'!$D:$D,'Saldos Iniciales'!$A:$A,"Sacred Valley Capital")+SUMIFS(Movimientos!$K$1:$K$1324,Movimientos!$C$1:$C$1324,"Sacred Valley Capital",Movimientos!$B$1:$B$1324,"&lt;="&amp;$B73)</f>
        <v>54.400000000000006</v>
      </c>
      <c r="L73" s="24">
        <f>SUMIFS('Saldos Iniciales'!$D:$D,'Saldos Iniciales'!$A:$A,"YWC Capital")+SUMIFS(Movimientos!$K$1:$K$1324,Movimientos!$C$1:$C$1324,"YWC Capital",Movimientos!$B$1:$B$1324,"&lt;="&amp;$B73)</f>
        <v>2207.8200000000002</v>
      </c>
      <c r="M73" s="24">
        <f>SUMIFS('Saldos Iniciales'!$D:$D,'Saldos Iniciales'!$A:$A,"Soweto")+SUMIFS(Movimientos!$K$1:$K$1324,Movimientos!$C$1:$C$1324,"Soweto",Movimientos!$B$1:$B$1324,"&lt;="&amp;$B73)</f>
        <v>1454589.72</v>
      </c>
      <c r="N73" s="24">
        <f>SUMIFS('Saldos Iniciales'!$D:$D,'Saldos Iniciales'!$A:$A,"Green Stone Trust")+SUMIFS(Movimientos!$K$1:$K$1324,Movimientos!$C$1:$C$1324,"Green Stone Trust",Movimientos!$B$1:$B$1324,"&lt;="&amp;$B73)</f>
        <v>1968.99</v>
      </c>
      <c r="O73" s="24">
        <f>SUMIFS('Saldos Iniciales'!$D:$D,'Saldos Iniciales'!$A:$A,"EC Auto")+SUMIFS(Movimientos!$K$1:$K$1324,Movimientos!$C$1:$C$1324,"EC Auto",Movimientos!$B$1:$B$1324,"&lt;="&amp;$B73)</f>
        <v>382.69000000000005</v>
      </c>
      <c r="P73" s="24">
        <f>SUMIFS('Saldos Iniciales'!$D:$D,'Saldos Iniciales'!$A:$A,"Arbor Capital Properties")+SUMIFS(Movimientos!$K$1:$K$1324,Movimientos!$C$1:$C$1324,"Arbor Capital Properties",Movimientos!$B$1:$B$1324,"&lt;="&amp;$B73)</f>
        <v>1412.08</v>
      </c>
      <c r="Q73" s="24">
        <f>SUMIFS('Saldos Iniciales'!$D:$D,'Saldos Iniciales'!$A:$A,"2515 Overbrook")+SUMIFS(Movimientos!$K$1:$K$1324,Movimientos!$C$1:$C$1324,"2515 Overbrook",Movimientos!$B$1:$B$1324,"&lt;="&amp;$B73)</f>
        <v>22496.639999999959</v>
      </c>
      <c r="R73" s="24">
        <f>SUMIFS('Saldos Iniciales'!$D:$D,'Saldos Iniciales'!$A:$A,"112 Florida Ave")+SUMIFS(Movimientos!$K$1:$K$1324,Movimientos!$C$1:$C$1324,"112 Florida Ave",Movimientos!$B$1:$B$1324,"&lt;="&amp;$B73)</f>
        <v>6522.8000000000029</v>
      </c>
      <c r="S73" s="24">
        <f>SUMIFS('Saldos Iniciales'!$D:$D,'Saldos Iniciales'!$A:$A,"3628 Thomas Ave")+SUMIFS(Movimientos!$K$1:$K$1324,Movimientos!$C$1:$C$1324,"3628 Thomas Ave",Movimientos!$B$1:$B$1324,"&lt;="&amp;$B73)</f>
        <v>28485.559999999998</v>
      </c>
      <c r="T73" s="24">
        <f>SUMIFS('Saldos Iniciales'!$D:$D,'Saldos Iniciales'!$A:$A,"Green Harbor Trust")+SUMIFS(Movimientos!$K$1:$K$1324,Movimientos!$C$1:$C$1324,"Green Harbor Trust",Movimientos!$B$1:$B$1324,"&lt;="&amp;$B73)</f>
        <v>345</v>
      </c>
      <c r="U73" s="24">
        <f>SUMIFS('Saldos Iniciales'!$D:$D,'Saldos Iniciales'!$A:$A,"Go Blue")+SUMIFS(Movimientos!$K$1:$K$1324,Movimientos!$C$1:$C$1324,"Go Blue",Movimientos!$B$1:$B$1324,"&lt;="&amp;$B73)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Aparments",Movimientos!$B$1:$B$1324,"&lt;="&amp;$B73))</f>
        <v>0</v>
      </c>
      <c r="AD73" s="24">
        <f>IF(YEAR($B73)*100+MONTH($B73)&lt;--SUBSTITUTE(_xlfn.XLOOKUP("Don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Life",Movimientos!$B$1:$B$1324,"&lt;="&amp;$B73))</f>
        <v>0</v>
      </c>
      <c r="AE73" s="25">
        <f t="shared" si="3"/>
        <v>8483423.8600000013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Group")+SUMIFS(Movimientos!$K$1:$K$1324,Movimientos!$C$1:$C$1324,"CFT Group",Movimientos!$B$1:$B$1324,"&lt;="&amp;$B74)</f>
        <v>4163755.7500000005</v>
      </c>
      <c r="D74" s="24">
        <f>SUMIFS('Saldos Iniciales'!$D:$D,'Saldos Iniciales'!$A:$A,"M1B")+SUMIFS(Movimientos!$K$1:$K$1324,Movimientos!$C$1:$C$1324,"M1B",Movimientos!$B$1:$B$1324,"&lt;="&amp;$B74)</f>
        <v>73157.680000000168</v>
      </c>
      <c r="E74" s="24">
        <f>SUMIFS('Saldos Iniciales'!$D:$D,'Saldos Iniciales'!$A:$A,"Durand")+SUMIFS(Movimientos!$K$1:$K$1324,Movimientos!$C$1:$C$1324,"Durand",Movimientos!$B$1:$B$1324,"&lt;="&amp;$B74)</f>
        <v>1669.89</v>
      </c>
      <c r="F74" s="24">
        <f>SUMIFS('Saldos Iniciales'!$D:$D,'Saldos Iniciales'!$A:$A,"A&amp;M Imports")+SUMIFS(Movimientos!$K$1:$K$1324,Movimientos!$C$1:$C$1324,"A&amp;M Imports",Movimientos!$B$1:$B$1324,"&lt;="&amp;$B74)</f>
        <v>290141.62999999989</v>
      </c>
      <c r="G74" s="24">
        <f>SUMIFS('Saldos Iniciales'!$D:$D,'Saldos Iniciales'!$A:$A,"SSP Capital")+SUMIFS(Movimientos!$K$1:$K$1324,Movimientos!$C$1:$C$1324,"SSP Capital",Movimientos!$B$1:$B$1324,"&lt;="&amp;$B74)</f>
        <v>1921752.2699999993</v>
      </c>
      <c r="H74" s="24">
        <f>SUMIFS('Saldos Iniciales'!$D:$D,'Saldos Iniciales'!$A:$A,"Cross Family Trust")+SUMIFS(Movimientos!$K$1:$K$1324,Movimientos!$C$1:$C$1324,"Cross Family Trust",Movimientos!$B$1:$B$1324,"&lt;="&amp;$B74)</f>
        <v>200496.38</v>
      </c>
      <c r="I74" s="24">
        <f>SUMIFS('Saldos Iniciales'!$D:$D,'Saldos Iniciales'!$A:$A,"Cross Security Trust")+SUMIFS(Movimientos!$K$1:$K$1324,Movimientos!$C$1:$C$1324,"Cross Security Trust",Movimientos!$B$1:$B$1324,"&lt;="&amp;$B74)</f>
        <v>267503.99000000005</v>
      </c>
      <c r="J74" s="24">
        <f>SUMIFS('Saldos Iniciales'!$D:$D,'Saldos Iniciales'!$A:$A,"Electrama")+SUMIFS(Movimientos!$K$1:$K$1324,Movimientos!$C$1:$C$1324,"Electrama",Movimientos!$B$1:$B$1324,"&lt;="&amp;$B74)</f>
        <v>14580.45</v>
      </c>
      <c r="K74" s="24">
        <f>SUMIFS('Saldos Iniciales'!$D:$D,'Saldos Iniciales'!$A:$A,"Sacred Valley Capital")+SUMIFS(Movimientos!$K$1:$K$1324,Movimientos!$C$1:$C$1324,"Sacred Valley Capital",Movimientos!$B$1:$B$1324,"&lt;="&amp;$B74)</f>
        <v>54.400000000000006</v>
      </c>
      <c r="L74" s="24">
        <f>SUMIFS('Saldos Iniciales'!$D:$D,'Saldos Iniciales'!$A:$A,"YWC Capital")+SUMIFS(Movimientos!$K$1:$K$1324,Movimientos!$C$1:$C$1324,"YWC Capital",Movimientos!$B$1:$B$1324,"&lt;="&amp;$B74)</f>
        <v>2207.8200000000002</v>
      </c>
      <c r="M74" s="24">
        <f>SUMIFS('Saldos Iniciales'!$D:$D,'Saldos Iniciales'!$A:$A,"Soweto")+SUMIFS(Movimientos!$K$1:$K$1324,Movimientos!$C$1:$C$1324,"Soweto",Movimientos!$B$1:$B$1324,"&lt;="&amp;$B74)</f>
        <v>1454589.72</v>
      </c>
      <c r="N74" s="24">
        <f>SUMIFS('Saldos Iniciales'!$D:$D,'Saldos Iniciales'!$A:$A,"Green Stone Trust")+SUMIFS(Movimientos!$K$1:$K$1324,Movimientos!$C$1:$C$1324,"Green Stone Trust",Movimientos!$B$1:$B$1324,"&lt;="&amp;$B74)</f>
        <v>1968.99</v>
      </c>
      <c r="O74" s="24">
        <f>SUMIFS('Saldos Iniciales'!$D:$D,'Saldos Iniciales'!$A:$A,"EC Auto")+SUMIFS(Movimientos!$K$1:$K$1324,Movimientos!$C$1:$C$1324,"EC Auto",Movimientos!$B$1:$B$1324,"&lt;="&amp;$B74)</f>
        <v>382.69000000000005</v>
      </c>
      <c r="P74" s="24">
        <f>SUMIFS('Saldos Iniciales'!$D:$D,'Saldos Iniciales'!$A:$A,"Arbor Capital Properties")+SUMIFS(Movimientos!$K$1:$K$1324,Movimientos!$C$1:$C$1324,"Arbor Capital Properties",Movimientos!$B$1:$B$1324,"&lt;="&amp;$B74)</f>
        <v>1412.08</v>
      </c>
      <c r="Q74" s="24">
        <f>SUMIFS('Saldos Iniciales'!$D:$D,'Saldos Iniciales'!$A:$A,"2515 Overbrook")+SUMIFS(Movimientos!$K$1:$K$1324,Movimientos!$C$1:$C$1324,"2515 Overbrook",Movimientos!$B$1:$B$1324,"&lt;="&amp;$B74)</f>
        <v>22496.639999999959</v>
      </c>
      <c r="R74" s="24">
        <f>SUMIFS('Saldos Iniciales'!$D:$D,'Saldos Iniciales'!$A:$A,"112 Florida Ave")+SUMIFS(Movimientos!$K$1:$K$1324,Movimientos!$C$1:$C$1324,"112 Florida Ave",Movimientos!$B$1:$B$1324,"&lt;="&amp;$B74)</f>
        <v>6522.8000000000029</v>
      </c>
      <c r="S74" s="24">
        <f>SUMIFS('Saldos Iniciales'!$D:$D,'Saldos Iniciales'!$A:$A,"3628 Thomas Ave")+SUMIFS(Movimientos!$K$1:$K$1324,Movimientos!$C$1:$C$1324,"3628 Thomas Ave",Movimientos!$B$1:$B$1324,"&lt;="&amp;$B74)</f>
        <v>28485.559999999998</v>
      </c>
      <c r="T74" s="24">
        <f>SUMIFS('Saldos Iniciales'!$D:$D,'Saldos Iniciales'!$A:$A,"Green Harbor Trust")+SUMIFS(Movimientos!$K$1:$K$1324,Movimientos!$C$1:$C$1324,"Green Harbor Trust",Movimientos!$B$1:$B$1324,"&lt;="&amp;$B74)</f>
        <v>345</v>
      </c>
      <c r="U74" s="24">
        <f>SUMIFS('Saldos Iniciales'!$D:$D,'Saldos Iniciales'!$A:$A,"Go Blue")+SUMIFS(Movimientos!$K$1:$K$1324,Movimientos!$C$1:$C$1324,"Go Blue",Movimientos!$B$1:$B$1324,"&lt;="&amp;$B74)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Aparments",Movimientos!$B$1:$B$1324,"&lt;="&amp;$B74))</f>
        <v>0</v>
      </c>
      <c r="AD74" s="24">
        <f>IF(YEAR($B74)*100+MONTH($B74)&lt;--SUBSTITUTE(_xlfn.XLOOKUP("Don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Life",Movimientos!$B$1:$B$1324,"&lt;="&amp;$B74))</f>
        <v>0</v>
      </c>
      <c r="AE74" s="25">
        <f t="shared" si="3"/>
        <v>8483423.8600000013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Group")+SUMIFS(Movimientos!$K$1:$K$1324,Movimientos!$C$1:$C$1324,"CFT Group",Movimientos!$B$1:$B$1324,"&lt;="&amp;$B75)</f>
        <v>4163755.7500000005</v>
      </c>
      <c r="D75" s="24">
        <f>SUMIFS('Saldos Iniciales'!$D:$D,'Saldos Iniciales'!$A:$A,"M1B")+SUMIFS(Movimientos!$K$1:$K$1324,Movimientos!$C$1:$C$1324,"M1B",Movimientos!$B$1:$B$1324,"&lt;="&amp;$B75)</f>
        <v>73157.680000000168</v>
      </c>
      <c r="E75" s="24">
        <f>SUMIFS('Saldos Iniciales'!$D:$D,'Saldos Iniciales'!$A:$A,"Durand")+SUMIFS(Movimientos!$K$1:$K$1324,Movimientos!$C$1:$C$1324,"Durand",Movimientos!$B$1:$B$1324,"&lt;="&amp;$B75)</f>
        <v>1669.89</v>
      </c>
      <c r="F75" s="24">
        <f>SUMIFS('Saldos Iniciales'!$D:$D,'Saldos Iniciales'!$A:$A,"A&amp;M Imports")+SUMIFS(Movimientos!$K$1:$K$1324,Movimientos!$C$1:$C$1324,"A&amp;M Imports",Movimientos!$B$1:$B$1324,"&lt;="&amp;$B75)</f>
        <v>290141.62999999989</v>
      </c>
      <c r="G75" s="24">
        <f>SUMIFS('Saldos Iniciales'!$D:$D,'Saldos Iniciales'!$A:$A,"SSP Capital")+SUMIFS(Movimientos!$K$1:$K$1324,Movimientos!$C$1:$C$1324,"SSP Capital",Movimientos!$B$1:$B$1324,"&lt;="&amp;$B75)</f>
        <v>1921752.2699999993</v>
      </c>
      <c r="H75" s="24">
        <f>SUMIFS('Saldos Iniciales'!$D:$D,'Saldos Iniciales'!$A:$A,"Cross Family Trust")+SUMIFS(Movimientos!$K$1:$K$1324,Movimientos!$C$1:$C$1324,"Cross Family Trust",Movimientos!$B$1:$B$1324,"&lt;="&amp;$B75)</f>
        <v>200496.38</v>
      </c>
      <c r="I75" s="24">
        <f>SUMIFS('Saldos Iniciales'!$D:$D,'Saldos Iniciales'!$A:$A,"Cross Security Trust")+SUMIFS(Movimientos!$K$1:$K$1324,Movimientos!$C$1:$C$1324,"Cross Security Trust",Movimientos!$B$1:$B$1324,"&lt;="&amp;$B75)</f>
        <v>267503.99000000005</v>
      </c>
      <c r="J75" s="24">
        <f>SUMIFS('Saldos Iniciales'!$D:$D,'Saldos Iniciales'!$A:$A,"Electrama")+SUMIFS(Movimientos!$K$1:$K$1324,Movimientos!$C$1:$C$1324,"Electrama",Movimientos!$B$1:$B$1324,"&lt;="&amp;$B75)</f>
        <v>14580.45</v>
      </c>
      <c r="K75" s="24">
        <f>SUMIFS('Saldos Iniciales'!$D:$D,'Saldos Iniciales'!$A:$A,"Sacred Valley Capital")+SUMIFS(Movimientos!$K$1:$K$1324,Movimientos!$C$1:$C$1324,"Sacred Valley Capital",Movimientos!$B$1:$B$1324,"&lt;="&amp;$B75)</f>
        <v>54.400000000000006</v>
      </c>
      <c r="L75" s="24">
        <f>SUMIFS('Saldos Iniciales'!$D:$D,'Saldos Iniciales'!$A:$A,"YWC Capital")+SUMIFS(Movimientos!$K$1:$K$1324,Movimientos!$C$1:$C$1324,"YWC Capital",Movimientos!$B$1:$B$1324,"&lt;="&amp;$B75)</f>
        <v>2207.8200000000002</v>
      </c>
      <c r="M75" s="24">
        <f>SUMIFS('Saldos Iniciales'!$D:$D,'Saldos Iniciales'!$A:$A,"Soweto")+SUMIFS(Movimientos!$K$1:$K$1324,Movimientos!$C$1:$C$1324,"Soweto",Movimientos!$B$1:$B$1324,"&lt;="&amp;$B75)</f>
        <v>1454589.72</v>
      </c>
      <c r="N75" s="24">
        <f>SUMIFS('Saldos Iniciales'!$D:$D,'Saldos Iniciales'!$A:$A,"Green Stone Trust")+SUMIFS(Movimientos!$K$1:$K$1324,Movimientos!$C$1:$C$1324,"Green Stone Trust",Movimientos!$B$1:$B$1324,"&lt;="&amp;$B75)</f>
        <v>1968.99</v>
      </c>
      <c r="O75" s="24">
        <f>SUMIFS('Saldos Iniciales'!$D:$D,'Saldos Iniciales'!$A:$A,"EC Auto")+SUMIFS(Movimientos!$K$1:$K$1324,Movimientos!$C$1:$C$1324,"EC Auto",Movimientos!$B$1:$B$1324,"&lt;="&amp;$B75)</f>
        <v>901.34</v>
      </c>
      <c r="P75" s="24">
        <f>SUMIFS('Saldos Iniciales'!$D:$D,'Saldos Iniciales'!$A:$A,"Arbor Capital Properties")+SUMIFS(Movimientos!$K$1:$K$1324,Movimientos!$C$1:$C$1324,"Arbor Capital Properties",Movimientos!$B$1:$B$1324,"&lt;="&amp;$B75)</f>
        <v>1412.08</v>
      </c>
      <c r="Q75" s="24">
        <f>SUMIFS('Saldos Iniciales'!$D:$D,'Saldos Iniciales'!$A:$A,"2515 Overbrook")+SUMIFS(Movimientos!$K$1:$K$1324,Movimientos!$C$1:$C$1324,"2515 Overbrook",Movimientos!$B$1:$B$1324,"&lt;="&amp;$B75)</f>
        <v>22496.639999999959</v>
      </c>
      <c r="R75" s="24">
        <f>SUMIFS('Saldos Iniciales'!$D:$D,'Saldos Iniciales'!$A:$A,"112 Florida Ave")+SUMIFS(Movimientos!$K$1:$K$1324,Movimientos!$C$1:$C$1324,"112 Florida Ave",Movimientos!$B$1:$B$1324,"&lt;="&amp;$B75)</f>
        <v>6522.8000000000029</v>
      </c>
      <c r="S75" s="24">
        <f>SUMIFS('Saldos Iniciales'!$D:$D,'Saldos Iniciales'!$A:$A,"3628 Thomas Ave")+SUMIFS(Movimientos!$K$1:$K$1324,Movimientos!$C$1:$C$1324,"3628 Thomas Ave",Movimientos!$B$1:$B$1324,"&lt;="&amp;$B75)</f>
        <v>28485.559999999998</v>
      </c>
      <c r="T75" s="24">
        <f>SUMIFS('Saldos Iniciales'!$D:$D,'Saldos Iniciales'!$A:$A,"Green Harbor Trust")+SUMIFS(Movimientos!$K$1:$K$1324,Movimientos!$C$1:$C$1324,"Green Harbor Trust",Movimientos!$B$1:$B$1324,"&lt;="&amp;$B75)</f>
        <v>345</v>
      </c>
      <c r="U75" s="24">
        <f>SUMIFS('Saldos Iniciales'!$D:$D,'Saldos Iniciales'!$A:$A,"Go Blue")+SUMIFS(Movimientos!$K$1:$K$1324,Movimientos!$C$1:$C$1324,"Go Blue",Movimientos!$B$1:$B$1324,"&lt;="&amp;$B75)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Aparments",Movimientos!$B$1:$B$1324,"&lt;="&amp;$B75))</f>
        <v>0</v>
      </c>
      <c r="AD75" s="24">
        <f>IF(YEAR($B75)*100+MONTH($B75)&lt;--SUBSTITUTE(_xlfn.XLOOKUP("Don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Life",Movimientos!$B$1:$B$1324,"&lt;="&amp;$B75))</f>
        <v>0</v>
      </c>
      <c r="AE75" s="25">
        <f t="shared" si="3"/>
        <v>8477240.6300000027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Group")+SUMIFS(Movimientos!$K$1:$K$1324,Movimientos!$C$1:$C$1324,"CFT Group",Movimientos!$B$1:$B$1324,"&lt;="&amp;$B76)</f>
        <v>3363755.7500000005</v>
      </c>
      <c r="D76" s="24">
        <f>SUMIFS('Saldos Iniciales'!$D:$D,'Saldos Iniciales'!$A:$A,"M1B")+SUMIFS(Movimientos!$K$1:$K$1324,Movimientos!$C$1:$C$1324,"M1B",Movimientos!$B$1:$B$1324,"&lt;="&amp;$B76)</f>
        <v>73157.680000000168</v>
      </c>
      <c r="E76" s="24">
        <f>SUMIFS('Saldos Iniciales'!$D:$D,'Saldos Iniciales'!$A:$A,"Durand")+SUMIFS(Movimientos!$K$1:$K$1324,Movimientos!$C$1:$C$1324,"Durand",Movimientos!$B$1:$B$1324,"&lt;="&amp;$B76)</f>
        <v>1669.89</v>
      </c>
      <c r="F76" s="24">
        <f>SUMIFS('Saldos Iniciales'!$D:$D,'Saldos Iniciales'!$A:$A,"A&amp;M Imports")+SUMIFS(Movimientos!$K$1:$K$1324,Movimientos!$C$1:$C$1324,"A&amp;M Imports",Movimientos!$B$1:$B$1324,"&lt;="&amp;$B76)</f>
        <v>1090141.6299999999</v>
      </c>
      <c r="G76" s="24">
        <f>SUMIFS('Saldos Iniciales'!$D:$D,'Saldos Iniciales'!$A:$A,"SSP Capital")+SUMIFS(Movimientos!$K$1:$K$1324,Movimientos!$C$1:$C$1324,"SSP Capital",Movimientos!$B$1:$B$1324,"&lt;="&amp;$B76)</f>
        <v>1856542.8899999992</v>
      </c>
      <c r="H76" s="24">
        <f>SUMIFS('Saldos Iniciales'!$D:$D,'Saldos Iniciales'!$A:$A,"Cross Family Trust")+SUMIFS(Movimientos!$K$1:$K$1324,Movimientos!$C$1:$C$1324,"Cross Family Trust",Movimientos!$B$1:$B$1324,"&lt;="&amp;$B76)</f>
        <v>200496.38</v>
      </c>
      <c r="I76" s="24">
        <f>SUMIFS('Saldos Iniciales'!$D:$D,'Saldos Iniciales'!$A:$A,"Cross Security Trust")+SUMIFS(Movimientos!$K$1:$K$1324,Movimientos!$C$1:$C$1324,"Cross Security Trust",Movimientos!$B$1:$B$1324,"&lt;="&amp;$B76)</f>
        <v>267503.99000000005</v>
      </c>
      <c r="J76" s="24">
        <f>SUMIFS('Saldos Iniciales'!$D:$D,'Saldos Iniciales'!$A:$A,"Electrama")+SUMIFS(Movimientos!$K$1:$K$1324,Movimientos!$C$1:$C$1324,"Electrama",Movimientos!$B$1:$B$1324,"&lt;="&amp;$B76)</f>
        <v>14580.45</v>
      </c>
      <c r="K76" s="24">
        <f>SUMIFS('Saldos Iniciales'!$D:$D,'Saldos Iniciales'!$A:$A,"Sacred Valley Capital")+SUMIFS(Movimientos!$K$1:$K$1324,Movimientos!$C$1:$C$1324,"Sacred Valley Capital",Movimientos!$B$1:$B$1324,"&lt;="&amp;$B76)</f>
        <v>54.400000000000006</v>
      </c>
      <c r="L76" s="24">
        <f>SUMIFS('Saldos Iniciales'!$D:$D,'Saldos Iniciales'!$A:$A,"YWC Capital")+SUMIFS(Movimientos!$K$1:$K$1324,Movimientos!$C$1:$C$1324,"YWC Capital",Movimientos!$B$1:$B$1324,"&lt;="&amp;$B76)</f>
        <v>2207.8200000000002</v>
      </c>
      <c r="M76" s="24">
        <f>SUMIFS('Saldos Iniciales'!$D:$D,'Saldos Iniciales'!$A:$A,"Soweto")+SUMIFS(Movimientos!$K$1:$K$1324,Movimientos!$C$1:$C$1324,"Soweto",Movimientos!$B$1:$B$1324,"&lt;="&amp;$B76)</f>
        <v>1454589.72</v>
      </c>
      <c r="N76" s="24">
        <f>SUMIFS('Saldos Iniciales'!$D:$D,'Saldos Iniciales'!$A:$A,"Green Stone Trust")+SUMIFS(Movimientos!$K$1:$K$1324,Movimientos!$C$1:$C$1324,"Green Stone Trust",Movimientos!$B$1:$B$1324,"&lt;="&amp;$B76)</f>
        <v>1968.99</v>
      </c>
      <c r="O76" s="24">
        <f>SUMIFS('Saldos Iniciales'!$D:$D,'Saldos Iniciales'!$A:$A,"EC Auto")+SUMIFS(Movimientos!$K$1:$K$1324,Movimientos!$C$1:$C$1324,"EC Auto",Movimientos!$B$1:$B$1324,"&lt;="&amp;$B76)</f>
        <v>901.34</v>
      </c>
      <c r="P76" s="24">
        <f>SUMIFS('Saldos Iniciales'!$D:$D,'Saldos Iniciales'!$A:$A,"Arbor Capital Properties")+SUMIFS(Movimientos!$K$1:$K$1324,Movimientos!$C$1:$C$1324,"Arbor Capital Properties",Movimientos!$B$1:$B$1324,"&lt;="&amp;$B76)</f>
        <v>1412.08</v>
      </c>
      <c r="Q76" s="24">
        <f>SUMIFS('Saldos Iniciales'!$D:$D,'Saldos Iniciales'!$A:$A,"2515 Overbrook")+SUMIFS(Movimientos!$K$1:$K$1324,Movimientos!$C$1:$C$1324,"2515 Overbrook",Movimientos!$B$1:$B$1324,"&lt;="&amp;$B76)</f>
        <v>22347.56999999996</v>
      </c>
      <c r="R76" s="24">
        <f>SUMIFS('Saldos Iniciales'!$D:$D,'Saldos Iniciales'!$A:$A,"112 Florida Ave")+SUMIFS(Movimientos!$K$1:$K$1324,Movimientos!$C$1:$C$1324,"112 Florida Ave",Movimientos!$B$1:$B$1324,"&lt;="&amp;$B76)</f>
        <v>6522.8000000000029</v>
      </c>
      <c r="S76" s="24">
        <f>SUMIFS('Saldos Iniciales'!$D:$D,'Saldos Iniciales'!$A:$A,"3628 Thomas Ave")+SUMIFS(Movimientos!$K$1:$K$1324,Movimientos!$C$1:$C$1324,"3628 Thomas Ave",Movimientos!$B$1:$B$1324,"&lt;="&amp;$B76)</f>
        <v>28485.559999999998</v>
      </c>
      <c r="T76" s="24">
        <f>SUMIFS('Saldos Iniciales'!$D:$D,'Saldos Iniciales'!$A:$A,"Green Harbor Trust")+SUMIFS(Movimientos!$K$1:$K$1324,Movimientos!$C$1:$C$1324,"Green Harbor Trust",Movimientos!$B$1:$B$1324,"&lt;="&amp;$B76)</f>
        <v>345</v>
      </c>
      <c r="U76" s="24">
        <f>SUMIFS('Saldos Iniciales'!$D:$D,'Saldos Iniciales'!$A:$A,"Go Blue")+SUMIFS(Movimientos!$K$1:$K$1324,Movimientos!$C$1:$C$1324,"Go Blue",Movimientos!$B$1:$B$1324,"&lt;="&amp;$B76)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Aparments",Movimientos!$B$1:$B$1324,"&lt;="&amp;$B76))</f>
        <v>0</v>
      </c>
      <c r="AD76" s="24">
        <f>IF(YEAR($B76)*100+MONTH($B76)&lt;--SUBSTITUTE(_xlfn.XLOOKUP("Don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Life",Movimientos!$B$1:$B$1324,"&lt;="&amp;$B76))</f>
        <v>0</v>
      </c>
      <c r="AE76" s="25">
        <f t="shared" si="3"/>
        <v>8411882.1799999997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Group")+SUMIFS(Movimientos!$K$1:$K$1324,Movimientos!$C$1:$C$1324,"CFT Group",Movimientos!$B$1:$B$1324,"&lt;="&amp;$B77)</f>
        <v>3363755.7500000005</v>
      </c>
      <c r="D77" s="24">
        <f>SUMIFS('Saldos Iniciales'!$D:$D,'Saldos Iniciales'!$A:$A,"M1B")+SUMIFS(Movimientos!$K$1:$K$1324,Movimientos!$C$1:$C$1324,"M1B",Movimientos!$B$1:$B$1324,"&lt;="&amp;$B77)</f>
        <v>73157.680000000168</v>
      </c>
      <c r="E77" s="24">
        <f>SUMIFS('Saldos Iniciales'!$D:$D,'Saldos Iniciales'!$A:$A,"Durand")+SUMIFS(Movimientos!$K$1:$K$1324,Movimientos!$C$1:$C$1324,"Durand",Movimientos!$B$1:$B$1324,"&lt;="&amp;$B77)</f>
        <v>1669.89</v>
      </c>
      <c r="F77" s="24">
        <f>SUMIFS('Saldos Iniciales'!$D:$D,'Saldos Iniciales'!$A:$A,"A&amp;M Imports")+SUMIFS(Movimientos!$K$1:$K$1324,Movimientos!$C$1:$C$1324,"A&amp;M Imports",Movimientos!$B$1:$B$1324,"&lt;="&amp;$B77)</f>
        <v>1089804.7499999998</v>
      </c>
      <c r="G77" s="24">
        <f>SUMIFS('Saldos Iniciales'!$D:$D,'Saldos Iniciales'!$A:$A,"SSP Capital")+SUMIFS(Movimientos!$K$1:$K$1324,Movimientos!$C$1:$C$1324,"SSP Capital",Movimientos!$B$1:$B$1324,"&lt;="&amp;$B77)</f>
        <v>1856513.4499999993</v>
      </c>
      <c r="H77" s="24">
        <f>SUMIFS('Saldos Iniciales'!$D:$D,'Saldos Iniciales'!$A:$A,"Cross Family Trust")+SUMIFS(Movimientos!$K$1:$K$1324,Movimientos!$C$1:$C$1324,"Cross Family Trust",Movimientos!$B$1:$B$1324,"&lt;="&amp;$B77)</f>
        <v>200496.38</v>
      </c>
      <c r="I77" s="24">
        <f>SUMIFS('Saldos Iniciales'!$D:$D,'Saldos Iniciales'!$A:$A,"Cross Security Trust")+SUMIFS(Movimientos!$K$1:$K$1324,Movimientos!$C$1:$C$1324,"Cross Security Trust",Movimientos!$B$1:$B$1324,"&lt;="&amp;$B77)</f>
        <v>267503.99000000005</v>
      </c>
      <c r="J77" s="24">
        <f>SUMIFS('Saldos Iniciales'!$D:$D,'Saldos Iniciales'!$A:$A,"Electrama")+SUMIFS(Movimientos!$K$1:$K$1324,Movimientos!$C$1:$C$1324,"Electrama",Movimientos!$B$1:$B$1324,"&lt;="&amp;$B77)</f>
        <v>14580.45</v>
      </c>
      <c r="K77" s="24">
        <f>SUMIFS('Saldos Iniciales'!$D:$D,'Saldos Iniciales'!$A:$A,"Sacred Valley Capital")+SUMIFS(Movimientos!$K$1:$K$1324,Movimientos!$C$1:$C$1324,"Sacred Valley Capital",Movimientos!$B$1:$B$1324,"&lt;="&amp;$B77)</f>
        <v>54.400000000000006</v>
      </c>
      <c r="L77" s="24">
        <f>SUMIFS('Saldos Iniciales'!$D:$D,'Saldos Iniciales'!$A:$A,"YWC Capital")+SUMIFS(Movimientos!$K$1:$K$1324,Movimientos!$C$1:$C$1324,"YWC Capital",Movimientos!$B$1:$B$1324,"&lt;="&amp;$B77)</f>
        <v>2207.8200000000002</v>
      </c>
      <c r="M77" s="24">
        <f>SUMIFS('Saldos Iniciales'!$D:$D,'Saldos Iniciales'!$A:$A,"Soweto")+SUMIFS(Movimientos!$K$1:$K$1324,Movimientos!$C$1:$C$1324,"Soweto",Movimientos!$B$1:$B$1324,"&lt;="&amp;$B77)</f>
        <v>1454589.72</v>
      </c>
      <c r="N77" s="24">
        <f>SUMIFS('Saldos Iniciales'!$D:$D,'Saldos Iniciales'!$A:$A,"Green Stone Trust")+SUMIFS(Movimientos!$K$1:$K$1324,Movimientos!$C$1:$C$1324,"Green Stone Trust",Movimientos!$B$1:$B$1324,"&lt;="&amp;$B77)</f>
        <v>1968.99</v>
      </c>
      <c r="O77" s="24">
        <f>SUMIFS('Saldos Iniciales'!$D:$D,'Saldos Iniciales'!$A:$A,"EC Auto")+SUMIFS(Movimientos!$K$1:$K$1324,Movimientos!$C$1:$C$1324,"EC Auto",Movimientos!$B$1:$B$1324,"&lt;="&amp;$B77)</f>
        <v>901.34</v>
      </c>
      <c r="P77" s="24">
        <f>SUMIFS('Saldos Iniciales'!$D:$D,'Saldos Iniciales'!$A:$A,"Arbor Capital Properties")+SUMIFS(Movimientos!$K$1:$K$1324,Movimientos!$C$1:$C$1324,"Arbor Capital Properties",Movimientos!$B$1:$B$1324,"&lt;="&amp;$B77)</f>
        <v>1412.08</v>
      </c>
      <c r="Q77" s="24">
        <f>SUMIFS('Saldos Iniciales'!$D:$D,'Saldos Iniciales'!$A:$A,"2515 Overbrook")+SUMIFS(Movimientos!$K$1:$K$1324,Movimientos!$C$1:$C$1324,"2515 Overbrook",Movimientos!$B$1:$B$1324,"&lt;="&amp;$B77)</f>
        <v>22347.56999999996</v>
      </c>
      <c r="R77" s="24">
        <f>SUMIFS('Saldos Iniciales'!$D:$D,'Saldos Iniciales'!$A:$A,"112 Florida Ave")+SUMIFS(Movimientos!$K$1:$K$1324,Movimientos!$C$1:$C$1324,"112 Florida Ave",Movimientos!$B$1:$B$1324,"&lt;="&amp;$B77)</f>
        <v>6522.8000000000029</v>
      </c>
      <c r="S77" s="24">
        <f>SUMIFS('Saldos Iniciales'!$D:$D,'Saldos Iniciales'!$A:$A,"3628 Thomas Ave")+SUMIFS(Movimientos!$K$1:$K$1324,Movimientos!$C$1:$C$1324,"3628 Thomas Ave",Movimientos!$B$1:$B$1324,"&lt;="&amp;$B77)</f>
        <v>28485.559999999998</v>
      </c>
      <c r="T77" s="24">
        <f>SUMIFS('Saldos Iniciales'!$D:$D,'Saldos Iniciales'!$A:$A,"Green Harbor Trust")+SUMIFS(Movimientos!$K$1:$K$1324,Movimientos!$C$1:$C$1324,"Green Harbor Trust",Movimientos!$B$1:$B$1324,"&lt;="&amp;$B77)</f>
        <v>345</v>
      </c>
      <c r="U77" s="24">
        <f>SUMIFS('Saldos Iniciales'!$D:$D,'Saldos Iniciales'!$A:$A,"Go Blue")+SUMIFS(Movimientos!$K$1:$K$1324,Movimientos!$C$1:$C$1324,"Go Blue",Movimientos!$B$1:$B$1324,"&lt;="&amp;$B77)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Aparments",Movimientos!$B$1:$B$1324,"&lt;="&amp;$B77))</f>
        <v>0</v>
      </c>
      <c r="AD77" s="24">
        <f>IF(YEAR($B77)*100+MONTH($B77)&lt;--SUBSTITUTE(_xlfn.XLOOKUP("Don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Life",Movimientos!$B$1:$B$1324,"&lt;="&amp;$B77))</f>
        <v>0</v>
      </c>
      <c r="AE77" s="25">
        <f t="shared" si="3"/>
        <v>8411340.8599999994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Group")+SUMIFS(Movimientos!$K$1:$K$1324,Movimientos!$C$1:$C$1324,"CFT Group",Movimientos!$B$1:$B$1324,"&lt;="&amp;$B78)</f>
        <v>3110339.0700000008</v>
      </c>
      <c r="D78" s="24">
        <f>SUMIFS('Saldos Iniciales'!$D:$D,'Saldos Iniciales'!$A:$A,"M1B")+SUMIFS(Movimientos!$K$1:$K$1324,Movimientos!$C$1:$C$1324,"M1B",Movimientos!$B$1:$B$1324,"&lt;="&amp;$B78)</f>
        <v>73157.680000000168</v>
      </c>
      <c r="E78" s="24">
        <f>SUMIFS('Saldos Iniciales'!$D:$D,'Saldos Iniciales'!$A:$A,"Durand")+SUMIFS(Movimientos!$K$1:$K$1324,Movimientos!$C$1:$C$1324,"Durand",Movimientos!$B$1:$B$1324,"&lt;="&amp;$B78)</f>
        <v>1669.89</v>
      </c>
      <c r="F78" s="24">
        <f>SUMIFS('Saldos Iniciales'!$D:$D,'Saldos Iniciales'!$A:$A,"A&amp;M Imports")+SUMIFS(Movimientos!$K$1:$K$1324,Movimientos!$C$1:$C$1324,"A&amp;M Imports",Movimientos!$B$1:$B$1324,"&lt;="&amp;$B78)</f>
        <v>1029804.7499999998</v>
      </c>
      <c r="G78" s="24">
        <f>SUMIFS('Saldos Iniciales'!$D:$D,'Saldos Iniciales'!$A:$A,"SSP Capital")+SUMIFS(Movimientos!$K$1:$K$1324,Movimientos!$C$1:$C$1324,"SSP Capital",Movimientos!$B$1:$B$1324,"&lt;="&amp;$B78)</f>
        <v>1678189.7499999995</v>
      </c>
      <c r="H78" s="24">
        <f>SUMIFS('Saldos Iniciales'!$D:$D,'Saldos Iniciales'!$A:$A,"Cross Family Trust")+SUMIFS(Movimientos!$K$1:$K$1324,Movimientos!$C$1:$C$1324,"Cross Family Trust",Movimientos!$B$1:$B$1324,"&lt;="&amp;$B78)</f>
        <v>200496.38</v>
      </c>
      <c r="I78" s="24">
        <f>SUMIFS('Saldos Iniciales'!$D:$D,'Saldos Iniciales'!$A:$A,"Cross Security Trust")+SUMIFS(Movimientos!$K$1:$K$1324,Movimientos!$C$1:$C$1324,"Cross Security Trust",Movimientos!$B$1:$B$1324,"&lt;="&amp;$B78)</f>
        <v>267507.45</v>
      </c>
      <c r="J78" s="24">
        <f>SUMIFS('Saldos Iniciales'!$D:$D,'Saldos Iniciales'!$A:$A,"Electrama")+SUMIFS(Movimientos!$K$1:$K$1324,Movimientos!$C$1:$C$1324,"Electrama",Movimientos!$B$1:$B$1324,"&lt;="&amp;$B78)</f>
        <v>14580.45</v>
      </c>
      <c r="K78" s="24">
        <f>SUMIFS('Saldos Iniciales'!$D:$D,'Saldos Iniciales'!$A:$A,"Sacred Valley Capital")+SUMIFS(Movimientos!$K$1:$K$1324,Movimientos!$C$1:$C$1324,"Sacred Valley Capital",Movimientos!$B$1:$B$1324,"&lt;="&amp;$B78)</f>
        <v>54.400000000000006</v>
      </c>
      <c r="L78" s="24">
        <f>SUMIFS('Saldos Iniciales'!$D:$D,'Saldos Iniciales'!$A:$A,"YWC Capital")+SUMIFS(Movimientos!$K$1:$K$1324,Movimientos!$C$1:$C$1324,"YWC Capital",Movimientos!$B$1:$B$1324,"&lt;="&amp;$B78)</f>
        <v>2207.8200000000002</v>
      </c>
      <c r="M78" s="24">
        <f>SUMIFS('Saldos Iniciales'!$D:$D,'Saldos Iniciales'!$A:$A,"Soweto")+SUMIFS(Movimientos!$K$1:$K$1324,Movimientos!$C$1:$C$1324,"Soweto",Movimientos!$B$1:$B$1324,"&lt;="&amp;$B78)</f>
        <v>1454589.72</v>
      </c>
      <c r="N78" s="24">
        <f>SUMIFS('Saldos Iniciales'!$D:$D,'Saldos Iniciales'!$A:$A,"Green Stone Trust")+SUMIFS(Movimientos!$K$1:$K$1324,Movimientos!$C$1:$C$1324,"Green Stone Trust",Movimientos!$B$1:$B$1324,"&lt;="&amp;$B78)</f>
        <v>1968.99</v>
      </c>
      <c r="O78" s="24">
        <f>SUMIFS('Saldos Iniciales'!$D:$D,'Saldos Iniciales'!$A:$A,"EC Auto")+SUMIFS(Movimientos!$K$1:$K$1324,Movimientos!$C$1:$C$1324,"EC Auto",Movimientos!$B$1:$B$1324,"&lt;="&amp;$B78)</f>
        <v>901.34</v>
      </c>
      <c r="P78" s="24">
        <f>SUMIFS('Saldos Iniciales'!$D:$D,'Saldos Iniciales'!$A:$A,"Arbor Capital Properties")+SUMIFS(Movimientos!$K$1:$K$1324,Movimientos!$C$1:$C$1324,"Arbor Capital Properties",Movimientos!$B$1:$B$1324,"&lt;="&amp;$B78)</f>
        <v>1412.08</v>
      </c>
      <c r="Q78" s="24">
        <f>SUMIFS('Saldos Iniciales'!$D:$D,'Saldos Iniciales'!$A:$A,"2515 Overbrook")+SUMIFS(Movimientos!$K$1:$K$1324,Movimientos!$C$1:$C$1324,"2515 Overbrook",Movimientos!$B$1:$B$1324,"&lt;="&amp;$B78)</f>
        <v>22347.56999999996</v>
      </c>
      <c r="R78" s="24">
        <f>SUMIFS('Saldos Iniciales'!$D:$D,'Saldos Iniciales'!$A:$A,"112 Florida Ave")+SUMIFS(Movimientos!$K$1:$K$1324,Movimientos!$C$1:$C$1324,"112 Florida Ave",Movimientos!$B$1:$B$1324,"&lt;="&amp;$B78)</f>
        <v>3522.8000000000029</v>
      </c>
      <c r="S78" s="24">
        <f>SUMIFS('Saldos Iniciales'!$D:$D,'Saldos Iniciales'!$A:$A,"3628 Thomas Ave")+SUMIFS(Movimientos!$K$1:$K$1324,Movimientos!$C$1:$C$1324,"3628 Thomas Ave",Movimientos!$B$1:$B$1324,"&lt;="&amp;$B78)</f>
        <v>28485.559999999998</v>
      </c>
      <c r="T78" s="24">
        <f>SUMIFS('Saldos Iniciales'!$D:$D,'Saldos Iniciales'!$A:$A,"Green Harbor Trust")+SUMIFS(Movimientos!$K$1:$K$1324,Movimientos!$C$1:$C$1324,"Green Harbor Trust",Movimientos!$B$1:$B$1324,"&lt;="&amp;$B78)</f>
        <v>345</v>
      </c>
      <c r="U78" s="24">
        <f>SUMIFS('Saldos Iniciales'!$D:$D,'Saldos Iniciales'!$A:$A,"Go Blue")+SUMIFS(Movimientos!$K$1:$K$1324,Movimientos!$C$1:$C$1324,"Go Blue",Movimientos!$B$1:$B$1324,"&lt;="&amp;$B78)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Aparments",Movimientos!$B$1:$B$1324,"&lt;="&amp;$B78))</f>
        <v>0</v>
      </c>
      <c r="AD78" s="24">
        <f>IF(YEAR($B78)*100+MONTH($B78)&lt;--SUBSTITUTE(_xlfn.XLOOKUP("Don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Life",Movimientos!$B$1:$B$1324,"&lt;="&amp;$B78))</f>
        <v>0</v>
      </c>
      <c r="AE78" s="25">
        <f t="shared" si="3"/>
        <v>7915559.5500000007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Group")+SUMIFS(Movimientos!$K$1:$K$1324,Movimientos!$C$1:$C$1324,"CFT Group",Movimientos!$B$1:$B$1324,"&lt;="&amp;$B79)</f>
        <v>3110339.0700000008</v>
      </c>
      <c r="D79" s="24">
        <f>SUMIFS('Saldos Iniciales'!$D:$D,'Saldos Iniciales'!$A:$A,"M1B")+SUMIFS(Movimientos!$K$1:$K$1324,Movimientos!$C$1:$C$1324,"M1B",Movimientos!$B$1:$B$1324,"&lt;="&amp;$B79)</f>
        <v>73157.680000000168</v>
      </c>
      <c r="E79" s="24">
        <f>SUMIFS('Saldos Iniciales'!$D:$D,'Saldos Iniciales'!$A:$A,"Durand")+SUMIFS(Movimientos!$K$1:$K$1324,Movimientos!$C$1:$C$1324,"Durand",Movimientos!$B$1:$B$1324,"&lt;="&amp;$B79)</f>
        <v>1669.89</v>
      </c>
      <c r="F79" s="24">
        <f>SUMIFS('Saldos Iniciales'!$D:$D,'Saldos Iniciales'!$A:$A,"A&amp;M Imports")+SUMIFS(Movimientos!$K$1:$K$1324,Movimientos!$C$1:$C$1324,"A&amp;M Imports",Movimientos!$B$1:$B$1324,"&lt;="&amp;$B79)</f>
        <v>1029804.7499999998</v>
      </c>
      <c r="G79" s="24">
        <f>SUMIFS('Saldos Iniciales'!$D:$D,'Saldos Iniciales'!$A:$A,"SSP Capital")+SUMIFS(Movimientos!$K$1:$K$1324,Movimientos!$C$1:$C$1324,"SSP Capital",Movimientos!$B$1:$B$1324,"&lt;="&amp;$B79)</f>
        <v>1748189.7499999995</v>
      </c>
      <c r="H79" s="24">
        <f>SUMIFS('Saldos Iniciales'!$D:$D,'Saldos Iniciales'!$A:$A,"Cross Family Trust")+SUMIFS(Movimientos!$K$1:$K$1324,Movimientos!$C$1:$C$1324,"Cross Family Trust",Movimientos!$B$1:$B$1324,"&lt;="&amp;$B79)</f>
        <v>200496.38</v>
      </c>
      <c r="I79" s="24">
        <f>SUMIFS('Saldos Iniciales'!$D:$D,'Saldos Iniciales'!$A:$A,"Cross Security Trust")+SUMIFS(Movimientos!$K$1:$K$1324,Movimientos!$C$1:$C$1324,"Cross Security Trust",Movimientos!$B$1:$B$1324,"&lt;="&amp;$B79)</f>
        <v>267507.45</v>
      </c>
      <c r="J79" s="24">
        <f>SUMIFS('Saldos Iniciales'!$D:$D,'Saldos Iniciales'!$A:$A,"Electrama")+SUMIFS(Movimientos!$K$1:$K$1324,Movimientos!$C$1:$C$1324,"Electrama",Movimientos!$B$1:$B$1324,"&lt;="&amp;$B79)</f>
        <v>14580.45</v>
      </c>
      <c r="K79" s="24">
        <f>SUMIFS('Saldos Iniciales'!$D:$D,'Saldos Iniciales'!$A:$A,"Sacred Valley Capital")+SUMIFS(Movimientos!$K$1:$K$1324,Movimientos!$C$1:$C$1324,"Sacred Valley Capital",Movimientos!$B$1:$B$1324,"&lt;="&amp;$B79)</f>
        <v>54.400000000000006</v>
      </c>
      <c r="L79" s="24">
        <f>SUMIFS('Saldos Iniciales'!$D:$D,'Saldos Iniciales'!$A:$A,"YWC Capital")+SUMIFS(Movimientos!$K$1:$K$1324,Movimientos!$C$1:$C$1324,"YWC Capital",Movimientos!$B$1:$B$1324,"&lt;="&amp;$B79)</f>
        <v>2207.8200000000002</v>
      </c>
      <c r="M79" s="24">
        <f>SUMIFS('Saldos Iniciales'!$D:$D,'Saldos Iniciales'!$A:$A,"Soweto")+SUMIFS(Movimientos!$K$1:$K$1324,Movimientos!$C$1:$C$1324,"Soweto",Movimientos!$B$1:$B$1324,"&lt;="&amp;$B79)</f>
        <v>1454589.72</v>
      </c>
      <c r="N79" s="24">
        <f>SUMIFS('Saldos Iniciales'!$D:$D,'Saldos Iniciales'!$A:$A,"Green Stone Trust")+SUMIFS(Movimientos!$K$1:$K$1324,Movimientos!$C$1:$C$1324,"Green Stone Trust",Movimientos!$B$1:$B$1324,"&lt;="&amp;$B79)</f>
        <v>1968.99</v>
      </c>
      <c r="O79" s="24">
        <f>SUMIFS('Saldos Iniciales'!$D:$D,'Saldos Iniciales'!$A:$A,"EC Auto")+SUMIFS(Movimientos!$K$1:$K$1324,Movimientos!$C$1:$C$1324,"EC Auto",Movimientos!$B$1:$B$1324,"&lt;="&amp;$B79)</f>
        <v>901.34</v>
      </c>
      <c r="P79" s="24">
        <f>SUMIFS('Saldos Iniciales'!$D:$D,'Saldos Iniciales'!$A:$A,"Arbor Capital Properties")+SUMIFS(Movimientos!$K$1:$K$1324,Movimientos!$C$1:$C$1324,"Arbor Capital Properties",Movimientos!$B$1:$B$1324,"&lt;="&amp;$B79)</f>
        <v>1412.08</v>
      </c>
      <c r="Q79" s="24">
        <f>SUMIFS('Saldos Iniciales'!$D:$D,'Saldos Iniciales'!$A:$A,"2515 Overbrook")+SUMIFS(Movimientos!$K$1:$K$1324,Movimientos!$C$1:$C$1324,"2515 Overbrook",Movimientos!$B$1:$B$1324,"&lt;="&amp;$B79)</f>
        <v>22347.56999999996</v>
      </c>
      <c r="R79" s="24">
        <f>SUMIFS('Saldos Iniciales'!$D:$D,'Saldos Iniciales'!$A:$A,"112 Florida Ave")+SUMIFS(Movimientos!$K$1:$K$1324,Movimientos!$C$1:$C$1324,"112 Florida Ave",Movimientos!$B$1:$B$1324,"&lt;="&amp;$B79)</f>
        <v>3522.8000000000029</v>
      </c>
      <c r="S79" s="24">
        <f>SUMIFS('Saldos Iniciales'!$D:$D,'Saldos Iniciales'!$A:$A,"3628 Thomas Ave")+SUMIFS(Movimientos!$K$1:$K$1324,Movimientos!$C$1:$C$1324,"3628 Thomas Ave",Movimientos!$B$1:$B$1324,"&lt;="&amp;$B79)</f>
        <v>28485.559999999998</v>
      </c>
      <c r="T79" s="24">
        <f>SUMIFS('Saldos Iniciales'!$D:$D,'Saldos Iniciales'!$A:$A,"Green Harbor Trust")+SUMIFS(Movimientos!$K$1:$K$1324,Movimientos!$C$1:$C$1324,"Green Harbor Trust",Movimientos!$B$1:$B$1324,"&lt;="&amp;$B79)</f>
        <v>345</v>
      </c>
      <c r="U79" s="24">
        <f>SUMIFS('Saldos Iniciales'!$D:$D,'Saldos Iniciales'!$A:$A,"Go Blue")+SUMIFS(Movimientos!$K$1:$K$1324,Movimientos!$C$1:$C$1324,"Go Blue",Movimientos!$B$1:$B$1324,"&lt;="&amp;$B79)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Aparments",Movimientos!$B$1:$B$1324,"&lt;="&amp;$B79))</f>
        <v>0</v>
      </c>
      <c r="AD79" s="24">
        <f>IF(YEAR($B79)*100+MONTH($B79)&lt;--SUBSTITUTE(_xlfn.XLOOKUP("Don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Life",Movimientos!$B$1:$B$1324,"&lt;="&amp;$B79))</f>
        <v>0</v>
      </c>
      <c r="AE79" s="25">
        <f t="shared" si="3"/>
        <v>7977811.3200000012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Group")+SUMIFS(Movimientos!$K$1:$K$1324,Movimientos!$C$1:$C$1324,"CFT Group",Movimientos!$B$1:$B$1324,"&lt;="&amp;$B80)</f>
        <v>3110339.0700000008</v>
      </c>
      <c r="D80" s="24">
        <f>SUMIFS('Saldos Iniciales'!$D:$D,'Saldos Iniciales'!$A:$A,"M1B")+SUMIFS(Movimientos!$K$1:$K$1324,Movimientos!$C$1:$C$1324,"M1B",Movimientos!$B$1:$B$1324,"&lt;="&amp;$B80)</f>
        <v>73157.680000000168</v>
      </c>
      <c r="E80" s="24">
        <f>SUMIFS('Saldos Iniciales'!$D:$D,'Saldos Iniciales'!$A:$A,"Durand")+SUMIFS(Movimientos!$K$1:$K$1324,Movimientos!$C$1:$C$1324,"Durand",Movimientos!$B$1:$B$1324,"&lt;="&amp;$B80)</f>
        <v>1669.89</v>
      </c>
      <c r="F80" s="24">
        <f>SUMIFS('Saldos Iniciales'!$D:$D,'Saldos Iniciales'!$A:$A,"A&amp;M Imports")+SUMIFS(Movimientos!$K$1:$K$1324,Movimientos!$C$1:$C$1324,"A&amp;M Imports",Movimientos!$B$1:$B$1324,"&lt;="&amp;$B80)</f>
        <v>1029804.7499999998</v>
      </c>
      <c r="G80" s="24">
        <f>SUMIFS('Saldos Iniciales'!$D:$D,'Saldos Iniciales'!$A:$A,"SSP Capital")+SUMIFS(Movimientos!$K$1:$K$1324,Movimientos!$C$1:$C$1324,"SSP Capital",Movimientos!$B$1:$B$1324,"&lt;="&amp;$B80)</f>
        <v>1748189.7499999995</v>
      </c>
      <c r="H80" s="24">
        <f>SUMIFS('Saldos Iniciales'!$D:$D,'Saldos Iniciales'!$A:$A,"Cross Family Trust")+SUMIFS(Movimientos!$K$1:$K$1324,Movimientos!$C$1:$C$1324,"Cross Family Trust",Movimientos!$B$1:$B$1324,"&lt;="&amp;$B80)</f>
        <v>200496.38</v>
      </c>
      <c r="I80" s="24">
        <f>SUMIFS('Saldos Iniciales'!$D:$D,'Saldos Iniciales'!$A:$A,"Cross Security Trust")+SUMIFS(Movimientos!$K$1:$K$1324,Movimientos!$C$1:$C$1324,"Cross Security Trust",Movimientos!$B$1:$B$1324,"&lt;="&amp;$B80)</f>
        <v>267507.45</v>
      </c>
      <c r="J80" s="24">
        <f>SUMIFS('Saldos Iniciales'!$D:$D,'Saldos Iniciales'!$A:$A,"Electrama")+SUMIFS(Movimientos!$K$1:$K$1324,Movimientos!$C$1:$C$1324,"Electrama",Movimientos!$B$1:$B$1324,"&lt;="&amp;$B80)</f>
        <v>14580.45</v>
      </c>
      <c r="K80" s="24">
        <f>SUMIFS('Saldos Iniciales'!$D:$D,'Saldos Iniciales'!$A:$A,"Sacred Valley Capital")+SUMIFS(Movimientos!$K$1:$K$1324,Movimientos!$C$1:$C$1324,"Sacred Valley Capital",Movimientos!$B$1:$B$1324,"&lt;="&amp;$B80)</f>
        <v>54.400000000000006</v>
      </c>
      <c r="L80" s="24">
        <f>SUMIFS('Saldos Iniciales'!$D:$D,'Saldos Iniciales'!$A:$A,"YWC Capital")+SUMIFS(Movimientos!$K$1:$K$1324,Movimientos!$C$1:$C$1324,"YWC Capital",Movimientos!$B$1:$B$1324,"&lt;="&amp;$B80)</f>
        <v>2207.8200000000002</v>
      </c>
      <c r="M80" s="24">
        <f>SUMIFS('Saldos Iniciales'!$D:$D,'Saldos Iniciales'!$A:$A,"Soweto")+SUMIFS(Movimientos!$K$1:$K$1324,Movimientos!$C$1:$C$1324,"Soweto",Movimientos!$B$1:$B$1324,"&lt;="&amp;$B80)</f>
        <v>1454589.72</v>
      </c>
      <c r="N80" s="24">
        <f>SUMIFS('Saldos Iniciales'!$D:$D,'Saldos Iniciales'!$A:$A,"Green Stone Trust")+SUMIFS(Movimientos!$K$1:$K$1324,Movimientos!$C$1:$C$1324,"Green Stone Trust",Movimientos!$B$1:$B$1324,"&lt;="&amp;$B80)</f>
        <v>1968.99</v>
      </c>
      <c r="O80" s="24">
        <f>SUMIFS('Saldos Iniciales'!$D:$D,'Saldos Iniciales'!$A:$A,"EC Auto")+SUMIFS(Movimientos!$K$1:$K$1324,Movimientos!$C$1:$C$1324,"EC Auto",Movimientos!$B$1:$B$1324,"&lt;="&amp;$B80)</f>
        <v>901.34</v>
      </c>
      <c r="P80" s="24">
        <f>SUMIFS('Saldos Iniciales'!$D:$D,'Saldos Iniciales'!$A:$A,"Arbor Capital Properties")+SUMIFS(Movimientos!$K$1:$K$1324,Movimientos!$C$1:$C$1324,"Arbor Capital Properties",Movimientos!$B$1:$B$1324,"&lt;="&amp;$B80)</f>
        <v>1412.08</v>
      </c>
      <c r="Q80" s="24">
        <f>SUMIFS('Saldos Iniciales'!$D:$D,'Saldos Iniciales'!$A:$A,"2515 Overbrook")+SUMIFS(Movimientos!$K$1:$K$1324,Movimientos!$C$1:$C$1324,"2515 Overbrook",Movimientos!$B$1:$B$1324,"&lt;="&amp;$B80)</f>
        <v>22347.56999999996</v>
      </c>
      <c r="R80" s="24">
        <f>SUMIFS('Saldos Iniciales'!$D:$D,'Saldos Iniciales'!$A:$A,"112 Florida Ave")+SUMIFS(Movimientos!$K$1:$K$1324,Movimientos!$C$1:$C$1324,"112 Florida Ave",Movimientos!$B$1:$B$1324,"&lt;="&amp;$B80)</f>
        <v>3522.8000000000029</v>
      </c>
      <c r="S80" s="24">
        <f>SUMIFS('Saldos Iniciales'!$D:$D,'Saldos Iniciales'!$A:$A,"3628 Thomas Ave")+SUMIFS(Movimientos!$K$1:$K$1324,Movimientos!$C$1:$C$1324,"3628 Thomas Ave",Movimientos!$B$1:$B$1324,"&lt;="&amp;$B80)</f>
        <v>28485.559999999998</v>
      </c>
      <c r="T80" s="24">
        <f>SUMIFS('Saldos Iniciales'!$D:$D,'Saldos Iniciales'!$A:$A,"Green Harbor Trust")+SUMIFS(Movimientos!$K$1:$K$1324,Movimientos!$C$1:$C$1324,"Green Harbor Trust",Movimientos!$B$1:$B$1324,"&lt;="&amp;$B80)</f>
        <v>345</v>
      </c>
      <c r="U80" s="24">
        <f>SUMIFS('Saldos Iniciales'!$D:$D,'Saldos Iniciales'!$A:$A,"Go Blue")+SUMIFS(Movimientos!$K$1:$K$1324,Movimientos!$C$1:$C$1324,"Go Blue",Movimientos!$B$1:$B$1324,"&lt;="&amp;$B80)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Aparments",Movimientos!$B$1:$B$1324,"&lt;="&amp;$B80))</f>
        <v>0</v>
      </c>
      <c r="AD80" s="24">
        <f>IF(YEAR($B80)*100+MONTH($B80)&lt;--SUBSTITUTE(_xlfn.XLOOKUP("Don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Life",Movimientos!$B$1:$B$1324,"&lt;="&amp;$B80))</f>
        <v>0</v>
      </c>
      <c r="AE80" s="25">
        <f t="shared" si="3"/>
        <v>7977811.3200000012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Group")+SUMIFS(Movimientos!$K$1:$K$1324,Movimientos!$C$1:$C$1324,"CFT Group",Movimientos!$B$1:$B$1324,"&lt;="&amp;$B81)</f>
        <v>3110339.0700000008</v>
      </c>
      <c r="D81" s="24">
        <f>SUMIFS('Saldos Iniciales'!$D:$D,'Saldos Iniciales'!$A:$A,"M1B")+SUMIFS(Movimientos!$K$1:$K$1324,Movimientos!$C$1:$C$1324,"M1B",Movimientos!$B$1:$B$1324,"&lt;="&amp;$B81)</f>
        <v>73157.680000000168</v>
      </c>
      <c r="E81" s="24">
        <f>SUMIFS('Saldos Iniciales'!$D:$D,'Saldos Iniciales'!$A:$A,"Durand")+SUMIFS(Movimientos!$K$1:$K$1324,Movimientos!$C$1:$C$1324,"Durand",Movimientos!$B$1:$B$1324,"&lt;="&amp;$B81)</f>
        <v>1669.89</v>
      </c>
      <c r="F81" s="24">
        <f>SUMIFS('Saldos Iniciales'!$D:$D,'Saldos Iniciales'!$A:$A,"A&amp;M Imports")+SUMIFS(Movimientos!$K$1:$K$1324,Movimientos!$C$1:$C$1324,"A&amp;M Imports",Movimientos!$B$1:$B$1324,"&lt;="&amp;$B81)</f>
        <v>1029804.7499999998</v>
      </c>
      <c r="G81" s="24">
        <f>SUMIFS('Saldos Iniciales'!$D:$D,'Saldos Iniciales'!$A:$A,"SSP Capital")+SUMIFS(Movimientos!$K$1:$K$1324,Movimientos!$C$1:$C$1324,"SSP Capital",Movimientos!$B$1:$B$1324,"&lt;="&amp;$B81)</f>
        <v>1748189.7499999995</v>
      </c>
      <c r="H81" s="24">
        <f>SUMIFS('Saldos Iniciales'!$D:$D,'Saldos Iniciales'!$A:$A,"Cross Family Trust")+SUMIFS(Movimientos!$K$1:$K$1324,Movimientos!$C$1:$C$1324,"Cross Family Trust",Movimientos!$B$1:$B$1324,"&lt;="&amp;$B81)</f>
        <v>200496.38</v>
      </c>
      <c r="I81" s="24">
        <f>SUMIFS('Saldos Iniciales'!$D:$D,'Saldos Iniciales'!$A:$A,"Cross Security Trust")+SUMIFS(Movimientos!$K$1:$K$1324,Movimientos!$C$1:$C$1324,"Cross Security Trust",Movimientos!$B$1:$B$1324,"&lt;="&amp;$B81)</f>
        <v>267507.45</v>
      </c>
      <c r="J81" s="24">
        <f>SUMIFS('Saldos Iniciales'!$D:$D,'Saldos Iniciales'!$A:$A,"Electrama")+SUMIFS(Movimientos!$K$1:$K$1324,Movimientos!$C$1:$C$1324,"Electrama",Movimientos!$B$1:$B$1324,"&lt;="&amp;$B81)</f>
        <v>14580.45</v>
      </c>
      <c r="K81" s="24">
        <f>SUMIFS('Saldos Iniciales'!$D:$D,'Saldos Iniciales'!$A:$A,"Sacred Valley Capital")+SUMIFS(Movimientos!$K$1:$K$1324,Movimientos!$C$1:$C$1324,"Sacred Valley Capital",Movimientos!$B$1:$B$1324,"&lt;="&amp;$B81)</f>
        <v>54.400000000000006</v>
      </c>
      <c r="L81" s="24">
        <f>SUMIFS('Saldos Iniciales'!$D:$D,'Saldos Iniciales'!$A:$A,"YWC Capital")+SUMIFS(Movimientos!$K$1:$K$1324,Movimientos!$C$1:$C$1324,"YWC Capital",Movimientos!$B$1:$B$1324,"&lt;="&amp;$B81)</f>
        <v>2207.8200000000002</v>
      </c>
      <c r="M81" s="24">
        <f>SUMIFS('Saldos Iniciales'!$D:$D,'Saldos Iniciales'!$A:$A,"Soweto")+SUMIFS(Movimientos!$K$1:$K$1324,Movimientos!$C$1:$C$1324,"Soweto",Movimientos!$B$1:$B$1324,"&lt;="&amp;$B81)</f>
        <v>1454589.72</v>
      </c>
      <c r="N81" s="24">
        <f>SUMIFS('Saldos Iniciales'!$D:$D,'Saldos Iniciales'!$A:$A,"Green Stone Trust")+SUMIFS(Movimientos!$K$1:$K$1324,Movimientos!$C$1:$C$1324,"Green Stone Trust",Movimientos!$B$1:$B$1324,"&lt;="&amp;$B81)</f>
        <v>1968.99</v>
      </c>
      <c r="O81" s="24">
        <f>SUMIFS('Saldos Iniciales'!$D:$D,'Saldos Iniciales'!$A:$A,"EC Auto")+SUMIFS(Movimientos!$K$1:$K$1324,Movimientos!$C$1:$C$1324,"EC Auto",Movimientos!$B$1:$B$1324,"&lt;="&amp;$B81)</f>
        <v>901.34</v>
      </c>
      <c r="P81" s="24">
        <f>SUMIFS('Saldos Iniciales'!$D:$D,'Saldos Iniciales'!$A:$A,"Arbor Capital Properties")+SUMIFS(Movimientos!$K$1:$K$1324,Movimientos!$C$1:$C$1324,"Arbor Capital Properties",Movimientos!$B$1:$B$1324,"&lt;="&amp;$B81)</f>
        <v>1412.08</v>
      </c>
      <c r="Q81" s="24">
        <f>SUMIFS('Saldos Iniciales'!$D:$D,'Saldos Iniciales'!$A:$A,"2515 Overbrook")+SUMIFS(Movimientos!$K$1:$K$1324,Movimientos!$C$1:$C$1324,"2515 Overbrook",Movimientos!$B$1:$B$1324,"&lt;="&amp;$B81)</f>
        <v>22347.56999999996</v>
      </c>
      <c r="R81" s="24">
        <f>SUMIFS('Saldos Iniciales'!$D:$D,'Saldos Iniciales'!$A:$A,"112 Florida Ave")+SUMIFS(Movimientos!$K$1:$K$1324,Movimientos!$C$1:$C$1324,"112 Florida Ave",Movimientos!$B$1:$B$1324,"&lt;="&amp;$B81)</f>
        <v>3522.8000000000029</v>
      </c>
      <c r="S81" s="24">
        <f>SUMIFS('Saldos Iniciales'!$D:$D,'Saldos Iniciales'!$A:$A,"3628 Thomas Ave")+SUMIFS(Movimientos!$K$1:$K$1324,Movimientos!$C$1:$C$1324,"3628 Thomas Ave",Movimientos!$B$1:$B$1324,"&lt;="&amp;$B81)</f>
        <v>28485.559999999998</v>
      </c>
      <c r="T81" s="24">
        <f>SUMIFS('Saldos Iniciales'!$D:$D,'Saldos Iniciales'!$A:$A,"Green Harbor Trust")+SUMIFS(Movimientos!$K$1:$K$1324,Movimientos!$C$1:$C$1324,"Green Harbor Trust",Movimientos!$B$1:$B$1324,"&lt;="&amp;$B81)</f>
        <v>345</v>
      </c>
      <c r="U81" s="24">
        <f>SUMIFS('Saldos Iniciales'!$D:$D,'Saldos Iniciales'!$A:$A,"Go Blue")+SUMIFS(Movimientos!$K$1:$K$1324,Movimientos!$C$1:$C$1324,"Go Blue",Movimientos!$B$1:$B$1324,"&lt;="&amp;$B81)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Aparments",Movimientos!$B$1:$B$1324,"&lt;="&amp;$B81))</f>
        <v>0</v>
      </c>
      <c r="AD81" s="24">
        <f>IF(YEAR($B81)*100+MONTH($B81)&lt;--SUBSTITUTE(_xlfn.XLOOKUP("Don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Life",Movimientos!$B$1:$B$1324,"&lt;="&amp;$B81))</f>
        <v>0</v>
      </c>
      <c r="AE81" s="25">
        <f t="shared" si="3"/>
        <v>7977811.3200000012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Group")+SUMIFS(Movimientos!$K$1:$K$1324,Movimientos!$C$1:$C$1324,"CFT Group",Movimientos!$B$1:$B$1324,"&lt;="&amp;$B82)</f>
        <v>3110339.0700000008</v>
      </c>
      <c r="D82" s="24">
        <f>SUMIFS('Saldos Iniciales'!$D:$D,'Saldos Iniciales'!$A:$A,"M1B")+SUMIFS(Movimientos!$K$1:$K$1324,Movimientos!$C$1:$C$1324,"M1B",Movimientos!$B$1:$B$1324,"&lt;="&amp;$B82)</f>
        <v>73157.680000000168</v>
      </c>
      <c r="E82" s="24">
        <f>SUMIFS('Saldos Iniciales'!$D:$D,'Saldos Iniciales'!$A:$A,"Durand")+SUMIFS(Movimientos!$K$1:$K$1324,Movimientos!$C$1:$C$1324,"Durand",Movimientos!$B$1:$B$1324,"&lt;="&amp;$B82)</f>
        <v>1669.89</v>
      </c>
      <c r="F82" s="24">
        <f>SUMIFS('Saldos Iniciales'!$D:$D,'Saldos Iniciales'!$A:$A,"A&amp;M Imports")+SUMIFS(Movimientos!$K$1:$K$1324,Movimientos!$C$1:$C$1324,"A&amp;M Imports",Movimientos!$B$1:$B$1324,"&lt;="&amp;$B82)</f>
        <v>1029804.7499999998</v>
      </c>
      <c r="G82" s="24">
        <f>SUMIFS('Saldos Iniciales'!$D:$D,'Saldos Iniciales'!$A:$A,"SSP Capital")+SUMIFS(Movimientos!$K$1:$K$1324,Movimientos!$C$1:$C$1324,"SSP Capital",Movimientos!$B$1:$B$1324,"&lt;="&amp;$B82)</f>
        <v>1744257.8699999994</v>
      </c>
      <c r="H82" s="24">
        <f>SUMIFS('Saldos Iniciales'!$D:$D,'Saldos Iniciales'!$A:$A,"Cross Family Trust")+SUMIFS(Movimientos!$K$1:$K$1324,Movimientos!$C$1:$C$1324,"Cross Family Trust",Movimientos!$B$1:$B$1324,"&lt;="&amp;$B82)</f>
        <v>200496.38</v>
      </c>
      <c r="I82" s="24">
        <f>SUMIFS('Saldos Iniciales'!$D:$D,'Saldos Iniciales'!$A:$A,"Cross Security Trust")+SUMIFS(Movimientos!$K$1:$K$1324,Movimientos!$C$1:$C$1324,"Cross Security Trust",Movimientos!$B$1:$B$1324,"&lt;="&amp;$B82)</f>
        <v>267507.45</v>
      </c>
      <c r="J82" s="24">
        <f>SUMIFS('Saldos Iniciales'!$D:$D,'Saldos Iniciales'!$A:$A,"Electrama")+SUMIFS(Movimientos!$K$1:$K$1324,Movimientos!$C$1:$C$1324,"Electrama",Movimientos!$B$1:$B$1324,"&lt;="&amp;$B82)</f>
        <v>14580.45</v>
      </c>
      <c r="K82" s="24">
        <f>SUMIFS('Saldos Iniciales'!$D:$D,'Saldos Iniciales'!$A:$A,"Sacred Valley Capital")+SUMIFS(Movimientos!$K$1:$K$1324,Movimientos!$C$1:$C$1324,"Sacred Valley Capital",Movimientos!$B$1:$B$1324,"&lt;="&amp;$B82)</f>
        <v>54.400000000000006</v>
      </c>
      <c r="L82" s="24">
        <f>SUMIFS('Saldos Iniciales'!$D:$D,'Saldos Iniciales'!$A:$A,"YWC Capital")+SUMIFS(Movimientos!$K$1:$K$1324,Movimientos!$C$1:$C$1324,"YWC Capital",Movimientos!$B$1:$B$1324,"&lt;="&amp;$B82)</f>
        <v>2207.8200000000002</v>
      </c>
      <c r="M82" s="24">
        <f>SUMIFS('Saldos Iniciales'!$D:$D,'Saldos Iniciales'!$A:$A,"Soweto")+SUMIFS(Movimientos!$K$1:$K$1324,Movimientos!$C$1:$C$1324,"Soweto",Movimientos!$B$1:$B$1324,"&lt;="&amp;$B82)</f>
        <v>1454589.72</v>
      </c>
      <c r="N82" s="24">
        <f>SUMIFS('Saldos Iniciales'!$D:$D,'Saldos Iniciales'!$A:$A,"Green Stone Trust")+SUMIFS(Movimientos!$K$1:$K$1324,Movimientos!$C$1:$C$1324,"Green Stone Trust",Movimientos!$B$1:$B$1324,"&lt;="&amp;$B82)</f>
        <v>1968.99</v>
      </c>
      <c r="O82" s="24">
        <f>SUMIFS('Saldos Iniciales'!$D:$D,'Saldos Iniciales'!$A:$A,"EC Auto")+SUMIFS(Movimientos!$K$1:$K$1324,Movimientos!$C$1:$C$1324,"EC Auto",Movimientos!$B$1:$B$1324,"&lt;="&amp;$B82)</f>
        <v>901.34</v>
      </c>
      <c r="P82" s="24">
        <f>SUMIFS('Saldos Iniciales'!$D:$D,'Saldos Iniciales'!$A:$A,"Arbor Capital Properties")+SUMIFS(Movimientos!$K$1:$K$1324,Movimientos!$C$1:$C$1324,"Arbor Capital Properties",Movimientos!$B$1:$B$1324,"&lt;="&amp;$B82)</f>
        <v>1412.08</v>
      </c>
      <c r="Q82" s="24">
        <f>SUMIFS('Saldos Iniciales'!$D:$D,'Saldos Iniciales'!$A:$A,"2515 Overbrook")+SUMIFS(Movimientos!$K$1:$K$1324,Movimientos!$C$1:$C$1324,"2515 Overbrook",Movimientos!$B$1:$B$1324,"&lt;="&amp;$B82)</f>
        <v>22347.56999999996</v>
      </c>
      <c r="R82" s="24">
        <f>SUMIFS('Saldos Iniciales'!$D:$D,'Saldos Iniciales'!$A:$A,"112 Florida Ave")+SUMIFS(Movimientos!$K$1:$K$1324,Movimientos!$C$1:$C$1324,"112 Florida Ave",Movimientos!$B$1:$B$1324,"&lt;="&amp;$B82)</f>
        <v>3522.8000000000029</v>
      </c>
      <c r="S82" s="24">
        <f>SUMIFS('Saldos Iniciales'!$D:$D,'Saldos Iniciales'!$A:$A,"3628 Thomas Ave")+SUMIFS(Movimientos!$K$1:$K$1324,Movimientos!$C$1:$C$1324,"3628 Thomas Ave",Movimientos!$B$1:$B$1324,"&lt;="&amp;$B82)</f>
        <v>28485.559999999998</v>
      </c>
      <c r="T82" s="24">
        <f>SUMIFS('Saldos Iniciales'!$D:$D,'Saldos Iniciales'!$A:$A,"Green Harbor Trust")+SUMIFS(Movimientos!$K$1:$K$1324,Movimientos!$C$1:$C$1324,"Green Harbor Trust",Movimientos!$B$1:$B$1324,"&lt;="&amp;$B82)</f>
        <v>345</v>
      </c>
      <c r="U82" s="24">
        <f>SUMIFS('Saldos Iniciales'!$D:$D,'Saldos Iniciales'!$A:$A,"Go Blue")+SUMIFS(Movimientos!$K$1:$K$1324,Movimientos!$C$1:$C$1324,"Go Blue",Movimientos!$B$1:$B$1324,"&lt;="&amp;$B82)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Aparments",Movimientos!$B$1:$B$1324,"&lt;="&amp;$B82))</f>
        <v>0</v>
      </c>
      <c r="AD82" s="24">
        <f>IF(YEAR($B82)*100+MONTH($B82)&lt;--SUBSTITUTE(_xlfn.XLOOKUP("Don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Life",Movimientos!$B$1:$B$1324,"&lt;="&amp;$B82))</f>
        <v>0</v>
      </c>
      <c r="AE82" s="25">
        <f t="shared" si="3"/>
        <v>7971746.3000000007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Group")+SUMIFS(Movimientos!$K$1:$K$1324,Movimientos!$C$1:$C$1324,"CFT Group",Movimientos!$B$1:$B$1324,"&lt;="&amp;$B83)</f>
        <v>3110339.0700000008</v>
      </c>
      <c r="D83" s="24">
        <f>SUMIFS('Saldos Iniciales'!$D:$D,'Saldos Iniciales'!$A:$A,"M1B")+SUMIFS(Movimientos!$K$1:$K$1324,Movimientos!$C$1:$C$1324,"M1B",Movimientos!$B$1:$B$1324,"&lt;="&amp;$B83)</f>
        <v>73157.680000000168</v>
      </c>
      <c r="E83" s="24">
        <f>SUMIFS('Saldos Iniciales'!$D:$D,'Saldos Iniciales'!$A:$A,"Durand")+SUMIFS(Movimientos!$K$1:$K$1324,Movimientos!$C$1:$C$1324,"Durand",Movimientos!$B$1:$B$1324,"&lt;="&amp;$B83)</f>
        <v>1669.89</v>
      </c>
      <c r="F83" s="24">
        <f>SUMIFS('Saldos Iniciales'!$D:$D,'Saldos Iniciales'!$A:$A,"A&amp;M Imports")+SUMIFS(Movimientos!$K$1:$K$1324,Movimientos!$C$1:$C$1324,"A&amp;M Imports",Movimientos!$B$1:$B$1324,"&lt;="&amp;$B83)</f>
        <v>1029804.7499999998</v>
      </c>
      <c r="G83" s="24">
        <f>SUMIFS('Saldos Iniciales'!$D:$D,'Saldos Iniciales'!$A:$A,"SSP Capital")+SUMIFS(Movimientos!$K$1:$K$1324,Movimientos!$C$1:$C$1324,"SSP Capital",Movimientos!$B$1:$B$1324,"&lt;="&amp;$B83)</f>
        <v>1744257.8699999994</v>
      </c>
      <c r="H83" s="24">
        <f>SUMIFS('Saldos Iniciales'!$D:$D,'Saldos Iniciales'!$A:$A,"Cross Family Trust")+SUMIFS(Movimientos!$K$1:$K$1324,Movimientos!$C$1:$C$1324,"Cross Family Trust",Movimientos!$B$1:$B$1324,"&lt;="&amp;$B83)</f>
        <v>200496.38</v>
      </c>
      <c r="I83" s="24">
        <f>SUMIFS('Saldos Iniciales'!$D:$D,'Saldos Iniciales'!$A:$A,"Cross Security Trust")+SUMIFS(Movimientos!$K$1:$K$1324,Movimientos!$C$1:$C$1324,"Cross Security Trust",Movimientos!$B$1:$B$1324,"&lt;="&amp;$B83)</f>
        <v>267507.45</v>
      </c>
      <c r="J83" s="24">
        <f>SUMIFS('Saldos Iniciales'!$D:$D,'Saldos Iniciales'!$A:$A,"Electrama")+SUMIFS(Movimientos!$K$1:$K$1324,Movimientos!$C$1:$C$1324,"Electrama",Movimientos!$B$1:$B$1324,"&lt;="&amp;$B83)</f>
        <v>14580.45</v>
      </c>
      <c r="K83" s="24">
        <f>SUMIFS('Saldos Iniciales'!$D:$D,'Saldos Iniciales'!$A:$A,"Sacred Valley Capital")+SUMIFS(Movimientos!$K$1:$K$1324,Movimientos!$C$1:$C$1324,"Sacred Valley Capital",Movimientos!$B$1:$B$1324,"&lt;="&amp;$B83)</f>
        <v>54.400000000000006</v>
      </c>
      <c r="L83" s="24">
        <f>SUMIFS('Saldos Iniciales'!$D:$D,'Saldos Iniciales'!$A:$A,"YWC Capital")+SUMIFS(Movimientos!$K$1:$K$1324,Movimientos!$C$1:$C$1324,"YWC Capital",Movimientos!$B$1:$B$1324,"&lt;="&amp;$B83)</f>
        <v>2207.8200000000002</v>
      </c>
      <c r="M83" s="24">
        <f>SUMIFS('Saldos Iniciales'!$D:$D,'Saldos Iniciales'!$A:$A,"Soweto")+SUMIFS(Movimientos!$K$1:$K$1324,Movimientos!$C$1:$C$1324,"Soweto",Movimientos!$B$1:$B$1324,"&lt;="&amp;$B83)</f>
        <v>1454589.72</v>
      </c>
      <c r="N83" s="24">
        <f>SUMIFS('Saldos Iniciales'!$D:$D,'Saldos Iniciales'!$A:$A,"Green Stone Trust")+SUMIFS(Movimientos!$K$1:$K$1324,Movimientos!$C$1:$C$1324,"Green Stone Trust",Movimientos!$B$1:$B$1324,"&lt;="&amp;$B83)</f>
        <v>1968.99</v>
      </c>
      <c r="O83" s="24">
        <f>SUMIFS('Saldos Iniciales'!$D:$D,'Saldos Iniciales'!$A:$A,"EC Auto")+SUMIFS(Movimientos!$K$1:$K$1324,Movimientos!$C$1:$C$1324,"EC Auto",Movimientos!$B$1:$B$1324,"&lt;="&amp;$B83)</f>
        <v>901.34</v>
      </c>
      <c r="P83" s="24">
        <f>SUMIFS('Saldos Iniciales'!$D:$D,'Saldos Iniciales'!$A:$A,"Arbor Capital Properties")+SUMIFS(Movimientos!$K$1:$K$1324,Movimientos!$C$1:$C$1324,"Arbor Capital Properties",Movimientos!$B$1:$B$1324,"&lt;="&amp;$B83)</f>
        <v>1412.08</v>
      </c>
      <c r="Q83" s="24">
        <f>SUMIFS('Saldos Iniciales'!$D:$D,'Saldos Iniciales'!$A:$A,"2515 Overbrook")+SUMIFS(Movimientos!$K$1:$K$1324,Movimientos!$C$1:$C$1324,"2515 Overbrook",Movimientos!$B$1:$B$1324,"&lt;="&amp;$B83)</f>
        <v>22347.56999999996</v>
      </c>
      <c r="R83" s="24">
        <f>SUMIFS('Saldos Iniciales'!$D:$D,'Saldos Iniciales'!$A:$A,"112 Florida Ave")+SUMIFS(Movimientos!$K$1:$K$1324,Movimientos!$C$1:$C$1324,"112 Florida Ave",Movimientos!$B$1:$B$1324,"&lt;="&amp;$B83)</f>
        <v>3522.8000000000029</v>
      </c>
      <c r="S83" s="24">
        <f>SUMIFS('Saldos Iniciales'!$D:$D,'Saldos Iniciales'!$A:$A,"3628 Thomas Ave")+SUMIFS(Movimientos!$K$1:$K$1324,Movimientos!$C$1:$C$1324,"3628 Thomas Ave",Movimientos!$B$1:$B$1324,"&lt;="&amp;$B83)</f>
        <v>28485.559999999998</v>
      </c>
      <c r="T83" s="24">
        <f>SUMIFS('Saldos Iniciales'!$D:$D,'Saldos Iniciales'!$A:$A,"Green Harbor Trust")+SUMIFS(Movimientos!$K$1:$K$1324,Movimientos!$C$1:$C$1324,"Green Harbor Trust",Movimientos!$B$1:$B$1324,"&lt;="&amp;$B83)</f>
        <v>345</v>
      </c>
      <c r="U83" s="24">
        <f>SUMIFS('Saldos Iniciales'!$D:$D,'Saldos Iniciales'!$A:$A,"Go Blue")+SUMIFS(Movimientos!$K$1:$K$1324,Movimientos!$C$1:$C$1324,"Go Blue",Movimientos!$B$1:$B$1324,"&lt;="&amp;$B83)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Aparments",Movimientos!$B$1:$B$1324,"&lt;="&amp;$B83))</f>
        <v>0</v>
      </c>
      <c r="AD83" s="24">
        <f>IF(YEAR($B83)*100+MONTH($B83)&lt;--SUBSTITUTE(_xlfn.XLOOKUP("Don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Life",Movimientos!$B$1:$B$1324,"&lt;="&amp;$B83))</f>
        <v>0</v>
      </c>
      <c r="AE83" s="25">
        <f t="shared" si="3"/>
        <v>7971394.6699999999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Group")+SUMIFS(Movimientos!$K$1:$K$1324,Movimientos!$C$1:$C$1324,"CFT Group",Movimientos!$B$1:$B$1324,"&lt;="&amp;$B84)</f>
        <v>2255755.7400000007</v>
      </c>
      <c r="D84" s="24">
        <f>SUMIFS('Saldos Iniciales'!$D:$D,'Saldos Iniciales'!$A:$A,"M1B")+SUMIFS(Movimientos!$K$1:$K$1324,Movimientos!$C$1:$C$1324,"M1B",Movimientos!$B$1:$B$1324,"&lt;="&amp;$B84)</f>
        <v>73157.680000000168</v>
      </c>
      <c r="E84" s="24">
        <f>SUMIFS('Saldos Iniciales'!$D:$D,'Saldos Iniciales'!$A:$A,"Durand")+SUMIFS(Movimientos!$K$1:$K$1324,Movimientos!$C$1:$C$1324,"Durand",Movimientos!$B$1:$B$1324,"&lt;="&amp;$B84)</f>
        <v>1669.89</v>
      </c>
      <c r="F84" s="24">
        <f>SUMIFS('Saldos Iniciales'!$D:$D,'Saldos Iniciales'!$A:$A,"A&amp;M Imports")+SUMIFS(Movimientos!$K$1:$K$1324,Movimientos!$C$1:$C$1324,"A&amp;M Imports",Movimientos!$B$1:$B$1324,"&lt;="&amp;$B84)</f>
        <v>1002754.9899999998</v>
      </c>
      <c r="G84" s="24">
        <f>SUMIFS('Saldos Iniciales'!$D:$D,'Saldos Iniciales'!$A:$A,"SSP Capital")+SUMIFS(Movimientos!$K$1:$K$1324,Movimientos!$C$1:$C$1324,"SSP Capital",Movimientos!$B$1:$B$1324,"&lt;="&amp;$B84)</f>
        <v>2022877.8699999996</v>
      </c>
      <c r="H84" s="24">
        <f>SUMIFS('Saldos Iniciales'!$D:$D,'Saldos Iniciales'!$A:$A,"Cross Family Trust")+SUMIFS(Movimientos!$K$1:$K$1324,Movimientos!$C$1:$C$1324,"Cross Family Trust",Movimientos!$B$1:$B$1324,"&lt;="&amp;$B84)</f>
        <v>200496.38</v>
      </c>
      <c r="I84" s="24">
        <f>SUMIFS('Saldos Iniciales'!$D:$D,'Saldos Iniciales'!$A:$A,"Cross Security Trust")+SUMIFS(Movimientos!$K$1:$K$1324,Movimientos!$C$1:$C$1324,"Cross Security Trust",Movimientos!$B$1:$B$1324,"&lt;="&amp;$B84)</f>
        <v>267507.45</v>
      </c>
      <c r="J84" s="24">
        <f>SUMIFS('Saldos Iniciales'!$D:$D,'Saldos Iniciales'!$A:$A,"Electrama")+SUMIFS(Movimientos!$K$1:$K$1324,Movimientos!$C$1:$C$1324,"Electrama",Movimientos!$B$1:$B$1324,"&lt;="&amp;$B84)</f>
        <v>14580.45</v>
      </c>
      <c r="K84" s="24">
        <f>SUMIFS('Saldos Iniciales'!$D:$D,'Saldos Iniciales'!$A:$A,"Sacred Valley Capital")+SUMIFS(Movimientos!$K$1:$K$1324,Movimientos!$C$1:$C$1324,"Sacred Valley Capital",Movimientos!$B$1:$B$1324,"&lt;="&amp;$B84)</f>
        <v>54.400000000000006</v>
      </c>
      <c r="L84" s="24">
        <f>SUMIFS('Saldos Iniciales'!$D:$D,'Saldos Iniciales'!$A:$A,"YWC Capital")+SUMIFS(Movimientos!$K$1:$K$1324,Movimientos!$C$1:$C$1324,"YWC Capital",Movimientos!$B$1:$B$1324,"&lt;="&amp;$B84)</f>
        <v>2207.8200000000002</v>
      </c>
      <c r="M84" s="24">
        <f>SUMIFS('Saldos Iniciales'!$D:$D,'Saldos Iniciales'!$A:$A,"Soweto")+SUMIFS(Movimientos!$K$1:$K$1324,Movimientos!$C$1:$C$1324,"Soweto",Movimientos!$B$1:$B$1324,"&lt;="&amp;$B84)</f>
        <v>1454589.72</v>
      </c>
      <c r="N84" s="24">
        <f>SUMIFS('Saldos Iniciales'!$D:$D,'Saldos Iniciales'!$A:$A,"Green Stone Trust")+SUMIFS(Movimientos!$K$1:$K$1324,Movimientos!$C$1:$C$1324,"Green Stone Trust",Movimientos!$B$1:$B$1324,"&lt;="&amp;$B84)</f>
        <v>1968.99</v>
      </c>
      <c r="O84" s="24">
        <f>SUMIFS('Saldos Iniciales'!$D:$D,'Saldos Iniciales'!$A:$A,"EC Auto")+SUMIFS(Movimientos!$K$1:$K$1324,Movimientos!$C$1:$C$1324,"EC Auto",Movimientos!$B$1:$B$1324,"&lt;="&amp;$B84)</f>
        <v>901.34</v>
      </c>
      <c r="P84" s="24">
        <f>SUMIFS('Saldos Iniciales'!$D:$D,'Saldos Iniciales'!$A:$A,"Arbor Capital Properties")+SUMIFS(Movimientos!$K$1:$K$1324,Movimientos!$C$1:$C$1324,"Arbor Capital Properties",Movimientos!$B$1:$B$1324,"&lt;="&amp;$B84)</f>
        <v>1412.08</v>
      </c>
      <c r="Q84" s="24">
        <f>SUMIFS('Saldos Iniciales'!$D:$D,'Saldos Iniciales'!$A:$A,"2515 Overbrook")+SUMIFS(Movimientos!$K$1:$K$1324,Movimientos!$C$1:$C$1324,"2515 Overbrook",Movimientos!$B$1:$B$1324,"&lt;="&amp;$B84)</f>
        <v>22347.56999999996</v>
      </c>
      <c r="R84" s="24">
        <f>SUMIFS('Saldos Iniciales'!$D:$D,'Saldos Iniciales'!$A:$A,"112 Florida Ave")+SUMIFS(Movimientos!$K$1:$K$1324,Movimientos!$C$1:$C$1324,"112 Florida Ave",Movimientos!$B$1:$B$1324,"&lt;="&amp;$B84)</f>
        <v>3522.8000000000029</v>
      </c>
      <c r="S84" s="24">
        <f>SUMIFS('Saldos Iniciales'!$D:$D,'Saldos Iniciales'!$A:$A,"3628 Thomas Ave")+SUMIFS(Movimientos!$K$1:$K$1324,Movimientos!$C$1:$C$1324,"3628 Thomas Ave",Movimientos!$B$1:$B$1324,"&lt;="&amp;$B84)</f>
        <v>28485.559999999998</v>
      </c>
      <c r="T84" s="24">
        <f>SUMIFS('Saldos Iniciales'!$D:$D,'Saldos Iniciales'!$A:$A,"Green Harbor Trust")+SUMIFS(Movimientos!$K$1:$K$1324,Movimientos!$C$1:$C$1324,"Green Harbor Trust",Movimientos!$B$1:$B$1324,"&lt;="&amp;$B84)</f>
        <v>345</v>
      </c>
      <c r="U84" s="24">
        <f>SUMIFS('Saldos Iniciales'!$D:$D,'Saldos Iniciales'!$A:$A,"Go Blue")+SUMIFS(Movimientos!$K$1:$K$1324,Movimientos!$C$1:$C$1324,"Go Blue",Movimientos!$B$1:$B$1324,"&lt;="&amp;$B84)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Aparments",Movimientos!$B$1:$B$1324,"&lt;="&amp;$B84))</f>
        <v>0</v>
      </c>
      <c r="AD84" s="24">
        <f>IF(YEAR($B84)*100+MONTH($B84)&lt;--SUBSTITUTE(_xlfn.XLOOKUP("Don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Life",Movimientos!$B$1:$B$1324,"&lt;="&amp;$B84))</f>
        <v>0</v>
      </c>
      <c r="AE84" s="25">
        <f t="shared" si="3"/>
        <v>7364888.0200000005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Group")+SUMIFS(Movimientos!$K$1:$K$1324,Movimientos!$C$1:$C$1324,"CFT Group",Movimientos!$B$1:$B$1324,"&lt;="&amp;$B85)</f>
        <v>2255750.7400000007</v>
      </c>
      <c r="D85" s="24">
        <f>SUMIFS('Saldos Iniciales'!$D:$D,'Saldos Iniciales'!$A:$A,"M1B")+SUMIFS(Movimientos!$K$1:$K$1324,Movimientos!$C$1:$C$1324,"M1B",Movimientos!$B$1:$B$1324,"&lt;="&amp;$B85)</f>
        <v>73157.680000000168</v>
      </c>
      <c r="E85" s="24">
        <f>SUMIFS('Saldos Iniciales'!$D:$D,'Saldos Iniciales'!$A:$A,"Durand")+SUMIFS(Movimientos!$K$1:$K$1324,Movimientos!$C$1:$C$1324,"Durand",Movimientos!$B$1:$B$1324,"&lt;="&amp;$B85)</f>
        <v>1669.89</v>
      </c>
      <c r="F85" s="24">
        <f>SUMIFS('Saldos Iniciales'!$D:$D,'Saldos Iniciales'!$A:$A,"A&amp;M Imports")+SUMIFS(Movimientos!$K$1:$K$1324,Movimientos!$C$1:$C$1324,"A&amp;M Imports",Movimientos!$B$1:$B$1324,"&lt;="&amp;$B85)</f>
        <v>1042744.6899999997</v>
      </c>
      <c r="G85" s="24">
        <f>SUMIFS('Saldos Iniciales'!$D:$D,'Saldos Iniciales'!$A:$A,"SSP Capital")+SUMIFS(Movimientos!$K$1:$K$1324,Movimientos!$C$1:$C$1324,"SSP Capital",Movimientos!$B$1:$B$1324,"&lt;="&amp;$B85)</f>
        <v>2022877.8699999996</v>
      </c>
      <c r="H85" s="24">
        <f>SUMIFS('Saldos Iniciales'!$D:$D,'Saldos Iniciales'!$A:$A,"Cross Family Trust")+SUMIFS(Movimientos!$K$1:$K$1324,Movimientos!$C$1:$C$1324,"Cross Family Trust",Movimientos!$B$1:$B$1324,"&lt;="&amp;$B85)</f>
        <v>200496.38</v>
      </c>
      <c r="I85" s="24">
        <f>SUMIFS('Saldos Iniciales'!$D:$D,'Saldos Iniciales'!$A:$A,"Cross Security Trust")+SUMIFS(Movimientos!$K$1:$K$1324,Movimientos!$C$1:$C$1324,"Cross Security Trust",Movimientos!$B$1:$B$1324,"&lt;="&amp;$B85)</f>
        <v>267507.45</v>
      </c>
      <c r="J85" s="24">
        <f>SUMIFS('Saldos Iniciales'!$D:$D,'Saldos Iniciales'!$A:$A,"Electrama")+SUMIFS(Movimientos!$K$1:$K$1324,Movimientos!$C$1:$C$1324,"Electrama",Movimientos!$B$1:$B$1324,"&lt;="&amp;$B85)</f>
        <v>14580.45</v>
      </c>
      <c r="K85" s="24">
        <f>SUMIFS('Saldos Iniciales'!$D:$D,'Saldos Iniciales'!$A:$A,"Sacred Valley Capital")+SUMIFS(Movimientos!$K$1:$K$1324,Movimientos!$C$1:$C$1324,"Sacred Valley Capital",Movimientos!$B$1:$B$1324,"&lt;="&amp;$B85)</f>
        <v>54.400000000000006</v>
      </c>
      <c r="L85" s="24">
        <f>SUMIFS('Saldos Iniciales'!$D:$D,'Saldos Iniciales'!$A:$A,"YWC Capital")+SUMIFS(Movimientos!$K$1:$K$1324,Movimientos!$C$1:$C$1324,"YWC Capital",Movimientos!$B$1:$B$1324,"&lt;="&amp;$B85)</f>
        <v>2207.8200000000002</v>
      </c>
      <c r="M85" s="24">
        <f>SUMIFS('Saldos Iniciales'!$D:$D,'Saldos Iniciales'!$A:$A,"Soweto")+SUMIFS(Movimientos!$K$1:$K$1324,Movimientos!$C$1:$C$1324,"Soweto",Movimientos!$B$1:$B$1324,"&lt;="&amp;$B85)</f>
        <v>1454589.72</v>
      </c>
      <c r="N85" s="24">
        <f>SUMIFS('Saldos Iniciales'!$D:$D,'Saldos Iniciales'!$A:$A,"Green Stone Trust")+SUMIFS(Movimientos!$K$1:$K$1324,Movimientos!$C$1:$C$1324,"Green Stone Trust",Movimientos!$B$1:$B$1324,"&lt;="&amp;$B85)</f>
        <v>1968.99</v>
      </c>
      <c r="O85" s="24">
        <f>SUMIFS('Saldos Iniciales'!$D:$D,'Saldos Iniciales'!$A:$A,"EC Auto")+SUMIFS(Movimientos!$K$1:$K$1324,Movimientos!$C$1:$C$1324,"EC Auto",Movimientos!$B$1:$B$1324,"&lt;="&amp;$B85)</f>
        <v>901.34</v>
      </c>
      <c r="P85" s="24">
        <f>SUMIFS('Saldos Iniciales'!$D:$D,'Saldos Iniciales'!$A:$A,"Arbor Capital Properties")+SUMIFS(Movimientos!$K$1:$K$1324,Movimientos!$C$1:$C$1324,"Arbor Capital Properties",Movimientos!$B$1:$B$1324,"&lt;="&amp;$B85)</f>
        <v>1412.08</v>
      </c>
      <c r="Q85" s="24">
        <f>SUMIFS('Saldos Iniciales'!$D:$D,'Saldos Iniciales'!$A:$A,"2515 Overbrook")+SUMIFS(Movimientos!$K$1:$K$1324,Movimientos!$C$1:$C$1324,"2515 Overbrook",Movimientos!$B$1:$B$1324,"&lt;="&amp;$B85)</f>
        <v>22347.56999999996</v>
      </c>
      <c r="R85" s="24">
        <f>SUMIFS('Saldos Iniciales'!$D:$D,'Saldos Iniciales'!$A:$A,"112 Florida Ave")+SUMIFS(Movimientos!$K$1:$K$1324,Movimientos!$C$1:$C$1324,"112 Florida Ave",Movimientos!$B$1:$B$1324,"&lt;="&amp;$B85)</f>
        <v>18522.800000000003</v>
      </c>
      <c r="S85" s="24">
        <f>SUMIFS('Saldos Iniciales'!$D:$D,'Saldos Iniciales'!$A:$A,"3628 Thomas Ave")+SUMIFS(Movimientos!$K$1:$K$1324,Movimientos!$C$1:$C$1324,"3628 Thomas Ave",Movimientos!$B$1:$B$1324,"&lt;="&amp;$B85)</f>
        <v>28485.559999999998</v>
      </c>
      <c r="T85" s="24">
        <f>SUMIFS('Saldos Iniciales'!$D:$D,'Saldos Iniciales'!$A:$A,"Green Harbor Trust")+SUMIFS(Movimientos!$K$1:$K$1324,Movimientos!$C$1:$C$1324,"Green Harbor Trust",Movimientos!$B$1:$B$1324,"&lt;="&amp;$B85)</f>
        <v>345</v>
      </c>
      <c r="U85" s="24">
        <f>SUMIFS('Saldos Iniciales'!$D:$D,'Saldos Iniciales'!$A:$A,"Go Blue")+SUMIFS(Movimientos!$K$1:$K$1324,Movimientos!$C$1:$C$1324,"Go Blue",Movimientos!$B$1:$B$1324,"&lt;="&amp;$B85)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Aparments",Movimientos!$B$1:$B$1324,"&lt;="&amp;$B85))</f>
        <v>0</v>
      </c>
      <c r="AD85" s="24">
        <f>IF(YEAR($B85)*100+MONTH($B85)&lt;--SUBSTITUTE(_xlfn.XLOOKUP("Don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Life",Movimientos!$B$1:$B$1324,"&lt;="&amp;$B85))</f>
        <v>0</v>
      </c>
      <c r="AE85" s="25">
        <f t="shared" si="3"/>
        <v>7419579.1400000015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Group")+SUMIFS(Movimientos!$K$1:$K$1324,Movimientos!$C$1:$C$1324,"CFT Group",Movimientos!$B$1:$B$1324,"&lt;="&amp;$B86)</f>
        <v>2255750.7400000007</v>
      </c>
      <c r="D86" s="24">
        <f>SUMIFS('Saldos Iniciales'!$D:$D,'Saldos Iniciales'!$A:$A,"M1B")+SUMIFS(Movimientos!$K$1:$K$1324,Movimientos!$C$1:$C$1324,"M1B",Movimientos!$B$1:$B$1324,"&lt;="&amp;$B86)</f>
        <v>73157.680000000168</v>
      </c>
      <c r="E86" s="24">
        <f>SUMIFS('Saldos Iniciales'!$D:$D,'Saldos Iniciales'!$A:$A,"Durand")+SUMIFS(Movimientos!$K$1:$K$1324,Movimientos!$C$1:$C$1324,"Durand",Movimientos!$B$1:$B$1324,"&lt;="&amp;$B86)</f>
        <v>1669.89</v>
      </c>
      <c r="F86" s="24">
        <f>SUMIFS('Saldos Iniciales'!$D:$D,'Saldos Iniciales'!$A:$A,"A&amp;M Imports")+SUMIFS(Movimientos!$K$1:$K$1324,Movimientos!$C$1:$C$1324,"A&amp;M Imports",Movimientos!$B$1:$B$1324,"&lt;="&amp;$B86)</f>
        <v>1042744.6899999997</v>
      </c>
      <c r="G86" s="24">
        <f>SUMIFS('Saldos Iniciales'!$D:$D,'Saldos Iniciales'!$A:$A,"SSP Capital")+SUMIFS(Movimientos!$K$1:$K$1324,Movimientos!$C$1:$C$1324,"SSP Capital",Movimientos!$B$1:$B$1324,"&lt;="&amp;$B86)</f>
        <v>2022877.8699999996</v>
      </c>
      <c r="H86" s="24">
        <f>SUMIFS('Saldos Iniciales'!$D:$D,'Saldos Iniciales'!$A:$A,"Cross Family Trust")+SUMIFS(Movimientos!$K$1:$K$1324,Movimientos!$C$1:$C$1324,"Cross Family Trust",Movimientos!$B$1:$B$1324,"&lt;="&amp;$B86)</f>
        <v>200496.38</v>
      </c>
      <c r="I86" s="24">
        <f>SUMIFS('Saldos Iniciales'!$D:$D,'Saldos Iniciales'!$A:$A,"Cross Security Trust")+SUMIFS(Movimientos!$K$1:$K$1324,Movimientos!$C$1:$C$1324,"Cross Security Trust",Movimientos!$B$1:$B$1324,"&lt;="&amp;$B86)</f>
        <v>267507.45</v>
      </c>
      <c r="J86" s="24">
        <f>SUMIFS('Saldos Iniciales'!$D:$D,'Saldos Iniciales'!$A:$A,"Electrama")+SUMIFS(Movimientos!$K$1:$K$1324,Movimientos!$C$1:$C$1324,"Electrama",Movimientos!$B$1:$B$1324,"&lt;="&amp;$B86)</f>
        <v>14580.45</v>
      </c>
      <c r="K86" s="24">
        <f>SUMIFS('Saldos Iniciales'!$D:$D,'Saldos Iniciales'!$A:$A,"Sacred Valley Capital")+SUMIFS(Movimientos!$K$1:$K$1324,Movimientos!$C$1:$C$1324,"Sacred Valley Capital",Movimientos!$B$1:$B$1324,"&lt;="&amp;$B86)</f>
        <v>54.400000000000006</v>
      </c>
      <c r="L86" s="24">
        <f>SUMIFS('Saldos Iniciales'!$D:$D,'Saldos Iniciales'!$A:$A,"YWC Capital")+SUMIFS(Movimientos!$K$1:$K$1324,Movimientos!$C$1:$C$1324,"YWC Capital",Movimientos!$B$1:$B$1324,"&lt;="&amp;$B86)</f>
        <v>2207.8200000000002</v>
      </c>
      <c r="M86" s="24">
        <f>SUMIFS('Saldos Iniciales'!$D:$D,'Saldos Iniciales'!$A:$A,"Soweto")+SUMIFS(Movimientos!$K$1:$K$1324,Movimientos!$C$1:$C$1324,"Soweto",Movimientos!$B$1:$B$1324,"&lt;="&amp;$B86)</f>
        <v>1454589.72</v>
      </c>
      <c r="N86" s="24">
        <f>SUMIFS('Saldos Iniciales'!$D:$D,'Saldos Iniciales'!$A:$A,"Green Stone Trust")+SUMIFS(Movimientos!$K$1:$K$1324,Movimientos!$C$1:$C$1324,"Green Stone Trust",Movimientos!$B$1:$B$1324,"&lt;="&amp;$B86)</f>
        <v>1968.99</v>
      </c>
      <c r="O86" s="24">
        <f>SUMIFS('Saldos Iniciales'!$D:$D,'Saldos Iniciales'!$A:$A,"EC Auto")+SUMIFS(Movimientos!$K$1:$K$1324,Movimientos!$C$1:$C$1324,"EC Auto",Movimientos!$B$1:$B$1324,"&lt;="&amp;$B86)</f>
        <v>901.34</v>
      </c>
      <c r="P86" s="24">
        <f>SUMIFS('Saldos Iniciales'!$D:$D,'Saldos Iniciales'!$A:$A,"Arbor Capital Properties")+SUMIFS(Movimientos!$K$1:$K$1324,Movimientos!$C$1:$C$1324,"Arbor Capital Properties",Movimientos!$B$1:$B$1324,"&lt;="&amp;$B86)</f>
        <v>1412.08</v>
      </c>
      <c r="Q86" s="24">
        <f>SUMIFS('Saldos Iniciales'!$D:$D,'Saldos Iniciales'!$A:$A,"2515 Overbrook")+SUMIFS(Movimientos!$K$1:$K$1324,Movimientos!$C$1:$C$1324,"2515 Overbrook",Movimientos!$B$1:$B$1324,"&lt;="&amp;$B86)</f>
        <v>22347.56999999996</v>
      </c>
      <c r="R86" s="24">
        <f>SUMIFS('Saldos Iniciales'!$D:$D,'Saldos Iniciales'!$A:$A,"112 Florida Ave")+SUMIFS(Movimientos!$K$1:$K$1324,Movimientos!$C$1:$C$1324,"112 Florida Ave",Movimientos!$B$1:$B$1324,"&lt;="&amp;$B86)</f>
        <v>18522.800000000003</v>
      </c>
      <c r="S86" s="24">
        <f>SUMIFS('Saldos Iniciales'!$D:$D,'Saldos Iniciales'!$A:$A,"3628 Thomas Ave")+SUMIFS(Movimientos!$K$1:$K$1324,Movimientos!$C$1:$C$1324,"3628 Thomas Ave",Movimientos!$B$1:$B$1324,"&lt;="&amp;$B86)</f>
        <v>28485.559999999998</v>
      </c>
      <c r="T86" s="24">
        <f>SUMIFS('Saldos Iniciales'!$D:$D,'Saldos Iniciales'!$A:$A,"Green Harbor Trust")+SUMIFS(Movimientos!$K$1:$K$1324,Movimientos!$C$1:$C$1324,"Green Harbor Trust",Movimientos!$B$1:$B$1324,"&lt;="&amp;$B86)</f>
        <v>345</v>
      </c>
      <c r="U86" s="24">
        <f>SUMIFS('Saldos Iniciales'!$D:$D,'Saldos Iniciales'!$A:$A,"Go Blue")+SUMIFS(Movimientos!$K$1:$K$1324,Movimientos!$C$1:$C$1324,"Go Blue",Movimientos!$B$1:$B$1324,"&lt;="&amp;$B86)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Aparments",Movimientos!$B$1:$B$1324,"&lt;="&amp;$B86))</f>
        <v>0</v>
      </c>
      <c r="AD86" s="24">
        <f>IF(YEAR($B86)*100+MONTH($B86)&lt;--SUBSTITUTE(_xlfn.XLOOKUP("Don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Life",Movimientos!$B$1:$B$1324,"&lt;="&amp;$B86))</f>
        <v>0</v>
      </c>
      <c r="AE86" s="25">
        <f t="shared" si="3"/>
        <v>7419178.0600000015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Group")+SUMIFS(Movimientos!$K$1:$K$1324,Movimientos!$C$1:$C$1324,"CFT Group",Movimientos!$B$1:$B$1324,"&lt;="&amp;$B87)</f>
        <v>2255750.7400000007</v>
      </c>
      <c r="D87" s="24">
        <f>SUMIFS('Saldos Iniciales'!$D:$D,'Saldos Iniciales'!$A:$A,"M1B")+SUMIFS(Movimientos!$K$1:$K$1324,Movimientos!$C$1:$C$1324,"M1B",Movimientos!$B$1:$B$1324,"&lt;="&amp;$B87)</f>
        <v>73157.680000000168</v>
      </c>
      <c r="E87" s="24">
        <f>SUMIFS('Saldos Iniciales'!$D:$D,'Saldos Iniciales'!$A:$A,"Durand")+SUMIFS(Movimientos!$K$1:$K$1324,Movimientos!$C$1:$C$1324,"Durand",Movimientos!$B$1:$B$1324,"&lt;="&amp;$B87)</f>
        <v>1669.89</v>
      </c>
      <c r="F87" s="24">
        <f>SUMIFS('Saldos Iniciales'!$D:$D,'Saldos Iniciales'!$A:$A,"A&amp;M Imports")+SUMIFS(Movimientos!$K$1:$K$1324,Movimientos!$C$1:$C$1324,"A&amp;M Imports",Movimientos!$B$1:$B$1324,"&lt;="&amp;$B87)</f>
        <v>1042744.6899999997</v>
      </c>
      <c r="G87" s="24">
        <f>SUMIFS('Saldos Iniciales'!$D:$D,'Saldos Iniciales'!$A:$A,"SSP Capital")+SUMIFS(Movimientos!$K$1:$K$1324,Movimientos!$C$1:$C$1324,"SSP Capital",Movimientos!$B$1:$B$1324,"&lt;="&amp;$B87)</f>
        <v>2022877.8699999996</v>
      </c>
      <c r="H87" s="24">
        <f>SUMIFS('Saldos Iniciales'!$D:$D,'Saldos Iniciales'!$A:$A,"Cross Family Trust")+SUMIFS(Movimientos!$K$1:$K$1324,Movimientos!$C$1:$C$1324,"Cross Family Trust",Movimientos!$B$1:$B$1324,"&lt;="&amp;$B87)</f>
        <v>200496.38</v>
      </c>
      <c r="I87" s="24">
        <f>SUMIFS('Saldos Iniciales'!$D:$D,'Saldos Iniciales'!$A:$A,"Cross Security Trust")+SUMIFS(Movimientos!$K$1:$K$1324,Movimientos!$C$1:$C$1324,"Cross Security Trust",Movimientos!$B$1:$B$1324,"&lt;="&amp;$B87)</f>
        <v>267507.45</v>
      </c>
      <c r="J87" s="24">
        <f>SUMIFS('Saldos Iniciales'!$D:$D,'Saldos Iniciales'!$A:$A,"Electrama")+SUMIFS(Movimientos!$K$1:$K$1324,Movimientos!$C$1:$C$1324,"Electrama",Movimientos!$B$1:$B$1324,"&lt;="&amp;$B87)</f>
        <v>14580.45</v>
      </c>
      <c r="K87" s="24">
        <f>SUMIFS('Saldos Iniciales'!$D:$D,'Saldos Iniciales'!$A:$A,"Sacred Valley Capital")+SUMIFS(Movimientos!$K$1:$K$1324,Movimientos!$C$1:$C$1324,"Sacred Valley Capital",Movimientos!$B$1:$B$1324,"&lt;="&amp;$B87)</f>
        <v>54.400000000000006</v>
      </c>
      <c r="L87" s="24">
        <f>SUMIFS('Saldos Iniciales'!$D:$D,'Saldos Iniciales'!$A:$A,"YWC Capital")+SUMIFS(Movimientos!$K$1:$K$1324,Movimientos!$C$1:$C$1324,"YWC Capital",Movimientos!$B$1:$B$1324,"&lt;="&amp;$B87)</f>
        <v>2207.8200000000002</v>
      </c>
      <c r="M87" s="24">
        <f>SUMIFS('Saldos Iniciales'!$D:$D,'Saldos Iniciales'!$A:$A,"Soweto")+SUMIFS(Movimientos!$K$1:$K$1324,Movimientos!$C$1:$C$1324,"Soweto",Movimientos!$B$1:$B$1324,"&lt;="&amp;$B87)</f>
        <v>1454589.72</v>
      </c>
      <c r="N87" s="24">
        <f>SUMIFS('Saldos Iniciales'!$D:$D,'Saldos Iniciales'!$A:$A,"Green Stone Trust")+SUMIFS(Movimientos!$K$1:$K$1324,Movimientos!$C$1:$C$1324,"Green Stone Trust",Movimientos!$B$1:$B$1324,"&lt;="&amp;$B87)</f>
        <v>1968.99</v>
      </c>
      <c r="O87" s="24">
        <f>SUMIFS('Saldos Iniciales'!$D:$D,'Saldos Iniciales'!$A:$A,"EC Auto")+SUMIFS(Movimientos!$K$1:$K$1324,Movimientos!$C$1:$C$1324,"EC Auto",Movimientos!$B$1:$B$1324,"&lt;="&amp;$B87)</f>
        <v>901.34</v>
      </c>
      <c r="P87" s="24">
        <f>SUMIFS('Saldos Iniciales'!$D:$D,'Saldos Iniciales'!$A:$A,"Arbor Capital Properties")+SUMIFS(Movimientos!$K$1:$K$1324,Movimientos!$C$1:$C$1324,"Arbor Capital Properties",Movimientos!$B$1:$B$1324,"&lt;="&amp;$B87)</f>
        <v>1412.08</v>
      </c>
      <c r="Q87" s="24">
        <f>SUMIFS('Saldos Iniciales'!$D:$D,'Saldos Iniciales'!$A:$A,"2515 Overbrook")+SUMIFS(Movimientos!$K$1:$K$1324,Movimientos!$C$1:$C$1324,"2515 Overbrook",Movimientos!$B$1:$B$1324,"&lt;="&amp;$B87)</f>
        <v>22347.56999999996</v>
      </c>
      <c r="R87" s="24">
        <f>SUMIFS('Saldos Iniciales'!$D:$D,'Saldos Iniciales'!$A:$A,"112 Florida Ave")+SUMIFS(Movimientos!$K$1:$K$1324,Movimientos!$C$1:$C$1324,"112 Florida Ave",Movimientos!$B$1:$B$1324,"&lt;="&amp;$B87)</f>
        <v>18522.800000000003</v>
      </c>
      <c r="S87" s="24">
        <f>SUMIFS('Saldos Iniciales'!$D:$D,'Saldos Iniciales'!$A:$A,"3628 Thomas Ave")+SUMIFS(Movimientos!$K$1:$K$1324,Movimientos!$C$1:$C$1324,"3628 Thomas Ave",Movimientos!$B$1:$B$1324,"&lt;="&amp;$B87)</f>
        <v>28485.559999999998</v>
      </c>
      <c r="T87" s="24">
        <f>SUMIFS('Saldos Iniciales'!$D:$D,'Saldos Iniciales'!$A:$A,"Green Harbor Trust")+SUMIFS(Movimientos!$K$1:$K$1324,Movimientos!$C$1:$C$1324,"Green Harbor Trust",Movimientos!$B$1:$B$1324,"&lt;="&amp;$B87)</f>
        <v>345</v>
      </c>
      <c r="U87" s="24">
        <f>SUMIFS('Saldos Iniciales'!$D:$D,'Saldos Iniciales'!$A:$A,"Go Blue")+SUMIFS(Movimientos!$K$1:$K$1324,Movimientos!$C$1:$C$1324,"Go Blue",Movimientos!$B$1:$B$1324,"&lt;="&amp;$B87)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Aparments",Movimientos!$B$1:$B$1324,"&lt;="&amp;$B87))</f>
        <v>0</v>
      </c>
      <c r="AD87" s="24">
        <f>IF(YEAR($B87)*100+MONTH($B87)&lt;--SUBSTITUTE(_xlfn.XLOOKUP("Don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Life",Movimientos!$B$1:$B$1324,"&lt;="&amp;$B87))</f>
        <v>0</v>
      </c>
      <c r="AE87" s="25">
        <f t="shared" si="3"/>
        <v>7419178.0600000015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Group")+SUMIFS(Movimientos!$K$1:$K$1324,Movimientos!$C$1:$C$1324,"CFT Group",Movimientos!$B$1:$B$1324,"&lt;="&amp;$B88)</f>
        <v>2255750.7400000007</v>
      </c>
      <c r="D88" s="24">
        <f>SUMIFS('Saldos Iniciales'!$D:$D,'Saldos Iniciales'!$A:$A,"M1B")+SUMIFS(Movimientos!$K$1:$K$1324,Movimientos!$C$1:$C$1324,"M1B",Movimientos!$B$1:$B$1324,"&lt;="&amp;$B88)</f>
        <v>73157.680000000168</v>
      </c>
      <c r="E88" s="24">
        <f>SUMIFS('Saldos Iniciales'!$D:$D,'Saldos Iniciales'!$A:$A,"Durand")+SUMIFS(Movimientos!$K$1:$K$1324,Movimientos!$C$1:$C$1324,"Durand",Movimientos!$B$1:$B$1324,"&lt;="&amp;$B88)</f>
        <v>1669.89</v>
      </c>
      <c r="F88" s="24">
        <f>SUMIFS('Saldos Iniciales'!$D:$D,'Saldos Iniciales'!$A:$A,"A&amp;M Imports")+SUMIFS(Movimientos!$K$1:$K$1324,Movimientos!$C$1:$C$1324,"A&amp;M Imports",Movimientos!$B$1:$B$1324,"&lt;="&amp;$B88)</f>
        <v>1042744.6899999997</v>
      </c>
      <c r="G88" s="24">
        <f>SUMIFS('Saldos Iniciales'!$D:$D,'Saldos Iniciales'!$A:$A,"SSP Capital")+SUMIFS(Movimientos!$K$1:$K$1324,Movimientos!$C$1:$C$1324,"SSP Capital",Movimientos!$B$1:$B$1324,"&lt;="&amp;$B88)</f>
        <v>2022877.8699999996</v>
      </c>
      <c r="H88" s="24">
        <f>SUMIFS('Saldos Iniciales'!$D:$D,'Saldos Iniciales'!$A:$A,"Cross Family Trust")+SUMIFS(Movimientos!$K$1:$K$1324,Movimientos!$C$1:$C$1324,"Cross Family Trust",Movimientos!$B$1:$B$1324,"&lt;="&amp;$B88)</f>
        <v>200496.38</v>
      </c>
      <c r="I88" s="24">
        <f>SUMIFS('Saldos Iniciales'!$D:$D,'Saldos Iniciales'!$A:$A,"Cross Security Trust")+SUMIFS(Movimientos!$K$1:$K$1324,Movimientos!$C$1:$C$1324,"Cross Security Trust",Movimientos!$B$1:$B$1324,"&lt;="&amp;$B88)</f>
        <v>267507.45</v>
      </c>
      <c r="J88" s="24">
        <f>SUMIFS('Saldos Iniciales'!$D:$D,'Saldos Iniciales'!$A:$A,"Electrama")+SUMIFS(Movimientos!$K$1:$K$1324,Movimientos!$C$1:$C$1324,"Electrama",Movimientos!$B$1:$B$1324,"&lt;="&amp;$B88)</f>
        <v>14580.45</v>
      </c>
      <c r="K88" s="24">
        <f>SUMIFS('Saldos Iniciales'!$D:$D,'Saldos Iniciales'!$A:$A,"Sacred Valley Capital")+SUMIFS(Movimientos!$K$1:$K$1324,Movimientos!$C$1:$C$1324,"Sacred Valley Capital",Movimientos!$B$1:$B$1324,"&lt;="&amp;$B88)</f>
        <v>54.400000000000006</v>
      </c>
      <c r="L88" s="24">
        <f>SUMIFS('Saldos Iniciales'!$D:$D,'Saldos Iniciales'!$A:$A,"YWC Capital")+SUMIFS(Movimientos!$K$1:$K$1324,Movimientos!$C$1:$C$1324,"YWC Capital",Movimientos!$B$1:$B$1324,"&lt;="&amp;$B88)</f>
        <v>2207.8200000000002</v>
      </c>
      <c r="M88" s="24">
        <f>SUMIFS('Saldos Iniciales'!$D:$D,'Saldos Iniciales'!$A:$A,"Soweto")+SUMIFS(Movimientos!$K$1:$K$1324,Movimientos!$C$1:$C$1324,"Soweto",Movimientos!$B$1:$B$1324,"&lt;="&amp;$B88)</f>
        <v>1454589.72</v>
      </c>
      <c r="N88" s="24">
        <f>SUMIFS('Saldos Iniciales'!$D:$D,'Saldos Iniciales'!$A:$A,"Green Stone Trust")+SUMIFS(Movimientos!$K$1:$K$1324,Movimientos!$C$1:$C$1324,"Green Stone Trust",Movimientos!$B$1:$B$1324,"&lt;="&amp;$B88)</f>
        <v>1968.99</v>
      </c>
      <c r="O88" s="24">
        <f>SUMIFS('Saldos Iniciales'!$D:$D,'Saldos Iniciales'!$A:$A,"EC Auto")+SUMIFS(Movimientos!$K$1:$K$1324,Movimientos!$C$1:$C$1324,"EC Auto",Movimientos!$B$1:$B$1324,"&lt;="&amp;$B88)</f>
        <v>901.34</v>
      </c>
      <c r="P88" s="24">
        <f>SUMIFS('Saldos Iniciales'!$D:$D,'Saldos Iniciales'!$A:$A,"Arbor Capital Properties")+SUMIFS(Movimientos!$K$1:$K$1324,Movimientos!$C$1:$C$1324,"Arbor Capital Properties",Movimientos!$B$1:$B$1324,"&lt;="&amp;$B88)</f>
        <v>1412.08</v>
      </c>
      <c r="Q88" s="24">
        <f>SUMIFS('Saldos Iniciales'!$D:$D,'Saldos Iniciales'!$A:$A,"2515 Overbrook")+SUMIFS(Movimientos!$K$1:$K$1324,Movimientos!$C$1:$C$1324,"2515 Overbrook",Movimientos!$B$1:$B$1324,"&lt;="&amp;$B88)</f>
        <v>22347.56999999996</v>
      </c>
      <c r="R88" s="24">
        <f>SUMIFS('Saldos Iniciales'!$D:$D,'Saldos Iniciales'!$A:$A,"112 Florida Ave")+SUMIFS(Movimientos!$K$1:$K$1324,Movimientos!$C$1:$C$1324,"112 Florida Ave",Movimientos!$B$1:$B$1324,"&lt;="&amp;$B88)</f>
        <v>18522.800000000003</v>
      </c>
      <c r="S88" s="24">
        <f>SUMIFS('Saldos Iniciales'!$D:$D,'Saldos Iniciales'!$A:$A,"3628 Thomas Ave")+SUMIFS(Movimientos!$K$1:$K$1324,Movimientos!$C$1:$C$1324,"3628 Thomas Ave",Movimientos!$B$1:$B$1324,"&lt;="&amp;$B88)</f>
        <v>28485.559999999998</v>
      </c>
      <c r="T88" s="24">
        <f>SUMIFS('Saldos Iniciales'!$D:$D,'Saldos Iniciales'!$A:$A,"Green Harbor Trust")+SUMIFS(Movimientos!$K$1:$K$1324,Movimientos!$C$1:$C$1324,"Green Harbor Trust",Movimientos!$B$1:$B$1324,"&lt;="&amp;$B88)</f>
        <v>345</v>
      </c>
      <c r="U88" s="24">
        <f>SUMIFS('Saldos Iniciales'!$D:$D,'Saldos Iniciales'!$A:$A,"Go Blue")+SUMIFS(Movimientos!$K$1:$K$1324,Movimientos!$C$1:$C$1324,"Go Blue",Movimientos!$B$1:$B$1324,"&lt;="&amp;$B88)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Aparments",Movimientos!$B$1:$B$1324,"&lt;="&amp;$B88))</f>
        <v>0</v>
      </c>
      <c r="AD88" s="24">
        <f>IF(YEAR($B88)*100+MONTH($B88)&lt;--SUBSTITUTE(_xlfn.XLOOKUP("Don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Life",Movimientos!$B$1:$B$1324,"&lt;="&amp;$B88))</f>
        <v>0</v>
      </c>
      <c r="AE88" s="25">
        <f t="shared" si="3"/>
        <v>7419178.0600000015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Group")+SUMIFS(Movimientos!$K$1:$K$1324,Movimientos!$C$1:$C$1324,"CFT Group",Movimientos!$B$1:$B$1324,"&lt;="&amp;$B89)</f>
        <v>2255750.7400000007</v>
      </c>
      <c r="D89" s="24">
        <f>SUMIFS('Saldos Iniciales'!$D:$D,'Saldos Iniciales'!$A:$A,"M1B")+SUMIFS(Movimientos!$K$1:$K$1324,Movimientos!$C$1:$C$1324,"M1B",Movimientos!$B$1:$B$1324,"&lt;="&amp;$B89)</f>
        <v>73157.680000000168</v>
      </c>
      <c r="E89" s="24">
        <f>SUMIFS('Saldos Iniciales'!$D:$D,'Saldos Iniciales'!$A:$A,"Durand")+SUMIFS(Movimientos!$K$1:$K$1324,Movimientos!$C$1:$C$1324,"Durand",Movimientos!$B$1:$B$1324,"&lt;="&amp;$B89)</f>
        <v>1669.89</v>
      </c>
      <c r="F89" s="24">
        <f>SUMIFS('Saldos Iniciales'!$D:$D,'Saldos Iniciales'!$A:$A,"A&amp;M Imports")+SUMIFS(Movimientos!$K$1:$K$1324,Movimientos!$C$1:$C$1324,"A&amp;M Imports",Movimientos!$B$1:$B$1324,"&lt;="&amp;$B89)</f>
        <v>1392744.6899999997</v>
      </c>
      <c r="G89" s="24">
        <f>SUMIFS('Saldos Iniciales'!$D:$D,'Saldos Iniciales'!$A:$A,"SSP Capital")+SUMIFS(Movimientos!$K$1:$K$1324,Movimientos!$C$1:$C$1324,"SSP Capital",Movimientos!$B$1:$B$1324,"&lt;="&amp;$B89)</f>
        <v>2022877.8699999996</v>
      </c>
      <c r="H89" s="24">
        <f>SUMIFS('Saldos Iniciales'!$D:$D,'Saldos Iniciales'!$A:$A,"Cross Family Trust")+SUMIFS(Movimientos!$K$1:$K$1324,Movimientos!$C$1:$C$1324,"Cross Family Trust",Movimientos!$B$1:$B$1324,"&lt;="&amp;$B89)</f>
        <v>190496.38</v>
      </c>
      <c r="I89" s="24">
        <f>SUMIFS('Saldos Iniciales'!$D:$D,'Saldos Iniciales'!$A:$A,"Cross Security Trust")+SUMIFS(Movimientos!$K$1:$K$1324,Movimientos!$C$1:$C$1324,"Cross Security Trust",Movimientos!$B$1:$B$1324,"&lt;="&amp;$B89)</f>
        <v>267507.45</v>
      </c>
      <c r="J89" s="24">
        <f>SUMIFS('Saldos Iniciales'!$D:$D,'Saldos Iniciales'!$A:$A,"Electrama")+SUMIFS(Movimientos!$K$1:$K$1324,Movimientos!$C$1:$C$1324,"Electrama",Movimientos!$B$1:$B$1324,"&lt;="&amp;$B89)</f>
        <v>14580.45</v>
      </c>
      <c r="K89" s="24">
        <f>SUMIFS('Saldos Iniciales'!$D:$D,'Saldos Iniciales'!$A:$A,"Sacred Valley Capital")+SUMIFS(Movimientos!$K$1:$K$1324,Movimientos!$C$1:$C$1324,"Sacred Valley Capital",Movimientos!$B$1:$B$1324,"&lt;="&amp;$B89)</f>
        <v>54.400000000000006</v>
      </c>
      <c r="L89" s="24">
        <f>SUMIFS('Saldos Iniciales'!$D:$D,'Saldos Iniciales'!$A:$A,"YWC Capital")+SUMIFS(Movimientos!$K$1:$K$1324,Movimientos!$C$1:$C$1324,"YWC Capital",Movimientos!$B$1:$B$1324,"&lt;="&amp;$B89)</f>
        <v>2207.8200000000002</v>
      </c>
      <c r="M89" s="24">
        <f>SUMIFS('Saldos Iniciales'!$D:$D,'Saldos Iniciales'!$A:$A,"Soweto")+SUMIFS(Movimientos!$K$1:$K$1324,Movimientos!$C$1:$C$1324,"Soweto",Movimientos!$B$1:$B$1324,"&lt;="&amp;$B89)</f>
        <v>1454589.72</v>
      </c>
      <c r="N89" s="24">
        <f>SUMIFS('Saldos Iniciales'!$D:$D,'Saldos Iniciales'!$A:$A,"Green Stone Trust")+SUMIFS(Movimientos!$K$1:$K$1324,Movimientos!$C$1:$C$1324,"Green Stone Trust",Movimientos!$B$1:$B$1324,"&lt;="&amp;$B89)</f>
        <v>1968.99</v>
      </c>
      <c r="O89" s="24">
        <f>SUMIFS('Saldos Iniciales'!$D:$D,'Saldos Iniciales'!$A:$A,"EC Auto")+SUMIFS(Movimientos!$K$1:$K$1324,Movimientos!$C$1:$C$1324,"EC Auto",Movimientos!$B$1:$B$1324,"&lt;="&amp;$B89)</f>
        <v>901.34</v>
      </c>
      <c r="P89" s="24">
        <f>SUMIFS('Saldos Iniciales'!$D:$D,'Saldos Iniciales'!$A:$A,"Arbor Capital Properties")+SUMIFS(Movimientos!$K$1:$K$1324,Movimientos!$C$1:$C$1324,"Arbor Capital Properties",Movimientos!$B$1:$B$1324,"&lt;="&amp;$B89)</f>
        <v>1412.08</v>
      </c>
      <c r="Q89" s="24">
        <f>SUMIFS('Saldos Iniciales'!$D:$D,'Saldos Iniciales'!$A:$A,"2515 Overbrook")+SUMIFS(Movimientos!$K$1:$K$1324,Movimientos!$C$1:$C$1324,"2515 Overbrook",Movimientos!$B$1:$B$1324,"&lt;="&amp;$B89)</f>
        <v>22347.56999999996</v>
      </c>
      <c r="R89" s="24">
        <f>SUMIFS('Saldos Iniciales'!$D:$D,'Saldos Iniciales'!$A:$A,"112 Florida Ave")+SUMIFS(Movimientos!$K$1:$K$1324,Movimientos!$C$1:$C$1324,"112 Florida Ave",Movimientos!$B$1:$B$1324,"&lt;="&amp;$B89)</f>
        <v>18522.800000000003</v>
      </c>
      <c r="S89" s="24">
        <f>SUMIFS('Saldos Iniciales'!$D:$D,'Saldos Iniciales'!$A:$A,"3628 Thomas Ave")+SUMIFS(Movimientos!$K$1:$K$1324,Movimientos!$C$1:$C$1324,"3628 Thomas Ave",Movimientos!$B$1:$B$1324,"&lt;="&amp;$B89)</f>
        <v>28485.559999999998</v>
      </c>
      <c r="T89" s="24">
        <f>SUMIFS('Saldos Iniciales'!$D:$D,'Saldos Iniciales'!$A:$A,"Green Harbor Trust")+SUMIFS(Movimientos!$K$1:$K$1324,Movimientos!$C$1:$C$1324,"Green Harbor Trust",Movimientos!$B$1:$B$1324,"&lt;="&amp;$B89)</f>
        <v>345</v>
      </c>
      <c r="U89" s="24">
        <f>SUMIFS('Saldos Iniciales'!$D:$D,'Saldos Iniciales'!$A:$A,"Go Blue")+SUMIFS(Movimientos!$K$1:$K$1324,Movimientos!$C$1:$C$1324,"Go Blue",Movimientos!$B$1:$B$1324,"&lt;="&amp;$B89)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Aparments",Movimientos!$B$1:$B$1324,"&lt;="&amp;$B89))</f>
        <v>0</v>
      </c>
      <c r="AD89" s="24">
        <f>IF(YEAR($B89)*100+MONTH($B89)&lt;--SUBSTITUTE(_xlfn.XLOOKUP("Don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Life",Movimientos!$B$1:$B$1324,"&lt;="&amp;$B89))</f>
        <v>0</v>
      </c>
      <c r="AE89" s="25">
        <f t="shared" si="3"/>
        <v>7765038.6100000013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Group")+SUMIFS(Movimientos!$K$1:$K$1324,Movimientos!$C$1:$C$1324,"CFT Group",Movimientos!$B$1:$B$1324,"&lt;="&amp;$B90)</f>
        <v>2255750.7400000007</v>
      </c>
      <c r="D90" s="24">
        <f>SUMIFS('Saldos Iniciales'!$D:$D,'Saldos Iniciales'!$A:$A,"M1B")+SUMIFS(Movimientos!$K$1:$K$1324,Movimientos!$C$1:$C$1324,"M1B",Movimientos!$B$1:$B$1324,"&lt;="&amp;$B90)</f>
        <v>80574.12000000017</v>
      </c>
      <c r="E90" s="24">
        <f>SUMIFS('Saldos Iniciales'!$D:$D,'Saldos Iniciales'!$A:$A,"Durand")+SUMIFS(Movimientos!$K$1:$K$1324,Movimientos!$C$1:$C$1324,"Durand",Movimientos!$B$1:$B$1324,"&lt;="&amp;$B90)</f>
        <v>1669.89</v>
      </c>
      <c r="F90" s="24">
        <f>SUMIFS('Saldos Iniciales'!$D:$D,'Saldos Iniciales'!$A:$A,"A&amp;M Imports")+SUMIFS(Movimientos!$K$1:$K$1324,Movimientos!$C$1:$C$1324,"A&amp;M Imports",Movimientos!$B$1:$B$1324,"&lt;="&amp;$B90)</f>
        <v>1415636.7399999998</v>
      </c>
      <c r="G90" s="24">
        <f>SUMIFS('Saldos Iniciales'!$D:$D,'Saldos Iniciales'!$A:$A,"SSP Capital")+SUMIFS(Movimientos!$K$1:$K$1324,Movimientos!$C$1:$C$1324,"SSP Capital",Movimientos!$B$1:$B$1324,"&lt;="&amp;$B90)</f>
        <v>1857997.0999999996</v>
      </c>
      <c r="H90" s="24">
        <f>SUMIFS('Saldos Iniciales'!$D:$D,'Saldos Iniciales'!$A:$A,"Cross Family Trust")+SUMIFS(Movimientos!$K$1:$K$1324,Movimientos!$C$1:$C$1324,"Cross Family Trust",Movimientos!$B$1:$B$1324,"&lt;="&amp;$B90)</f>
        <v>190496.38</v>
      </c>
      <c r="I90" s="24">
        <f>SUMIFS('Saldos Iniciales'!$D:$D,'Saldos Iniciales'!$A:$A,"Cross Security Trust")+SUMIFS(Movimientos!$K$1:$K$1324,Movimientos!$C$1:$C$1324,"Cross Security Trust",Movimientos!$B$1:$B$1324,"&lt;="&amp;$B90)</f>
        <v>267507.45</v>
      </c>
      <c r="J90" s="24">
        <f>SUMIFS('Saldos Iniciales'!$D:$D,'Saldos Iniciales'!$A:$A,"Electrama")+SUMIFS(Movimientos!$K$1:$K$1324,Movimientos!$C$1:$C$1324,"Electrama",Movimientos!$B$1:$B$1324,"&lt;="&amp;$B90)</f>
        <v>14580.45</v>
      </c>
      <c r="K90" s="24">
        <f>SUMIFS('Saldos Iniciales'!$D:$D,'Saldos Iniciales'!$A:$A,"Sacred Valley Capital")+SUMIFS(Movimientos!$K$1:$K$1324,Movimientos!$C$1:$C$1324,"Sacred Valley Capital",Movimientos!$B$1:$B$1324,"&lt;="&amp;$B90)</f>
        <v>54.400000000000006</v>
      </c>
      <c r="L90" s="24">
        <f>SUMIFS('Saldos Iniciales'!$D:$D,'Saldos Iniciales'!$A:$A,"YWC Capital")+SUMIFS(Movimientos!$K$1:$K$1324,Movimientos!$C$1:$C$1324,"YWC Capital",Movimientos!$B$1:$B$1324,"&lt;="&amp;$B90)</f>
        <v>2207.8200000000002</v>
      </c>
      <c r="M90" s="24">
        <f>SUMIFS('Saldos Iniciales'!$D:$D,'Saldos Iniciales'!$A:$A,"Soweto")+SUMIFS(Movimientos!$K$1:$K$1324,Movimientos!$C$1:$C$1324,"Soweto",Movimientos!$B$1:$B$1324,"&lt;="&amp;$B90)</f>
        <v>1454589.72</v>
      </c>
      <c r="N90" s="24">
        <f>SUMIFS('Saldos Iniciales'!$D:$D,'Saldos Iniciales'!$A:$A,"Green Stone Trust")+SUMIFS(Movimientos!$K$1:$K$1324,Movimientos!$C$1:$C$1324,"Green Stone Trust",Movimientos!$B$1:$B$1324,"&lt;="&amp;$B90)</f>
        <v>1968.99</v>
      </c>
      <c r="O90" s="24">
        <f>SUMIFS('Saldos Iniciales'!$D:$D,'Saldos Iniciales'!$A:$A,"EC Auto")+SUMIFS(Movimientos!$K$1:$K$1324,Movimientos!$C$1:$C$1324,"EC Auto",Movimientos!$B$1:$B$1324,"&lt;="&amp;$B90)</f>
        <v>901.34</v>
      </c>
      <c r="P90" s="24">
        <f>SUMIFS('Saldos Iniciales'!$D:$D,'Saldos Iniciales'!$A:$A,"Arbor Capital Properties")+SUMIFS(Movimientos!$K$1:$K$1324,Movimientos!$C$1:$C$1324,"Arbor Capital Properties",Movimientos!$B$1:$B$1324,"&lt;="&amp;$B90)</f>
        <v>1412.08</v>
      </c>
      <c r="Q90" s="24">
        <f>SUMIFS('Saldos Iniciales'!$D:$D,'Saldos Iniciales'!$A:$A,"2515 Overbrook")+SUMIFS(Movimientos!$K$1:$K$1324,Movimientos!$C$1:$C$1324,"2515 Overbrook",Movimientos!$B$1:$B$1324,"&lt;="&amp;$B90)</f>
        <v>22347.56999999996</v>
      </c>
      <c r="R90" s="24">
        <f>SUMIFS('Saldos Iniciales'!$D:$D,'Saldos Iniciales'!$A:$A,"112 Florida Ave")+SUMIFS(Movimientos!$K$1:$K$1324,Movimientos!$C$1:$C$1324,"112 Florida Ave",Movimientos!$B$1:$B$1324,"&lt;="&amp;$B90)</f>
        <v>18522.800000000003</v>
      </c>
      <c r="S90" s="24">
        <f>SUMIFS('Saldos Iniciales'!$D:$D,'Saldos Iniciales'!$A:$A,"3628 Thomas Ave")+SUMIFS(Movimientos!$K$1:$K$1324,Movimientos!$C$1:$C$1324,"3628 Thomas Ave",Movimientos!$B$1:$B$1324,"&lt;="&amp;$B90)</f>
        <v>28485.559999999998</v>
      </c>
      <c r="T90" s="24">
        <f>SUMIFS('Saldos Iniciales'!$D:$D,'Saldos Iniciales'!$A:$A,"Green Harbor Trust")+SUMIFS(Movimientos!$K$1:$K$1324,Movimientos!$C$1:$C$1324,"Green Harbor Trust",Movimientos!$B$1:$B$1324,"&lt;="&amp;$B90)</f>
        <v>345</v>
      </c>
      <c r="U90" s="24">
        <f>SUMIFS('Saldos Iniciales'!$D:$D,'Saldos Iniciales'!$A:$A,"Go Blue")+SUMIFS(Movimientos!$K$1:$K$1324,Movimientos!$C$1:$C$1324,"Go Blue",Movimientos!$B$1:$B$1324,"&lt;="&amp;$B90)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Aparments",Movimientos!$B$1:$B$1324,"&lt;="&amp;$B90))</f>
        <v>0</v>
      </c>
      <c r="AD90" s="24">
        <f>IF(YEAR($B90)*100+MONTH($B90)&lt;--SUBSTITUTE(_xlfn.XLOOKUP("Don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Life",Movimientos!$B$1:$B$1324,"&lt;="&amp;$B90))</f>
        <v>0</v>
      </c>
      <c r="AE90" s="25">
        <f t="shared" si="3"/>
        <v>7630142.2400000002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Group")+SUMIFS(Movimientos!$K$1:$K$1324,Movimientos!$C$1:$C$1324,"CFT Group",Movimientos!$B$1:$B$1324,"&lt;="&amp;$B91)</f>
        <v>2270539.1300000008</v>
      </c>
      <c r="D91" s="24">
        <f>SUMIFS('Saldos Iniciales'!$D:$D,'Saldos Iniciales'!$A:$A,"M1B")+SUMIFS(Movimientos!$K$1:$K$1324,Movimientos!$C$1:$C$1324,"M1B",Movimientos!$B$1:$B$1324,"&lt;="&amp;$B91)</f>
        <v>83211.250000000175</v>
      </c>
      <c r="E91" s="24">
        <f>SUMIFS('Saldos Iniciales'!$D:$D,'Saldos Iniciales'!$A:$A,"Durand")+SUMIFS(Movimientos!$K$1:$K$1324,Movimientos!$C$1:$C$1324,"Durand",Movimientos!$B$1:$B$1324,"&lt;="&amp;$B91)</f>
        <v>1669.89</v>
      </c>
      <c r="F91" s="24">
        <f>SUMIFS('Saldos Iniciales'!$D:$D,'Saldos Iniciales'!$A:$A,"A&amp;M Imports")+SUMIFS(Movimientos!$K$1:$K$1324,Movimientos!$C$1:$C$1324,"A&amp;M Imports",Movimientos!$B$1:$B$1324,"&lt;="&amp;$B91)</f>
        <v>1434634.5999999999</v>
      </c>
      <c r="G91" s="24">
        <f>SUMIFS('Saldos Iniciales'!$D:$D,'Saldos Iniciales'!$A:$A,"SSP Capital")+SUMIFS(Movimientos!$K$1:$K$1324,Movimientos!$C$1:$C$1324,"SSP Capital",Movimientos!$B$1:$B$1324,"&lt;="&amp;$B91)</f>
        <v>1857997.0999999996</v>
      </c>
      <c r="H91" s="24">
        <f>SUMIFS('Saldos Iniciales'!$D:$D,'Saldos Iniciales'!$A:$A,"Cross Family Trust")+SUMIFS(Movimientos!$K$1:$K$1324,Movimientos!$C$1:$C$1324,"Cross Family Trust",Movimientos!$B$1:$B$1324,"&lt;="&amp;$B91)</f>
        <v>190496.38</v>
      </c>
      <c r="I91" s="24">
        <f>SUMIFS('Saldos Iniciales'!$D:$D,'Saldos Iniciales'!$A:$A,"Cross Security Trust")+SUMIFS(Movimientos!$K$1:$K$1324,Movimientos!$C$1:$C$1324,"Cross Security Trust",Movimientos!$B$1:$B$1324,"&lt;="&amp;$B91)</f>
        <v>267507.45</v>
      </c>
      <c r="J91" s="24">
        <f>SUMIFS('Saldos Iniciales'!$D:$D,'Saldos Iniciales'!$A:$A,"Electrama")+SUMIFS(Movimientos!$K$1:$K$1324,Movimientos!$C$1:$C$1324,"Electrama",Movimientos!$B$1:$B$1324,"&lt;="&amp;$B91)</f>
        <v>14580.45</v>
      </c>
      <c r="K91" s="24">
        <f>SUMIFS('Saldos Iniciales'!$D:$D,'Saldos Iniciales'!$A:$A,"Sacred Valley Capital")+SUMIFS(Movimientos!$K$1:$K$1324,Movimientos!$C$1:$C$1324,"Sacred Valley Capital",Movimientos!$B$1:$B$1324,"&lt;="&amp;$B91)</f>
        <v>54.400000000000006</v>
      </c>
      <c r="L91" s="24">
        <f>SUMIFS('Saldos Iniciales'!$D:$D,'Saldos Iniciales'!$A:$A,"YWC Capital")+SUMIFS(Movimientos!$K$1:$K$1324,Movimientos!$C$1:$C$1324,"YWC Capital",Movimientos!$B$1:$B$1324,"&lt;="&amp;$B91)</f>
        <v>2207.8200000000002</v>
      </c>
      <c r="M91" s="24">
        <f>SUMIFS('Saldos Iniciales'!$D:$D,'Saldos Iniciales'!$A:$A,"Soweto")+SUMIFS(Movimientos!$K$1:$K$1324,Movimientos!$C$1:$C$1324,"Soweto",Movimientos!$B$1:$B$1324,"&lt;="&amp;$B91)</f>
        <v>1454589.72</v>
      </c>
      <c r="N91" s="24">
        <f>SUMIFS('Saldos Iniciales'!$D:$D,'Saldos Iniciales'!$A:$A,"Green Stone Trust")+SUMIFS(Movimientos!$K$1:$K$1324,Movimientos!$C$1:$C$1324,"Green Stone Trust",Movimientos!$B$1:$B$1324,"&lt;="&amp;$B91)</f>
        <v>1968.99</v>
      </c>
      <c r="O91" s="24">
        <f>SUMIFS('Saldos Iniciales'!$D:$D,'Saldos Iniciales'!$A:$A,"EC Auto")+SUMIFS(Movimientos!$K$1:$K$1324,Movimientos!$C$1:$C$1324,"EC Auto",Movimientos!$B$1:$B$1324,"&lt;="&amp;$B91)</f>
        <v>901.34</v>
      </c>
      <c r="P91" s="24">
        <f>SUMIFS('Saldos Iniciales'!$D:$D,'Saldos Iniciales'!$A:$A,"Arbor Capital Properties")+SUMIFS(Movimientos!$K$1:$K$1324,Movimientos!$C$1:$C$1324,"Arbor Capital Properties",Movimientos!$B$1:$B$1324,"&lt;="&amp;$B91)</f>
        <v>1412.08</v>
      </c>
      <c r="Q91" s="24">
        <f>SUMIFS('Saldos Iniciales'!$D:$D,'Saldos Iniciales'!$A:$A,"2515 Overbrook")+SUMIFS(Movimientos!$K$1:$K$1324,Movimientos!$C$1:$C$1324,"2515 Overbrook",Movimientos!$B$1:$B$1324,"&lt;="&amp;$B91)</f>
        <v>22347.56999999996</v>
      </c>
      <c r="R91" s="24">
        <f>SUMIFS('Saldos Iniciales'!$D:$D,'Saldos Iniciales'!$A:$A,"112 Florida Ave")+SUMIFS(Movimientos!$K$1:$K$1324,Movimientos!$C$1:$C$1324,"112 Florida Ave",Movimientos!$B$1:$B$1324,"&lt;="&amp;$B91)</f>
        <v>18522.800000000003</v>
      </c>
      <c r="S91" s="24">
        <f>SUMIFS('Saldos Iniciales'!$D:$D,'Saldos Iniciales'!$A:$A,"3628 Thomas Ave")+SUMIFS(Movimientos!$K$1:$K$1324,Movimientos!$C$1:$C$1324,"3628 Thomas Ave",Movimientos!$B$1:$B$1324,"&lt;="&amp;$B91)</f>
        <v>28485.559999999998</v>
      </c>
      <c r="T91" s="24">
        <f>SUMIFS('Saldos Iniciales'!$D:$D,'Saldos Iniciales'!$A:$A,"Green Harbor Trust")+SUMIFS(Movimientos!$K$1:$K$1324,Movimientos!$C$1:$C$1324,"Green Harbor Trust",Movimientos!$B$1:$B$1324,"&lt;="&amp;$B91)</f>
        <v>345</v>
      </c>
      <c r="U91" s="24">
        <f>SUMIFS('Saldos Iniciales'!$D:$D,'Saldos Iniciales'!$A:$A,"Go Blue")+SUMIFS(Movimientos!$K$1:$K$1324,Movimientos!$C$1:$C$1324,"Go Blue",Movimientos!$B$1:$B$1324,"&lt;="&amp;$B91)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Aparments",Movimientos!$B$1:$B$1324,"&lt;="&amp;$B91))</f>
        <v>0</v>
      </c>
      <c r="AD91" s="24">
        <f>IF(YEAR($B91)*100+MONTH($B91)&lt;--SUBSTITUTE(_xlfn.XLOOKUP("Don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Life",Movimientos!$B$1:$B$1324,"&lt;="&amp;$B91))</f>
        <v>0</v>
      </c>
      <c r="AE91" s="25">
        <f t="shared" si="3"/>
        <v>7664941.3100000015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Group")+SUMIFS(Movimientos!$K$1:$K$1324,Movimientos!$C$1:$C$1324,"CFT Group",Movimientos!$B$1:$B$1324,"&lt;="&amp;$B92)</f>
        <v>2470350.7000000002</v>
      </c>
      <c r="D92" s="24">
        <f>SUMIFS('Saldos Iniciales'!$D:$D,'Saldos Iniciales'!$A:$A,"M1B")+SUMIFS(Movimientos!$K$1:$K$1324,Movimientos!$C$1:$C$1324,"M1B",Movimientos!$B$1:$B$1324,"&lt;="&amp;$B92)</f>
        <v>83211.250000000175</v>
      </c>
      <c r="E92" s="24">
        <f>SUMIFS('Saldos Iniciales'!$D:$D,'Saldos Iniciales'!$A:$A,"Durand")+SUMIFS(Movimientos!$K$1:$K$1324,Movimientos!$C$1:$C$1324,"Durand",Movimientos!$B$1:$B$1324,"&lt;="&amp;$B92)</f>
        <v>1669.89</v>
      </c>
      <c r="F92" s="24">
        <f>SUMIFS('Saldos Iniciales'!$D:$D,'Saldos Iniciales'!$A:$A,"A&amp;M Imports")+SUMIFS(Movimientos!$K$1:$K$1324,Movimientos!$C$1:$C$1324,"A&amp;M Imports",Movimientos!$B$1:$B$1324,"&lt;="&amp;$B92)</f>
        <v>1458426.0399999998</v>
      </c>
      <c r="G92" s="24">
        <f>SUMIFS('Saldos Iniciales'!$D:$D,'Saldos Iniciales'!$A:$A,"SSP Capital")+SUMIFS(Movimientos!$K$1:$K$1324,Movimientos!$C$1:$C$1324,"SSP Capital",Movimientos!$B$1:$B$1324,"&lt;="&amp;$B92)</f>
        <v>1857993.8499999996</v>
      </c>
      <c r="H92" s="24">
        <f>SUMIFS('Saldos Iniciales'!$D:$D,'Saldos Iniciales'!$A:$A,"Cross Family Trust")+SUMIFS(Movimientos!$K$1:$K$1324,Movimientos!$C$1:$C$1324,"Cross Family Trust",Movimientos!$B$1:$B$1324,"&lt;="&amp;$B92)</f>
        <v>190496.38</v>
      </c>
      <c r="I92" s="24">
        <f>SUMIFS('Saldos Iniciales'!$D:$D,'Saldos Iniciales'!$A:$A,"Cross Security Trust")+SUMIFS(Movimientos!$K$1:$K$1324,Movimientos!$C$1:$C$1324,"Cross Security Trust",Movimientos!$B$1:$B$1324,"&lt;="&amp;$B92)</f>
        <v>267507.45</v>
      </c>
      <c r="J92" s="24">
        <f>SUMIFS('Saldos Iniciales'!$D:$D,'Saldos Iniciales'!$A:$A,"Electrama")+SUMIFS(Movimientos!$K$1:$K$1324,Movimientos!$C$1:$C$1324,"Electrama",Movimientos!$B$1:$B$1324,"&lt;="&amp;$B92)</f>
        <v>14580.45</v>
      </c>
      <c r="K92" s="24">
        <f>SUMIFS('Saldos Iniciales'!$D:$D,'Saldos Iniciales'!$A:$A,"Sacred Valley Capital")+SUMIFS(Movimientos!$K$1:$K$1324,Movimientos!$C$1:$C$1324,"Sacred Valley Capital",Movimientos!$B$1:$B$1324,"&lt;="&amp;$B92)</f>
        <v>54.400000000000006</v>
      </c>
      <c r="L92" s="24">
        <f>SUMIFS('Saldos Iniciales'!$D:$D,'Saldos Iniciales'!$A:$A,"YWC Capital")+SUMIFS(Movimientos!$K$1:$K$1324,Movimientos!$C$1:$C$1324,"YWC Capital",Movimientos!$B$1:$B$1324,"&lt;="&amp;$B92)</f>
        <v>2207.8200000000002</v>
      </c>
      <c r="M92" s="24">
        <f>SUMIFS('Saldos Iniciales'!$D:$D,'Saldos Iniciales'!$A:$A,"Soweto")+SUMIFS(Movimientos!$K$1:$K$1324,Movimientos!$C$1:$C$1324,"Soweto",Movimientos!$B$1:$B$1324,"&lt;="&amp;$B92)</f>
        <v>1454589.72</v>
      </c>
      <c r="N92" s="24">
        <f>SUMIFS('Saldos Iniciales'!$D:$D,'Saldos Iniciales'!$A:$A,"Green Stone Trust")+SUMIFS(Movimientos!$K$1:$K$1324,Movimientos!$C$1:$C$1324,"Green Stone Trust",Movimientos!$B$1:$B$1324,"&lt;="&amp;$B92)</f>
        <v>1968.99</v>
      </c>
      <c r="O92" s="24">
        <f>SUMIFS('Saldos Iniciales'!$D:$D,'Saldos Iniciales'!$A:$A,"EC Auto")+SUMIFS(Movimientos!$K$1:$K$1324,Movimientos!$C$1:$C$1324,"EC Auto",Movimientos!$B$1:$B$1324,"&lt;="&amp;$B92)</f>
        <v>901.34</v>
      </c>
      <c r="P92" s="24">
        <f>SUMIFS('Saldos Iniciales'!$D:$D,'Saldos Iniciales'!$A:$A,"Arbor Capital Properties")+SUMIFS(Movimientos!$K$1:$K$1324,Movimientos!$C$1:$C$1324,"Arbor Capital Properties",Movimientos!$B$1:$B$1324,"&lt;="&amp;$B92)</f>
        <v>1412.08</v>
      </c>
      <c r="Q92" s="24">
        <f>SUMIFS('Saldos Iniciales'!$D:$D,'Saldos Iniciales'!$A:$A,"2515 Overbrook")+SUMIFS(Movimientos!$K$1:$K$1324,Movimientos!$C$1:$C$1324,"2515 Overbrook",Movimientos!$B$1:$B$1324,"&lt;="&amp;$B92)</f>
        <v>22347.56999999996</v>
      </c>
      <c r="R92" s="24">
        <f>SUMIFS('Saldos Iniciales'!$D:$D,'Saldos Iniciales'!$A:$A,"112 Florida Ave")+SUMIFS(Movimientos!$K$1:$K$1324,Movimientos!$C$1:$C$1324,"112 Florida Ave",Movimientos!$B$1:$B$1324,"&lt;="&amp;$B92)</f>
        <v>18522.800000000003</v>
      </c>
      <c r="S92" s="24">
        <f>SUMIFS('Saldos Iniciales'!$D:$D,'Saldos Iniciales'!$A:$A,"3628 Thomas Ave")+SUMIFS(Movimientos!$K$1:$K$1324,Movimientos!$C$1:$C$1324,"3628 Thomas Ave",Movimientos!$B$1:$B$1324,"&lt;="&amp;$B92)</f>
        <v>28485.559999999998</v>
      </c>
      <c r="T92" s="24">
        <f>SUMIFS('Saldos Iniciales'!$D:$D,'Saldos Iniciales'!$A:$A,"Green Harbor Trust")+SUMIFS(Movimientos!$K$1:$K$1324,Movimientos!$C$1:$C$1324,"Green Harbor Trust",Movimientos!$B$1:$B$1324,"&lt;="&amp;$B92)</f>
        <v>345</v>
      </c>
      <c r="U92" s="24">
        <f>SUMIFS('Saldos Iniciales'!$D:$D,'Saldos Iniciales'!$A:$A,"Go Blue")+SUMIFS(Movimientos!$K$1:$K$1324,Movimientos!$C$1:$C$1324,"Go Blue",Movimientos!$B$1:$B$1324,"&lt;="&amp;$B92)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Aparments",Movimientos!$B$1:$B$1324,"&lt;="&amp;$B92))</f>
        <v>0</v>
      </c>
      <c r="AD92" s="24">
        <f>IF(YEAR($B92)*100+MONTH($B92)&lt;--SUBSTITUTE(_xlfn.XLOOKUP("Don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Life",Movimientos!$B$1:$B$1324,"&lt;="&amp;$B92))</f>
        <v>0</v>
      </c>
      <c r="AE92" s="25">
        <f t="shared" si="3"/>
        <v>7886706.2199999997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Group")+SUMIFS(Movimientos!$K$1:$K$1324,Movimientos!$C$1:$C$1324,"CFT Group",Movimientos!$B$1:$B$1324,"&lt;="&amp;$B93)</f>
        <v>2468032.08</v>
      </c>
      <c r="D93" s="24">
        <f>SUMIFS('Saldos Iniciales'!$D:$D,'Saldos Iniciales'!$A:$A,"M1B")+SUMIFS(Movimientos!$K$1:$K$1324,Movimientos!$C$1:$C$1324,"M1B",Movimientos!$B$1:$B$1324,"&lt;="&amp;$B93)</f>
        <v>83211.250000000175</v>
      </c>
      <c r="E93" s="24">
        <f>SUMIFS('Saldos Iniciales'!$D:$D,'Saldos Iniciales'!$A:$A,"Durand")+SUMIFS(Movimientos!$K$1:$K$1324,Movimientos!$C$1:$C$1324,"Durand",Movimientos!$B$1:$B$1324,"&lt;="&amp;$B93)</f>
        <v>1669.89</v>
      </c>
      <c r="F93" s="24">
        <f>SUMIFS('Saldos Iniciales'!$D:$D,'Saldos Iniciales'!$A:$A,"A&amp;M Imports")+SUMIFS(Movimientos!$K$1:$K$1324,Movimientos!$C$1:$C$1324,"A&amp;M Imports",Movimientos!$B$1:$B$1324,"&lt;="&amp;$B93)</f>
        <v>1458426.0399999998</v>
      </c>
      <c r="G93" s="24">
        <f>SUMIFS('Saldos Iniciales'!$D:$D,'Saldos Iniciales'!$A:$A,"SSP Capital")+SUMIFS(Movimientos!$K$1:$K$1324,Movimientos!$C$1:$C$1324,"SSP Capital",Movimientos!$B$1:$B$1324,"&lt;="&amp;$B93)</f>
        <v>1514477.1199999996</v>
      </c>
      <c r="H93" s="24">
        <f>SUMIFS('Saldos Iniciales'!$D:$D,'Saldos Iniciales'!$A:$A,"Cross Family Trust")+SUMIFS(Movimientos!$K$1:$K$1324,Movimientos!$C$1:$C$1324,"Cross Family Trust",Movimientos!$B$1:$B$1324,"&lt;="&amp;$B93)</f>
        <v>190496.38</v>
      </c>
      <c r="I93" s="24">
        <f>SUMIFS('Saldos Iniciales'!$D:$D,'Saldos Iniciales'!$A:$A,"Cross Security Trust")+SUMIFS(Movimientos!$K$1:$K$1324,Movimientos!$C$1:$C$1324,"Cross Security Trust",Movimientos!$B$1:$B$1324,"&lt;="&amp;$B93)</f>
        <v>207605.45</v>
      </c>
      <c r="J93" s="24">
        <f>SUMIFS('Saldos Iniciales'!$D:$D,'Saldos Iniciales'!$A:$A,"Electrama")+SUMIFS(Movimientos!$K$1:$K$1324,Movimientos!$C$1:$C$1324,"Electrama",Movimientos!$B$1:$B$1324,"&lt;="&amp;$B93)</f>
        <v>14580.45</v>
      </c>
      <c r="K93" s="24">
        <f>SUMIFS('Saldos Iniciales'!$D:$D,'Saldos Iniciales'!$A:$A,"Sacred Valley Capital")+SUMIFS(Movimientos!$K$1:$K$1324,Movimientos!$C$1:$C$1324,"Sacred Valley Capital",Movimientos!$B$1:$B$1324,"&lt;="&amp;$B93)</f>
        <v>54.400000000000006</v>
      </c>
      <c r="L93" s="24">
        <f>SUMIFS('Saldos Iniciales'!$D:$D,'Saldos Iniciales'!$A:$A,"YWC Capital")+SUMIFS(Movimientos!$K$1:$K$1324,Movimientos!$C$1:$C$1324,"YWC Capital",Movimientos!$B$1:$B$1324,"&lt;="&amp;$B93)</f>
        <v>2207.8200000000002</v>
      </c>
      <c r="M93" s="24">
        <f>SUMIFS('Saldos Iniciales'!$D:$D,'Saldos Iniciales'!$A:$A,"Soweto")+SUMIFS(Movimientos!$K$1:$K$1324,Movimientos!$C$1:$C$1324,"Soweto",Movimientos!$B$1:$B$1324,"&lt;="&amp;$B93)</f>
        <v>1454589.72</v>
      </c>
      <c r="N93" s="24">
        <f>SUMIFS('Saldos Iniciales'!$D:$D,'Saldos Iniciales'!$A:$A,"Green Stone Trust")+SUMIFS(Movimientos!$K$1:$K$1324,Movimientos!$C$1:$C$1324,"Green Stone Trust",Movimientos!$B$1:$B$1324,"&lt;="&amp;$B93)</f>
        <v>1968.99</v>
      </c>
      <c r="O93" s="24">
        <f>SUMIFS('Saldos Iniciales'!$D:$D,'Saldos Iniciales'!$A:$A,"EC Auto")+SUMIFS(Movimientos!$K$1:$K$1324,Movimientos!$C$1:$C$1324,"EC Auto",Movimientos!$B$1:$B$1324,"&lt;="&amp;$B93)</f>
        <v>901.34</v>
      </c>
      <c r="P93" s="24">
        <f>SUMIFS('Saldos Iniciales'!$D:$D,'Saldos Iniciales'!$A:$A,"Arbor Capital Properties")+SUMIFS(Movimientos!$K$1:$K$1324,Movimientos!$C$1:$C$1324,"Arbor Capital Properties",Movimientos!$B$1:$B$1324,"&lt;="&amp;$B93)</f>
        <v>1412.08</v>
      </c>
      <c r="Q93" s="24">
        <f>SUMIFS('Saldos Iniciales'!$D:$D,'Saldos Iniciales'!$A:$A,"2515 Overbrook")+SUMIFS(Movimientos!$K$1:$K$1324,Movimientos!$C$1:$C$1324,"2515 Overbrook",Movimientos!$B$1:$B$1324,"&lt;="&amp;$B93)</f>
        <v>22347.56999999996</v>
      </c>
      <c r="R93" s="24">
        <f>SUMIFS('Saldos Iniciales'!$D:$D,'Saldos Iniciales'!$A:$A,"112 Florida Ave")+SUMIFS(Movimientos!$K$1:$K$1324,Movimientos!$C$1:$C$1324,"112 Florida Ave",Movimientos!$B$1:$B$1324,"&lt;="&amp;$B93)</f>
        <v>18522.800000000003</v>
      </c>
      <c r="S93" s="24">
        <f>SUMIFS('Saldos Iniciales'!$D:$D,'Saldos Iniciales'!$A:$A,"3628 Thomas Ave")+SUMIFS(Movimientos!$K$1:$K$1324,Movimientos!$C$1:$C$1324,"3628 Thomas Ave",Movimientos!$B$1:$B$1324,"&lt;="&amp;$B93)</f>
        <v>28485.559999999998</v>
      </c>
      <c r="T93" s="24">
        <f>SUMIFS('Saldos Iniciales'!$D:$D,'Saldos Iniciales'!$A:$A,"Green Harbor Trust")+SUMIFS(Movimientos!$K$1:$K$1324,Movimientos!$C$1:$C$1324,"Green Harbor Trust",Movimientos!$B$1:$B$1324,"&lt;="&amp;$B93)</f>
        <v>345</v>
      </c>
      <c r="U93" s="24">
        <f>SUMIFS('Saldos Iniciales'!$D:$D,'Saldos Iniciales'!$A:$A,"Go Blue")+SUMIFS(Movimientos!$K$1:$K$1324,Movimientos!$C$1:$C$1324,"Go Blue",Movimientos!$B$1:$B$1324,"&lt;="&amp;$B93)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Aparments",Movimientos!$B$1:$B$1324,"&lt;="&amp;$B93))</f>
        <v>0</v>
      </c>
      <c r="AD93" s="24">
        <f>IF(YEAR($B93)*100+MONTH($B93)&lt;--SUBSTITUTE(_xlfn.XLOOKUP("Don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Life",Movimientos!$B$1:$B$1324,"&lt;="&amp;$B93))</f>
        <v>0</v>
      </c>
      <c r="AE93" s="25">
        <f t="shared" si="3"/>
        <v>7480968.8699999992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Group")+SUMIFS(Movimientos!$K$1:$K$1324,Movimientos!$C$1:$C$1324,"CFT Group",Movimientos!$B$1:$B$1324,"&lt;="&amp;$B94)</f>
        <v>2468032.08</v>
      </c>
      <c r="D94" s="24">
        <f>SUMIFS('Saldos Iniciales'!$D:$D,'Saldos Iniciales'!$A:$A,"M1B")+SUMIFS(Movimientos!$K$1:$K$1324,Movimientos!$C$1:$C$1324,"M1B",Movimientos!$B$1:$B$1324,"&lt;="&amp;$B94)</f>
        <v>83211.250000000175</v>
      </c>
      <c r="E94" s="24">
        <f>SUMIFS('Saldos Iniciales'!$D:$D,'Saldos Iniciales'!$A:$A,"Durand")+SUMIFS(Movimientos!$K$1:$K$1324,Movimientos!$C$1:$C$1324,"Durand",Movimientos!$B$1:$B$1324,"&lt;="&amp;$B94)</f>
        <v>1669.89</v>
      </c>
      <c r="F94" s="24">
        <f>SUMIFS('Saldos Iniciales'!$D:$D,'Saldos Iniciales'!$A:$A,"A&amp;M Imports")+SUMIFS(Movimientos!$K$1:$K$1324,Movimientos!$C$1:$C$1324,"A&amp;M Imports",Movimientos!$B$1:$B$1324,"&lt;="&amp;$B94)</f>
        <v>1458426.0399999998</v>
      </c>
      <c r="G94" s="24">
        <f>SUMIFS('Saldos Iniciales'!$D:$D,'Saldos Iniciales'!$A:$A,"SSP Capital")+SUMIFS(Movimientos!$K$1:$K$1324,Movimientos!$C$1:$C$1324,"SSP Capital",Movimientos!$B$1:$B$1324,"&lt;="&amp;$B94)</f>
        <v>1514477.1199999996</v>
      </c>
      <c r="H94" s="24">
        <f>SUMIFS('Saldos Iniciales'!$D:$D,'Saldos Iniciales'!$A:$A,"Cross Family Trust")+SUMIFS(Movimientos!$K$1:$K$1324,Movimientos!$C$1:$C$1324,"Cross Family Trust",Movimientos!$B$1:$B$1324,"&lt;="&amp;$B94)</f>
        <v>190496.38</v>
      </c>
      <c r="I94" s="24">
        <f>SUMIFS('Saldos Iniciales'!$D:$D,'Saldos Iniciales'!$A:$A,"Cross Security Trust")+SUMIFS(Movimientos!$K$1:$K$1324,Movimientos!$C$1:$C$1324,"Cross Security Trust",Movimientos!$B$1:$B$1324,"&lt;="&amp;$B94)</f>
        <v>207605.45</v>
      </c>
      <c r="J94" s="24">
        <f>SUMIFS('Saldos Iniciales'!$D:$D,'Saldos Iniciales'!$A:$A,"Electrama")+SUMIFS(Movimientos!$K$1:$K$1324,Movimientos!$C$1:$C$1324,"Electrama",Movimientos!$B$1:$B$1324,"&lt;="&amp;$B94)</f>
        <v>14580.45</v>
      </c>
      <c r="K94" s="24">
        <f>SUMIFS('Saldos Iniciales'!$D:$D,'Saldos Iniciales'!$A:$A,"Sacred Valley Capital")+SUMIFS(Movimientos!$K$1:$K$1324,Movimientos!$C$1:$C$1324,"Sacred Valley Capital",Movimientos!$B$1:$B$1324,"&lt;="&amp;$B94)</f>
        <v>54.400000000000006</v>
      </c>
      <c r="L94" s="24">
        <f>SUMIFS('Saldos Iniciales'!$D:$D,'Saldos Iniciales'!$A:$A,"YWC Capital")+SUMIFS(Movimientos!$K$1:$K$1324,Movimientos!$C$1:$C$1324,"YWC Capital",Movimientos!$B$1:$B$1324,"&lt;="&amp;$B94)</f>
        <v>2207.8200000000002</v>
      </c>
      <c r="M94" s="24">
        <f>SUMIFS('Saldos Iniciales'!$D:$D,'Saldos Iniciales'!$A:$A,"Soweto")+SUMIFS(Movimientos!$K$1:$K$1324,Movimientos!$C$1:$C$1324,"Soweto",Movimientos!$B$1:$B$1324,"&lt;="&amp;$B94)</f>
        <v>1454589.72</v>
      </c>
      <c r="N94" s="24">
        <f>SUMIFS('Saldos Iniciales'!$D:$D,'Saldos Iniciales'!$A:$A,"Green Stone Trust")+SUMIFS(Movimientos!$K$1:$K$1324,Movimientos!$C$1:$C$1324,"Green Stone Trust",Movimientos!$B$1:$B$1324,"&lt;="&amp;$B94)</f>
        <v>1968.99</v>
      </c>
      <c r="O94" s="24">
        <f>SUMIFS('Saldos Iniciales'!$D:$D,'Saldos Iniciales'!$A:$A,"EC Auto")+SUMIFS(Movimientos!$K$1:$K$1324,Movimientos!$C$1:$C$1324,"EC Auto",Movimientos!$B$1:$B$1324,"&lt;="&amp;$B94)</f>
        <v>901.34</v>
      </c>
      <c r="P94" s="24">
        <f>SUMIFS('Saldos Iniciales'!$D:$D,'Saldos Iniciales'!$A:$A,"Arbor Capital Properties")+SUMIFS(Movimientos!$K$1:$K$1324,Movimientos!$C$1:$C$1324,"Arbor Capital Properties",Movimientos!$B$1:$B$1324,"&lt;="&amp;$B94)</f>
        <v>1412.08</v>
      </c>
      <c r="Q94" s="24">
        <f>SUMIFS('Saldos Iniciales'!$D:$D,'Saldos Iniciales'!$A:$A,"2515 Overbrook")+SUMIFS(Movimientos!$K$1:$K$1324,Movimientos!$C$1:$C$1324,"2515 Overbrook",Movimientos!$B$1:$B$1324,"&lt;="&amp;$B94)</f>
        <v>22347.56999999996</v>
      </c>
      <c r="R94" s="24">
        <f>SUMIFS('Saldos Iniciales'!$D:$D,'Saldos Iniciales'!$A:$A,"112 Florida Ave")+SUMIFS(Movimientos!$K$1:$K$1324,Movimientos!$C$1:$C$1324,"112 Florida Ave",Movimientos!$B$1:$B$1324,"&lt;="&amp;$B94)</f>
        <v>18522.800000000003</v>
      </c>
      <c r="S94" s="24">
        <f>SUMIFS('Saldos Iniciales'!$D:$D,'Saldos Iniciales'!$A:$A,"3628 Thomas Ave")+SUMIFS(Movimientos!$K$1:$K$1324,Movimientos!$C$1:$C$1324,"3628 Thomas Ave",Movimientos!$B$1:$B$1324,"&lt;="&amp;$B94)</f>
        <v>28485.559999999998</v>
      </c>
      <c r="T94" s="24">
        <f>SUMIFS('Saldos Iniciales'!$D:$D,'Saldos Iniciales'!$A:$A,"Green Harbor Trust")+SUMIFS(Movimientos!$K$1:$K$1324,Movimientos!$C$1:$C$1324,"Green Harbor Trust",Movimientos!$B$1:$B$1324,"&lt;="&amp;$B94)</f>
        <v>345</v>
      </c>
      <c r="U94" s="24">
        <f>SUMIFS('Saldos Iniciales'!$D:$D,'Saldos Iniciales'!$A:$A,"Go Blue")+SUMIFS(Movimientos!$K$1:$K$1324,Movimientos!$C$1:$C$1324,"Go Blue",Movimientos!$B$1:$B$1324,"&lt;="&amp;$B94)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Aparments",Movimientos!$B$1:$B$1324,"&lt;="&amp;$B94))</f>
        <v>0</v>
      </c>
      <c r="AD94" s="24">
        <f>IF(YEAR($B94)*100+MONTH($B94)&lt;--SUBSTITUTE(_xlfn.XLOOKUP("Don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Life",Movimientos!$B$1:$B$1324,"&lt;="&amp;$B94))</f>
        <v>0</v>
      </c>
      <c r="AE94" s="25">
        <f t="shared" si="3"/>
        <v>7480968.8699999992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Group")+SUMIFS(Movimientos!$K$1:$K$1324,Movimientos!$C$1:$C$1324,"CFT Group",Movimientos!$B$1:$B$1324,"&lt;="&amp;$B95)</f>
        <v>2468032.08</v>
      </c>
      <c r="D95" s="24">
        <f>SUMIFS('Saldos Iniciales'!$D:$D,'Saldos Iniciales'!$A:$A,"M1B")+SUMIFS(Movimientos!$K$1:$K$1324,Movimientos!$C$1:$C$1324,"M1B",Movimientos!$B$1:$B$1324,"&lt;="&amp;$B95)</f>
        <v>83211.250000000175</v>
      </c>
      <c r="E95" s="24">
        <f>SUMIFS('Saldos Iniciales'!$D:$D,'Saldos Iniciales'!$A:$A,"Durand")+SUMIFS(Movimientos!$K$1:$K$1324,Movimientos!$C$1:$C$1324,"Durand",Movimientos!$B$1:$B$1324,"&lt;="&amp;$B95)</f>
        <v>1669.89</v>
      </c>
      <c r="F95" s="24">
        <f>SUMIFS('Saldos Iniciales'!$D:$D,'Saldos Iniciales'!$A:$A,"A&amp;M Imports")+SUMIFS(Movimientos!$K$1:$K$1324,Movimientos!$C$1:$C$1324,"A&amp;M Imports",Movimientos!$B$1:$B$1324,"&lt;="&amp;$B95)</f>
        <v>1458426.0399999998</v>
      </c>
      <c r="G95" s="24">
        <f>SUMIFS('Saldos Iniciales'!$D:$D,'Saldos Iniciales'!$A:$A,"SSP Capital")+SUMIFS(Movimientos!$K$1:$K$1324,Movimientos!$C$1:$C$1324,"SSP Capital",Movimientos!$B$1:$B$1324,"&lt;="&amp;$B95)</f>
        <v>1514477.1199999996</v>
      </c>
      <c r="H95" s="24">
        <f>SUMIFS('Saldos Iniciales'!$D:$D,'Saldos Iniciales'!$A:$A,"Cross Family Trust")+SUMIFS(Movimientos!$K$1:$K$1324,Movimientos!$C$1:$C$1324,"Cross Family Trust",Movimientos!$B$1:$B$1324,"&lt;="&amp;$B95)</f>
        <v>190496.38</v>
      </c>
      <c r="I95" s="24">
        <f>SUMIFS('Saldos Iniciales'!$D:$D,'Saldos Iniciales'!$A:$A,"Cross Security Trust")+SUMIFS(Movimientos!$K$1:$K$1324,Movimientos!$C$1:$C$1324,"Cross Security Trust",Movimientos!$B$1:$B$1324,"&lt;="&amp;$B95)</f>
        <v>207605.45</v>
      </c>
      <c r="J95" s="24">
        <f>SUMIFS('Saldos Iniciales'!$D:$D,'Saldos Iniciales'!$A:$A,"Electrama")+SUMIFS(Movimientos!$K$1:$K$1324,Movimientos!$C$1:$C$1324,"Electrama",Movimientos!$B$1:$B$1324,"&lt;="&amp;$B95)</f>
        <v>14580.45</v>
      </c>
      <c r="K95" s="24">
        <f>SUMIFS('Saldos Iniciales'!$D:$D,'Saldos Iniciales'!$A:$A,"Sacred Valley Capital")+SUMIFS(Movimientos!$K$1:$K$1324,Movimientos!$C$1:$C$1324,"Sacred Valley Capital",Movimientos!$B$1:$B$1324,"&lt;="&amp;$B95)</f>
        <v>54.400000000000006</v>
      </c>
      <c r="L95" s="24">
        <f>SUMIFS('Saldos Iniciales'!$D:$D,'Saldos Iniciales'!$A:$A,"YWC Capital")+SUMIFS(Movimientos!$K$1:$K$1324,Movimientos!$C$1:$C$1324,"YWC Capital",Movimientos!$B$1:$B$1324,"&lt;="&amp;$B95)</f>
        <v>2207.8200000000002</v>
      </c>
      <c r="M95" s="24">
        <f>SUMIFS('Saldos Iniciales'!$D:$D,'Saldos Iniciales'!$A:$A,"Soweto")+SUMIFS(Movimientos!$K$1:$K$1324,Movimientos!$C$1:$C$1324,"Soweto",Movimientos!$B$1:$B$1324,"&lt;="&amp;$B95)</f>
        <v>1454589.72</v>
      </c>
      <c r="N95" s="24">
        <f>SUMIFS('Saldos Iniciales'!$D:$D,'Saldos Iniciales'!$A:$A,"Green Stone Trust")+SUMIFS(Movimientos!$K$1:$K$1324,Movimientos!$C$1:$C$1324,"Green Stone Trust",Movimientos!$B$1:$B$1324,"&lt;="&amp;$B95)</f>
        <v>1968.99</v>
      </c>
      <c r="O95" s="24">
        <f>SUMIFS('Saldos Iniciales'!$D:$D,'Saldos Iniciales'!$A:$A,"EC Auto")+SUMIFS(Movimientos!$K$1:$K$1324,Movimientos!$C$1:$C$1324,"EC Auto",Movimientos!$B$1:$B$1324,"&lt;="&amp;$B95)</f>
        <v>901.34</v>
      </c>
      <c r="P95" s="24">
        <f>SUMIFS('Saldos Iniciales'!$D:$D,'Saldos Iniciales'!$A:$A,"Arbor Capital Properties")+SUMIFS(Movimientos!$K$1:$K$1324,Movimientos!$C$1:$C$1324,"Arbor Capital Properties",Movimientos!$B$1:$B$1324,"&lt;="&amp;$B95)</f>
        <v>1412.08</v>
      </c>
      <c r="Q95" s="24">
        <f>SUMIFS('Saldos Iniciales'!$D:$D,'Saldos Iniciales'!$A:$A,"2515 Overbrook")+SUMIFS(Movimientos!$K$1:$K$1324,Movimientos!$C$1:$C$1324,"2515 Overbrook",Movimientos!$B$1:$B$1324,"&lt;="&amp;$B95)</f>
        <v>22347.56999999996</v>
      </c>
      <c r="R95" s="24">
        <f>SUMIFS('Saldos Iniciales'!$D:$D,'Saldos Iniciales'!$A:$A,"112 Florida Ave")+SUMIFS(Movimientos!$K$1:$K$1324,Movimientos!$C$1:$C$1324,"112 Florida Ave",Movimientos!$B$1:$B$1324,"&lt;="&amp;$B95)</f>
        <v>18522.800000000003</v>
      </c>
      <c r="S95" s="24">
        <f>SUMIFS('Saldos Iniciales'!$D:$D,'Saldos Iniciales'!$A:$A,"3628 Thomas Ave")+SUMIFS(Movimientos!$K$1:$K$1324,Movimientos!$C$1:$C$1324,"3628 Thomas Ave",Movimientos!$B$1:$B$1324,"&lt;="&amp;$B95)</f>
        <v>28485.559999999998</v>
      </c>
      <c r="T95" s="24">
        <f>SUMIFS('Saldos Iniciales'!$D:$D,'Saldos Iniciales'!$A:$A,"Green Harbor Trust")+SUMIFS(Movimientos!$K$1:$K$1324,Movimientos!$C$1:$C$1324,"Green Harbor Trust",Movimientos!$B$1:$B$1324,"&lt;="&amp;$B95)</f>
        <v>345</v>
      </c>
      <c r="U95" s="24">
        <f>SUMIFS('Saldos Iniciales'!$D:$D,'Saldos Iniciales'!$A:$A,"Go Blue")+SUMIFS(Movimientos!$K$1:$K$1324,Movimientos!$C$1:$C$1324,"Go Blue",Movimientos!$B$1:$B$1324,"&lt;="&amp;$B95)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Aparments",Movimientos!$B$1:$B$1324,"&lt;="&amp;$B95))</f>
        <v>0</v>
      </c>
      <c r="AD95" s="24">
        <f>IF(YEAR($B95)*100+MONTH($B95)&lt;--SUBSTITUTE(_xlfn.XLOOKUP("Don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Life",Movimientos!$B$1:$B$1324,"&lt;="&amp;$B95))</f>
        <v>0</v>
      </c>
      <c r="AE95" s="25">
        <f t="shared" si="3"/>
        <v>7480968.8699999992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Group")+SUMIFS(Movimientos!$K$1:$K$1324,Movimientos!$C$1:$C$1324,"CFT Group",Movimientos!$B$1:$B$1324,"&lt;="&amp;$B96)</f>
        <v>2468032.08</v>
      </c>
      <c r="D96" s="24">
        <f>SUMIFS('Saldos Iniciales'!$D:$D,'Saldos Iniciales'!$A:$A,"M1B")+SUMIFS(Movimientos!$K$1:$K$1324,Movimientos!$C$1:$C$1324,"M1B",Movimientos!$B$1:$B$1324,"&lt;="&amp;$B96)</f>
        <v>83211.250000000175</v>
      </c>
      <c r="E96" s="24">
        <f>SUMIFS('Saldos Iniciales'!$D:$D,'Saldos Iniciales'!$A:$A,"Durand")+SUMIFS(Movimientos!$K$1:$K$1324,Movimientos!$C$1:$C$1324,"Durand",Movimientos!$B$1:$B$1324,"&lt;="&amp;$B96)</f>
        <v>1669.89</v>
      </c>
      <c r="F96" s="24">
        <f>SUMIFS('Saldos Iniciales'!$D:$D,'Saldos Iniciales'!$A:$A,"A&amp;M Imports")+SUMIFS(Movimientos!$K$1:$K$1324,Movimientos!$C$1:$C$1324,"A&amp;M Imports",Movimientos!$B$1:$B$1324,"&lt;="&amp;$B96)</f>
        <v>1458426.0399999998</v>
      </c>
      <c r="G96" s="24">
        <f>SUMIFS('Saldos Iniciales'!$D:$D,'Saldos Iniciales'!$A:$A,"SSP Capital")+SUMIFS(Movimientos!$K$1:$K$1324,Movimientos!$C$1:$C$1324,"SSP Capital",Movimientos!$B$1:$B$1324,"&lt;="&amp;$B96)</f>
        <v>1514477.1199999996</v>
      </c>
      <c r="H96" s="24">
        <f>SUMIFS('Saldos Iniciales'!$D:$D,'Saldos Iniciales'!$A:$A,"Cross Family Trust")+SUMIFS(Movimientos!$K$1:$K$1324,Movimientos!$C$1:$C$1324,"Cross Family Trust",Movimientos!$B$1:$B$1324,"&lt;="&amp;$B96)</f>
        <v>190496.38</v>
      </c>
      <c r="I96" s="24">
        <f>SUMIFS('Saldos Iniciales'!$D:$D,'Saldos Iniciales'!$A:$A,"Cross Security Trust")+SUMIFS(Movimientos!$K$1:$K$1324,Movimientos!$C$1:$C$1324,"Cross Security Trust",Movimientos!$B$1:$B$1324,"&lt;="&amp;$B96)</f>
        <v>207605.45</v>
      </c>
      <c r="J96" s="24">
        <f>SUMIFS('Saldos Iniciales'!$D:$D,'Saldos Iniciales'!$A:$A,"Electrama")+SUMIFS(Movimientos!$K$1:$K$1324,Movimientos!$C$1:$C$1324,"Electrama",Movimientos!$B$1:$B$1324,"&lt;="&amp;$B96)</f>
        <v>14580.45</v>
      </c>
      <c r="K96" s="24">
        <f>SUMIFS('Saldos Iniciales'!$D:$D,'Saldos Iniciales'!$A:$A,"Sacred Valley Capital")+SUMIFS(Movimientos!$K$1:$K$1324,Movimientos!$C$1:$C$1324,"Sacred Valley Capital",Movimientos!$B$1:$B$1324,"&lt;="&amp;$B96)</f>
        <v>24.450000000000003</v>
      </c>
      <c r="L96" s="24">
        <f>SUMIFS('Saldos Iniciales'!$D:$D,'Saldos Iniciales'!$A:$A,"YWC Capital")+SUMIFS(Movimientos!$K$1:$K$1324,Movimientos!$C$1:$C$1324,"YWC Capital",Movimientos!$B$1:$B$1324,"&lt;="&amp;$B96)</f>
        <v>2177.87</v>
      </c>
      <c r="M96" s="24">
        <f>SUMIFS('Saldos Iniciales'!$D:$D,'Saldos Iniciales'!$A:$A,"Soweto")+SUMIFS(Movimientos!$K$1:$K$1324,Movimientos!$C$1:$C$1324,"Soweto",Movimientos!$B$1:$B$1324,"&lt;="&amp;$B96)</f>
        <v>1454589.72</v>
      </c>
      <c r="N96" s="24">
        <f>SUMIFS('Saldos Iniciales'!$D:$D,'Saldos Iniciales'!$A:$A,"Green Stone Trust")+SUMIFS(Movimientos!$K$1:$K$1324,Movimientos!$C$1:$C$1324,"Green Stone Trust",Movimientos!$B$1:$B$1324,"&lt;="&amp;$B96)</f>
        <v>1968.99</v>
      </c>
      <c r="O96" s="24">
        <f>SUMIFS('Saldos Iniciales'!$D:$D,'Saldos Iniciales'!$A:$A,"EC Auto")+SUMIFS(Movimientos!$K$1:$K$1324,Movimientos!$C$1:$C$1324,"EC Auto",Movimientos!$B$1:$B$1324,"&lt;="&amp;$B96)</f>
        <v>901.34</v>
      </c>
      <c r="P96" s="24">
        <f>SUMIFS('Saldos Iniciales'!$D:$D,'Saldos Iniciales'!$A:$A,"Arbor Capital Properties")+SUMIFS(Movimientos!$K$1:$K$1324,Movimientos!$C$1:$C$1324,"Arbor Capital Properties",Movimientos!$B$1:$B$1324,"&lt;="&amp;$B96)</f>
        <v>1396.08</v>
      </c>
      <c r="Q96" s="24">
        <f>SUMIFS('Saldos Iniciales'!$D:$D,'Saldos Iniciales'!$A:$A,"2515 Overbrook")+SUMIFS(Movimientos!$K$1:$K$1324,Movimientos!$C$1:$C$1324,"2515 Overbrook",Movimientos!$B$1:$B$1324,"&lt;="&amp;$B96)</f>
        <v>13804.239999999962</v>
      </c>
      <c r="R96" s="24">
        <f>SUMIFS('Saldos Iniciales'!$D:$D,'Saldos Iniciales'!$A:$A,"112 Florida Ave")+SUMIFS(Movimientos!$K$1:$K$1324,Movimientos!$C$1:$C$1324,"112 Florida Ave",Movimientos!$B$1:$B$1324,"&lt;="&amp;$B96)</f>
        <v>8724.1700000000037</v>
      </c>
      <c r="S96" s="24">
        <f>SUMIFS('Saldos Iniciales'!$D:$D,'Saldos Iniciales'!$A:$A,"3628 Thomas Ave")+SUMIFS(Movimientos!$K$1:$K$1324,Movimientos!$C$1:$C$1324,"3628 Thomas Ave",Movimientos!$B$1:$B$1324,"&lt;="&amp;$B96)</f>
        <v>15106.099999999997</v>
      </c>
      <c r="T96" s="24">
        <f>SUMIFS('Saldos Iniciales'!$D:$D,'Saldos Iniciales'!$A:$A,"Green Harbor Trust")+SUMIFS(Movimientos!$K$1:$K$1324,Movimientos!$C$1:$C$1324,"Green Harbor Trust",Movimientos!$B$1:$B$1324,"&lt;="&amp;$B96)</f>
        <v>345</v>
      </c>
      <c r="U96" s="24">
        <f>SUMIFS('Saldos Iniciales'!$D:$D,'Saldos Iniciales'!$A:$A,"Go Blue")+SUMIFS(Movimientos!$K$1:$K$1324,Movimientos!$C$1:$C$1324,"Go Blue",Movimientos!$B$1:$B$1324,"&lt;="&amp;$B96)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Aparments",Movimientos!$B$1:$B$1324,"&lt;="&amp;$B96))</f>
        <v>0</v>
      </c>
      <c r="AD96" s="24">
        <f>IF(YEAR($B96)*100+MONTH($B96)&lt;--SUBSTITUTE(_xlfn.XLOOKUP("Don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Life",Movimientos!$B$1:$B$1324,"&lt;="&amp;$B96))</f>
        <v>0</v>
      </c>
      <c r="AE96" s="25">
        <f t="shared" si="3"/>
        <v>7445806.9699999988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Group")+SUMIFS(Movimientos!$K$1:$K$1324,Movimientos!$C$1:$C$1324,"CFT Group",Movimientos!$B$1:$B$1324,"&lt;="&amp;$B97)</f>
        <v>2468032.08</v>
      </c>
      <c r="D97" s="24">
        <f>SUMIFS('Saldos Iniciales'!$D:$D,'Saldos Iniciales'!$A:$A,"M1B")+SUMIFS(Movimientos!$K$1:$K$1324,Movimientos!$C$1:$C$1324,"M1B",Movimientos!$B$1:$B$1324,"&lt;="&amp;$B97)</f>
        <v>83211.250000000175</v>
      </c>
      <c r="E97" s="24">
        <f>SUMIFS('Saldos Iniciales'!$D:$D,'Saldos Iniciales'!$A:$A,"Durand")+SUMIFS(Movimientos!$K$1:$K$1324,Movimientos!$C$1:$C$1324,"Durand",Movimientos!$B$1:$B$1324,"&lt;="&amp;$B97)</f>
        <v>1669.89</v>
      </c>
      <c r="F97" s="24">
        <f>SUMIFS('Saldos Iniciales'!$D:$D,'Saldos Iniciales'!$A:$A,"A&amp;M Imports")+SUMIFS(Movimientos!$K$1:$K$1324,Movimientos!$C$1:$C$1324,"A&amp;M Imports",Movimientos!$B$1:$B$1324,"&lt;="&amp;$B97)</f>
        <v>1458426.0399999998</v>
      </c>
      <c r="G97" s="24">
        <f>SUMIFS('Saldos Iniciales'!$D:$D,'Saldos Iniciales'!$A:$A,"SSP Capital")+SUMIFS(Movimientos!$K$1:$K$1324,Movimientos!$C$1:$C$1324,"SSP Capital",Movimientos!$B$1:$B$1324,"&lt;="&amp;$B97)</f>
        <v>1513867.4199999995</v>
      </c>
      <c r="H97" s="24">
        <f>SUMIFS('Saldos Iniciales'!$D:$D,'Saldos Iniciales'!$A:$A,"Cross Family Trust")+SUMIFS(Movimientos!$K$1:$K$1324,Movimientos!$C$1:$C$1324,"Cross Family Trust",Movimientos!$B$1:$B$1324,"&lt;="&amp;$B97)</f>
        <v>184496.38</v>
      </c>
      <c r="I97" s="24">
        <f>SUMIFS('Saldos Iniciales'!$D:$D,'Saldos Iniciales'!$A:$A,"Cross Security Trust")+SUMIFS(Movimientos!$K$1:$K$1324,Movimientos!$C$1:$C$1324,"Cross Security Trust",Movimientos!$B$1:$B$1324,"&lt;="&amp;$B97)</f>
        <v>207605.45</v>
      </c>
      <c r="J97" s="24">
        <f>SUMIFS('Saldos Iniciales'!$D:$D,'Saldos Iniciales'!$A:$A,"Electrama")+SUMIFS(Movimientos!$K$1:$K$1324,Movimientos!$C$1:$C$1324,"Electrama",Movimientos!$B$1:$B$1324,"&lt;="&amp;$B97)</f>
        <v>14580.45</v>
      </c>
      <c r="K97" s="24">
        <f>SUMIFS('Saldos Iniciales'!$D:$D,'Saldos Iniciales'!$A:$A,"Sacred Valley Capital")+SUMIFS(Movimientos!$K$1:$K$1324,Movimientos!$C$1:$C$1324,"Sacred Valley Capital",Movimientos!$B$1:$B$1324,"&lt;="&amp;$B97)</f>
        <v>24.450000000000003</v>
      </c>
      <c r="L97" s="24">
        <f>SUMIFS('Saldos Iniciales'!$D:$D,'Saldos Iniciales'!$A:$A,"YWC Capital")+SUMIFS(Movimientos!$K$1:$K$1324,Movimientos!$C$1:$C$1324,"YWC Capital",Movimientos!$B$1:$B$1324,"&lt;="&amp;$B97)</f>
        <v>2177.87</v>
      </c>
      <c r="M97" s="24">
        <f>SUMIFS('Saldos Iniciales'!$D:$D,'Saldos Iniciales'!$A:$A,"Soweto")+SUMIFS(Movimientos!$K$1:$K$1324,Movimientos!$C$1:$C$1324,"Soweto",Movimientos!$B$1:$B$1324,"&lt;="&amp;$B97)</f>
        <v>1454589.72</v>
      </c>
      <c r="N97" s="24">
        <f>SUMIFS('Saldos Iniciales'!$D:$D,'Saldos Iniciales'!$A:$A,"Green Stone Trust")+SUMIFS(Movimientos!$K$1:$K$1324,Movimientos!$C$1:$C$1324,"Green Stone Trust",Movimientos!$B$1:$B$1324,"&lt;="&amp;$B97)</f>
        <v>1968.99</v>
      </c>
      <c r="O97" s="24">
        <f>SUMIFS('Saldos Iniciales'!$D:$D,'Saldos Iniciales'!$A:$A,"EC Auto")+SUMIFS(Movimientos!$K$1:$K$1324,Movimientos!$C$1:$C$1324,"EC Auto",Movimientos!$B$1:$B$1324,"&lt;="&amp;$B97)</f>
        <v>901.34</v>
      </c>
      <c r="P97" s="24">
        <f>SUMIFS('Saldos Iniciales'!$D:$D,'Saldos Iniciales'!$A:$A,"Arbor Capital Properties")+SUMIFS(Movimientos!$K$1:$K$1324,Movimientos!$C$1:$C$1324,"Arbor Capital Properties",Movimientos!$B$1:$B$1324,"&lt;="&amp;$B97)</f>
        <v>1396.08</v>
      </c>
      <c r="Q97" s="24">
        <f>SUMIFS('Saldos Iniciales'!$D:$D,'Saldos Iniciales'!$A:$A,"2515 Overbrook")+SUMIFS(Movimientos!$K$1:$K$1324,Movimientos!$C$1:$C$1324,"2515 Overbrook",Movimientos!$B$1:$B$1324,"&lt;="&amp;$B97)</f>
        <v>13804.239999999962</v>
      </c>
      <c r="R97" s="24">
        <f>SUMIFS('Saldos Iniciales'!$D:$D,'Saldos Iniciales'!$A:$A,"112 Florida Ave")+SUMIFS(Movimientos!$K$1:$K$1324,Movimientos!$C$1:$C$1324,"112 Florida Ave",Movimientos!$B$1:$B$1324,"&lt;="&amp;$B97)</f>
        <v>8724.1700000000037</v>
      </c>
      <c r="S97" s="24">
        <f>SUMIFS('Saldos Iniciales'!$D:$D,'Saldos Iniciales'!$A:$A,"3628 Thomas Ave")+SUMIFS(Movimientos!$K$1:$K$1324,Movimientos!$C$1:$C$1324,"3628 Thomas Ave",Movimientos!$B$1:$B$1324,"&lt;="&amp;$B97)</f>
        <v>15106.099999999997</v>
      </c>
      <c r="T97" s="24">
        <f>SUMIFS('Saldos Iniciales'!$D:$D,'Saldos Iniciales'!$A:$A,"Green Harbor Trust")+SUMIFS(Movimientos!$K$1:$K$1324,Movimientos!$C$1:$C$1324,"Green Harbor Trust",Movimientos!$B$1:$B$1324,"&lt;="&amp;$B97)</f>
        <v>345</v>
      </c>
      <c r="U97" s="24">
        <f>SUMIFS('Saldos Iniciales'!$D:$D,'Saldos Iniciales'!$A:$A,"Go Blue")+SUMIFS(Movimientos!$K$1:$K$1324,Movimientos!$C$1:$C$1324,"Go Blue",Movimientos!$B$1:$B$1324,"&lt;="&amp;$B97)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Aparments",Movimientos!$B$1:$B$1324,"&lt;="&amp;$B97))</f>
        <v>0</v>
      </c>
      <c r="AD97" s="24">
        <f>IF(YEAR($B97)*100+MONTH($B97)&lt;--SUBSTITUTE(_xlfn.XLOOKUP("Don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Life",Movimientos!$B$1:$B$1324,"&lt;="&amp;$B97))</f>
        <v>0</v>
      </c>
      <c r="AE97" s="25">
        <f t="shared" ref="AE97:AE128" si="4">SUM(C97:AD97)</f>
        <v>7438806.3399999999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Group")+SUMIFS(Movimientos!$K$1:$K$1324,Movimientos!$C$1:$C$1324,"CFT Group",Movimientos!$B$1:$B$1324,"&lt;="&amp;$B98)</f>
        <v>2468032.08</v>
      </c>
      <c r="D98" s="24">
        <f>SUMIFS('Saldos Iniciales'!$D:$D,'Saldos Iniciales'!$A:$A,"M1B")+SUMIFS(Movimientos!$K$1:$K$1324,Movimientos!$C$1:$C$1324,"M1B",Movimientos!$B$1:$B$1324,"&lt;="&amp;$B98)</f>
        <v>83211.250000000175</v>
      </c>
      <c r="E98" s="24">
        <f>SUMIFS('Saldos Iniciales'!$D:$D,'Saldos Iniciales'!$A:$A,"Durand")+SUMIFS(Movimientos!$K$1:$K$1324,Movimientos!$C$1:$C$1324,"Durand",Movimientos!$B$1:$B$1324,"&lt;="&amp;$B98)</f>
        <v>1669.89</v>
      </c>
      <c r="F98" s="24">
        <f>SUMIFS('Saldos Iniciales'!$D:$D,'Saldos Iniciales'!$A:$A,"A&amp;M Imports")+SUMIFS(Movimientos!$K$1:$K$1324,Movimientos!$C$1:$C$1324,"A&amp;M Imports",Movimientos!$B$1:$B$1324,"&lt;="&amp;$B98)</f>
        <v>1452426.0399999998</v>
      </c>
      <c r="G98" s="24">
        <f>SUMIFS('Saldos Iniciales'!$D:$D,'Saldos Iniciales'!$A:$A,"SSP Capital")+SUMIFS(Movimientos!$K$1:$K$1324,Movimientos!$C$1:$C$1324,"SSP Capital",Movimientos!$B$1:$B$1324,"&lt;="&amp;$B98)</f>
        <v>1512187.6399999997</v>
      </c>
      <c r="H98" s="24">
        <f>SUMIFS('Saldos Iniciales'!$D:$D,'Saldos Iniciales'!$A:$A,"Cross Family Trust")+SUMIFS(Movimientos!$K$1:$K$1324,Movimientos!$C$1:$C$1324,"Cross Family Trust",Movimientos!$B$1:$B$1324,"&lt;="&amp;$B98)</f>
        <v>184496.38</v>
      </c>
      <c r="I98" s="24">
        <f>SUMIFS('Saldos Iniciales'!$D:$D,'Saldos Iniciales'!$A:$A,"Cross Security Trust")+SUMIFS(Movimientos!$K$1:$K$1324,Movimientos!$C$1:$C$1324,"Cross Security Trust",Movimientos!$B$1:$B$1324,"&lt;="&amp;$B98)</f>
        <v>207605.45</v>
      </c>
      <c r="J98" s="24">
        <f>SUMIFS('Saldos Iniciales'!$D:$D,'Saldos Iniciales'!$A:$A,"Electrama")+SUMIFS(Movimientos!$K$1:$K$1324,Movimientos!$C$1:$C$1324,"Electrama",Movimientos!$B$1:$B$1324,"&lt;="&amp;$B98)</f>
        <v>14540.45</v>
      </c>
      <c r="K98" s="24">
        <f>SUMIFS('Saldos Iniciales'!$D:$D,'Saldos Iniciales'!$A:$A,"Sacred Valley Capital")+SUMIFS(Movimientos!$K$1:$K$1324,Movimientos!$C$1:$C$1324,"Sacred Valley Capital",Movimientos!$B$1:$B$1324,"&lt;="&amp;$B98)</f>
        <v>24.450000000000003</v>
      </c>
      <c r="L98" s="24">
        <f>SUMIFS('Saldos Iniciales'!$D:$D,'Saldos Iniciales'!$A:$A,"YWC Capital")+SUMIFS(Movimientos!$K$1:$K$1324,Movimientos!$C$1:$C$1324,"YWC Capital",Movimientos!$B$1:$B$1324,"&lt;="&amp;$B98)</f>
        <v>2177.87</v>
      </c>
      <c r="M98" s="24">
        <f>SUMIFS('Saldos Iniciales'!$D:$D,'Saldos Iniciales'!$A:$A,"Soweto")+SUMIFS(Movimientos!$K$1:$K$1324,Movimientos!$C$1:$C$1324,"Soweto",Movimientos!$B$1:$B$1324,"&lt;="&amp;$B98)</f>
        <v>1454589.72</v>
      </c>
      <c r="N98" s="24">
        <f>SUMIFS('Saldos Iniciales'!$D:$D,'Saldos Iniciales'!$A:$A,"Green Stone Trust")+SUMIFS(Movimientos!$K$1:$K$1324,Movimientos!$C$1:$C$1324,"Green Stone Trust",Movimientos!$B$1:$B$1324,"&lt;="&amp;$B98)</f>
        <v>1968.99</v>
      </c>
      <c r="O98" s="24">
        <f>SUMIFS('Saldos Iniciales'!$D:$D,'Saldos Iniciales'!$A:$A,"EC Auto")+SUMIFS(Movimientos!$K$1:$K$1324,Movimientos!$C$1:$C$1324,"EC Auto",Movimientos!$B$1:$B$1324,"&lt;="&amp;$B98)</f>
        <v>901.34</v>
      </c>
      <c r="P98" s="24">
        <f>SUMIFS('Saldos Iniciales'!$D:$D,'Saldos Iniciales'!$A:$A,"Arbor Capital Properties")+SUMIFS(Movimientos!$K$1:$K$1324,Movimientos!$C$1:$C$1324,"Arbor Capital Properties",Movimientos!$B$1:$B$1324,"&lt;="&amp;$B98)</f>
        <v>1396.08</v>
      </c>
      <c r="Q98" s="24">
        <f>SUMIFS('Saldos Iniciales'!$D:$D,'Saldos Iniciales'!$A:$A,"2515 Overbrook")+SUMIFS(Movimientos!$K$1:$K$1324,Movimientos!$C$1:$C$1324,"2515 Overbrook",Movimientos!$B$1:$B$1324,"&lt;="&amp;$B98)</f>
        <v>13804.239999999962</v>
      </c>
      <c r="R98" s="24">
        <f>SUMIFS('Saldos Iniciales'!$D:$D,'Saldos Iniciales'!$A:$A,"112 Florida Ave")+SUMIFS(Movimientos!$K$1:$K$1324,Movimientos!$C$1:$C$1324,"112 Florida Ave",Movimientos!$B$1:$B$1324,"&lt;="&amp;$B98)</f>
        <v>8724.1700000000037</v>
      </c>
      <c r="S98" s="24">
        <f>SUMIFS('Saldos Iniciales'!$D:$D,'Saldos Iniciales'!$A:$A,"3628 Thomas Ave")+SUMIFS(Movimientos!$K$1:$K$1324,Movimientos!$C$1:$C$1324,"3628 Thomas Ave",Movimientos!$B$1:$B$1324,"&lt;="&amp;$B98)</f>
        <v>15106.099999999997</v>
      </c>
      <c r="T98" s="24">
        <f>SUMIFS('Saldos Iniciales'!$D:$D,'Saldos Iniciales'!$A:$A,"Green Harbor Trust")+SUMIFS(Movimientos!$K$1:$K$1324,Movimientos!$C$1:$C$1324,"Green Harbor Trust",Movimientos!$B$1:$B$1324,"&lt;="&amp;$B98)</f>
        <v>345</v>
      </c>
      <c r="U98" s="24">
        <f>SUMIFS('Saldos Iniciales'!$D:$D,'Saldos Iniciales'!$A:$A,"Go Blue")+SUMIFS(Movimientos!$K$1:$K$1324,Movimientos!$C$1:$C$1324,"Go Blue",Movimientos!$B$1:$B$1324,"&lt;="&amp;$B98)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Aparments",Movimientos!$B$1:$B$1324,"&lt;="&amp;$B98))</f>
        <v>0</v>
      </c>
      <c r="AD98" s="24">
        <f>IF(YEAR($B98)*100+MONTH($B98)&lt;--SUBSTITUTE(_xlfn.XLOOKUP("Don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Life",Movimientos!$B$1:$B$1324,"&lt;="&amp;$B98))</f>
        <v>0</v>
      </c>
      <c r="AE98" s="25">
        <f t="shared" si="4"/>
        <v>7431086.5599999996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Group")+SUMIFS(Movimientos!$K$1:$K$1324,Movimientos!$C$1:$C$1324,"CFT Group",Movimientos!$B$1:$B$1324,"&lt;="&amp;$B99)</f>
        <v>1153390.4100000001</v>
      </c>
      <c r="D99" s="24">
        <f>SUMIFS('Saldos Iniciales'!$D:$D,'Saldos Iniciales'!$A:$A,"M1B")+SUMIFS(Movimientos!$K$1:$K$1324,Movimientos!$C$1:$C$1324,"M1B",Movimientos!$B$1:$B$1324,"&lt;="&amp;$B99)</f>
        <v>83211.250000000175</v>
      </c>
      <c r="E99" s="24">
        <f>SUMIFS('Saldos Iniciales'!$D:$D,'Saldos Iniciales'!$A:$A,"Durand")+SUMIFS(Movimientos!$K$1:$K$1324,Movimientos!$C$1:$C$1324,"Durand",Movimientos!$B$1:$B$1324,"&lt;="&amp;$B99)</f>
        <v>1669.89</v>
      </c>
      <c r="F99" s="24">
        <f>SUMIFS('Saldos Iniciales'!$D:$D,'Saldos Iniciales'!$A:$A,"A&amp;M Imports")+SUMIFS(Movimientos!$K$1:$K$1324,Movimientos!$C$1:$C$1324,"A&amp;M Imports",Movimientos!$B$1:$B$1324,"&lt;="&amp;$B99)</f>
        <v>1349451.94</v>
      </c>
      <c r="G99" s="24">
        <f>SUMIFS('Saldos Iniciales'!$D:$D,'Saldos Iniciales'!$A:$A,"SSP Capital")+SUMIFS(Movimientos!$K$1:$K$1324,Movimientos!$C$1:$C$1324,"SSP Capital",Movimientos!$B$1:$B$1324,"&lt;="&amp;$B99)</f>
        <v>2102073.7899999996</v>
      </c>
      <c r="H99" s="24">
        <f>SUMIFS('Saldos Iniciales'!$D:$D,'Saldos Iniciales'!$A:$A,"Cross Family Trust")+SUMIFS(Movimientos!$K$1:$K$1324,Movimientos!$C$1:$C$1324,"Cross Family Trust",Movimientos!$B$1:$B$1324,"&lt;="&amp;$B99)</f>
        <v>171496.38</v>
      </c>
      <c r="I99" s="24">
        <f>SUMIFS('Saldos Iniciales'!$D:$D,'Saldos Iniciales'!$A:$A,"Cross Security Trust")+SUMIFS(Movimientos!$K$1:$K$1324,Movimientos!$C$1:$C$1324,"Cross Security Trust",Movimientos!$B$1:$B$1324,"&lt;="&amp;$B99)</f>
        <v>207582.47</v>
      </c>
      <c r="J99" s="24">
        <f>SUMIFS('Saldos Iniciales'!$D:$D,'Saldos Iniciales'!$A:$A,"Electrama")+SUMIFS(Movimientos!$K$1:$K$1324,Movimientos!$C$1:$C$1324,"Electrama",Movimientos!$B$1:$B$1324,"&lt;="&amp;$B99)</f>
        <v>13270.02</v>
      </c>
      <c r="K99" s="24">
        <f>SUMIFS('Saldos Iniciales'!$D:$D,'Saldos Iniciales'!$A:$A,"Sacred Valley Capital")+SUMIFS(Movimientos!$K$1:$K$1324,Movimientos!$C$1:$C$1324,"Sacred Valley Capital",Movimientos!$B$1:$B$1324,"&lt;="&amp;$B99)</f>
        <v>24.450000000000003</v>
      </c>
      <c r="L99" s="24">
        <f>SUMIFS('Saldos Iniciales'!$D:$D,'Saldos Iniciales'!$A:$A,"YWC Capital")+SUMIFS(Movimientos!$K$1:$K$1324,Movimientos!$C$1:$C$1324,"YWC Capital",Movimientos!$B$1:$B$1324,"&lt;="&amp;$B99)</f>
        <v>2177.87</v>
      </c>
      <c r="M99" s="24">
        <f>SUMIFS('Saldos Iniciales'!$D:$D,'Saldos Iniciales'!$A:$A,"Soweto")+SUMIFS(Movimientos!$K$1:$K$1324,Movimientos!$C$1:$C$1324,"Soweto",Movimientos!$B$1:$B$1324,"&lt;="&amp;$B99)</f>
        <v>1454589.72</v>
      </c>
      <c r="N99" s="24">
        <f>SUMIFS('Saldos Iniciales'!$D:$D,'Saldos Iniciales'!$A:$A,"Green Stone Trust")+SUMIFS(Movimientos!$K$1:$K$1324,Movimientos!$C$1:$C$1324,"Green Stone Trust",Movimientos!$B$1:$B$1324,"&lt;="&amp;$B99)</f>
        <v>1968.99</v>
      </c>
      <c r="O99" s="24">
        <f>SUMIFS('Saldos Iniciales'!$D:$D,'Saldos Iniciales'!$A:$A,"EC Auto")+SUMIFS(Movimientos!$K$1:$K$1324,Movimientos!$C$1:$C$1324,"EC Auto",Movimientos!$B$1:$B$1324,"&lt;="&amp;$B99)</f>
        <v>901.34</v>
      </c>
      <c r="P99" s="24">
        <f>SUMIFS('Saldos Iniciales'!$D:$D,'Saldos Iniciales'!$A:$A,"Arbor Capital Properties")+SUMIFS(Movimientos!$K$1:$K$1324,Movimientos!$C$1:$C$1324,"Arbor Capital Properties",Movimientos!$B$1:$B$1324,"&lt;="&amp;$B99)</f>
        <v>1396.08</v>
      </c>
      <c r="Q99" s="24">
        <f>SUMIFS('Saldos Iniciales'!$D:$D,'Saldos Iniciales'!$A:$A,"2515 Overbrook")+SUMIFS(Movimientos!$K$1:$K$1324,Movimientos!$C$1:$C$1324,"2515 Overbrook",Movimientos!$B$1:$B$1324,"&lt;="&amp;$B99)</f>
        <v>13804.239999999962</v>
      </c>
      <c r="R99" s="24">
        <f>SUMIFS('Saldos Iniciales'!$D:$D,'Saldos Iniciales'!$A:$A,"112 Florida Ave")+SUMIFS(Movimientos!$K$1:$K$1324,Movimientos!$C$1:$C$1324,"112 Florida Ave",Movimientos!$B$1:$B$1324,"&lt;="&amp;$B99)</f>
        <v>8724.1700000000037</v>
      </c>
      <c r="S99" s="24">
        <f>SUMIFS('Saldos Iniciales'!$D:$D,'Saldos Iniciales'!$A:$A,"3628 Thomas Ave")+SUMIFS(Movimientos!$K$1:$K$1324,Movimientos!$C$1:$C$1324,"3628 Thomas Ave",Movimientos!$B$1:$B$1324,"&lt;="&amp;$B99)</f>
        <v>15106.099999999997</v>
      </c>
      <c r="T99" s="24">
        <f>SUMIFS('Saldos Iniciales'!$D:$D,'Saldos Iniciales'!$A:$A,"Green Harbor Trust")+SUMIFS(Movimientos!$K$1:$K$1324,Movimientos!$C$1:$C$1324,"Green Harbor Trust",Movimientos!$B$1:$B$1324,"&lt;="&amp;$B99)</f>
        <v>345</v>
      </c>
      <c r="U99" s="24">
        <f>SUMIFS('Saldos Iniciales'!$D:$D,'Saldos Iniciales'!$A:$A,"Go Blue")+SUMIFS(Movimientos!$K$1:$K$1324,Movimientos!$C$1:$C$1324,"Go Blue",Movimientos!$B$1:$B$1324,"&lt;="&amp;$B99)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Aparments",Movimientos!$B$1:$B$1324,"&lt;="&amp;$B99))</f>
        <v>0</v>
      </c>
      <c r="AD99" s="24">
        <f>IF(YEAR($B99)*100+MONTH($B99)&lt;--SUBSTITUTE(_xlfn.XLOOKUP("Don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Life",Movimientos!$B$1:$B$1324,"&lt;="&amp;$B99))</f>
        <v>0</v>
      </c>
      <c r="AE99" s="25">
        <f t="shared" si="4"/>
        <v>6593654.1499999985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Group")+SUMIFS(Movimientos!$K$1:$K$1324,Movimientos!$C$1:$C$1324,"CFT Group",Movimientos!$B$1:$B$1324,"&lt;="&amp;$B100)</f>
        <v>1153390.4100000001</v>
      </c>
      <c r="D100" s="24">
        <f>SUMIFS('Saldos Iniciales'!$D:$D,'Saldos Iniciales'!$A:$A,"M1B")+SUMIFS(Movimientos!$K$1:$K$1324,Movimientos!$C$1:$C$1324,"M1B",Movimientos!$B$1:$B$1324,"&lt;="&amp;$B100)</f>
        <v>83211.250000000175</v>
      </c>
      <c r="E100" s="24">
        <f>SUMIFS('Saldos Iniciales'!$D:$D,'Saldos Iniciales'!$A:$A,"Durand")+SUMIFS(Movimientos!$K$1:$K$1324,Movimientos!$C$1:$C$1324,"Durand",Movimientos!$B$1:$B$1324,"&lt;="&amp;$B100)</f>
        <v>1669.89</v>
      </c>
      <c r="F100" s="24">
        <f>SUMIFS('Saldos Iniciales'!$D:$D,'Saldos Iniciales'!$A:$A,"A&amp;M Imports")+SUMIFS(Movimientos!$K$1:$K$1324,Movimientos!$C$1:$C$1324,"A&amp;M Imports",Movimientos!$B$1:$B$1324,"&lt;="&amp;$B100)</f>
        <v>1349451.94</v>
      </c>
      <c r="G100" s="24">
        <f>SUMIFS('Saldos Iniciales'!$D:$D,'Saldos Iniciales'!$A:$A,"SSP Capital")+SUMIFS(Movimientos!$K$1:$K$1324,Movimientos!$C$1:$C$1324,"SSP Capital",Movimientos!$B$1:$B$1324,"&lt;="&amp;$B100)</f>
        <v>2102073.7899999996</v>
      </c>
      <c r="H100" s="24">
        <f>SUMIFS('Saldos Iniciales'!$D:$D,'Saldos Iniciales'!$A:$A,"Cross Family Trust")+SUMIFS(Movimientos!$K$1:$K$1324,Movimientos!$C$1:$C$1324,"Cross Family Trust",Movimientos!$B$1:$B$1324,"&lt;="&amp;$B100)</f>
        <v>171496.38</v>
      </c>
      <c r="I100" s="24">
        <f>SUMIFS('Saldos Iniciales'!$D:$D,'Saldos Iniciales'!$A:$A,"Cross Security Trust")+SUMIFS(Movimientos!$K$1:$K$1324,Movimientos!$C$1:$C$1324,"Cross Security Trust",Movimientos!$B$1:$B$1324,"&lt;="&amp;$B100)</f>
        <v>207582.47</v>
      </c>
      <c r="J100" s="24">
        <f>SUMIFS('Saldos Iniciales'!$D:$D,'Saldos Iniciales'!$A:$A,"Electrama")+SUMIFS(Movimientos!$K$1:$K$1324,Movimientos!$C$1:$C$1324,"Electrama",Movimientos!$B$1:$B$1324,"&lt;="&amp;$B100)</f>
        <v>13270.02</v>
      </c>
      <c r="K100" s="24">
        <f>SUMIFS('Saldos Iniciales'!$D:$D,'Saldos Iniciales'!$A:$A,"Sacred Valley Capital")+SUMIFS(Movimientos!$K$1:$K$1324,Movimientos!$C$1:$C$1324,"Sacred Valley Capital",Movimientos!$B$1:$B$1324,"&lt;="&amp;$B100)</f>
        <v>24.450000000000003</v>
      </c>
      <c r="L100" s="24">
        <f>SUMIFS('Saldos Iniciales'!$D:$D,'Saldos Iniciales'!$A:$A,"YWC Capital")+SUMIFS(Movimientos!$K$1:$K$1324,Movimientos!$C$1:$C$1324,"YWC Capital",Movimientos!$B$1:$B$1324,"&lt;="&amp;$B100)</f>
        <v>2177.87</v>
      </c>
      <c r="M100" s="24">
        <f>SUMIFS('Saldos Iniciales'!$D:$D,'Saldos Iniciales'!$A:$A,"Soweto")+SUMIFS(Movimientos!$K$1:$K$1324,Movimientos!$C$1:$C$1324,"Soweto",Movimientos!$B$1:$B$1324,"&lt;="&amp;$B100)</f>
        <v>1454589.72</v>
      </c>
      <c r="N100" s="24">
        <f>SUMIFS('Saldos Iniciales'!$D:$D,'Saldos Iniciales'!$A:$A,"Green Stone Trust")+SUMIFS(Movimientos!$K$1:$K$1324,Movimientos!$C$1:$C$1324,"Green Stone Trust",Movimientos!$B$1:$B$1324,"&lt;="&amp;$B100)</f>
        <v>1968.99</v>
      </c>
      <c r="O100" s="24">
        <f>SUMIFS('Saldos Iniciales'!$D:$D,'Saldos Iniciales'!$A:$A,"EC Auto")+SUMIFS(Movimientos!$K$1:$K$1324,Movimientos!$C$1:$C$1324,"EC Auto",Movimientos!$B$1:$B$1324,"&lt;="&amp;$B100)</f>
        <v>901.34</v>
      </c>
      <c r="P100" s="24">
        <f>SUMIFS('Saldos Iniciales'!$D:$D,'Saldos Iniciales'!$A:$A,"Arbor Capital Properties")+SUMIFS(Movimientos!$K$1:$K$1324,Movimientos!$C$1:$C$1324,"Arbor Capital Properties",Movimientos!$B$1:$B$1324,"&lt;="&amp;$B100)</f>
        <v>1396.08</v>
      </c>
      <c r="Q100" s="24">
        <f>SUMIFS('Saldos Iniciales'!$D:$D,'Saldos Iniciales'!$A:$A,"2515 Overbrook")+SUMIFS(Movimientos!$K$1:$K$1324,Movimientos!$C$1:$C$1324,"2515 Overbrook",Movimientos!$B$1:$B$1324,"&lt;="&amp;$B100)</f>
        <v>11259.639999999961</v>
      </c>
      <c r="R100" s="24">
        <f>SUMIFS('Saldos Iniciales'!$D:$D,'Saldos Iniciales'!$A:$A,"112 Florida Ave")+SUMIFS(Movimientos!$K$1:$K$1324,Movimientos!$C$1:$C$1324,"112 Florida Ave",Movimientos!$B$1:$B$1324,"&lt;="&amp;$B100)</f>
        <v>8724.1700000000037</v>
      </c>
      <c r="S100" s="24">
        <f>SUMIFS('Saldos Iniciales'!$D:$D,'Saldos Iniciales'!$A:$A,"3628 Thomas Ave")+SUMIFS(Movimientos!$K$1:$K$1324,Movimientos!$C$1:$C$1324,"3628 Thomas Ave",Movimientos!$B$1:$B$1324,"&lt;="&amp;$B100)</f>
        <v>20106.099999999999</v>
      </c>
      <c r="T100" s="24">
        <f>SUMIFS('Saldos Iniciales'!$D:$D,'Saldos Iniciales'!$A:$A,"Green Harbor Trust")+SUMIFS(Movimientos!$K$1:$K$1324,Movimientos!$C$1:$C$1324,"Green Harbor Trust",Movimientos!$B$1:$B$1324,"&lt;="&amp;$B100)</f>
        <v>345</v>
      </c>
      <c r="U100" s="24">
        <f>SUMIFS('Saldos Iniciales'!$D:$D,'Saldos Iniciales'!$A:$A,"Go Blue")+SUMIFS(Movimientos!$K$1:$K$1324,Movimientos!$C$1:$C$1324,"Go Blue",Movimientos!$B$1:$B$1324,"&lt;="&amp;$B100)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Aparments",Movimientos!$B$1:$B$1324,"&lt;="&amp;$B100))</f>
        <v>0</v>
      </c>
      <c r="AD100" s="24">
        <f>IF(YEAR($B100)*100+MONTH($B100)&lt;--SUBSTITUTE(_xlfn.XLOOKUP("Don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Life",Movimientos!$B$1:$B$1324,"&lt;="&amp;$B100))</f>
        <v>0</v>
      </c>
      <c r="AE100" s="25">
        <f t="shared" si="4"/>
        <v>6596109.549999998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Group")+SUMIFS(Movimientos!$K$1:$K$1324,Movimientos!$C$1:$C$1324,"CFT Group",Movimientos!$B$1:$B$1324,"&lt;="&amp;$B101)</f>
        <v>1153390.4100000001</v>
      </c>
      <c r="D101" s="24">
        <f>SUMIFS('Saldos Iniciales'!$D:$D,'Saldos Iniciales'!$A:$A,"M1B")+SUMIFS(Movimientos!$K$1:$K$1324,Movimientos!$C$1:$C$1324,"M1B",Movimientos!$B$1:$B$1324,"&lt;="&amp;$B101)</f>
        <v>83211.250000000175</v>
      </c>
      <c r="E101" s="24">
        <f>SUMIFS('Saldos Iniciales'!$D:$D,'Saldos Iniciales'!$A:$A,"Durand")+SUMIFS(Movimientos!$K$1:$K$1324,Movimientos!$C$1:$C$1324,"Durand",Movimientos!$B$1:$B$1324,"&lt;="&amp;$B101)</f>
        <v>1669.89</v>
      </c>
      <c r="F101" s="24">
        <f>SUMIFS('Saldos Iniciales'!$D:$D,'Saldos Iniciales'!$A:$A,"A&amp;M Imports")+SUMIFS(Movimientos!$K$1:$K$1324,Movimientos!$C$1:$C$1324,"A&amp;M Imports",Movimientos!$B$1:$B$1324,"&lt;="&amp;$B101)</f>
        <v>1349451.94</v>
      </c>
      <c r="G101" s="24">
        <f>SUMIFS('Saldos Iniciales'!$D:$D,'Saldos Iniciales'!$A:$A,"SSP Capital")+SUMIFS(Movimientos!$K$1:$K$1324,Movimientos!$C$1:$C$1324,"SSP Capital",Movimientos!$B$1:$B$1324,"&lt;="&amp;$B101)</f>
        <v>2102073.7899999996</v>
      </c>
      <c r="H101" s="24">
        <f>SUMIFS('Saldos Iniciales'!$D:$D,'Saldos Iniciales'!$A:$A,"Cross Family Trust")+SUMIFS(Movimientos!$K$1:$K$1324,Movimientos!$C$1:$C$1324,"Cross Family Trust",Movimientos!$B$1:$B$1324,"&lt;="&amp;$B101)</f>
        <v>171496.38</v>
      </c>
      <c r="I101" s="24">
        <f>SUMIFS('Saldos Iniciales'!$D:$D,'Saldos Iniciales'!$A:$A,"Cross Security Trust")+SUMIFS(Movimientos!$K$1:$K$1324,Movimientos!$C$1:$C$1324,"Cross Security Trust",Movimientos!$B$1:$B$1324,"&lt;="&amp;$B101)</f>
        <v>207582.47</v>
      </c>
      <c r="J101" s="24">
        <f>SUMIFS('Saldos Iniciales'!$D:$D,'Saldos Iniciales'!$A:$A,"Electrama")+SUMIFS(Movimientos!$K$1:$K$1324,Movimientos!$C$1:$C$1324,"Electrama",Movimientos!$B$1:$B$1324,"&lt;="&amp;$B101)</f>
        <v>13270.02</v>
      </c>
      <c r="K101" s="24">
        <f>SUMIFS('Saldos Iniciales'!$D:$D,'Saldos Iniciales'!$A:$A,"Sacred Valley Capital")+SUMIFS(Movimientos!$K$1:$K$1324,Movimientos!$C$1:$C$1324,"Sacred Valley Capital",Movimientos!$B$1:$B$1324,"&lt;="&amp;$B101)</f>
        <v>24.450000000000003</v>
      </c>
      <c r="L101" s="24">
        <f>SUMIFS('Saldos Iniciales'!$D:$D,'Saldos Iniciales'!$A:$A,"YWC Capital")+SUMIFS(Movimientos!$K$1:$K$1324,Movimientos!$C$1:$C$1324,"YWC Capital",Movimientos!$B$1:$B$1324,"&lt;="&amp;$B101)</f>
        <v>2177.87</v>
      </c>
      <c r="M101" s="24">
        <f>SUMIFS('Saldos Iniciales'!$D:$D,'Saldos Iniciales'!$A:$A,"Soweto")+SUMIFS(Movimientos!$K$1:$K$1324,Movimientos!$C$1:$C$1324,"Soweto",Movimientos!$B$1:$B$1324,"&lt;="&amp;$B101)</f>
        <v>1454589.72</v>
      </c>
      <c r="N101" s="24">
        <f>SUMIFS('Saldos Iniciales'!$D:$D,'Saldos Iniciales'!$A:$A,"Green Stone Trust")+SUMIFS(Movimientos!$K$1:$K$1324,Movimientos!$C$1:$C$1324,"Green Stone Trust",Movimientos!$B$1:$B$1324,"&lt;="&amp;$B101)</f>
        <v>1968.99</v>
      </c>
      <c r="O101" s="24">
        <f>SUMIFS('Saldos Iniciales'!$D:$D,'Saldos Iniciales'!$A:$A,"EC Auto")+SUMIFS(Movimientos!$K$1:$K$1324,Movimientos!$C$1:$C$1324,"EC Auto",Movimientos!$B$1:$B$1324,"&lt;="&amp;$B101)</f>
        <v>901.34</v>
      </c>
      <c r="P101" s="24">
        <f>SUMIFS('Saldos Iniciales'!$D:$D,'Saldos Iniciales'!$A:$A,"Arbor Capital Properties")+SUMIFS(Movimientos!$K$1:$K$1324,Movimientos!$C$1:$C$1324,"Arbor Capital Properties",Movimientos!$B$1:$B$1324,"&lt;="&amp;$B101)</f>
        <v>1396.08</v>
      </c>
      <c r="Q101" s="24">
        <f>SUMIFS('Saldos Iniciales'!$D:$D,'Saldos Iniciales'!$A:$A,"2515 Overbrook")+SUMIFS(Movimientos!$K$1:$K$1324,Movimientos!$C$1:$C$1324,"2515 Overbrook",Movimientos!$B$1:$B$1324,"&lt;="&amp;$B101)</f>
        <v>11259.639999999961</v>
      </c>
      <c r="R101" s="24">
        <f>SUMIFS('Saldos Iniciales'!$D:$D,'Saldos Iniciales'!$A:$A,"112 Florida Ave")+SUMIFS(Movimientos!$K$1:$K$1324,Movimientos!$C$1:$C$1324,"112 Florida Ave",Movimientos!$B$1:$B$1324,"&lt;="&amp;$B101)</f>
        <v>8724.1700000000037</v>
      </c>
      <c r="S101" s="24">
        <f>SUMIFS('Saldos Iniciales'!$D:$D,'Saldos Iniciales'!$A:$A,"3628 Thomas Ave")+SUMIFS(Movimientos!$K$1:$K$1324,Movimientos!$C$1:$C$1324,"3628 Thomas Ave",Movimientos!$B$1:$B$1324,"&lt;="&amp;$B101)</f>
        <v>20106.099999999999</v>
      </c>
      <c r="T101" s="24">
        <f>SUMIFS('Saldos Iniciales'!$D:$D,'Saldos Iniciales'!$A:$A,"Green Harbor Trust")+SUMIFS(Movimientos!$K$1:$K$1324,Movimientos!$C$1:$C$1324,"Green Harbor Trust",Movimientos!$B$1:$B$1324,"&lt;="&amp;$B101)</f>
        <v>345</v>
      </c>
      <c r="U101" s="24">
        <f>SUMIFS('Saldos Iniciales'!$D:$D,'Saldos Iniciales'!$A:$A,"Go Blue")+SUMIFS(Movimientos!$K$1:$K$1324,Movimientos!$C$1:$C$1324,"Go Blue",Movimientos!$B$1:$B$1324,"&lt;="&amp;$B101)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Aparments",Movimientos!$B$1:$B$1324,"&lt;="&amp;$B101))</f>
        <v>0</v>
      </c>
      <c r="AD101" s="24">
        <f>IF(YEAR($B101)*100+MONTH($B101)&lt;--SUBSTITUTE(_xlfn.XLOOKUP("Don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Life",Movimientos!$B$1:$B$1324,"&lt;="&amp;$B101))</f>
        <v>0</v>
      </c>
      <c r="AE101" s="25">
        <f t="shared" si="4"/>
        <v>6596109.549999998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Group")+SUMIFS(Movimientos!$K$1:$K$1324,Movimientos!$C$1:$C$1324,"CFT Group",Movimientos!$B$1:$B$1324,"&lt;="&amp;$B102)</f>
        <v>1153390.4100000001</v>
      </c>
      <c r="D102" s="24">
        <f>SUMIFS('Saldos Iniciales'!$D:$D,'Saldos Iniciales'!$A:$A,"M1B")+SUMIFS(Movimientos!$K$1:$K$1324,Movimientos!$C$1:$C$1324,"M1B",Movimientos!$B$1:$B$1324,"&lt;="&amp;$B102)</f>
        <v>83211.250000000175</v>
      </c>
      <c r="E102" s="24">
        <f>SUMIFS('Saldos Iniciales'!$D:$D,'Saldos Iniciales'!$A:$A,"Durand")+SUMIFS(Movimientos!$K$1:$K$1324,Movimientos!$C$1:$C$1324,"Durand",Movimientos!$B$1:$B$1324,"&lt;="&amp;$B102)</f>
        <v>1669.89</v>
      </c>
      <c r="F102" s="24">
        <f>SUMIFS('Saldos Iniciales'!$D:$D,'Saldos Iniciales'!$A:$A,"A&amp;M Imports")+SUMIFS(Movimientos!$K$1:$K$1324,Movimientos!$C$1:$C$1324,"A&amp;M Imports",Movimientos!$B$1:$B$1324,"&lt;="&amp;$B102)</f>
        <v>1349451.94</v>
      </c>
      <c r="G102" s="24">
        <f>SUMIFS('Saldos Iniciales'!$D:$D,'Saldos Iniciales'!$A:$A,"SSP Capital")+SUMIFS(Movimientos!$K$1:$K$1324,Movimientos!$C$1:$C$1324,"SSP Capital",Movimientos!$B$1:$B$1324,"&lt;="&amp;$B102)</f>
        <v>2102073.7899999996</v>
      </c>
      <c r="H102" s="24">
        <f>SUMIFS('Saldos Iniciales'!$D:$D,'Saldos Iniciales'!$A:$A,"Cross Family Trust")+SUMIFS(Movimientos!$K$1:$K$1324,Movimientos!$C$1:$C$1324,"Cross Family Trust",Movimientos!$B$1:$B$1324,"&lt;="&amp;$B102)</f>
        <v>171496.38</v>
      </c>
      <c r="I102" s="24">
        <f>SUMIFS('Saldos Iniciales'!$D:$D,'Saldos Iniciales'!$A:$A,"Cross Security Trust")+SUMIFS(Movimientos!$K$1:$K$1324,Movimientos!$C$1:$C$1324,"Cross Security Trust",Movimientos!$B$1:$B$1324,"&lt;="&amp;$B102)</f>
        <v>207582.47</v>
      </c>
      <c r="J102" s="24">
        <f>SUMIFS('Saldos Iniciales'!$D:$D,'Saldos Iniciales'!$A:$A,"Electrama")+SUMIFS(Movimientos!$K$1:$K$1324,Movimientos!$C$1:$C$1324,"Electrama",Movimientos!$B$1:$B$1324,"&lt;="&amp;$B102)</f>
        <v>13270.02</v>
      </c>
      <c r="K102" s="24">
        <f>SUMIFS('Saldos Iniciales'!$D:$D,'Saldos Iniciales'!$A:$A,"Sacred Valley Capital")+SUMIFS(Movimientos!$K$1:$K$1324,Movimientos!$C$1:$C$1324,"Sacred Valley Capital",Movimientos!$B$1:$B$1324,"&lt;="&amp;$B102)</f>
        <v>24.450000000000003</v>
      </c>
      <c r="L102" s="24">
        <f>SUMIFS('Saldos Iniciales'!$D:$D,'Saldos Iniciales'!$A:$A,"YWC Capital")+SUMIFS(Movimientos!$K$1:$K$1324,Movimientos!$C$1:$C$1324,"YWC Capital",Movimientos!$B$1:$B$1324,"&lt;="&amp;$B102)</f>
        <v>2177.87</v>
      </c>
      <c r="M102" s="24">
        <f>SUMIFS('Saldos Iniciales'!$D:$D,'Saldos Iniciales'!$A:$A,"Soweto")+SUMIFS(Movimientos!$K$1:$K$1324,Movimientos!$C$1:$C$1324,"Soweto",Movimientos!$B$1:$B$1324,"&lt;="&amp;$B102)</f>
        <v>1454589.72</v>
      </c>
      <c r="N102" s="24">
        <f>SUMIFS('Saldos Iniciales'!$D:$D,'Saldos Iniciales'!$A:$A,"Green Stone Trust")+SUMIFS(Movimientos!$K$1:$K$1324,Movimientos!$C$1:$C$1324,"Green Stone Trust",Movimientos!$B$1:$B$1324,"&lt;="&amp;$B102)</f>
        <v>1968.99</v>
      </c>
      <c r="O102" s="24">
        <f>SUMIFS('Saldos Iniciales'!$D:$D,'Saldos Iniciales'!$A:$A,"EC Auto")+SUMIFS(Movimientos!$K$1:$K$1324,Movimientos!$C$1:$C$1324,"EC Auto",Movimientos!$B$1:$B$1324,"&lt;="&amp;$B102)</f>
        <v>901.34</v>
      </c>
      <c r="P102" s="24">
        <f>SUMIFS('Saldos Iniciales'!$D:$D,'Saldos Iniciales'!$A:$A,"Arbor Capital Properties")+SUMIFS(Movimientos!$K$1:$K$1324,Movimientos!$C$1:$C$1324,"Arbor Capital Properties",Movimientos!$B$1:$B$1324,"&lt;="&amp;$B102)</f>
        <v>1396.08</v>
      </c>
      <c r="Q102" s="24">
        <f>SUMIFS('Saldos Iniciales'!$D:$D,'Saldos Iniciales'!$A:$A,"2515 Overbrook")+SUMIFS(Movimientos!$K$1:$K$1324,Movimientos!$C$1:$C$1324,"2515 Overbrook",Movimientos!$B$1:$B$1324,"&lt;="&amp;$B102)</f>
        <v>11259.639999999961</v>
      </c>
      <c r="R102" s="24">
        <f>SUMIFS('Saldos Iniciales'!$D:$D,'Saldos Iniciales'!$A:$A,"112 Florida Ave")+SUMIFS(Movimientos!$K$1:$K$1324,Movimientos!$C$1:$C$1324,"112 Florida Ave",Movimientos!$B$1:$B$1324,"&lt;="&amp;$B102)</f>
        <v>8724.1700000000037</v>
      </c>
      <c r="S102" s="24">
        <f>SUMIFS('Saldos Iniciales'!$D:$D,'Saldos Iniciales'!$A:$A,"3628 Thomas Ave")+SUMIFS(Movimientos!$K$1:$K$1324,Movimientos!$C$1:$C$1324,"3628 Thomas Ave",Movimientos!$B$1:$B$1324,"&lt;="&amp;$B102)</f>
        <v>20106.099999999999</v>
      </c>
      <c r="T102" s="24">
        <f>SUMIFS('Saldos Iniciales'!$D:$D,'Saldos Iniciales'!$A:$A,"Green Harbor Trust")+SUMIFS(Movimientos!$K$1:$K$1324,Movimientos!$C$1:$C$1324,"Green Harbor Trust",Movimientos!$B$1:$B$1324,"&lt;="&amp;$B102)</f>
        <v>345</v>
      </c>
      <c r="U102" s="24">
        <f>SUMIFS('Saldos Iniciales'!$D:$D,'Saldos Iniciales'!$A:$A,"Go Blue")+SUMIFS(Movimientos!$K$1:$K$1324,Movimientos!$C$1:$C$1324,"Go Blue",Movimientos!$B$1:$B$1324,"&lt;="&amp;$B102)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Aparments",Movimientos!$B$1:$B$1324,"&lt;="&amp;$B102))</f>
        <v>0</v>
      </c>
      <c r="AD102" s="24">
        <f>IF(YEAR($B102)*100+MONTH($B102)&lt;--SUBSTITUTE(_xlfn.XLOOKUP("Don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Life",Movimientos!$B$1:$B$1324,"&lt;="&amp;$B102))</f>
        <v>0</v>
      </c>
      <c r="AE102" s="25">
        <f t="shared" si="4"/>
        <v>6596109.549999998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Group")+SUMIFS(Movimientos!$K$1:$K$1324,Movimientos!$C$1:$C$1324,"CFT Group",Movimientos!$B$1:$B$1324,"&lt;="&amp;$B103)</f>
        <v>1260076.9800000002</v>
      </c>
      <c r="D103" s="24">
        <f>SUMIFS('Saldos Iniciales'!$D:$D,'Saldos Iniciales'!$A:$A,"M1B")+SUMIFS(Movimientos!$K$1:$K$1324,Movimientos!$C$1:$C$1324,"M1B",Movimientos!$B$1:$B$1324,"&lt;="&amp;$B103)</f>
        <v>83211.250000000175</v>
      </c>
      <c r="E103" s="24">
        <f>SUMIFS('Saldos Iniciales'!$D:$D,'Saldos Iniciales'!$A:$A,"Durand")+SUMIFS(Movimientos!$K$1:$K$1324,Movimientos!$C$1:$C$1324,"Durand",Movimientos!$B$1:$B$1324,"&lt;="&amp;$B103)</f>
        <v>1669.89</v>
      </c>
      <c r="F103" s="24">
        <f>SUMIFS('Saldos Iniciales'!$D:$D,'Saldos Iniciales'!$A:$A,"A&amp;M Imports")+SUMIFS(Movimientos!$K$1:$K$1324,Movimientos!$C$1:$C$1324,"A&amp;M Imports",Movimientos!$B$1:$B$1324,"&lt;="&amp;$B103)</f>
        <v>1349451.94</v>
      </c>
      <c r="G103" s="24">
        <f>SUMIFS('Saldos Iniciales'!$D:$D,'Saldos Iniciales'!$A:$A,"SSP Capital")+SUMIFS(Movimientos!$K$1:$K$1324,Movimientos!$C$1:$C$1324,"SSP Capital",Movimientos!$B$1:$B$1324,"&lt;="&amp;$B103)</f>
        <v>2098801.8999999994</v>
      </c>
      <c r="H103" s="24">
        <f>SUMIFS('Saldos Iniciales'!$D:$D,'Saldos Iniciales'!$A:$A,"Cross Family Trust")+SUMIFS(Movimientos!$K$1:$K$1324,Movimientos!$C$1:$C$1324,"Cross Family Trust",Movimientos!$B$1:$B$1324,"&lt;="&amp;$B103)</f>
        <v>171496.38</v>
      </c>
      <c r="I103" s="24">
        <f>SUMIFS('Saldos Iniciales'!$D:$D,'Saldos Iniciales'!$A:$A,"Cross Security Trust")+SUMIFS(Movimientos!$K$1:$K$1324,Movimientos!$C$1:$C$1324,"Cross Security Trust",Movimientos!$B$1:$B$1324,"&lt;="&amp;$B103)</f>
        <v>207582.47</v>
      </c>
      <c r="J103" s="24">
        <f>SUMIFS('Saldos Iniciales'!$D:$D,'Saldos Iniciales'!$A:$A,"Electrama")+SUMIFS(Movimientos!$K$1:$K$1324,Movimientos!$C$1:$C$1324,"Electrama",Movimientos!$B$1:$B$1324,"&lt;="&amp;$B103)</f>
        <v>13270.02</v>
      </c>
      <c r="K103" s="24">
        <f>SUMIFS('Saldos Iniciales'!$D:$D,'Saldos Iniciales'!$A:$A,"Sacred Valley Capital")+SUMIFS(Movimientos!$K$1:$K$1324,Movimientos!$C$1:$C$1324,"Sacred Valley Capital",Movimientos!$B$1:$B$1324,"&lt;="&amp;$B103)</f>
        <v>24.450000000000003</v>
      </c>
      <c r="L103" s="24">
        <f>SUMIFS('Saldos Iniciales'!$D:$D,'Saldos Iniciales'!$A:$A,"YWC Capital")+SUMIFS(Movimientos!$K$1:$K$1324,Movimientos!$C$1:$C$1324,"YWC Capital",Movimientos!$B$1:$B$1324,"&lt;="&amp;$B103)</f>
        <v>2177.87</v>
      </c>
      <c r="M103" s="24">
        <f>SUMIFS('Saldos Iniciales'!$D:$D,'Saldos Iniciales'!$A:$A,"Soweto")+SUMIFS(Movimientos!$K$1:$K$1324,Movimientos!$C$1:$C$1324,"Soweto",Movimientos!$B$1:$B$1324,"&lt;="&amp;$B103)</f>
        <v>1454589.72</v>
      </c>
      <c r="N103" s="24">
        <f>SUMIFS('Saldos Iniciales'!$D:$D,'Saldos Iniciales'!$A:$A,"Green Stone Trust")+SUMIFS(Movimientos!$K$1:$K$1324,Movimientos!$C$1:$C$1324,"Green Stone Trust",Movimientos!$B$1:$B$1324,"&lt;="&amp;$B103)</f>
        <v>1968.99</v>
      </c>
      <c r="O103" s="24">
        <f>SUMIFS('Saldos Iniciales'!$D:$D,'Saldos Iniciales'!$A:$A,"EC Auto")+SUMIFS(Movimientos!$K$1:$K$1324,Movimientos!$C$1:$C$1324,"EC Auto",Movimientos!$B$1:$B$1324,"&lt;="&amp;$B103)</f>
        <v>901.34</v>
      </c>
      <c r="P103" s="24">
        <f>SUMIFS('Saldos Iniciales'!$D:$D,'Saldos Iniciales'!$A:$A,"Arbor Capital Properties")+SUMIFS(Movimientos!$K$1:$K$1324,Movimientos!$C$1:$C$1324,"Arbor Capital Properties",Movimientos!$B$1:$B$1324,"&lt;="&amp;$B103)</f>
        <v>1396.08</v>
      </c>
      <c r="Q103" s="24">
        <f>SUMIFS('Saldos Iniciales'!$D:$D,'Saldos Iniciales'!$A:$A,"2515 Overbrook")+SUMIFS(Movimientos!$K$1:$K$1324,Movimientos!$C$1:$C$1324,"2515 Overbrook",Movimientos!$B$1:$B$1324,"&lt;="&amp;$B103)</f>
        <v>3700.7099999999591</v>
      </c>
      <c r="R103" s="24">
        <f>SUMIFS('Saldos Iniciales'!$D:$D,'Saldos Iniciales'!$A:$A,"112 Florida Ave")+SUMIFS(Movimientos!$K$1:$K$1324,Movimientos!$C$1:$C$1324,"112 Florida Ave",Movimientos!$B$1:$B$1324,"&lt;="&amp;$B103)</f>
        <v>8724.1700000000037</v>
      </c>
      <c r="S103" s="24">
        <f>SUMIFS('Saldos Iniciales'!$D:$D,'Saldos Iniciales'!$A:$A,"3628 Thomas Ave")+SUMIFS(Movimientos!$K$1:$K$1324,Movimientos!$C$1:$C$1324,"3628 Thomas Ave",Movimientos!$B$1:$B$1324,"&lt;="&amp;$B103)</f>
        <v>20106.099999999999</v>
      </c>
      <c r="T103" s="24">
        <f>SUMIFS('Saldos Iniciales'!$D:$D,'Saldos Iniciales'!$A:$A,"Green Harbor Trust")+SUMIFS(Movimientos!$K$1:$K$1324,Movimientos!$C$1:$C$1324,"Green Harbor Trust",Movimientos!$B$1:$B$1324,"&lt;="&amp;$B103)</f>
        <v>345</v>
      </c>
      <c r="U103" s="24">
        <f>SUMIFS('Saldos Iniciales'!$D:$D,'Saldos Iniciales'!$A:$A,"Go Blue")+SUMIFS(Movimientos!$K$1:$K$1324,Movimientos!$C$1:$C$1324,"Go Blue",Movimientos!$B$1:$B$1324,"&lt;="&amp;$B103)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Aparments",Movimientos!$B$1:$B$1324,"&lt;="&amp;$B103))</f>
        <v>0</v>
      </c>
      <c r="AD103" s="24">
        <f>IF(YEAR($B103)*100+MONTH($B103)&lt;--SUBSTITUTE(_xlfn.XLOOKUP("Don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Life",Movimientos!$B$1:$B$1324,"&lt;="&amp;$B103))</f>
        <v>0</v>
      </c>
      <c r="AE103" s="25">
        <f t="shared" si="4"/>
        <v>6691965.2999999989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Group")+SUMIFS(Movimientos!$K$1:$K$1324,Movimientos!$C$1:$C$1324,"CFT Group",Movimientos!$B$1:$B$1324,"&lt;="&amp;$B104)</f>
        <v>1260076.9800000002</v>
      </c>
      <c r="D104" s="24">
        <f>SUMIFS('Saldos Iniciales'!$D:$D,'Saldos Iniciales'!$A:$A,"M1B")+SUMIFS(Movimientos!$K$1:$K$1324,Movimientos!$C$1:$C$1324,"M1B",Movimientos!$B$1:$B$1324,"&lt;="&amp;$B104)</f>
        <v>83211.250000000175</v>
      </c>
      <c r="E104" s="24">
        <f>SUMIFS('Saldos Iniciales'!$D:$D,'Saldos Iniciales'!$A:$A,"Durand")+SUMIFS(Movimientos!$K$1:$K$1324,Movimientos!$C$1:$C$1324,"Durand",Movimientos!$B$1:$B$1324,"&lt;="&amp;$B104)</f>
        <v>1669.89</v>
      </c>
      <c r="F104" s="24">
        <f>SUMIFS('Saldos Iniciales'!$D:$D,'Saldos Iniciales'!$A:$A,"A&amp;M Imports")+SUMIFS(Movimientos!$K$1:$K$1324,Movimientos!$C$1:$C$1324,"A&amp;M Imports",Movimientos!$B$1:$B$1324,"&lt;="&amp;$B104)</f>
        <v>1349451.94</v>
      </c>
      <c r="G104" s="24">
        <f>SUMIFS('Saldos Iniciales'!$D:$D,'Saldos Iniciales'!$A:$A,"SSP Capital")+SUMIFS(Movimientos!$K$1:$K$1324,Movimientos!$C$1:$C$1324,"SSP Capital",Movimientos!$B$1:$B$1324,"&lt;="&amp;$B104)</f>
        <v>1622920.8199999996</v>
      </c>
      <c r="H104" s="24">
        <f>SUMIFS('Saldos Iniciales'!$D:$D,'Saldos Iniciales'!$A:$A,"Cross Family Trust")+SUMIFS(Movimientos!$K$1:$K$1324,Movimientos!$C$1:$C$1324,"Cross Family Trust",Movimientos!$B$1:$B$1324,"&lt;="&amp;$B104)</f>
        <v>171496.38</v>
      </c>
      <c r="I104" s="24">
        <f>SUMIFS('Saldos Iniciales'!$D:$D,'Saldos Iniciales'!$A:$A,"Cross Security Trust")+SUMIFS(Movimientos!$K$1:$K$1324,Movimientos!$C$1:$C$1324,"Cross Security Trust",Movimientos!$B$1:$B$1324,"&lt;="&amp;$B104)</f>
        <v>207582.47</v>
      </c>
      <c r="J104" s="24">
        <f>SUMIFS('Saldos Iniciales'!$D:$D,'Saldos Iniciales'!$A:$A,"Electrama")+SUMIFS(Movimientos!$K$1:$K$1324,Movimientos!$C$1:$C$1324,"Electrama",Movimientos!$B$1:$B$1324,"&lt;="&amp;$B104)</f>
        <v>13270.02</v>
      </c>
      <c r="K104" s="24">
        <f>SUMIFS('Saldos Iniciales'!$D:$D,'Saldos Iniciales'!$A:$A,"Sacred Valley Capital")+SUMIFS(Movimientos!$K$1:$K$1324,Movimientos!$C$1:$C$1324,"Sacred Valley Capital",Movimientos!$B$1:$B$1324,"&lt;="&amp;$B104)</f>
        <v>24.450000000000003</v>
      </c>
      <c r="L104" s="24">
        <f>SUMIFS('Saldos Iniciales'!$D:$D,'Saldos Iniciales'!$A:$A,"YWC Capital")+SUMIFS(Movimientos!$K$1:$K$1324,Movimientos!$C$1:$C$1324,"YWC Capital",Movimientos!$B$1:$B$1324,"&lt;="&amp;$B104)</f>
        <v>2177.87</v>
      </c>
      <c r="M104" s="24">
        <f>SUMIFS('Saldos Iniciales'!$D:$D,'Saldos Iniciales'!$A:$A,"Soweto")+SUMIFS(Movimientos!$K$1:$K$1324,Movimientos!$C$1:$C$1324,"Soweto",Movimientos!$B$1:$B$1324,"&lt;="&amp;$B104)</f>
        <v>1454589.72</v>
      </c>
      <c r="N104" s="24">
        <f>SUMIFS('Saldos Iniciales'!$D:$D,'Saldos Iniciales'!$A:$A,"Green Stone Trust")+SUMIFS(Movimientos!$K$1:$K$1324,Movimientos!$C$1:$C$1324,"Green Stone Trust",Movimientos!$B$1:$B$1324,"&lt;="&amp;$B104)</f>
        <v>1968.99</v>
      </c>
      <c r="O104" s="24">
        <f>SUMIFS('Saldos Iniciales'!$D:$D,'Saldos Iniciales'!$A:$A,"EC Auto")+SUMIFS(Movimientos!$K$1:$K$1324,Movimientos!$C$1:$C$1324,"EC Auto",Movimientos!$B$1:$B$1324,"&lt;="&amp;$B104)</f>
        <v>901.34</v>
      </c>
      <c r="P104" s="24">
        <f>SUMIFS('Saldos Iniciales'!$D:$D,'Saldos Iniciales'!$A:$A,"Arbor Capital Properties")+SUMIFS(Movimientos!$K$1:$K$1324,Movimientos!$C$1:$C$1324,"Arbor Capital Properties",Movimientos!$B$1:$B$1324,"&lt;="&amp;$B104)</f>
        <v>1396.08</v>
      </c>
      <c r="Q104" s="24">
        <f>SUMIFS('Saldos Iniciales'!$D:$D,'Saldos Iniciales'!$A:$A,"2515 Overbrook")+SUMIFS(Movimientos!$K$1:$K$1324,Movimientos!$C$1:$C$1324,"2515 Overbrook",Movimientos!$B$1:$B$1324,"&lt;="&amp;$B104)</f>
        <v>3700.7099999999591</v>
      </c>
      <c r="R104" s="24">
        <f>SUMIFS('Saldos Iniciales'!$D:$D,'Saldos Iniciales'!$A:$A,"112 Florida Ave")+SUMIFS(Movimientos!$K$1:$K$1324,Movimientos!$C$1:$C$1324,"112 Florida Ave",Movimientos!$B$1:$B$1324,"&lt;="&amp;$B104)</f>
        <v>8724.1700000000037</v>
      </c>
      <c r="S104" s="24">
        <f>SUMIFS('Saldos Iniciales'!$D:$D,'Saldos Iniciales'!$A:$A,"3628 Thomas Ave")+SUMIFS(Movimientos!$K$1:$K$1324,Movimientos!$C$1:$C$1324,"3628 Thomas Ave",Movimientos!$B$1:$B$1324,"&lt;="&amp;$B104)</f>
        <v>19442.439999999995</v>
      </c>
      <c r="T104" s="24">
        <f>SUMIFS('Saldos Iniciales'!$D:$D,'Saldos Iniciales'!$A:$A,"Green Harbor Trust")+SUMIFS(Movimientos!$K$1:$K$1324,Movimientos!$C$1:$C$1324,"Green Harbor Trust",Movimientos!$B$1:$B$1324,"&lt;="&amp;$B104)</f>
        <v>345</v>
      </c>
      <c r="U104" s="24">
        <f>SUMIFS('Saldos Iniciales'!$D:$D,'Saldos Iniciales'!$A:$A,"Go Blue")+SUMIFS(Movimientos!$K$1:$K$1324,Movimientos!$C$1:$C$1324,"Go Blue",Movimientos!$B$1:$B$1324,"&lt;="&amp;$B104)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Aparments",Movimientos!$B$1:$B$1324,"&lt;="&amp;$B104))</f>
        <v>0</v>
      </c>
      <c r="AD104" s="24">
        <f>IF(YEAR($B104)*100+MONTH($B104)&lt;--SUBSTITUTE(_xlfn.XLOOKUP("Don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Life",Movimientos!$B$1:$B$1324,"&lt;="&amp;$B104))</f>
        <v>0</v>
      </c>
      <c r="AE104" s="25">
        <f t="shared" si="4"/>
        <v>6215420.5599999996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Group")+SUMIFS(Movimientos!$K$1:$K$1324,Movimientos!$C$1:$C$1324,"CFT Group",Movimientos!$B$1:$B$1324,"&lt;="&amp;$B105)</f>
        <v>1260076.9800000002</v>
      </c>
      <c r="D105" s="24">
        <f>SUMIFS('Saldos Iniciales'!$D:$D,'Saldos Iniciales'!$A:$A,"M1B")+SUMIFS(Movimientos!$K$1:$K$1324,Movimientos!$C$1:$C$1324,"M1B",Movimientos!$B$1:$B$1324,"&lt;="&amp;$B105)</f>
        <v>83211.250000000175</v>
      </c>
      <c r="E105" s="24">
        <f>SUMIFS('Saldos Iniciales'!$D:$D,'Saldos Iniciales'!$A:$A,"Durand")+SUMIFS(Movimientos!$K$1:$K$1324,Movimientos!$C$1:$C$1324,"Durand",Movimientos!$B$1:$B$1324,"&lt;="&amp;$B105)</f>
        <v>1669.89</v>
      </c>
      <c r="F105" s="24">
        <f>SUMIFS('Saldos Iniciales'!$D:$D,'Saldos Iniciales'!$A:$A,"A&amp;M Imports")+SUMIFS(Movimientos!$K$1:$K$1324,Movimientos!$C$1:$C$1324,"A&amp;M Imports",Movimientos!$B$1:$B$1324,"&lt;="&amp;$B105)</f>
        <v>1349451.94</v>
      </c>
      <c r="G105" s="24">
        <f>SUMIFS('Saldos Iniciales'!$D:$D,'Saldos Iniciales'!$A:$A,"SSP Capital")+SUMIFS(Movimientos!$K$1:$K$1324,Movimientos!$C$1:$C$1324,"SSP Capital",Movimientos!$B$1:$B$1324,"&lt;="&amp;$B105)</f>
        <v>1622914.8199999996</v>
      </c>
      <c r="H105" s="24">
        <f>SUMIFS('Saldos Iniciales'!$D:$D,'Saldos Iniciales'!$A:$A,"Cross Family Trust")+SUMIFS(Movimientos!$K$1:$K$1324,Movimientos!$C$1:$C$1324,"Cross Family Trust",Movimientos!$B$1:$B$1324,"&lt;="&amp;$B105)</f>
        <v>731496.38</v>
      </c>
      <c r="I105" s="24">
        <f>SUMIFS('Saldos Iniciales'!$D:$D,'Saldos Iniciales'!$A:$A,"Cross Security Trust")+SUMIFS(Movimientos!$K$1:$K$1324,Movimientos!$C$1:$C$1324,"Cross Security Trust",Movimientos!$B$1:$B$1324,"&lt;="&amp;$B105)</f>
        <v>277582.47000000003</v>
      </c>
      <c r="J105" s="24">
        <f>SUMIFS('Saldos Iniciales'!$D:$D,'Saldos Iniciales'!$A:$A,"Electrama")+SUMIFS(Movimientos!$K$1:$K$1324,Movimientos!$C$1:$C$1324,"Electrama",Movimientos!$B$1:$B$1324,"&lt;="&amp;$B105)</f>
        <v>13270.02</v>
      </c>
      <c r="K105" s="24">
        <f>SUMIFS('Saldos Iniciales'!$D:$D,'Saldos Iniciales'!$A:$A,"Sacred Valley Capital")+SUMIFS(Movimientos!$K$1:$K$1324,Movimientos!$C$1:$C$1324,"Sacred Valley Capital",Movimientos!$B$1:$B$1324,"&lt;="&amp;$B105)</f>
        <v>24.450000000000003</v>
      </c>
      <c r="L105" s="24">
        <f>SUMIFS('Saldos Iniciales'!$D:$D,'Saldos Iniciales'!$A:$A,"YWC Capital")+SUMIFS(Movimientos!$K$1:$K$1324,Movimientos!$C$1:$C$1324,"YWC Capital",Movimientos!$B$1:$B$1324,"&lt;="&amp;$B105)</f>
        <v>2177.87</v>
      </c>
      <c r="M105" s="24">
        <f>SUMIFS('Saldos Iniciales'!$D:$D,'Saldos Iniciales'!$A:$A,"Soweto")+SUMIFS(Movimientos!$K$1:$K$1324,Movimientos!$C$1:$C$1324,"Soweto",Movimientos!$B$1:$B$1324,"&lt;="&amp;$B105)</f>
        <v>754424.72</v>
      </c>
      <c r="N105" s="24">
        <f>SUMIFS('Saldos Iniciales'!$D:$D,'Saldos Iniciales'!$A:$A,"Green Stone Trust")+SUMIFS(Movimientos!$K$1:$K$1324,Movimientos!$C$1:$C$1324,"Green Stone Trust",Movimientos!$B$1:$B$1324,"&lt;="&amp;$B105)</f>
        <v>1968.99</v>
      </c>
      <c r="O105" s="24">
        <f>SUMIFS('Saldos Iniciales'!$D:$D,'Saldos Iniciales'!$A:$A,"EC Auto")+SUMIFS(Movimientos!$K$1:$K$1324,Movimientos!$C$1:$C$1324,"EC Auto",Movimientos!$B$1:$B$1324,"&lt;="&amp;$B105)</f>
        <v>901.34</v>
      </c>
      <c r="P105" s="24">
        <f>SUMIFS('Saldos Iniciales'!$D:$D,'Saldos Iniciales'!$A:$A,"Arbor Capital Properties")+SUMIFS(Movimientos!$K$1:$K$1324,Movimientos!$C$1:$C$1324,"Arbor Capital Properties",Movimientos!$B$1:$B$1324,"&lt;="&amp;$B105)</f>
        <v>1396.08</v>
      </c>
      <c r="Q105" s="24">
        <f>SUMIFS('Saldos Iniciales'!$D:$D,'Saldos Iniciales'!$A:$A,"2515 Overbrook")+SUMIFS(Movimientos!$K$1:$K$1324,Movimientos!$C$1:$C$1324,"2515 Overbrook",Movimientos!$B$1:$B$1324,"&lt;="&amp;$B105)</f>
        <v>3700.7099999999591</v>
      </c>
      <c r="R105" s="24">
        <f>SUMIFS('Saldos Iniciales'!$D:$D,'Saldos Iniciales'!$A:$A,"112 Florida Ave")+SUMIFS(Movimientos!$K$1:$K$1324,Movimientos!$C$1:$C$1324,"112 Florida Ave",Movimientos!$B$1:$B$1324,"&lt;="&amp;$B105)</f>
        <v>8724.1700000000037</v>
      </c>
      <c r="S105" s="24">
        <f>SUMIFS('Saldos Iniciales'!$D:$D,'Saldos Iniciales'!$A:$A,"3628 Thomas Ave")+SUMIFS(Movimientos!$K$1:$K$1324,Movimientos!$C$1:$C$1324,"3628 Thomas Ave",Movimientos!$B$1:$B$1324,"&lt;="&amp;$B105)</f>
        <v>19336.039999999997</v>
      </c>
      <c r="T105" s="24">
        <f>SUMIFS('Saldos Iniciales'!$D:$D,'Saldos Iniciales'!$A:$A,"Green Harbor Trust")+SUMIFS(Movimientos!$K$1:$K$1324,Movimientos!$C$1:$C$1324,"Green Harbor Trust",Movimientos!$B$1:$B$1324,"&lt;="&amp;$B105)</f>
        <v>345</v>
      </c>
      <c r="U105" s="24">
        <f>SUMIFS('Saldos Iniciales'!$D:$D,'Saldos Iniciales'!$A:$A,"Go Blue")+SUMIFS(Movimientos!$K$1:$K$1324,Movimientos!$C$1:$C$1324,"Go Blue",Movimientos!$B$1:$B$1324,"&lt;="&amp;$B105)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Aparments",Movimientos!$B$1:$B$1324,"&lt;="&amp;$B105))</f>
        <v>0</v>
      </c>
      <c r="AD105" s="24">
        <f>IF(YEAR($B105)*100+MONTH($B105)&lt;--SUBSTITUTE(_xlfn.XLOOKUP("Don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Life",Movimientos!$B$1:$B$1324,"&lt;="&amp;$B105))</f>
        <v>0</v>
      </c>
      <c r="AE105" s="25">
        <f t="shared" si="4"/>
        <v>6145143.1599999992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Group")+SUMIFS(Movimientos!$K$1:$K$1324,Movimientos!$C$1:$C$1324,"CFT Group",Movimientos!$B$1:$B$1324,"&lt;="&amp;$B106)</f>
        <v>1041223.5800000004</v>
      </c>
      <c r="D106" s="24">
        <f>SUMIFS('Saldos Iniciales'!$D:$D,'Saldos Iniciales'!$A:$A,"M1B")+SUMIFS(Movimientos!$K$1:$K$1324,Movimientos!$C$1:$C$1324,"M1B",Movimientos!$B$1:$B$1324,"&lt;="&amp;$B106)</f>
        <v>83211.250000000175</v>
      </c>
      <c r="E106" s="24">
        <f>SUMIFS('Saldos Iniciales'!$D:$D,'Saldos Iniciales'!$A:$A,"Durand")+SUMIFS(Movimientos!$K$1:$K$1324,Movimientos!$C$1:$C$1324,"Durand",Movimientos!$B$1:$B$1324,"&lt;="&amp;$B106)</f>
        <v>1669.89</v>
      </c>
      <c r="F106" s="24">
        <f>SUMIFS('Saldos Iniciales'!$D:$D,'Saldos Iniciales'!$A:$A,"A&amp;M Imports")+SUMIFS(Movimientos!$K$1:$K$1324,Movimientos!$C$1:$C$1324,"A&amp;M Imports",Movimientos!$B$1:$B$1324,"&lt;="&amp;$B106)</f>
        <v>1289451.94</v>
      </c>
      <c r="G106" s="24">
        <f>SUMIFS('Saldos Iniciales'!$D:$D,'Saldos Iniciales'!$A:$A,"SSP Capital")+SUMIFS(Movimientos!$K$1:$K$1324,Movimientos!$C$1:$C$1324,"SSP Capital",Movimientos!$B$1:$B$1324,"&lt;="&amp;$B106)</f>
        <v>1418808.6399999997</v>
      </c>
      <c r="H106" s="24">
        <f>SUMIFS('Saldos Iniciales'!$D:$D,'Saldos Iniciales'!$A:$A,"Cross Family Trust")+SUMIFS(Movimientos!$K$1:$K$1324,Movimientos!$C$1:$C$1324,"Cross Family Trust",Movimientos!$B$1:$B$1324,"&lt;="&amp;$B106)</f>
        <v>221496.38</v>
      </c>
      <c r="I106" s="24">
        <f>SUMIFS('Saldos Iniciales'!$D:$D,'Saldos Iniciales'!$A:$A,"Cross Security Trust")+SUMIFS(Movimientos!$K$1:$K$1324,Movimientos!$C$1:$C$1324,"Cross Security Trust",Movimientos!$B$1:$B$1324,"&lt;="&amp;$B106)</f>
        <v>277582.47000000003</v>
      </c>
      <c r="J106" s="24">
        <f>SUMIFS('Saldos Iniciales'!$D:$D,'Saldos Iniciales'!$A:$A,"Electrama")+SUMIFS(Movimientos!$K$1:$K$1324,Movimientos!$C$1:$C$1324,"Electrama",Movimientos!$B$1:$B$1324,"&lt;="&amp;$B106)</f>
        <v>13270.02</v>
      </c>
      <c r="K106" s="24">
        <f>SUMIFS('Saldos Iniciales'!$D:$D,'Saldos Iniciales'!$A:$A,"Sacred Valley Capital")+SUMIFS(Movimientos!$K$1:$K$1324,Movimientos!$C$1:$C$1324,"Sacred Valley Capital",Movimientos!$B$1:$B$1324,"&lt;="&amp;$B106)</f>
        <v>24.450000000000003</v>
      </c>
      <c r="L106" s="24">
        <f>SUMIFS('Saldos Iniciales'!$D:$D,'Saldos Iniciales'!$A:$A,"YWC Capital")+SUMIFS(Movimientos!$K$1:$K$1324,Movimientos!$C$1:$C$1324,"YWC Capital",Movimientos!$B$1:$B$1324,"&lt;="&amp;$B106)</f>
        <v>2177.87</v>
      </c>
      <c r="M106" s="24">
        <f>SUMIFS('Saldos Iniciales'!$D:$D,'Saldos Iniciales'!$A:$A,"Soweto")+SUMIFS(Movimientos!$K$1:$K$1324,Movimientos!$C$1:$C$1324,"Soweto",Movimientos!$B$1:$B$1324,"&lt;="&amp;$B106)</f>
        <v>754424.72</v>
      </c>
      <c r="N106" s="24">
        <f>SUMIFS('Saldos Iniciales'!$D:$D,'Saldos Iniciales'!$A:$A,"Green Stone Trust")+SUMIFS(Movimientos!$K$1:$K$1324,Movimientos!$C$1:$C$1324,"Green Stone Trust",Movimientos!$B$1:$B$1324,"&lt;="&amp;$B106)</f>
        <v>1968.99</v>
      </c>
      <c r="O106" s="24">
        <f>SUMIFS('Saldos Iniciales'!$D:$D,'Saldos Iniciales'!$A:$A,"EC Auto")+SUMIFS(Movimientos!$K$1:$K$1324,Movimientos!$C$1:$C$1324,"EC Auto",Movimientos!$B$1:$B$1324,"&lt;="&amp;$B106)</f>
        <v>901.34</v>
      </c>
      <c r="P106" s="24">
        <f>SUMIFS('Saldos Iniciales'!$D:$D,'Saldos Iniciales'!$A:$A,"Arbor Capital Properties")+SUMIFS(Movimientos!$K$1:$K$1324,Movimientos!$C$1:$C$1324,"Arbor Capital Properties",Movimientos!$B$1:$B$1324,"&lt;="&amp;$B106)</f>
        <v>1396.08</v>
      </c>
      <c r="Q106" s="24">
        <f>SUMIFS('Saldos Iniciales'!$D:$D,'Saldos Iniciales'!$A:$A,"2515 Overbrook")+SUMIFS(Movimientos!$K$1:$K$1324,Movimientos!$C$1:$C$1324,"2515 Overbrook",Movimientos!$B$1:$B$1324,"&lt;="&amp;$B106)</f>
        <v>13700.709999999959</v>
      </c>
      <c r="R106" s="24">
        <f>SUMIFS('Saldos Iniciales'!$D:$D,'Saldos Iniciales'!$A:$A,"112 Florida Ave")+SUMIFS(Movimientos!$K$1:$K$1324,Movimientos!$C$1:$C$1324,"112 Florida Ave",Movimientos!$B$1:$B$1324,"&lt;="&amp;$B106)</f>
        <v>8724.1700000000037</v>
      </c>
      <c r="S106" s="24">
        <f>SUMIFS('Saldos Iniciales'!$D:$D,'Saldos Iniciales'!$A:$A,"3628 Thomas Ave")+SUMIFS(Movimientos!$K$1:$K$1324,Movimientos!$C$1:$C$1324,"3628 Thomas Ave",Movimientos!$B$1:$B$1324,"&lt;="&amp;$B106)</f>
        <v>19336.039999999997</v>
      </c>
      <c r="T106" s="24">
        <f>SUMIFS('Saldos Iniciales'!$D:$D,'Saldos Iniciales'!$A:$A,"Green Harbor Trust")+SUMIFS(Movimientos!$K$1:$K$1324,Movimientos!$C$1:$C$1324,"Green Harbor Trust",Movimientos!$B$1:$B$1324,"&lt;="&amp;$B106)</f>
        <v>345</v>
      </c>
      <c r="U106" s="24">
        <f>SUMIFS('Saldos Iniciales'!$D:$D,'Saldos Iniciales'!$A:$A,"Go Blue")+SUMIFS(Movimientos!$K$1:$K$1324,Movimientos!$C$1:$C$1324,"Go Blue",Movimientos!$B$1:$B$1324,"&lt;="&amp;$B106)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Aparments",Movimientos!$B$1:$B$1324,"&lt;="&amp;$B106))</f>
        <v>0</v>
      </c>
      <c r="AD106" s="24">
        <f>IF(YEAR($B106)*100+MONTH($B106)&lt;--SUBSTITUTE(_xlfn.XLOOKUP("Don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Life",Movimientos!$B$1:$B$1324,"&lt;="&amp;$B106))</f>
        <v>0</v>
      </c>
      <c r="AE106" s="25">
        <f t="shared" si="4"/>
        <v>5164454.4399999995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Group")+SUMIFS(Movimientos!$K$1:$K$1324,Movimientos!$C$1:$C$1324,"CFT Group",Movimientos!$B$1:$B$1324,"&lt;="&amp;$B107)</f>
        <v>941223.58000000042</v>
      </c>
      <c r="D107" s="24">
        <f>SUMIFS('Saldos Iniciales'!$D:$D,'Saldos Iniciales'!$A:$A,"M1B")+SUMIFS(Movimientos!$K$1:$K$1324,Movimientos!$C$1:$C$1324,"M1B",Movimientos!$B$1:$B$1324,"&lt;="&amp;$B107)</f>
        <v>83211.250000000175</v>
      </c>
      <c r="E107" s="24">
        <f>SUMIFS('Saldos Iniciales'!$D:$D,'Saldos Iniciales'!$A:$A,"Durand")+SUMIFS(Movimientos!$K$1:$K$1324,Movimientos!$C$1:$C$1324,"Durand",Movimientos!$B$1:$B$1324,"&lt;="&amp;$B107)</f>
        <v>1669.89</v>
      </c>
      <c r="F107" s="24">
        <f>SUMIFS('Saldos Iniciales'!$D:$D,'Saldos Iniciales'!$A:$A,"A&amp;M Imports")+SUMIFS(Movimientos!$K$1:$K$1324,Movimientos!$C$1:$C$1324,"A&amp;M Imports",Movimientos!$B$1:$B$1324,"&lt;="&amp;$B107)</f>
        <v>1289451.94</v>
      </c>
      <c r="G107" s="24">
        <f>SUMIFS('Saldos Iniciales'!$D:$D,'Saldos Iniciales'!$A:$A,"SSP Capital")+SUMIFS(Movimientos!$K$1:$K$1324,Movimientos!$C$1:$C$1324,"SSP Capital",Movimientos!$B$1:$B$1324,"&lt;="&amp;$B107)</f>
        <v>1418808.6399999997</v>
      </c>
      <c r="H107" s="24">
        <f>SUMIFS('Saldos Iniciales'!$D:$D,'Saldos Iniciales'!$A:$A,"Cross Family Trust")+SUMIFS(Movimientos!$K$1:$K$1324,Movimientos!$C$1:$C$1324,"Cross Family Trust",Movimientos!$B$1:$B$1324,"&lt;="&amp;$B107)</f>
        <v>221496.38</v>
      </c>
      <c r="I107" s="24">
        <f>SUMIFS('Saldos Iniciales'!$D:$D,'Saldos Iniciales'!$A:$A,"Cross Security Trust")+SUMIFS(Movimientos!$K$1:$K$1324,Movimientos!$C$1:$C$1324,"Cross Security Trust",Movimientos!$B$1:$B$1324,"&lt;="&amp;$B107)</f>
        <v>277586.34000000003</v>
      </c>
      <c r="J107" s="24">
        <f>SUMIFS('Saldos Iniciales'!$D:$D,'Saldos Iniciales'!$A:$A,"Electrama")+SUMIFS(Movimientos!$K$1:$K$1324,Movimientos!$C$1:$C$1324,"Electrama",Movimientos!$B$1:$B$1324,"&lt;="&amp;$B107)</f>
        <v>13270.02</v>
      </c>
      <c r="K107" s="24">
        <f>SUMIFS('Saldos Iniciales'!$D:$D,'Saldos Iniciales'!$A:$A,"Sacred Valley Capital")+SUMIFS(Movimientos!$K$1:$K$1324,Movimientos!$C$1:$C$1324,"Sacred Valley Capital",Movimientos!$B$1:$B$1324,"&lt;="&amp;$B107)</f>
        <v>24.450000000000003</v>
      </c>
      <c r="L107" s="24">
        <f>SUMIFS('Saldos Iniciales'!$D:$D,'Saldos Iniciales'!$A:$A,"YWC Capital")+SUMIFS(Movimientos!$K$1:$K$1324,Movimientos!$C$1:$C$1324,"YWC Capital",Movimientos!$B$1:$B$1324,"&lt;="&amp;$B107)</f>
        <v>2177.87</v>
      </c>
      <c r="M107" s="24">
        <f>SUMIFS('Saldos Iniciales'!$D:$D,'Saldos Iniciales'!$A:$A,"Soweto")+SUMIFS(Movimientos!$K$1:$K$1324,Movimientos!$C$1:$C$1324,"Soweto",Movimientos!$B$1:$B$1324,"&lt;="&amp;$B107)</f>
        <v>754424.72</v>
      </c>
      <c r="N107" s="24">
        <f>SUMIFS('Saldos Iniciales'!$D:$D,'Saldos Iniciales'!$A:$A,"Green Stone Trust")+SUMIFS(Movimientos!$K$1:$K$1324,Movimientos!$C$1:$C$1324,"Green Stone Trust",Movimientos!$B$1:$B$1324,"&lt;="&amp;$B107)</f>
        <v>1968.99</v>
      </c>
      <c r="O107" s="24">
        <f>SUMIFS('Saldos Iniciales'!$D:$D,'Saldos Iniciales'!$A:$A,"EC Auto")+SUMIFS(Movimientos!$K$1:$K$1324,Movimientos!$C$1:$C$1324,"EC Auto",Movimientos!$B$1:$B$1324,"&lt;="&amp;$B107)</f>
        <v>901.34</v>
      </c>
      <c r="P107" s="24">
        <f>SUMIFS('Saldos Iniciales'!$D:$D,'Saldos Iniciales'!$A:$A,"Arbor Capital Properties")+SUMIFS(Movimientos!$K$1:$K$1324,Movimientos!$C$1:$C$1324,"Arbor Capital Properties",Movimientos!$B$1:$B$1324,"&lt;="&amp;$B107)</f>
        <v>1396.08</v>
      </c>
      <c r="Q107" s="24">
        <f>SUMIFS('Saldos Iniciales'!$D:$D,'Saldos Iniciales'!$A:$A,"2515 Overbrook")+SUMIFS(Movimientos!$K$1:$K$1324,Movimientos!$C$1:$C$1324,"2515 Overbrook",Movimientos!$B$1:$B$1324,"&lt;="&amp;$B107)</f>
        <v>13685.709999999959</v>
      </c>
      <c r="R107" s="24">
        <f>SUMIFS('Saldos Iniciales'!$D:$D,'Saldos Iniciales'!$A:$A,"112 Florida Ave")+SUMIFS(Movimientos!$K$1:$K$1324,Movimientos!$C$1:$C$1324,"112 Florida Ave",Movimientos!$B$1:$B$1324,"&lt;="&amp;$B107)</f>
        <v>8724.1700000000037</v>
      </c>
      <c r="S107" s="24">
        <f>SUMIFS('Saldos Iniciales'!$D:$D,'Saldos Iniciales'!$A:$A,"3628 Thomas Ave")+SUMIFS(Movimientos!$K$1:$K$1324,Movimientos!$C$1:$C$1324,"3628 Thomas Ave",Movimientos!$B$1:$B$1324,"&lt;="&amp;$B107)</f>
        <v>19336.039999999997</v>
      </c>
      <c r="T107" s="24">
        <f>SUMIFS('Saldos Iniciales'!$D:$D,'Saldos Iniciales'!$A:$A,"Green Harbor Trust")+SUMIFS(Movimientos!$K$1:$K$1324,Movimientos!$C$1:$C$1324,"Green Harbor Trust",Movimientos!$B$1:$B$1324,"&lt;="&amp;$B107)</f>
        <v>345</v>
      </c>
      <c r="U107" s="24">
        <f>SUMIFS('Saldos Iniciales'!$D:$D,'Saldos Iniciales'!$A:$A,"Go Blue")+SUMIFS(Movimientos!$K$1:$K$1324,Movimientos!$C$1:$C$1324,"Go Blue",Movimientos!$B$1:$B$1324,"&lt;="&amp;$B107)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Aparments",Movimientos!$B$1:$B$1324,"&lt;="&amp;$B107))</f>
        <v>0</v>
      </c>
      <c r="AD107" s="24">
        <f>IF(YEAR($B107)*100+MONTH($B107)&lt;--SUBSTITUTE(_xlfn.XLOOKUP("Don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Life",Movimientos!$B$1:$B$1324,"&lt;="&amp;$B107))</f>
        <v>0</v>
      </c>
      <c r="AE107" s="25">
        <f t="shared" si="4"/>
        <v>5064443.3100000005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Group")+SUMIFS(Movimientos!$K$1:$K$1324,Movimientos!$C$1:$C$1324,"CFT Group",Movimientos!$B$1:$B$1324,"&lt;="&amp;$B108)</f>
        <v>941223.58000000042</v>
      </c>
      <c r="D108" s="24">
        <f>SUMIFS('Saldos Iniciales'!$D:$D,'Saldos Iniciales'!$A:$A,"M1B")+SUMIFS(Movimientos!$K$1:$K$1324,Movimientos!$C$1:$C$1324,"M1B",Movimientos!$B$1:$B$1324,"&lt;="&amp;$B108)</f>
        <v>83211.250000000175</v>
      </c>
      <c r="E108" s="24">
        <f>SUMIFS('Saldos Iniciales'!$D:$D,'Saldos Iniciales'!$A:$A,"Durand")+SUMIFS(Movimientos!$K$1:$K$1324,Movimientos!$C$1:$C$1324,"Durand",Movimientos!$B$1:$B$1324,"&lt;="&amp;$B108)</f>
        <v>1669.89</v>
      </c>
      <c r="F108" s="24">
        <f>SUMIFS('Saldos Iniciales'!$D:$D,'Saldos Iniciales'!$A:$A,"A&amp;M Imports")+SUMIFS(Movimientos!$K$1:$K$1324,Movimientos!$C$1:$C$1324,"A&amp;M Imports",Movimientos!$B$1:$B$1324,"&lt;="&amp;$B108)</f>
        <v>1289451.94</v>
      </c>
      <c r="G108" s="24">
        <f>SUMIFS('Saldos Iniciales'!$D:$D,'Saldos Iniciales'!$A:$A,"SSP Capital")+SUMIFS(Movimientos!$K$1:$K$1324,Movimientos!$C$1:$C$1324,"SSP Capital",Movimientos!$B$1:$B$1324,"&lt;="&amp;$B108)</f>
        <v>1418808.6399999997</v>
      </c>
      <c r="H108" s="24">
        <f>SUMIFS('Saldos Iniciales'!$D:$D,'Saldos Iniciales'!$A:$A,"Cross Family Trust")+SUMIFS(Movimientos!$K$1:$K$1324,Movimientos!$C$1:$C$1324,"Cross Family Trust",Movimientos!$B$1:$B$1324,"&lt;="&amp;$B108)</f>
        <v>221496.38</v>
      </c>
      <c r="I108" s="24">
        <f>SUMIFS('Saldos Iniciales'!$D:$D,'Saldos Iniciales'!$A:$A,"Cross Security Trust")+SUMIFS(Movimientos!$K$1:$K$1324,Movimientos!$C$1:$C$1324,"Cross Security Trust",Movimientos!$B$1:$B$1324,"&lt;="&amp;$B108)</f>
        <v>277586.34000000003</v>
      </c>
      <c r="J108" s="24">
        <f>SUMIFS('Saldos Iniciales'!$D:$D,'Saldos Iniciales'!$A:$A,"Electrama")+SUMIFS(Movimientos!$K$1:$K$1324,Movimientos!$C$1:$C$1324,"Electrama",Movimientos!$B$1:$B$1324,"&lt;="&amp;$B108)</f>
        <v>13270.02</v>
      </c>
      <c r="K108" s="24">
        <f>SUMIFS('Saldos Iniciales'!$D:$D,'Saldos Iniciales'!$A:$A,"Sacred Valley Capital")+SUMIFS(Movimientos!$K$1:$K$1324,Movimientos!$C$1:$C$1324,"Sacred Valley Capital",Movimientos!$B$1:$B$1324,"&lt;="&amp;$B108)</f>
        <v>24.450000000000003</v>
      </c>
      <c r="L108" s="24">
        <f>SUMIFS('Saldos Iniciales'!$D:$D,'Saldos Iniciales'!$A:$A,"YWC Capital")+SUMIFS(Movimientos!$K$1:$K$1324,Movimientos!$C$1:$C$1324,"YWC Capital",Movimientos!$B$1:$B$1324,"&lt;="&amp;$B108)</f>
        <v>2177.87</v>
      </c>
      <c r="M108" s="24">
        <f>SUMIFS('Saldos Iniciales'!$D:$D,'Saldos Iniciales'!$A:$A,"Soweto")+SUMIFS(Movimientos!$K$1:$K$1324,Movimientos!$C$1:$C$1324,"Soweto",Movimientos!$B$1:$B$1324,"&lt;="&amp;$B108)</f>
        <v>754424.72</v>
      </c>
      <c r="N108" s="24">
        <f>SUMIFS('Saldos Iniciales'!$D:$D,'Saldos Iniciales'!$A:$A,"Green Stone Trust")+SUMIFS(Movimientos!$K$1:$K$1324,Movimientos!$C$1:$C$1324,"Green Stone Trust",Movimientos!$B$1:$B$1324,"&lt;="&amp;$B108)</f>
        <v>1968.99</v>
      </c>
      <c r="O108" s="24">
        <f>SUMIFS('Saldos Iniciales'!$D:$D,'Saldos Iniciales'!$A:$A,"EC Auto")+SUMIFS(Movimientos!$K$1:$K$1324,Movimientos!$C$1:$C$1324,"EC Auto",Movimientos!$B$1:$B$1324,"&lt;="&amp;$B108)</f>
        <v>901.34</v>
      </c>
      <c r="P108" s="24">
        <f>SUMIFS('Saldos Iniciales'!$D:$D,'Saldos Iniciales'!$A:$A,"Arbor Capital Properties")+SUMIFS(Movimientos!$K$1:$K$1324,Movimientos!$C$1:$C$1324,"Arbor Capital Properties",Movimientos!$B$1:$B$1324,"&lt;="&amp;$B108)</f>
        <v>1396.08</v>
      </c>
      <c r="Q108" s="24">
        <f>SUMIFS('Saldos Iniciales'!$D:$D,'Saldos Iniciales'!$A:$A,"2515 Overbrook")+SUMIFS(Movimientos!$K$1:$K$1324,Movimientos!$C$1:$C$1324,"2515 Overbrook",Movimientos!$B$1:$B$1324,"&lt;="&amp;$B108)</f>
        <v>13685.709999999959</v>
      </c>
      <c r="R108" s="24">
        <f>SUMIFS('Saldos Iniciales'!$D:$D,'Saldos Iniciales'!$A:$A,"112 Florida Ave")+SUMIFS(Movimientos!$K$1:$K$1324,Movimientos!$C$1:$C$1324,"112 Florida Ave",Movimientos!$B$1:$B$1324,"&lt;="&amp;$B108)</f>
        <v>8724.1700000000037</v>
      </c>
      <c r="S108" s="24">
        <f>SUMIFS('Saldos Iniciales'!$D:$D,'Saldos Iniciales'!$A:$A,"3628 Thomas Ave")+SUMIFS(Movimientos!$K$1:$K$1324,Movimientos!$C$1:$C$1324,"3628 Thomas Ave",Movimientos!$B$1:$B$1324,"&lt;="&amp;$B108)</f>
        <v>19336.039999999997</v>
      </c>
      <c r="T108" s="24">
        <f>SUMIFS('Saldos Iniciales'!$D:$D,'Saldos Iniciales'!$A:$A,"Green Harbor Trust")+SUMIFS(Movimientos!$K$1:$K$1324,Movimientos!$C$1:$C$1324,"Green Harbor Trust",Movimientos!$B$1:$B$1324,"&lt;="&amp;$B108)</f>
        <v>345</v>
      </c>
      <c r="U108" s="24">
        <f>SUMIFS('Saldos Iniciales'!$D:$D,'Saldos Iniciales'!$A:$A,"Go Blue")+SUMIFS(Movimientos!$K$1:$K$1324,Movimientos!$C$1:$C$1324,"Go Blue",Movimientos!$B$1:$B$1324,"&lt;="&amp;$B108)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Aparments",Movimientos!$B$1:$B$1324,"&lt;="&amp;$B108))</f>
        <v>0</v>
      </c>
      <c r="AD108" s="24">
        <f>IF(YEAR($B108)*100+MONTH($B108)&lt;--SUBSTITUTE(_xlfn.XLOOKUP("Don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Life",Movimientos!$B$1:$B$1324,"&lt;="&amp;$B108))</f>
        <v>0</v>
      </c>
      <c r="AE108" s="25">
        <f t="shared" si="4"/>
        <v>5064443.3100000005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Group")+SUMIFS(Movimientos!$K$1:$K$1324,Movimientos!$C$1:$C$1324,"CFT Group",Movimientos!$B$1:$B$1324,"&lt;="&amp;$B109)</f>
        <v>941223.58000000042</v>
      </c>
      <c r="D109" s="24">
        <f>SUMIFS('Saldos Iniciales'!$D:$D,'Saldos Iniciales'!$A:$A,"M1B")+SUMIFS(Movimientos!$K$1:$K$1324,Movimientos!$C$1:$C$1324,"M1B",Movimientos!$B$1:$B$1324,"&lt;="&amp;$B109)</f>
        <v>83211.250000000175</v>
      </c>
      <c r="E109" s="24">
        <f>SUMIFS('Saldos Iniciales'!$D:$D,'Saldos Iniciales'!$A:$A,"Durand")+SUMIFS(Movimientos!$K$1:$K$1324,Movimientos!$C$1:$C$1324,"Durand",Movimientos!$B$1:$B$1324,"&lt;="&amp;$B109)</f>
        <v>1669.89</v>
      </c>
      <c r="F109" s="24">
        <f>SUMIFS('Saldos Iniciales'!$D:$D,'Saldos Iniciales'!$A:$A,"A&amp;M Imports")+SUMIFS(Movimientos!$K$1:$K$1324,Movimientos!$C$1:$C$1324,"A&amp;M Imports",Movimientos!$B$1:$B$1324,"&lt;="&amp;$B109)</f>
        <v>1289451.94</v>
      </c>
      <c r="G109" s="24">
        <f>SUMIFS('Saldos Iniciales'!$D:$D,'Saldos Iniciales'!$A:$A,"SSP Capital")+SUMIFS(Movimientos!$K$1:$K$1324,Movimientos!$C$1:$C$1324,"SSP Capital",Movimientos!$B$1:$B$1324,"&lt;="&amp;$B109)</f>
        <v>1418808.6399999997</v>
      </c>
      <c r="H109" s="24">
        <f>SUMIFS('Saldos Iniciales'!$D:$D,'Saldos Iniciales'!$A:$A,"Cross Family Trust")+SUMIFS(Movimientos!$K$1:$K$1324,Movimientos!$C$1:$C$1324,"Cross Family Trust",Movimientos!$B$1:$B$1324,"&lt;="&amp;$B109)</f>
        <v>221496.38</v>
      </c>
      <c r="I109" s="24">
        <f>SUMIFS('Saldos Iniciales'!$D:$D,'Saldos Iniciales'!$A:$A,"Cross Security Trust")+SUMIFS(Movimientos!$K$1:$K$1324,Movimientos!$C$1:$C$1324,"Cross Security Trust",Movimientos!$B$1:$B$1324,"&lt;="&amp;$B109)</f>
        <v>277586.34000000003</v>
      </c>
      <c r="J109" s="24">
        <f>SUMIFS('Saldos Iniciales'!$D:$D,'Saldos Iniciales'!$A:$A,"Electrama")+SUMIFS(Movimientos!$K$1:$K$1324,Movimientos!$C$1:$C$1324,"Electrama",Movimientos!$B$1:$B$1324,"&lt;="&amp;$B109)</f>
        <v>13270.02</v>
      </c>
      <c r="K109" s="24">
        <f>SUMIFS('Saldos Iniciales'!$D:$D,'Saldos Iniciales'!$A:$A,"Sacred Valley Capital")+SUMIFS(Movimientos!$K$1:$K$1324,Movimientos!$C$1:$C$1324,"Sacred Valley Capital",Movimientos!$B$1:$B$1324,"&lt;="&amp;$B109)</f>
        <v>24.450000000000003</v>
      </c>
      <c r="L109" s="24">
        <f>SUMIFS('Saldos Iniciales'!$D:$D,'Saldos Iniciales'!$A:$A,"YWC Capital")+SUMIFS(Movimientos!$K$1:$K$1324,Movimientos!$C$1:$C$1324,"YWC Capital",Movimientos!$B$1:$B$1324,"&lt;="&amp;$B109)</f>
        <v>2177.87</v>
      </c>
      <c r="M109" s="24">
        <f>SUMIFS('Saldos Iniciales'!$D:$D,'Saldos Iniciales'!$A:$A,"Soweto")+SUMIFS(Movimientos!$K$1:$K$1324,Movimientos!$C$1:$C$1324,"Soweto",Movimientos!$B$1:$B$1324,"&lt;="&amp;$B109)</f>
        <v>754424.72</v>
      </c>
      <c r="N109" s="24">
        <f>SUMIFS('Saldos Iniciales'!$D:$D,'Saldos Iniciales'!$A:$A,"Green Stone Trust")+SUMIFS(Movimientos!$K$1:$K$1324,Movimientos!$C$1:$C$1324,"Green Stone Trust",Movimientos!$B$1:$B$1324,"&lt;="&amp;$B109)</f>
        <v>1968.99</v>
      </c>
      <c r="O109" s="24">
        <f>SUMIFS('Saldos Iniciales'!$D:$D,'Saldos Iniciales'!$A:$A,"EC Auto")+SUMIFS(Movimientos!$K$1:$K$1324,Movimientos!$C$1:$C$1324,"EC Auto",Movimientos!$B$1:$B$1324,"&lt;="&amp;$B109)</f>
        <v>901.34</v>
      </c>
      <c r="P109" s="24">
        <f>SUMIFS('Saldos Iniciales'!$D:$D,'Saldos Iniciales'!$A:$A,"Arbor Capital Properties")+SUMIFS(Movimientos!$K$1:$K$1324,Movimientos!$C$1:$C$1324,"Arbor Capital Properties",Movimientos!$B$1:$B$1324,"&lt;="&amp;$B109)</f>
        <v>1396.08</v>
      </c>
      <c r="Q109" s="24">
        <f>SUMIFS('Saldos Iniciales'!$D:$D,'Saldos Iniciales'!$A:$A,"2515 Overbrook")+SUMIFS(Movimientos!$K$1:$K$1324,Movimientos!$C$1:$C$1324,"2515 Overbrook",Movimientos!$B$1:$B$1324,"&lt;="&amp;$B109)</f>
        <v>13685.709999999959</v>
      </c>
      <c r="R109" s="24">
        <f>SUMIFS('Saldos Iniciales'!$D:$D,'Saldos Iniciales'!$A:$A,"112 Florida Ave")+SUMIFS(Movimientos!$K$1:$K$1324,Movimientos!$C$1:$C$1324,"112 Florida Ave",Movimientos!$B$1:$B$1324,"&lt;="&amp;$B109)</f>
        <v>8724.1700000000037</v>
      </c>
      <c r="S109" s="24">
        <f>SUMIFS('Saldos Iniciales'!$D:$D,'Saldos Iniciales'!$A:$A,"3628 Thomas Ave")+SUMIFS(Movimientos!$K$1:$K$1324,Movimientos!$C$1:$C$1324,"3628 Thomas Ave",Movimientos!$B$1:$B$1324,"&lt;="&amp;$B109)</f>
        <v>19336.039999999997</v>
      </c>
      <c r="T109" s="24">
        <f>SUMIFS('Saldos Iniciales'!$D:$D,'Saldos Iniciales'!$A:$A,"Green Harbor Trust")+SUMIFS(Movimientos!$K$1:$K$1324,Movimientos!$C$1:$C$1324,"Green Harbor Trust",Movimientos!$B$1:$B$1324,"&lt;="&amp;$B109)</f>
        <v>345</v>
      </c>
      <c r="U109" s="24">
        <f>SUMIFS('Saldos Iniciales'!$D:$D,'Saldos Iniciales'!$A:$A,"Go Blue")+SUMIFS(Movimientos!$K$1:$K$1324,Movimientos!$C$1:$C$1324,"Go Blue",Movimientos!$B$1:$B$1324,"&lt;="&amp;$B109)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Aparments",Movimientos!$B$1:$B$1324,"&lt;="&amp;$B109))</f>
        <v>0</v>
      </c>
      <c r="AD109" s="24">
        <f>IF(YEAR($B109)*100+MONTH($B109)&lt;--SUBSTITUTE(_xlfn.XLOOKUP("Don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Life",Movimientos!$B$1:$B$1324,"&lt;="&amp;$B109))</f>
        <v>0</v>
      </c>
      <c r="AE109" s="25">
        <f t="shared" si="4"/>
        <v>5064443.3100000005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Group")+SUMIFS(Movimientos!$K$1:$K$1324,Movimientos!$C$1:$C$1324,"CFT Group",Movimientos!$B$1:$B$1324,"&lt;="&amp;$B110)</f>
        <v>941223.58000000042</v>
      </c>
      <c r="D110" s="24">
        <f>SUMIFS('Saldos Iniciales'!$D:$D,'Saldos Iniciales'!$A:$A,"M1B")+SUMIFS(Movimientos!$K$1:$K$1324,Movimientos!$C$1:$C$1324,"M1B",Movimientos!$B$1:$B$1324,"&lt;="&amp;$B110)</f>
        <v>83211.250000000175</v>
      </c>
      <c r="E110" s="24">
        <f>SUMIFS('Saldos Iniciales'!$D:$D,'Saldos Iniciales'!$A:$A,"Durand")+SUMIFS(Movimientos!$K$1:$K$1324,Movimientos!$C$1:$C$1324,"Durand",Movimientos!$B$1:$B$1324,"&lt;="&amp;$B110)</f>
        <v>1669.89</v>
      </c>
      <c r="F110" s="24">
        <f>SUMIFS('Saldos Iniciales'!$D:$D,'Saldos Iniciales'!$A:$A,"A&amp;M Imports")+SUMIFS(Movimientos!$K$1:$K$1324,Movimientos!$C$1:$C$1324,"A&amp;M Imports",Movimientos!$B$1:$B$1324,"&lt;="&amp;$B110)</f>
        <v>1289031.3399999999</v>
      </c>
      <c r="G110" s="24">
        <f>SUMIFS('Saldos Iniciales'!$D:$D,'Saldos Iniciales'!$A:$A,"SSP Capital")+SUMIFS(Movimientos!$K$1:$K$1324,Movimientos!$C$1:$C$1324,"SSP Capital",Movimientos!$B$1:$B$1324,"&lt;="&amp;$B110)</f>
        <v>1383977.5499999996</v>
      </c>
      <c r="H110" s="24">
        <f>SUMIFS('Saldos Iniciales'!$D:$D,'Saldos Iniciales'!$A:$A,"Cross Family Trust")+SUMIFS(Movimientos!$K$1:$K$1324,Movimientos!$C$1:$C$1324,"Cross Family Trust",Movimientos!$B$1:$B$1324,"&lt;="&amp;$B110)</f>
        <v>221496.38</v>
      </c>
      <c r="I110" s="24">
        <f>SUMIFS('Saldos Iniciales'!$D:$D,'Saldos Iniciales'!$A:$A,"Cross Security Trust")+SUMIFS(Movimientos!$K$1:$K$1324,Movimientos!$C$1:$C$1324,"Cross Security Trust",Movimientos!$B$1:$B$1324,"&lt;="&amp;$B110)</f>
        <v>277586.34000000003</v>
      </c>
      <c r="J110" s="24">
        <f>SUMIFS('Saldos Iniciales'!$D:$D,'Saldos Iniciales'!$A:$A,"Electrama")+SUMIFS(Movimientos!$K$1:$K$1324,Movimientos!$C$1:$C$1324,"Electrama",Movimientos!$B$1:$B$1324,"&lt;="&amp;$B110)</f>
        <v>13270.02</v>
      </c>
      <c r="K110" s="24">
        <f>SUMIFS('Saldos Iniciales'!$D:$D,'Saldos Iniciales'!$A:$A,"Sacred Valley Capital")+SUMIFS(Movimientos!$K$1:$K$1324,Movimientos!$C$1:$C$1324,"Sacred Valley Capital",Movimientos!$B$1:$B$1324,"&lt;="&amp;$B110)</f>
        <v>24.450000000000003</v>
      </c>
      <c r="L110" s="24">
        <f>SUMIFS('Saldos Iniciales'!$D:$D,'Saldos Iniciales'!$A:$A,"YWC Capital")+SUMIFS(Movimientos!$K$1:$K$1324,Movimientos!$C$1:$C$1324,"YWC Capital",Movimientos!$B$1:$B$1324,"&lt;="&amp;$B110)</f>
        <v>2177.87</v>
      </c>
      <c r="M110" s="24">
        <f>SUMIFS('Saldos Iniciales'!$D:$D,'Saldos Iniciales'!$A:$A,"Soweto")+SUMIFS(Movimientos!$K$1:$K$1324,Movimientos!$C$1:$C$1324,"Soweto",Movimientos!$B$1:$B$1324,"&lt;="&amp;$B110)</f>
        <v>754424.72</v>
      </c>
      <c r="N110" s="24">
        <f>SUMIFS('Saldos Iniciales'!$D:$D,'Saldos Iniciales'!$A:$A,"Green Stone Trust")+SUMIFS(Movimientos!$K$1:$K$1324,Movimientos!$C$1:$C$1324,"Green Stone Trust",Movimientos!$B$1:$B$1324,"&lt;="&amp;$B110)</f>
        <v>1968.99</v>
      </c>
      <c r="O110" s="24">
        <f>SUMIFS('Saldos Iniciales'!$D:$D,'Saldos Iniciales'!$A:$A,"EC Auto")+SUMIFS(Movimientos!$K$1:$K$1324,Movimientos!$C$1:$C$1324,"EC Auto",Movimientos!$B$1:$B$1324,"&lt;="&amp;$B110)</f>
        <v>901.34</v>
      </c>
      <c r="P110" s="24">
        <f>SUMIFS('Saldos Iniciales'!$D:$D,'Saldos Iniciales'!$A:$A,"Arbor Capital Properties")+SUMIFS(Movimientos!$K$1:$K$1324,Movimientos!$C$1:$C$1324,"Arbor Capital Properties",Movimientos!$B$1:$B$1324,"&lt;="&amp;$B110)</f>
        <v>1396.08</v>
      </c>
      <c r="Q110" s="24">
        <f>SUMIFS('Saldos Iniciales'!$D:$D,'Saldos Iniciales'!$A:$A,"2515 Overbrook")+SUMIFS(Movimientos!$K$1:$K$1324,Movimientos!$C$1:$C$1324,"2515 Overbrook",Movimientos!$B$1:$B$1324,"&lt;="&amp;$B110)</f>
        <v>13685.709999999959</v>
      </c>
      <c r="R110" s="24">
        <f>SUMIFS('Saldos Iniciales'!$D:$D,'Saldos Iniciales'!$A:$A,"112 Florida Ave")+SUMIFS(Movimientos!$K$1:$K$1324,Movimientos!$C$1:$C$1324,"112 Florida Ave",Movimientos!$B$1:$B$1324,"&lt;="&amp;$B110)</f>
        <v>8724.1700000000037</v>
      </c>
      <c r="S110" s="24">
        <f>SUMIFS('Saldos Iniciales'!$D:$D,'Saldos Iniciales'!$A:$A,"3628 Thomas Ave")+SUMIFS(Movimientos!$K$1:$K$1324,Movimientos!$C$1:$C$1324,"3628 Thomas Ave",Movimientos!$B$1:$B$1324,"&lt;="&amp;$B110)</f>
        <v>19336.039999999997</v>
      </c>
      <c r="T110" s="24">
        <f>SUMIFS('Saldos Iniciales'!$D:$D,'Saldos Iniciales'!$A:$A,"Green Harbor Trust")+SUMIFS(Movimientos!$K$1:$K$1324,Movimientos!$C$1:$C$1324,"Green Harbor Trust",Movimientos!$B$1:$B$1324,"&lt;="&amp;$B110)</f>
        <v>345</v>
      </c>
      <c r="U110" s="24">
        <f>SUMIFS('Saldos Iniciales'!$D:$D,'Saldos Iniciales'!$A:$A,"Go Blue")+SUMIFS(Movimientos!$K$1:$K$1324,Movimientos!$C$1:$C$1324,"Go Blue",Movimientos!$B$1:$B$1324,"&lt;="&amp;$B110)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Aparments",Movimientos!$B$1:$B$1324,"&lt;="&amp;$B110))</f>
        <v>0</v>
      </c>
      <c r="AD110" s="24">
        <f>IF(YEAR($B110)*100+MONTH($B110)&lt;--SUBSTITUTE(_xlfn.XLOOKUP("Don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Life",Movimientos!$B$1:$B$1324,"&lt;="&amp;$B110))</f>
        <v>0</v>
      </c>
      <c r="AE110" s="25">
        <f t="shared" si="4"/>
        <v>5029016.62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Group")+SUMIFS(Movimientos!$K$1:$K$1324,Movimientos!$C$1:$C$1324,"CFT Group",Movimientos!$B$1:$B$1324,"&lt;="&amp;$B111)</f>
        <v>1047085.3600000005</v>
      </c>
      <c r="D111" s="24">
        <f>SUMIFS('Saldos Iniciales'!$D:$D,'Saldos Iniciales'!$A:$A,"M1B")+SUMIFS(Movimientos!$K$1:$K$1324,Movimientos!$C$1:$C$1324,"M1B",Movimientos!$B$1:$B$1324,"&lt;="&amp;$B111)</f>
        <v>83211.250000000175</v>
      </c>
      <c r="E111" s="24">
        <f>SUMIFS('Saldos Iniciales'!$D:$D,'Saldos Iniciales'!$A:$A,"Durand")+SUMIFS(Movimientos!$K$1:$K$1324,Movimientos!$C$1:$C$1324,"Durand",Movimientos!$B$1:$B$1324,"&lt;="&amp;$B111)</f>
        <v>1669.89</v>
      </c>
      <c r="F111" s="24">
        <f>SUMIFS('Saldos Iniciales'!$D:$D,'Saldos Iniciales'!$A:$A,"A&amp;M Imports")+SUMIFS(Movimientos!$K$1:$K$1324,Movimientos!$C$1:$C$1324,"A&amp;M Imports",Movimientos!$B$1:$B$1324,"&lt;="&amp;$B111)</f>
        <v>1289031.3399999999</v>
      </c>
      <c r="G111" s="24">
        <f>SUMIFS('Saldos Iniciales'!$D:$D,'Saldos Iniciales'!$A:$A,"SSP Capital")+SUMIFS(Movimientos!$K$1:$K$1324,Movimientos!$C$1:$C$1324,"SSP Capital",Movimientos!$B$1:$B$1324,"&lt;="&amp;$B111)</f>
        <v>1381487.1899999995</v>
      </c>
      <c r="H111" s="24">
        <f>SUMIFS('Saldos Iniciales'!$D:$D,'Saldos Iniciales'!$A:$A,"Cross Family Trust")+SUMIFS(Movimientos!$K$1:$K$1324,Movimientos!$C$1:$C$1324,"Cross Family Trust",Movimientos!$B$1:$B$1324,"&lt;="&amp;$B111)</f>
        <v>221496.38</v>
      </c>
      <c r="I111" s="24">
        <f>SUMIFS('Saldos Iniciales'!$D:$D,'Saldos Iniciales'!$A:$A,"Cross Security Trust")+SUMIFS(Movimientos!$K$1:$K$1324,Movimientos!$C$1:$C$1324,"Cross Security Trust",Movimientos!$B$1:$B$1324,"&lt;="&amp;$B111)</f>
        <v>277586.34000000003</v>
      </c>
      <c r="J111" s="24">
        <f>SUMIFS('Saldos Iniciales'!$D:$D,'Saldos Iniciales'!$A:$A,"Electrama")+SUMIFS(Movimientos!$K$1:$K$1324,Movimientos!$C$1:$C$1324,"Electrama",Movimientos!$B$1:$B$1324,"&lt;="&amp;$B111)</f>
        <v>13270.02</v>
      </c>
      <c r="K111" s="24">
        <f>SUMIFS('Saldos Iniciales'!$D:$D,'Saldos Iniciales'!$A:$A,"Sacred Valley Capital")+SUMIFS(Movimientos!$K$1:$K$1324,Movimientos!$C$1:$C$1324,"Sacred Valley Capital",Movimientos!$B$1:$B$1324,"&lt;="&amp;$B111)</f>
        <v>24.450000000000003</v>
      </c>
      <c r="L111" s="24">
        <f>SUMIFS('Saldos Iniciales'!$D:$D,'Saldos Iniciales'!$A:$A,"YWC Capital")+SUMIFS(Movimientos!$K$1:$K$1324,Movimientos!$C$1:$C$1324,"YWC Capital",Movimientos!$B$1:$B$1324,"&lt;="&amp;$B111)</f>
        <v>2177.87</v>
      </c>
      <c r="M111" s="24">
        <f>SUMIFS('Saldos Iniciales'!$D:$D,'Saldos Iniciales'!$A:$A,"Soweto")+SUMIFS(Movimientos!$K$1:$K$1324,Movimientos!$C$1:$C$1324,"Soweto",Movimientos!$B$1:$B$1324,"&lt;="&amp;$B111)</f>
        <v>754424.72</v>
      </c>
      <c r="N111" s="24">
        <f>SUMIFS('Saldos Iniciales'!$D:$D,'Saldos Iniciales'!$A:$A,"Green Stone Trust")+SUMIFS(Movimientos!$K$1:$K$1324,Movimientos!$C$1:$C$1324,"Green Stone Trust",Movimientos!$B$1:$B$1324,"&lt;="&amp;$B111)</f>
        <v>1968.99</v>
      </c>
      <c r="O111" s="24">
        <f>SUMIFS('Saldos Iniciales'!$D:$D,'Saldos Iniciales'!$A:$A,"EC Auto")+SUMIFS(Movimientos!$K$1:$K$1324,Movimientos!$C$1:$C$1324,"EC Auto",Movimientos!$B$1:$B$1324,"&lt;="&amp;$B111)</f>
        <v>901.34</v>
      </c>
      <c r="P111" s="24">
        <f>SUMIFS('Saldos Iniciales'!$D:$D,'Saldos Iniciales'!$A:$A,"Arbor Capital Properties")+SUMIFS(Movimientos!$K$1:$K$1324,Movimientos!$C$1:$C$1324,"Arbor Capital Properties",Movimientos!$B$1:$B$1324,"&lt;="&amp;$B111)</f>
        <v>1396.08</v>
      </c>
      <c r="Q111" s="24">
        <f>SUMIFS('Saldos Iniciales'!$D:$D,'Saldos Iniciales'!$A:$A,"2515 Overbrook")+SUMIFS(Movimientos!$K$1:$K$1324,Movimientos!$C$1:$C$1324,"2515 Overbrook",Movimientos!$B$1:$B$1324,"&lt;="&amp;$B111)</f>
        <v>13685.709999999959</v>
      </c>
      <c r="R111" s="24">
        <f>SUMIFS('Saldos Iniciales'!$D:$D,'Saldos Iniciales'!$A:$A,"112 Florida Ave")+SUMIFS(Movimientos!$K$1:$K$1324,Movimientos!$C$1:$C$1324,"112 Florida Ave",Movimientos!$B$1:$B$1324,"&lt;="&amp;$B111)</f>
        <v>8724.1700000000037</v>
      </c>
      <c r="S111" s="24">
        <f>SUMIFS('Saldos Iniciales'!$D:$D,'Saldos Iniciales'!$A:$A,"3628 Thomas Ave")+SUMIFS(Movimientos!$K$1:$K$1324,Movimientos!$C$1:$C$1324,"3628 Thomas Ave",Movimientos!$B$1:$B$1324,"&lt;="&amp;$B111)</f>
        <v>19336.039999999997</v>
      </c>
      <c r="T111" s="24">
        <f>SUMIFS('Saldos Iniciales'!$D:$D,'Saldos Iniciales'!$A:$A,"Green Harbor Trust")+SUMIFS(Movimientos!$K$1:$K$1324,Movimientos!$C$1:$C$1324,"Green Harbor Trust",Movimientos!$B$1:$B$1324,"&lt;="&amp;$B111)</f>
        <v>345</v>
      </c>
      <c r="U111" s="24">
        <f>SUMIFS('Saldos Iniciales'!$D:$D,'Saldos Iniciales'!$A:$A,"Go Blue")+SUMIFS(Movimientos!$K$1:$K$1324,Movimientos!$C$1:$C$1324,"Go Blue",Movimientos!$B$1:$B$1324,"&lt;="&amp;$B111)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Aparments",Movimientos!$B$1:$B$1324,"&lt;="&amp;$B111))</f>
        <v>0</v>
      </c>
      <c r="AD111" s="24">
        <f>IF(YEAR($B111)*100+MONTH($B111)&lt;--SUBSTITUTE(_xlfn.XLOOKUP("Don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Life",Movimientos!$B$1:$B$1324,"&lt;="&amp;$B111))</f>
        <v>0</v>
      </c>
      <c r="AE111" s="25">
        <f t="shared" si="4"/>
        <v>5132388.04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Group")+SUMIFS(Movimientos!$K$1:$K$1324,Movimientos!$C$1:$C$1324,"CFT Group",Movimientos!$B$1:$B$1324,"&lt;="&amp;$B112)</f>
        <v>1047085.3600000005</v>
      </c>
      <c r="D112" s="24">
        <f>SUMIFS('Saldos Iniciales'!$D:$D,'Saldos Iniciales'!$A:$A,"M1B")+SUMIFS(Movimientos!$K$1:$K$1324,Movimientos!$C$1:$C$1324,"M1B",Movimientos!$B$1:$B$1324,"&lt;="&amp;$B112)</f>
        <v>83211.250000000175</v>
      </c>
      <c r="E112" s="24">
        <f>SUMIFS('Saldos Iniciales'!$D:$D,'Saldos Iniciales'!$A:$A,"Durand")+SUMIFS(Movimientos!$K$1:$K$1324,Movimientos!$C$1:$C$1324,"Durand",Movimientos!$B$1:$B$1324,"&lt;="&amp;$B112)</f>
        <v>1669.89</v>
      </c>
      <c r="F112" s="24">
        <f>SUMIFS('Saldos Iniciales'!$D:$D,'Saldos Iniciales'!$A:$A,"A&amp;M Imports")+SUMIFS(Movimientos!$K$1:$K$1324,Movimientos!$C$1:$C$1324,"A&amp;M Imports",Movimientos!$B$1:$B$1324,"&lt;="&amp;$B112)</f>
        <v>1289031.3399999999</v>
      </c>
      <c r="G112" s="24">
        <f>SUMIFS('Saldos Iniciales'!$D:$D,'Saldos Iniciales'!$A:$A,"SSP Capital")+SUMIFS(Movimientos!$K$1:$K$1324,Movimientos!$C$1:$C$1324,"SSP Capital",Movimientos!$B$1:$B$1324,"&lt;="&amp;$B112)</f>
        <v>1880583.4899999998</v>
      </c>
      <c r="H112" s="24">
        <f>SUMIFS('Saldos Iniciales'!$D:$D,'Saldos Iniciales'!$A:$A,"Cross Family Trust")+SUMIFS(Movimientos!$K$1:$K$1324,Movimientos!$C$1:$C$1324,"Cross Family Trust",Movimientos!$B$1:$B$1324,"&lt;="&amp;$B112)</f>
        <v>221496.38</v>
      </c>
      <c r="I112" s="24">
        <f>SUMIFS('Saldos Iniciales'!$D:$D,'Saldos Iniciales'!$A:$A,"Cross Security Trust")+SUMIFS(Movimientos!$K$1:$K$1324,Movimientos!$C$1:$C$1324,"Cross Security Trust",Movimientos!$B$1:$B$1324,"&lt;="&amp;$B112)</f>
        <v>277586.34000000003</v>
      </c>
      <c r="J112" s="24">
        <f>SUMIFS('Saldos Iniciales'!$D:$D,'Saldos Iniciales'!$A:$A,"Electrama")+SUMIFS(Movimientos!$K$1:$K$1324,Movimientos!$C$1:$C$1324,"Electrama",Movimientos!$B$1:$B$1324,"&lt;="&amp;$B112)</f>
        <v>13270.02</v>
      </c>
      <c r="K112" s="24">
        <f>SUMIFS('Saldos Iniciales'!$D:$D,'Saldos Iniciales'!$A:$A,"Sacred Valley Capital")+SUMIFS(Movimientos!$K$1:$K$1324,Movimientos!$C$1:$C$1324,"Sacred Valley Capital",Movimientos!$B$1:$B$1324,"&lt;="&amp;$B112)</f>
        <v>24.450000000000003</v>
      </c>
      <c r="L112" s="24">
        <f>SUMIFS('Saldos Iniciales'!$D:$D,'Saldos Iniciales'!$A:$A,"YWC Capital")+SUMIFS(Movimientos!$K$1:$K$1324,Movimientos!$C$1:$C$1324,"YWC Capital",Movimientos!$B$1:$B$1324,"&lt;="&amp;$B112)</f>
        <v>2177.87</v>
      </c>
      <c r="M112" s="24">
        <f>SUMIFS('Saldos Iniciales'!$D:$D,'Saldos Iniciales'!$A:$A,"Soweto")+SUMIFS(Movimientos!$K$1:$K$1324,Movimientos!$C$1:$C$1324,"Soweto",Movimientos!$B$1:$B$1324,"&lt;="&amp;$B112)</f>
        <v>754424.72</v>
      </c>
      <c r="N112" s="24">
        <f>SUMIFS('Saldos Iniciales'!$D:$D,'Saldos Iniciales'!$A:$A,"Green Stone Trust")+SUMIFS(Movimientos!$K$1:$K$1324,Movimientos!$C$1:$C$1324,"Green Stone Trust",Movimientos!$B$1:$B$1324,"&lt;="&amp;$B112)</f>
        <v>1968.99</v>
      </c>
      <c r="O112" s="24">
        <f>SUMIFS('Saldos Iniciales'!$D:$D,'Saldos Iniciales'!$A:$A,"EC Auto")+SUMIFS(Movimientos!$K$1:$K$1324,Movimientos!$C$1:$C$1324,"EC Auto",Movimientos!$B$1:$B$1324,"&lt;="&amp;$B112)</f>
        <v>901.34</v>
      </c>
      <c r="P112" s="24">
        <f>SUMIFS('Saldos Iniciales'!$D:$D,'Saldos Iniciales'!$A:$A,"Arbor Capital Properties")+SUMIFS(Movimientos!$K$1:$K$1324,Movimientos!$C$1:$C$1324,"Arbor Capital Properties",Movimientos!$B$1:$B$1324,"&lt;="&amp;$B112)</f>
        <v>1396.08</v>
      </c>
      <c r="Q112" s="24">
        <f>SUMIFS('Saldos Iniciales'!$D:$D,'Saldos Iniciales'!$A:$A,"2515 Overbrook")+SUMIFS(Movimientos!$K$1:$K$1324,Movimientos!$C$1:$C$1324,"2515 Overbrook",Movimientos!$B$1:$B$1324,"&lt;="&amp;$B112)</f>
        <v>13685.709999999959</v>
      </c>
      <c r="R112" s="24">
        <f>SUMIFS('Saldos Iniciales'!$D:$D,'Saldos Iniciales'!$A:$A,"112 Florida Ave")+SUMIFS(Movimientos!$K$1:$K$1324,Movimientos!$C$1:$C$1324,"112 Florida Ave",Movimientos!$B$1:$B$1324,"&lt;="&amp;$B112)</f>
        <v>8724.1700000000037</v>
      </c>
      <c r="S112" s="24">
        <f>SUMIFS('Saldos Iniciales'!$D:$D,'Saldos Iniciales'!$A:$A,"3628 Thomas Ave")+SUMIFS(Movimientos!$K$1:$K$1324,Movimientos!$C$1:$C$1324,"3628 Thomas Ave",Movimientos!$B$1:$B$1324,"&lt;="&amp;$B112)</f>
        <v>19336.039999999997</v>
      </c>
      <c r="T112" s="24">
        <f>SUMIFS('Saldos Iniciales'!$D:$D,'Saldos Iniciales'!$A:$A,"Green Harbor Trust")+SUMIFS(Movimientos!$K$1:$K$1324,Movimientos!$C$1:$C$1324,"Green Harbor Trust",Movimientos!$B$1:$B$1324,"&lt;="&amp;$B112)</f>
        <v>345</v>
      </c>
      <c r="U112" s="24">
        <f>SUMIFS('Saldos Iniciales'!$D:$D,'Saldos Iniciales'!$A:$A,"Go Blue")+SUMIFS(Movimientos!$K$1:$K$1324,Movimientos!$C$1:$C$1324,"Go Blue",Movimientos!$B$1:$B$1324,"&lt;="&amp;$B112)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Aparments",Movimientos!$B$1:$B$1324,"&lt;="&amp;$B112))</f>
        <v>0</v>
      </c>
      <c r="AD112" s="24">
        <f>IF(YEAR($B112)*100+MONTH($B112)&lt;--SUBSTITUTE(_xlfn.XLOOKUP("Don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Life",Movimientos!$B$1:$B$1324,"&lt;="&amp;$B112))</f>
        <v>0</v>
      </c>
      <c r="AE112" s="25">
        <f t="shared" si="4"/>
        <v>5631484.3399999999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Group")+SUMIFS(Movimientos!$K$1:$K$1324,Movimientos!$C$1:$C$1324,"CFT Group",Movimientos!$B$1:$B$1324,"&lt;="&amp;$B113)</f>
        <v>702210.36000000045</v>
      </c>
      <c r="D113" s="24">
        <f>SUMIFS('Saldos Iniciales'!$D:$D,'Saldos Iniciales'!$A:$A,"M1B")+SUMIFS(Movimientos!$K$1:$K$1324,Movimientos!$C$1:$C$1324,"M1B",Movimientos!$B$1:$B$1324,"&lt;="&amp;$B113)</f>
        <v>83211.250000000175</v>
      </c>
      <c r="E113" s="24">
        <f>SUMIFS('Saldos Iniciales'!$D:$D,'Saldos Iniciales'!$A:$A,"Durand")+SUMIFS(Movimientos!$K$1:$K$1324,Movimientos!$C$1:$C$1324,"Durand",Movimientos!$B$1:$B$1324,"&lt;="&amp;$B113)</f>
        <v>1669.89</v>
      </c>
      <c r="F113" s="24">
        <f>SUMIFS('Saldos Iniciales'!$D:$D,'Saldos Iniciales'!$A:$A,"A&amp;M Imports")+SUMIFS(Movimientos!$K$1:$K$1324,Movimientos!$C$1:$C$1324,"A&amp;M Imports",Movimientos!$B$1:$B$1324,"&lt;="&amp;$B113)</f>
        <v>1229031.3399999999</v>
      </c>
      <c r="G113" s="24">
        <f>SUMIFS('Saldos Iniciales'!$D:$D,'Saldos Iniciales'!$A:$A,"SSP Capital")+SUMIFS(Movimientos!$K$1:$K$1324,Movimientos!$C$1:$C$1324,"SSP Capital",Movimientos!$B$1:$B$1324,"&lt;="&amp;$B113)</f>
        <v>1744052.5799999996</v>
      </c>
      <c r="H113" s="24">
        <f>SUMIFS('Saldos Iniciales'!$D:$D,'Saldos Iniciales'!$A:$A,"Cross Family Trust")+SUMIFS(Movimientos!$K$1:$K$1324,Movimientos!$C$1:$C$1324,"Cross Family Trust",Movimientos!$B$1:$B$1324,"&lt;="&amp;$B113)</f>
        <v>221496.38</v>
      </c>
      <c r="I113" s="24">
        <f>SUMIFS('Saldos Iniciales'!$D:$D,'Saldos Iniciales'!$A:$A,"Cross Security Trust")+SUMIFS(Movimientos!$K$1:$K$1324,Movimientos!$C$1:$C$1324,"Cross Security Trust",Movimientos!$B$1:$B$1324,"&lt;="&amp;$B113)</f>
        <v>277586.34000000003</v>
      </c>
      <c r="J113" s="24">
        <f>SUMIFS('Saldos Iniciales'!$D:$D,'Saldos Iniciales'!$A:$A,"Electrama")+SUMIFS(Movimientos!$K$1:$K$1324,Movimientos!$C$1:$C$1324,"Electrama",Movimientos!$B$1:$B$1324,"&lt;="&amp;$B113)</f>
        <v>13270.02</v>
      </c>
      <c r="K113" s="24">
        <f>SUMIFS('Saldos Iniciales'!$D:$D,'Saldos Iniciales'!$A:$A,"Sacred Valley Capital")+SUMIFS(Movimientos!$K$1:$K$1324,Movimientos!$C$1:$C$1324,"Sacred Valley Capital",Movimientos!$B$1:$B$1324,"&lt;="&amp;$B113)</f>
        <v>24.450000000000003</v>
      </c>
      <c r="L113" s="24">
        <f>SUMIFS('Saldos Iniciales'!$D:$D,'Saldos Iniciales'!$A:$A,"YWC Capital")+SUMIFS(Movimientos!$K$1:$K$1324,Movimientos!$C$1:$C$1324,"YWC Capital",Movimientos!$B$1:$B$1324,"&lt;="&amp;$B113)</f>
        <v>2177.87</v>
      </c>
      <c r="M113" s="24">
        <f>SUMIFS('Saldos Iniciales'!$D:$D,'Saldos Iniciales'!$A:$A,"Soweto")+SUMIFS(Movimientos!$K$1:$K$1324,Movimientos!$C$1:$C$1324,"Soweto",Movimientos!$B$1:$B$1324,"&lt;="&amp;$B113)</f>
        <v>754424.72</v>
      </c>
      <c r="N113" s="24">
        <f>SUMIFS('Saldos Iniciales'!$D:$D,'Saldos Iniciales'!$A:$A,"Green Stone Trust")+SUMIFS(Movimientos!$K$1:$K$1324,Movimientos!$C$1:$C$1324,"Green Stone Trust",Movimientos!$B$1:$B$1324,"&lt;="&amp;$B113)</f>
        <v>1968.99</v>
      </c>
      <c r="O113" s="24">
        <f>SUMIFS('Saldos Iniciales'!$D:$D,'Saldos Iniciales'!$A:$A,"EC Auto")+SUMIFS(Movimientos!$K$1:$K$1324,Movimientos!$C$1:$C$1324,"EC Auto",Movimientos!$B$1:$B$1324,"&lt;="&amp;$B113)</f>
        <v>901.34</v>
      </c>
      <c r="P113" s="24">
        <f>SUMIFS('Saldos Iniciales'!$D:$D,'Saldos Iniciales'!$A:$A,"Arbor Capital Properties")+SUMIFS(Movimientos!$K$1:$K$1324,Movimientos!$C$1:$C$1324,"Arbor Capital Properties",Movimientos!$B$1:$B$1324,"&lt;="&amp;$B113)</f>
        <v>1396.08</v>
      </c>
      <c r="Q113" s="24">
        <f>SUMIFS('Saldos Iniciales'!$D:$D,'Saldos Iniciales'!$A:$A,"2515 Overbrook")+SUMIFS(Movimientos!$K$1:$K$1324,Movimientos!$C$1:$C$1324,"2515 Overbrook",Movimientos!$B$1:$B$1324,"&lt;="&amp;$B113)</f>
        <v>13685.709999999959</v>
      </c>
      <c r="R113" s="24">
        <f>SUMIFS('Saldos Iniciales'!$D:$D,'Saldos Iniciales'!$A:$A,"112 Florida Ave")+SUMIFS(Movimientos!$K$1:$K$1324,Movimientos!$C$1:$C$1324,"112 Florida Ave",Movimientos!$B$1:$B$1324,"&lt;="&amp;$B113)</f>
        <v>8724.1700000000037</v>
      </c>
      <c r="S113" s="24">
        <f>SUMIFS('Saldos Iniciales'!$D:$D,'Saldos Iniciales'!$A:$A,"3628 Thomas Ave")+SUMIFS(Movimientos!$K$1:$K$1324,Movimientos!$C$1:$C$1324,"3628 Thomas Ave",Movimientos!$B$1:$B$1324,"&lt;="&amp;$B113)</f>
        <v>19336.039999999997</v>
      </c>
      <c r="T113" s="24">
        <f>SUMIFS('Saldos Iniciales'!$D:$D,'Saldos Iniciales'!$A:$A,"Green Harbor Trust")+SUMIFS(Movimientos!$K$1:$K$1324,Movimientos!$C$1:$C$1324,"Green Harbor Trust",Movimientos!$B$1:$B$1324,"&lt;="&amp;$B113)</f>
        <v>345</v>
      </c>
      <c r="U113" s="24">
        <f>SUMIFS('Saldos Iniciales'!$D:$D,'Saldos Iniciales'!$A:$A,"Go Blue")+SUMIFS(Movimientos!$K$1:$K$1324,Movimientos!$C$1:$C$1324,"Go Blue",Movimientos!$B$1:$B$1324,"&lt;="&amp;$B113)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Aparments",Movimientos!$B$1:$B$1324,"&lt;="&amp;$B113))</f>
        <v>0</v>
      </c>
      <c r="AD113" s="24">
        <f>IF(YEAR($B113)*100+MONTH($B113)&lt;--SUBSTITUTE(_xlfn.XLOOKUP("Don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Life",Movimientos!$B$1:$B$1324,"&lt;="&amp;$B113))</f>
        <v>0</v>
      </c>
      <c r="AE113" s="25">
        <f t="shared" si="4"/>
        <v>5088254.3099999996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Group")+SUMIFS(Movimientos!$K$1:$K$1324,Movimientos!$C$1:$C$1324,"CFT Group",Movimientos!$B$1:$B$1324,"&lt;="&amp;$B114)</f>
        <v>702210.36000000045</v>
      </c>
      <c r="D114" s="24">
        <f>SUMIFS('Saldos Iniciales'!$D:$D,'Saldos Iniciales'!$A:$A,"M1B")+SUMIFS(Movimientos!$K$1:$K$1324,Movimientos!$C$1:$C$1324,"M1B",Movimientos!$B$1:$B$1324,"&lt;="&amp;$B114)</f>
        <v>83211.250000000175</v>
      </c>
      <c r="E114" s="24">
        <f>SUMIFS('Saldos Iniciales'!$D:$D,'Saldos Iniciales'!$A:$A,"Durand")+SUMIFS(Movimientos!$K$1:$K$1324,Movimientos!$C$1:$C$1324,"Durand",Movimientos!$B$1:$B$1324,"&lt;="&amp;$B114)</f>
        <v>1669.89</v>
      </c>
      <c r="F114" s="24">
        <f>SUMIFS('Saldos Iniciales'!$D:$D,'Saldos Iniciales'!$A:$A,"A&amp;M Imports")+SUMIFS(Movimientos!$K$1:$K$1324,Movimientos!$C$1:$C$1324,"A&amp;M Imports",Movimientos!$B$1:$B$1324,"&lt;="&amp;$B114)</f>
        <v>1229031.3399999999</v>
      </c>
      <c r="G114" s="24">
        <f>SUMIFS('Saldos Iniciales'!$D:$D,'Saldos Iniciales'!$A:$A,"SSP Capital")+SUMIFS(Movimientos!$K$1:$K$1324,Movimientos!$C$1:$C$1324,"SSP Capital",Movimientos!$B$1:$B$1324,"&lt;="&amp;$B114)</f>
        <v>1744052.5799999996</v>
      </c>
      <c r="H114" s="24">
        <f>SUMIFS('Saldos Iniciales'!$D:$D,'Saldos Iniciales'!$A:$A,"Cross Family Trust")+SUMIFS(Movimientos!$K$1:$K$1324,Movimientos!$C$1:$C$1324,"Cross Family Trust",Movimientos!$B$1:$B$1324,"&lt;="&amp;$B114)</f>
        <v>221496.38</v>
      </c>
      <c r="I114" s="24">
        <f>SUMIFS('Saldos Iniciales'!$D:$D,'Saldos Iniciales'!$A:$A,"Cross Security Trust")+SUMIFS(Movimientos!$K$1:$K$1324,Movimientos!$C$1:$C$1324,"Cross Security Trust",Movimientos!$B$1:$B$1324,"&lt;="&amp;$B114)</f>
        <v>277586.34000000003</v>
      </c>
      <c r="J114" s="24">
        <f>SUMIFS('Saldos Iniciales'!$D:$D,'Saldos Iniciales'!$A:$A,"Electrama")+SUMIFS(Movimientos!$K$1:$K$1324,Movimientos!$C$1:$C$1324,"Electrama",Movimientos!$B$1:$B$1324,"&lt;="&amp;$B114)</f>
        <v>13270.02</v>
      </c>
      <c r="K114" s="24">
        <f>SUMIFS('Saldos Iniciales'!$D:$D,'Saldos Iniciales'!$A:$A,"Sacred Valley Capital")+SUMIFS(Movimientos!$K$1:$K$1324,Movimientos!$C$1:$C$1324,"Sacred Valley Capital",Movimientos!$B$1:$B$1324,"&lt;="&amp;$B114)</f>
        <v>24.450000000000003</v>
      </c>
      <c r="L114" s="24">
        <f>SUMIFS('Saldos Iniciales'!$D:$D,'Saldos Iniciales'!$A:$A,"YWC Capital")+SUMIFS(Movimientos!$K$1:$K$1324,Movimientos!$C$1:$C$1324,"YWC Capital",Movimientos!$B$1:$B$1324,"&lt;="&amp;$B114)</f>
        <v>2177.87</v>
      </c>
      <c r="M114" s="24">
        <f>SUMIFS('Saldos Iniciales'!$D:$D,'Saldos Iniciales'!$A:$A,"Soweto")+SUMIFS(Movimientos!$K$1:$K$1324,Movimientos!$C$1:$C$1324,"Soweto",Movimientos!$B$1:$B$1324,"&lt;="&amp;$B114)</f>
        <v>754424.72</v>
      </c>
      <c r="N114" s="24">
        <f>SUMIFS('Saldos Iniciales'!$D:$D,'Saldos Iniciales'!$A:$A,"Green Stone Trust")+SUMIFS(Movimientos!$K$1:$K$1324,Movimientos!$C$1:$C$1324,"Green Stone Trust",Movimientos!$B$1:$B$1324,"&lt;="&amp;$B114)</f>
        <v>1968.99</v>
      </c>
      <c r="O114" s="24">
        <f>SUMIFS('Saldos Iniciales'!$D:$D,'Saldos Iniciales'!$A:$A,"EC Auto")+SUMIFS(Movimientos!$K$1:$K$1324,Movimientos!$C$1:$C$1324,"EC Auto",Movimientos!$B$1:$B$1324,"&lt;="&amp;$B114)</f>
        <v>901.34</v>
      </c>
      <c r="P114" s="24">
        <f>SUMIFS('Saldos Iniciales'!$D:$D,'Saldos Iniciales'!$A:$A,"Arbor Capital Properties")+SUMIFS(Movimientos!$K$1:$K$1324,Movimientos!$C$1:$C$1324,"Arbor Capital Properties",Movimientos!$B$1:$B$1324,"&lt;="&amp;$B114)</f>
        <v>1396.08</v>
      </c>
      <c r="Q114" s="24">
        <f>SUMIFS('Saldos Iniciales'!$D:$D,'Saldos Iniciales'!$A:$A,"2515 Overbrook")+SUMIFS(Movimientos!$K$1:$K$1324,Movimientos!$C$1:$C$1324,"2515 Overbrook",Movimientos!$B$1:$B$1324,"&lt;="&amp;$B114)</f>
        <v>13685.709999999959</v>
      </c>
      <c r="R114" s="24">
        <f>SUMIFS('Saldos Iniciales'!$D:$D,'Saldos Iniciales'!$A:$A,"112 Florida Ave")+SUMIFS(Movimientos!$K$1:$K$1324,Movimientos!$C$1:$C$1324,"112 Florida Ave",Movimientos!$B$1:$B$1324,"&lt;="&amp;$B114)</f>
        <v>8724.1700000000037</v>
      </c>
      <c r="S114" s="24">
        <f>SUMIFS('Saldos Iniciales'!$D:$D,'Saldos Iniciales'!$A:$A,"3628 Thomas Ave")+SUMIFS(Movimientos!$K$1:$K$1324,Movimientos!$C$1:$C$1324,"3628 Thomas Ave",Movimientos!$B$1:$B$1324,"&lt;="&amp;$B114)</f>
        <v>19336.039999999997</v>
      </c>
      <c r="T114" s="24">
        <f>SUMIFS('Saldos Iniciales'!$D:$D,'Saldos Iniciales'!$A:$A,"Green Harbor Trust")+SUMIFS(Movimientos!$K$1:$K$1324,Movimientos!$C$1:$C$1324,"Green Harbor Trust",Movimientos!$B$1:$B$1324,"&lt;="&amp;$B114)</f>
        <v>345</v>
      </c>
      <c r="U114" s="24">
        <f>SUMIFS('Saldos Iniciales'!$D:$D,'Saldos Iniciales'!$A:$A,"Go Blue")+SUMIFS(Movimientos!$K$1:$K$1324,Movimientos!$C$1:$C$1324,"Go Blue",Movimientos!$B$1:$B$1324,"&lt;="&amp;$B114)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Aparments",Movimientos!$B$1:$B$1324,"&lt;="&amp;$B114))</f>
        <v>0</v>
      </c>
      <c r="AD114" s="24">
        <f>IF(YEAR($B114)*100+MONTH($B114)&lt;--SUBSTITUTE(_xlfn.XLOOKUP("Don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Life",Movimientos!$B$1:$B$1324,"&lt;="&amp;$B114))</f>
        <v>0</v>
      </c>
      <c r="AE114" s="25">
        <f t="shared" si="4"/>
        <v>5088054.3199999994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Group")+SUMIFS(Movimientos!$K$1:$K$1324,Movimientos!$C$1:$C$1324,"CFT Group",Movimientos!$B$1:$B$1324,"&lt;="&amp;$B115)</f>
        <v>702210.36000000045</v>
      </c>
      <c r="D115" s="24">
        <f>SUMIFS('Saldos Iniciales'!$D:$D,'Saldos Iniciales'!$A:$A,"M1B")+SUMIFS(Movimientos!$K$1:$K$1324,Movimientos!$C$1:$C$1324,"M1B",Movimientos!$B$1:$B$1324,"&lt;="&amp;$B115)</f>
        <v>83211.250000000175</v>
      </c>
      <c r="E115" s="24">
        <f>SUMIFS('Saldos Iniciales'!$D:$D,'Saldos Iniciales'!$A:$A,"Durand")+SUMIFS(Movimientos!$K$1:$K$1324,Movimientos!$C$1:$C$1324,"Durand",Movimientos!$B$1:$B$1324,"&lt;="&amp;$B115)</f>
        <v>1669.89</v>
      </c>
      <c r="F115" s="24">
        <f>SUMIFS('Saldos Iniciales'!$D:$D,'Saldos Iniciales'!$A:$A,"A&amp;M Imports")+SUMIFS(Movimientos!$K$1:$K$1324,Movimientos!$C$1:$C$1324,"A&amp;M Imports",Movimientos!$B$1:$B$1324,"&lt;="&amp;$B115)</f>
        <v>1229031.3399999999</v>
      </c>
      <c r="G115" s="24">
        <f>SUMIFS('Saldos Iniciales'!$D:$D,'Saldos Iniciales'!$A:$A,"SSP Capital")+SUMIFS(Movimientos!$K$1:$K$1324,Movimientos!$C$1:$C$1324,"SSP Capital",Movimientos!$B$1:$B$1324,"&lt;="&amp;$B115)</f>
        <v>1744052.5799999996</v>
      </c>
      <c r="H115" s="24">
        <f>SUMIFS('Saldos Iniciales'!$D:$D,'Saldos Iniciales'!$A:$A,"Cross Family Trust")+SUMIFS(Movimientos!$K$1:$K$1324,Movimientos!$C$1:$C$1324,"Cross Family Trust",Movimientos!$B$1:$B$1324,"&lt;="&amp;$B115)</f>
        <v>221496.38</v>
      </c>
      <c r="I115" s="24">
        <f>SUMIFS('Saldos Iniciales'!$D:$D,'Saldos Iniciales'!$A:$A,"Cross Security Trust")+SUMIFS(Movimientos!$K$1:$K$1324,Movimientos!$C$1:$C$1324,"Cross Security Trust",Movimientos!$B$1:$B$1324,"&lt;="&amp;$B115)</f>
        <v>277586.34000000003</v>
      </c>
      <c r="J115" s="24">
        <f>SUMIFS('Saldos Iniciales'!$D:$D,'Saldos Iniciales'!$A:$A,"Electrama")+SUMIFS(Movimientos!$K$1:$K$1324,Movimientos!$C$1:$C$1324,"Electrama",Movimientos!$B$1:$B$1324,"&lt;="&amp;$B115)</f>
        <v>13270.02</v>
      </c>
      <c r="K115" s="24">
        <f>SUMIFS('Saldos Iniciales'!$D:$D,'Saldos Iniciales'!$A:$A,"Sacred Valley Capital")+SUMIFS(Movimientos!$K$1:$K$1324,Movimientos!$C$1:$C$1324,"Sacred Valley Capital",Movimientos!$B$1:$B$1324,"&lt;="&amp;$B115)</f>
        <v>24.450000000000003</v>
      </c>
      <c r="L115" s="24">
        <f>SUMIFS('Saldos Iniciales'!$D:$D,'Saldos Iniciales'!$A:$A,"YWC Capital")+SUMIFS(Movimientos!$K$1:$K$1324,Movimientos!$C$1:$C$1324,"YWC Capital",Movimientos!$B$1:$B$1324,"&lt;="&amp;$B115)</f>
        <v>2177.87</v>
      </c>
      <c r="M115" s="24">
        <f>SUMIFS('Saldos Iniciales'!$D:$D,'Saldos Iniciales'!$A:$A,"Soweto")+SUMIFS(Movimientos!$K$1:$K$1324,Movimientos!$C$1:$C$1324,"Soweto",Movimientos!$B$1:$B$1324,"&lt;="&amp;$B115)</f>
        <v>754424.72</v>
      </c>
      <c r="N115" s="24">
        <f>SUMIFS('Saldos Iniciales'!$D:$D,'Saldos Iniciales'!$A:$A,"Green Stone Trust")+SUMIFS(Movimientos!$K$1:$K$1324,Movimientos!$C$1:$C$1324,"Green Stone Trust",Movimientos!$B$1:$B$1324,"&lt;="&amp;$B115)</f>
        <v>1968.99</v>
      </c>
      <c r="O115" s="24">
        <f>SUMIFS('Saldos Iniciales'!$D:$D,'Saldos Iniciales'!$A:$A,"EC Auto")+SUMIFS(Movimientos!$K$1:$K$1324,Movimientos!$C$1:$C$1324,"EC Auto",Movimientos!$B$1:$B$1324,"&lt;="&amp;$B115)</f>
        <v>901.34</v>
      </c>
      <c r="P115" s="24">
        <f>SUMIFS('Saldos Iniciales'!$D:$D,'Saldos Iniciales'!$A:$A,"Arbor Capital Properties")+SUMIFS(Movimientos!$K$1:$K$1324,Movimientos!$C$1:$C$1324,"Arbor Capital Properties",Movimientos!$B$1:$B$1324,"&lt;="&amp;$B115)</f>
        <v>1396.08</v>
      </c>
      <c r="Q115" s="24">
        <f>SUMIFS('Saldos Iniciales'!$D:$D,'Saldos Iniciales'!$A:$A,"2515 Overbrook")+SUMIFS(Movimientos!$K$1:$K$1324,Movimientos!$C$1:$C$1324,"2515 Overbrook",Movimientos!$B$1:$B$1324,"&lt;="&amp;$B115)</f>
        <v>13685.709999999959</v>
      </c>
      <c r="R115" s="24">
        <f>SUMIFS('Saldos Iniciales'!$D:$D,'Saldos Iniciales'!$A:$A,"112 Florida Ave")+SUMIFS(Movimientos!$K$1:$K$1324,Movimientos!$C$1:$C$1324,"112 Florida Ave",Movimientos!$B$1:$B$1324,"&lt;="&amp;$B115)</f>
        <v>8724.1700000000037</v>
      </c>
      <c r="S115" s="24">
        <f>SUMIFS('Saldos Iniciales'!$D:$D,'Saldos Iniciales'!$A:$A,"3628 Thomas Ave")+SUMIFS(Movimientos!$K$1:$K$1324,Movimientos!$C$1:$C$1324,"3628 Thomas Ave",Movimientos!$B$1:$B$1324,"&lt;="&amp;$B115)</f>
        <v>19336.039999999997</v>
      </c>
      <c r="T115" s="24">
        <f>SUMIFS('Saldos Iniciales'!$D:$D,'Saldos Iniciales'!$A:$A,"Green Harbor Trust")+SUMIFS(Movimientos!$K$1:$K$1324,Movimientos!$C$1:$C$1324,"Green Harbor Trust",Movimientos!$B$1:$B$1324,"&lt;="&amp;$B115)</f>
        <v>345</v>
      </c>
      <c r="U115" s="24">
        <f>SUMIFS('Saldos Iniciales'!$D:$D,'Saldos Iniciales'!$A:$A,"Go Blue")+SUMIFS(Movimientos!$K$1:$K$1324,Movimientos!$C$1:$C$1324,"Go Blue",Movimientos!$B$1:$B$1324,"&lt;="&amp;$B115)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Aparments",Movimientos!$B$1:$B$1324,"&lt;="&amp;$B115))</f>
        <v>0</v>
      </c>
      <c r="AD115" s="24">
        <f>IF(YEAR($B115)*100+MONTH($B115)&lt;--SUBSTITUTE(_xlfn.XLOOKUP("Don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Life",Movimientos!$B$1:$B$1324,"&lt;="&amp;$B115))</f>
        <v>0</v>
      </c>
      <c r="AE115" s="25">
        <f t="shared" si="4"/>
        <v>5088054.3199999994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Group")+SUMIFS(Movimientos!$K$1:$K$1324,Movimientos!$C$1:$C$1324,"CFT Group",Movimientos!$B$1:$B$1324,"&lt;="&amp;$B116)</f>
        <v>702210.36000000045</v>
      </c>
      <c r="D116" s="24">
        <f>SUMIFS('Saldos Iniciales'!$D:$D,'Saldos Iniciales'!$A:$A,"M1B")+SUMIFS(Movimientos!$K$1:$K$1324,Movimientos!$C$1:$C$1324,"M1B",Movimientos!$B$1:$B$1324,"&lt;="&amp;$B116)</f>
        <v>83211.250000000175</v>
      </c>
      <c r="E116" s="24">
        <f>SUMIFS('Saldos Iniciales'!$D:$D,'Saldos Iniciales'!$A:$A,"Durand")+SUMIFS(Movimientos!$K$1:$K$1324,Movimientos!$C$1:$C$1324,"Durand",Movimientos!$B$1:$B$1324,"&lt;="&amp;$B116)</f>
        <v>1669.89</v>
      </c>
      <c r="F116" s="24">
        <f>SUMIFS('Saldos Iniciales'!$D:$D,'Saldos Iniciales'!$A:$A,"A&amp;M Imports")+SUMIFS(Movimientos!$K$1:$K$1324,Movimientos!$C$1:$C$1324,"A&amp;M Imports",Movimientos!$B$1:$B$1324,"&lt;="&amp;$B116)</f>
        <v>1229031.3399999999</v>
      </c>
      <c r="G116" s="24">
        <f>SUMIFS('Saldos Iniciales'!$D:$D,'Saldos Iniciales'!$A:$A,"SSP Capital")+SUMIFS(Movimientos!$K$1:$K$1324,Movimientos!$C$1:$C$1324,"SSP Capital",Movimientos!$B$1:$B$1324,"&lt;="&amp;$B116)</f>
        <v>1744052.5799999996</v>
      </c>
      <c r="H116" s="24">
        <f>SUMIFS('Saldos Iniciales'!$D:$D,'Saldos Iniciales'!$A:$A,"Cross Family Trust")+SUMIFS(Movimientos!$K$1:$K$1324,Movimientos!$C$1:$C$1324,"Cross Family Trust",Movimientos!$B$1:$B$1324,"&lt;="&amp;$B116)</f>
        <v>221496.38</v>
      </c>
      <c r="I116" s="24">
        <f>SUMIFS('Saldos Iniciales'!$D:$D,'Saldos Iniciales'!$A:$A,"Cross Security Trust")+SUMIFS(Movimientos!$K$1:$K$1324,Movimientos!$C$1:$C$1324,"Cross Security Trust",Movimientos!$B$1:$B$1324,"&lt;="&amp;$B116)</f>
        <v>277586.34000000003</v>
      </c>
      <c r="J116" s="24">
        <f>SUMIFS('Saldos Iniciales'!$D:$D,'Saldos Iniciales'!$A:$A,"Electrama")+SUMIFS(Movimientos!$K$1:$K$1324,Movimientos!$C$1:$C$1324,"Electrama",Movimientos!$B$1:$B$1324,"&lt;="&amp;$B116)</f>
        <v>13270.02</v>
      </c>
      <c r="K116" s="24">
        <f>SUMIFS('Saldos Iniciales'!$D:$D,'Saldos Iniciales'!$A:$A,"Sacred Valley Capital")+SUMIFS(Movimientos!$K$1:$K$1324,Movimientos!$C$1:$C$1324,"Sacred Valley Capital",Movimientos!$B$1:$B$1324,"&lt;="&amp;$B116)</f>
        <v>24.450000000000003</v>
      </c>
      <c r="L116" s="24">
        <f>SUMIFS('Saldos Iniciales'!$D:$D,'Saldos Iniciales'!$A:$A,"YWC Capital")+SUMIFS(Movimientos!$K$1:$K$1324,Movimientos!$C$1:$C$1324,"YWC Capital",Movimientos!$B$1:$B$1324,"&lt;="&amp;$B116)</f>
        <v>2177.87</v>
      </c>
      <c r="M116" s="24">
        <f>SUMIFS('Saldos Iniciales'!$D:$D,'Saldos Iniciales'!$A:$A,"Soweto")+SUMIFS(Movimientos!$K$1:$K$1324,Movimientos!$C$1:$C$1324,"Soweto",Movimientos!$B$1:$B$1324,"&lt;="&amp;$B116)</f>
        <v>754424.72</v>
      </c>
      <c r="N116" s="24">
        <f>SUMIFS('Saldos Iniciales'!$D:$D,'Saldos Iniciales'!$A:$A,"Green Stone Trust")+SUMIFS(Movimientos!$K$1:$K$1324,Movimientos!$C$1:$C$1324,"Green Stone Trust",Movimientos!$B$1:$B$1324,"&lt;="&amp;$B116)</f>
        <v>1968.99</v>
      </c>
      <c r="O116" s="24">
        <f>SUMIFS('Saldos Iniciales'!$D:$D,'Saldos Iniciales'!$A:$A,"EC Auto")+SUMIFS(Movimientos!$K$1:$K$1324,Movimientos!$C$1:$C$1324,"EC Auto",Movimientos!$B$1:$B$1324,"&lt;="&amp;$B116)</f>
        <v>901.34</v>
      </c>
      <c r="P116" s="24">
        <f>SUMIFS('Saldos Iniciales'!$D:$D,'Saldos Iniciales'!$A:$A,"Arbor Capital Properties")+SUMIFS(Movimientos!$K$1:$K$1324,Movimientos!$C$1:$C$1324,"Arbor Capital Properties",Movimientos!$B$1:$B$1324,"&lt;="&amp;$B116)</f>
        <v>1396.08</v>
      </c>
      <c r="Q116" s="24">
        <f>SUMIFS('Saldos Iniciales'!$D:$D,'Saldos Iniciales'!$A:$A,"2515 Overbrook")+SUMIFS(Movimientos!$K$1:$K$1324,Movimientos!$C$1:$C$1324,"2515 Overbrook",Movimientos!$B$1:$B$1324,"&lt;="&amp;$B116)</f>
        <v>13685.709999999959</v>
      </c>
      <c r="R116" s="24">
        <f>SUMIFS('Saldos Iniciales'!$D:$D,'Saldos Iniciales'!$A:$A,"112 Florida Ave")+SUMIFS(Movimientos!$K$1:$K$1324,Movimientos!$C$1:$C$1324,"112 Florida Ave",Movimientos!$B$1:$B$1324,"&lt;="&amp;$B116)</f>
        <v>8724.1700000000037</v>
      </c>
      <c r="S116" s="24">
        <f>SUMIFS('Saldos Iniciales'!$D:$D,'Saldos Iniciales'!$A:$A,"3628 Thomas Ave")+SUMIFS(Movimientos!$K$1:$K$1324,Movimientos!$C$1:$C$1324,"3628 Thomas Ave",Movimientos!$B$1:$B$1324,"&lt;="&amp;$B116)</f>
        <v>19336.039999999997</v>
      </c>
      <c r="T116" s="24">
        <f>SUMIFS('Saldos Iniciales'!$D:$D,'Saldos Iniciales'!$A:$A,"Green Harbor Trust")+SUMIFS(Movimientos!$K$1:$K$1324,Movimientos!$C$1:$C$1324,"Green Harbor Trust",Movimientos!$B$1:$B$1324,"&lt;="&amp;$B116)</f>
        <v>345</v>
      </c>
      <c r="U116" s="24">
        <f>SUMIFS('Saldos Iniciales'!$D:$D,'Saldos Iniciales'!$A:$A,"Go Blue")+SUMIFS(Movimientos!$K$1:$K$1324,Movimientos!$C$1:$C$1324,"Go Blue",Movimientos!$B$1:$B$1324,"&lt;="&amp;$B116)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Aparments",Movimientos!$B$1:$B$1324,"&lt;="&amp;$B116))</f>
        <v>0</v>
      </c>
      <c r="AD116" s="24">
        <f>IF(YEAR($B116)*100+MONTH($B116)&lt;--SUBSTITUTE(_xlfn.XLOOKUP("Don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Life",Movimientos!$B$1:$B$1324,"&lt;="&amp;$B116))</f>
        <v>0</v>
      </c>
      <c r="AE116" s="25">
        <f t="shared" si="4"/>
        <v>5088054.3199999994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Group")+SUMIFS(Movimientos!$K$1:$K$1324,Movimientos!$C$1:$C$1324,"CFT Group",Movimientos!$B$1:$B$1324,"&lt;="&amp;$B117)</f>
        <v>372210.36000000045</v>
      </c>
      <c r="D117" s="24">
        <f>SUMIFS('Saldos Iniciales'!$D:$D,'Saldos Iniciales'!$A:$A,"M1B")+SUMIFS(Movimientos!$K$1:$K$1324,Movimientos!$C$1:$C$1324,"M1B",Movimientos!$B$1:$B$1324,"&lt;="&amp;$B117)</f>
        <v>83668.990000000165</v>
      </c>
      <c r="E117" s="24">
        <f>SUMIFS('Saldos Iniciales'!$D:$D,'Saldos Iniciales'!$A:$A,"Durand")+SUMIFS(Movimientos!$K$1:$K$1324,Movimientos!$C$1:$C$1324,"Durand",Movimientos!$B$1:$B$1324,"&lt;="&amp;$B117)</f>
        <v>1669.89</v>
      </c>
      <c r="F117" s="24">
        <f>SUMIFS('Saldos Iniciales'!$D:$D,'Saldos Iniciales'!$A:$A,"A&amp;M Imports")+SUMIFS(Movimientos!$K$1:$K$1324,Movimientos!$C$1:$C$1324,"A&amp;M Imports",Movimientos!$B$1:$B$1324,"&lt;="&amp;$B117)</f>
        <v>1234763.3299999998</v>
      </c>
      <c r="G117" s="24">
        <f>SUMIFS('Saldos Iniciales'!$D:$D,'Saldos Iniciales'!$A:$A,"SSP Capital")+SUMIFS(Movimientos!$K$1:$K$1324,Movimientos!$C$1:$C$1324,"SSP Capital",Movimientos!$B$1:$B$1324,"&lt;="&amp;$B117)</f>
        <v>1743289.5899999996</v>
      </c>
      <c r="H117" s="24">
        <f>SUMIFS('Saldos Iniciales'!$D:$D,'Saldos Iniciales'!$A:$A,"Cross Family Trust")+SUMIFS(Movimientos!$K$1:$K$1324,Movimientos!$C$1:$C$1324,"Cross Family Trust",Movimientos!$B$1:$B$1324,"&lt;="&amp;$B117)</f>
        <v>221496.38</v>
      </c>
      <c r="I117" s="24">
        <f>SUMIFS('Saldos Iniciales'!$D:$D,'Saldos Iniciales'!$A:$A,"Cross Security Trust")+SUMIFS(Movimientos!$K$1:$K$1324,Movimientos!$C$1:$C$1324,"Cross Security Trust",Movimientos!$B$1:$B$1324,"&lt;="&amp;$B117)</f>
        <v>277586.34000000003</v>
      </c>
      <c r="J117" s="24">
        <f>SUMIFS('Saldos Iniciales'!$D:$D,'Saldos Iniciales'!$A:$A,"Electrama")+SUMIFS(Movimientos!$K$1:$K$1324,Movimientos!$C$1:$C$1324,"Electrama",Movimientos!$B$1:$B$1324,"&lt;="&amp;$B117)</f>
        <v>13270.02</v>
      </c>
      <c r="K117" s="24">
        <f>SUMIFS('Saldos Iniciales'!$D:$D,'Saldos Iniciales'!$A:$A,"Sacred Valley Capital")+SUMIFS(Movimientos!$K$1:$K$1324,Movimientos!$C$1:$C$1324,"Sacred Valley Capital",Movimientos!$B$1:$B$1324,"&lt;="&amp;$B117)</f>
        <v>24.450000000000003</v>
      </c>
      <c r="L117" s="24">
        <f>SUMIFS('Saldos Iniciales'!$D:$D,'Saldos Iniciales'!$A:$A,"YWC Capital")+SUMIFS(Movimientos!$K$1:$K$1324,Movimientos!$C$1:$C$1324,"YWC Capital",Movimientos!$B$1:$B$1324,"&lt;="&amp;$B117)</f>
        <v>2177.87</v>
      </c>
      <c r="M117" s="24">
        <f>SUMIFS('Saldos Iniciales'!$D:$D,'Saldos Iniciales'!$A:$A,"Soweto")+SUMIFS(Movimientos!$K$1:$K$1324,Movimientos!$C$1:$C$1324,"Soweto",Movimientos!$B$1:$B$1324,"&lt;="&amp;$B117)</f>
        <v>754424.72</v>
      </c>
      <c r="N117" s="24">
        <f>SUMIFS('Saldos Iniciales'!$D:$D,'Saldos Iniciales'!$A:$A,"Green Stone Trust")+SUMIFS(Movimientos!$K$1:$K$1324,Movimientos!$C$1:$C$1324,"Green Stone Trust",Movimientos!$B$1:$B$1324,"&lt;="&amp;$B117)</f>
        <v>1968.99</v>
      </c>
      <c r="O117" s="24">
        <f>SUMIFS('Saldos Iniciales'!$D:$D,'Saldos Iniciales'!$A:$A,"EC Auto")+SUMIFS(Movimientos!$K$1:$K$1324,Movimientos!$C$1:$C$1324,"EC Auto",Movimientos!$B$1:$B$1324,"&lt;="&amp;$B117)</f>
        <v>901.34</v>
      </c>
      <c r="P117" s="24">
        <f>SUMIFS('Saldos Iniciales'!$D:$D,'Saldos Iniciales'!$A:$A,"Arbor Capital Properties")+SUMIFS(Movimientos!$K$1:$K$1324,Movimientos!$C$1:$C$1324,"Arbor Capital Properties",Movimientos!$B$1:$B$1324,"&lt;="&amp;$B117)</f>
        <v>1396.08</v>
      </c>
      <c r="Q117" s="24">
        <f>SUMIFS('Saldos Iniciales'!$D:$D,'Saldos Iniciales'!$A:$A,"2515 Overbrook")+SUMIFS(Movimientos!$K$1:$K$1324,Movimientos!$C$1:$C$1324,"2515 Overbrook",Movimientos!$B$1:$B$1324,"&lt;="&amp;$B117)</f>
        <v>13685.709999999959</v>
      </c>
      <c r="R117" s="24">
        <f>SUMIFS('Saldos Iniciales'!$D:$D,'Saldos Iniciales'!$A:$A,"112 Florida Ave")+SUMIFS(Movimientos!$K$1:$K$1324,Movimientos!$C$1:$C$1324,"112 Florida Ave",Movimientos!$B$1:$B$1324,"&lt;="&amp;$B117)</f>
        <v>8724.1700000000037</v>
      </c>
      <c r="S117" s="24">
        <f>SUMIFS('Saldos Iniciales'!$D:$D,'Saldos Iniciales'!$A:$A,"3628 Thomas Ave")+SUMIFS(Movimientos!$K$1:$K$1324,Movimientos!$C$1:$C$1324,"3628 Thomas Ave",Movimientos!$B$1:$B$1324,"&lt;="&amp;$B117)</f>
        <v>19336.039999999997</v>
      </c>
      <c r="T117" s="24">
        <f>SUMIFS('Saldos Iniciales'!$D:$D,'Saldos Iniciales'!$A:$A,"Green Harbor Trust")+SUMIFS(Movimientos!$K$1:$K$1324,Movimientos!$C$1:$C$1324,"Green Harbor Trust",Movimientos!$B$1:$B$1324,"&lt;="&amp;$B117)</f>
        <v>345</v>
      </c>
      <c r="U117" s="24">
        <f>SUMIFS('Saldos Iniciales'!$D:$D,'Saldos Iniciales'!$A:$A,"Go Blue")+SUMIFS(Movimientos!$K$1:$K$1324,Movimientos!$C$1:$C$1324,"Go Blue",Movimientos!$B$1:$B$1324,"&lt;="&amp;$B117)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Aparments",Movimientos!$B$1:$B$1324,"&lt;="&amp;$B117))</f>
        <v>0</v>
      </c>
      <c r="AD117" s="24">
        <f>IF(YEAR($B117)*100+MONTH($B117)&lt;--SUBSTITUTE(_xlfn.XLOOKUP("Don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Life",Movimientos!$B$1:$B$1324,"&lt;="&amp;$B117))</f>
        <v>0</v>
      </c>
      <c r="AE117" s="25">
        <f t="shared" si="4"/>
        <v>4763459.1100000003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Group")+SUMIFS(Movimientos!$K$1:$K$1324,Movimientos!$C$1:$C$1324,"CFT Group",Movimientos!$B$1:$B$1324,"&lt;="&amp;$B118)</f>
        <v>526096.53000000049</v>
      </c>
      <c r="D118" s="24">
        <f>SUMIFS('Saldos Iniciales'!$D:$D,'Saldos Iniciales'!$A:$A,"M1B")+SUMIFS(Movimientos!$K$1:$K$1324,Movimientos!$C$1:$C$1324,"M1B",Movimientos!$B$1:$B$1324,"&lt;="&amp;$B118)</f>
        <v>90643.10000000018</v>
      </c>
      <c r="E118" s="24">
        <f>SUMIFS('Saldos Iniciales'!$D:$D,'Saldos Iniciales'!$A:$A,"Durand")+SUMIFS(Movimientos!$K$1:$K$1324,Movimientos!$C$1:$C$1324,"Durand",Movimientos!$B$1:$B$1324,"&lt;="&amp;$B118)</f>
        <v>1669.89</v>
      </c>
      <c r="F118" s="24">
        <f>SUMIFS('Saldos Iniciales'!$D:$D,'Saldos Iniciales'!$A:$A,"A&amp;M Imports")+SUMIFS(Movimientos!$K$1:$K$1324,Movimientos!$C$1:$C$1324,"A&amp;M Imports",Movimientos!$B$1:$B$1324,"&lt;="&amp;$B118)</f>
        <v>1252108.94</v>
      </c>
      <c r="G118" s="24">
        <f>SUMIFS('Saldos Iniciales'!$D:$D,'Saldos Iniciales'!$A:$A,"SSP Capital")+SUMIFS(Movimientos!$K$1:$K$1324,Movimientos!$C$1:$C$1324,"SSP Capital",Movimientos!$B$1:$B$1324,"&lt;="&amp;$B118)</f>
        <v>1743289.5899999996</v>
      </c>
      <c r="H118" s="24">
        <f>SUMIFS('Saldos Iniciales'!$D:$D,'Saldos Iniciales'!$A:$A,"Cross Family Trust")+SUMIFS(Movimientos!$K$1:$K$1324,Movimientos!$C$1:$C$1324,"Cross Family Trust",Movimientos!$B$1:$B$1324,"&lt;="&amp;$B118)</f>
        <v>221496.38</v>
      </c>
      <c r="I118" s="24">
        <f>SUMIFS('Saldos Iniciales'!$D:$D,'Saldos Iniciales'!$A:$A,"Cross Security Trust")+SUMIFS(Movimientos!$K$1:$K$1324,Movimientos!$C$1:$C$1324,"Cross Security Trust",Movimientos!$B$1:$B$1324,"&lt;="&amp;$B118)</f>
        <v>277586.34000000003</v>
      </c>
      <c r="J118" s="24">
        <f>SUMIFS('Saldos Iniciales'!$D:$D,'Saldos Iniciales'!$A:$A,"Electrama")+SUMIFS(Movimientos!$K$1:$K$1324,Movimientos!$C$1:$C$1324,"Electrama",Movimientos!$B$1:$B$1324,"&lt;="&amp;$B118)</f>
        <v>13270.02</v>
      </c>
      <c r="K118" s="24">
        <f>SUMIFS('Saldos Iniciales'!$D:$D,'Saldos Iniciales'!$A:$A,"Sacred Valley Capital")+SUMIFS(Movimientos!$K$1:$K$1324,Movimientos!$C$1:$C$1324,"Sacred Valley Capital",Movimientos!$B$1:$B$1324,"&lt;="&amp;$B118)</f>
        <v>24.450000000000003</v>
      </c>
      <c r="L118" s="24">
        <f>SUMIFS('Saldos Iniciales'!$D:$D,'Saldos Iniciales'!$A:$A,"YWC Capital")+SUMIFS(Movimientos!$K$1:$K$1324,Movimientos!$C$1:$C$1324,"YWC Capital",Movimientos!$B$1:$B$1324,"&lt;="&amp;$B118)</f>
        <v>2177.87</v>
      </c>
      <c r="M118" s="24">
        <f>SUMIFS('Saldos Iniciales'!$D:$D,'Saldos Iniciales'!$A:$A,"Soweto")+SUMIFS(Movimientos!$K$1:$K$1324,Movimientos!$C$1:$C$1324,"Soweto",Movimientos!$B$1:$B$1324,"&lt;="&amp;$B118)</f>
        <v>754424.72</v>
      </c>
      <c r="N118" s="24">
        <f>SUMIFS('Saldos Iniciales'!$D:$D,'Saldos Iniciales'!$A:$A,"Green Stone Trust")+SUMIFS(Movimientos!$K$1:$K$1324,Movimientos!$C$1:$C$1324,"Green Stone Trust",Movimientos!$B$1:$B$1324,"&lt;="&amp;$B118)</f>
        <v>1968.99</v>
      </c>
      <c r="O118" s="24">
        <f>SUMIFS('Saldos Iniciales'!$D:$D,'Saldos Iniciales'!$A:$A,"EC Auto")+SUMIFS(Movimientos!$K$1:$K$1324,Movimientos!$C$1:$C$1324,"EC Auto",Movimientos!$B$1:$B$1324,"&lt;="&amp;$B118)</f>
        <v>901.34</v>
      </c>
      <c r="P118" s="24">
        <f>SUMIFS('Saldos Iniciales'!$D:$D,'Saldos Iniciales'!$A:$A,"Arbor Capital Properties")+SUMIFS(Movimientos!$K$1:$K$1324,Movimientos!$C$1:$C$1324,"Arbor Capital Properties",Movimientos!$B$1:$B$1324,"&lt;="&amp;$B118)</f>
        <v>1396.08</v>
      </c>
      <c r="Q118" s="24">
        <f>SUMIFS('Saldos Iniciales'!$D:$D,'Saldos Iniciales'!$A:$A,"2515 Overbrook")+SUMIFS(Movimientos!$K$1:$K$1324,Movimientos!$C$1:$C$1324,"2515 Overbrook",Movimientos!$B$1:$B$1324,"&lt;="&amp;$B118)</f>
        <v>13685.709999999959</v>
      </c>
      <c r="R118" s="24">
        <f>SUMIFS('Saldos Iniciales'!$D:$D,'Saldos Iniciales'!$A:$A,"112 Florida Ave")+SUMIFS(Movimientos!$K$1:$K$1324,Movimientos!$C$1:$C$1324,"112 Florida Ave",Movimientos!$B$1:$B$1324,"&lt;="&amp;$B118)</f>
        <v>8724.1700000000037</v>
      </c>
      <c r="S118" s="24">
        <f>SUMIFS('Saldos Iniciales'!$D:$D,'Saldos Iniciales'!$A:$A,"3628 Thomas Ave")+SUMIFS(Movimientos!$K$1:$K$1324,Movimientos!$C$1:$C$1324,"3628 Thomas Ave",Movimientos!$B$1:$B$1324,"&lt;="&amp;$B118)</f>
        <v>19336.039999999997</v>
      </c>
      <c r="T118" s="24">
        <f>SUMIFS('Saldos Iniciales'!$D:$D,'Saldos Iniciales'!$A:$A,"Green Harbor Trust")+SUMIFS(Movimientos!$K$1:$K$1324,Movimientos!$C$1:$C$1324,"Green Harbor Trust",Movimientos!$B$1:$B$1324,"&lt;="&amp;$B118)</f>
        <v>345</v>
      </c>
      <c r="U118" s="24">
        <f>SUMIFS('Saldos Iniciales'!$D:$D,'Saldos Iniciales'!$A:$A,"Go Blue")+SUMIFS(Movimientos!$K$1:$K$1324,Movimientos!$C$1:$C$1324,"Go Blue",Movimientos!$B$1:$B$1324,"&lt;="&amp;$B118)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Aparments",Movimientos!$B$1:$B$1324,"&lt;="&amp;$B118))</f>
        <v>0</v>
      </c>
      <c r="AD118" s="24">
        <f>IF(YEAR($B118)*100+MONTH($B118)&lt;--SUBSTITUTE(_xlfn.XLOOKUP("Don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Life",Movimientos!$B$1:$B$1324,"&lt;="&amp;$B118))</f>
        <v>0</v>
      </c>
      <c r="AE118" s="25">
        <f t="shared" si="4"/>
        <v>4941665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Group")+SUMIFS(Movimientos!$K$1:$K$1324,Movimientos!$C$1:$C$1324,"CFT Group",Movimientos!$B$1:$B$1324,"&lt;="&amp;$B119)</f>
        <v>526096.53000000049</v>
      </c>
      <c r="D119" s="24">
        <f>SUMIFS('Saldos Iniciales'!$D:$D,'Saldos Iniciales'!$A:$A,"M1B")+SUMIFS(Movimientos!$K$1:$K$1324,Movimientos!$C$1:$C$1324,"M1B",Movimientos!$B$1:$B$1324,"&lt;="&amp;$B119)</f>
        <v>90643.10000000018</v>
      </c>
      <c r="E119" s="24">
        <f>SUMIFS('Saldos Iniciales'!$D:$D,'Saldos Iniciales'!$A:$A,"Durand")+SUMIFS(Movimientos!$K$1:$K$1324,Movimientos!$C$1:$C$1324,"Durand",Movimientos!$B$1:$B$1324,"&lt;="&amp;$B119)</f>
        <v>1669.89</v>
      </c>
      <c r="F119" s="24">
        <f>SUMIFS('Saldos Iniciales'!$D:$D,'Saldos Iniciales'!$A:$A,"A&amp;M Imports")+SUMIFS(Movimientos!$K$1:$K$1324,Movimientos!$C$1:$C$1324,"A&amp;M Imports",Movimientos!$B$1:$B$1324,"&lt;="&amp;$B119)</f>
        <v>1269654.47</v>
      </c>
      <c r="G119" s="24">
        <f>SUMIFS('Saldos Iniciales'!$D:$D,'Saldos Iniciales'!$A:$A,"SSP Capital")+SUMIFS(Movimientos!$K$1:$K$1324,Movimientos!$C$1:$C$1324,"SSP Capital",Movimientos!$B$1:$B$1324,"&lt;="&amp;$B119)</f>
        <v>1743289.5899999996</v>
      </c>
      <c r="H119" s="24">
        <f>SUMIFS('Saldos Iniciales'!$D:$D,'Saldos Iniciales'!$A:$A,"Cross Family Trust")+SUMIFS(Movimientos!$K$1:$K$1324,Movimientos!$C$1:$C$1324,"Cross Family Trust",Movimientos!$B$1:$B$1324,"&lt;="&amp;$B119)</f>
        <v>221496.38</v>
      </c>
      <c r="I119" s="24">
        <f>SUMIFS('Saldos Iniciales'!$D:$D,'Saldos Iniciales'!$A:$A,"Cross Security Trust")+SUMIFS(Movimientos!$K$1:$K$1324,Movimientos!$C$1:$C$1324,"Cross Security Trust",Movimientos!$B$1:$B$1324,"&lt;="&amp;$B119)</f>
        <v>277586.34000000003</v>
      </c>
      <c r="J119" s="24">
        <f>SUMIFS('Saldos Iniciales'!$D:$D,'Saldos Iniciales'!$A:$A,"Electrama")+SUMIFS(Movimientos!$K$1:$K$1324,Movimientos!$C$1:$C$1324,"Electrama",Movimientos!$B$1:$B$1324,"&lt;="&amp;$B119)</f>
        <v>13270.02</v>
      </c>
      <c r="K119" s="24">
        <f>SUMIFS('Saldos Iniciales'!$D:$D,'Saldos Iniciales'!$A:$A,"Sacred Valley Capital")+SUMIFS(Movimientos!$K$1:$K$1324,Movimientos!$C$1:$C$1324,"Sacred Valley Capital",Movimientos!$B$1:$B$1324,"&lt;="&amp;$B119)</f>
        <v>24.450000000000003</v>
      </c>
      <c r="L119" s="24">
        <f>SUMIFS('Saldos Iniciales'!$D:$D,'Saldos Iniciales'!$A:$A,"YWC Capital")+SUMIFS(Movimientos!$K$1:$K$1324,Movimientos!$C$1:$C$1324,"YWC Capital",Movimientos!$B$1:$B$1324,"&lt;="&amp;$B119)</f>
        <v>2177.87</v>
      </c>
      <c r="M119" s="24">
        <f>SUMIFS('Saldos Iniciales'!$D:$D,'Saldos Iniciales'!$A:$A,"Soweto")+SUMIFS(Movimientos!$K$1:$K$1324,Movimientos!$C$1:$C$1324,"Soweto",Movimientos!$B$1:$B$1324,"&lt;="&amp;$B119)</f>
        <v>754424.72</v>
      </c>
      <c r="N119" s="24">
        <f>SUMIFS('Saldos Iniciales'!$D:$D,'Saldos Iniciales'!$A:$A,"Green Stone Trust")+SUMIFS(Movimientos!$K$1:$K$1324,Movimientos!$C$1:$C$1324,"Green Stone Trust",Movimientos!$B$1:$B$1324,"&lt;="&amp;$B119)</f>
        <v>1968.99</v>
      </c>
      <c r="O119" s="24">
        <f>SUMIFS('Saldos Iniciales'!$D:$D,'Saldos Iniciales'!$A:$A,"EC Auto")+SUMIFS(Movimientos!$K$1:$K$1324,Movimientos!$C$1:$C$1324,"EC Auto",Movimientos!$B$1:$B$1324,"&lt;="&amp;$B119)</f>
        <v>901.34</v>
      </c>
      <c r="P119" s="24">
        <f>SUMIFS('Saldos Iniciales'!$D:$D,'Saldos Iniciales'!$A:$A,"Arbor Capital Properties")+SUMIFS(Movimientos!$K$1:$K$1324,Movimientos!$C$1:$C$1324,"Arbor Capital Properties",Movimientos!$B$1:$B$1324,"&lt;="&amp;$B119)</f>
        <v>1396.08</v>
      </c>
      <c r="Q119" s="24">
        <f>SUMIFS('Saldos Iniciales'!$D:$D,'Saldos Iniciales'!$A:$A,"2515 Overbrook")+SUMIFS(Movimientos!$K$1:$K$1324,Movimientos!$C$1:$C$1324,"2515 Overbrook",Movimientos!$B$1:$B$1324,"&lt;="&amp;$B119)</f>
        <v>13685.709999999959</v>
      </c>
      <c r="R119" s="24">
        <f>SUMIFS('Saldos Iniciales'!$D:$D,'Saldos Iniciales'!$A:$A,"112 Florida Ave")+SUMIFS(Movimientos!$K$1:$K$1324,Movimientos!$C$1:$C$1324,"112 Florida Ave",Movimientos!$B$1:$B$1324,"&lt;="&amp;$B119)</f>
        <v>8724.1700000000037</v>
      </c>
      <c r="S119" s="24">
        <f>SUMIFS('Saldos Iniciales'!$D:$D,'Saldos Iniciales'!$A:$A,"3628 Thomas Ave")+SUMIFS(Movimientos!$K$1:$K$1324,Movimientos!$C$1:$C$1324,"3628 Thomas Ave",Movimientos!$B$1:$B$1324,"&lt;="&amp;$B119)</f>
        <v>19336.039999999997</v>
      </c>
      <c r="T119" s="24">
        <f>SUMIFS('Saldos Iniciales'!$D:$D,'Saldos Iniciales'!$A:$A,"Green Harbor Trust")+SUMIFS(Movimientos!$K$1:$K$1324,Movimientos!$C$1:$C$1324,"Green Harbor Trust",Movimientos!$B$1:$B$1324,"&lt;="&amp;$B119)</f>
        <v>345</v>
      </c>
      <c r="U119" s="24">
        <f>SUMIFS('Saldos Iniciales'!$D:$D,'Saldos Iniciales'!$A:$A,"Go Blue")+SUMIFS(Movimientos!$K$1:$K$1324,Movimientos!$C$1:$C$1324,"Go Blue",Movimientos!$B$1:$B$1324,"&lt;="&amp;$B119)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Aparments",Movimientos!$B$1:$B$1324,"&lt;="&amp;$B119))</f>
        <v>0</v>
      </c>
      <c r="AD119" s="24">
        <f>IF(YEAR($B119)*100+MONTH($B119)&lt;--SUBSTITUTE(_xlfn.XLOOKUP("Don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Life",Movimientos!$B$1:$B$1324,"&lt;="&amp;$B119))</f>
        <v>0</v>
      </c>
      <c r="AE119" s="25">
        <f t="shared" si="4"/>
        <v>4959210.53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Group")+SUMIFS(Movimientos!$K$1:$K$1324,Movimientos!$C$1:$C$1324,"CFT Group",Movimientos!$B$1:$B$1324,"&lt;="&amp;$B120)</f>
        <v>578093.59000000043</v>
      </c>
      <c r="D120" s="24">
        <f>SUMIFS('Saldos Iniciales'!$D:$D,'Saldos Iniciales'!$A:$A,"M1B")+SUMIFS(Movimientos!$K$1:$K$1324,Movimientos!$C$1:$C$1324,"M1B",Movimientos!$B$1:$B$1324,"&lt;="&amp;$B120)</f>
        <v>90643.10000000018</v>
      </c>
      <c r="E120" s="24">
        <f>SUMIFS('Saldos Iniciales'!$D:$D,'Saldos Iniciales'!$A:$A,"Durand")+SUMIFS(Movimientos!$K$1:$K$1324,Movimientos!$C$1:$C$1324,"Durand",Movimientos!$B$1:$B$1324,"&lt;="&amp;$B120)</f>
        <v>1669.89</v>
      </c>
      <c r="F120" s="24">
        <f>SUMIFS('Saldos Iniciales'!$D:$D,'Saldos Iniciales'!$A:$A,"A&amp;M Imports")+SUMIFS(Movimientos!$K$1:$K$1324,Movimientos!$C$1:$C$1324,"A&amp;M Imports",Movimientos!$B$1:$B$1324,"&lt;="&amp;$B120)</f>
        <v>1394654.47</v>
      </c>
      <c r="G120" s="24">
        <f>SUMIFS('Saldos Iniciales'!$D:$D,'Saldos Iniciales'!$A:$A,"SSP Capital")+SUMIFS(Movimientos!$K$1:$K$1324,Movimientos!$C$1:$C$1324,"SSP Capital",Movimientos!$B$1:$B$1324,"&lt;="&amp;$B120)</f>
        <v>1719364.7199999997</v>
      </c>
      <c r="H120" s="24">
        <f>SUMIFS('Saldos Iniciales'!$D:$D,'Saldos Iniciales'!$A:$A,"Cross Family Trust")+SUMIFS(Movimientos!$K$1:$K$1324,Movimientos!$C$1:$C$1324,"Cross Family Trust",Movimientos!$B$1:$B$1324,"&lt;="&amp;$B120)</f>
        <v>221496.38</v>
      </c>
      <c r="I120" s="24">
        <f>SUMIFS('Saldos Iniciales'!$D:$D,'Saldos Iniciales'!$A:$A,"Cross Security Trust")+SUMIFS(Movimientos!$K$1:$K$1324,Movimientos!$C$1:$C$1324,"Cross Security Trust",Movimientos!$B$1:$B$1324,"&lt;="&amp;$B120)</f>
        <v>277586.34000000003</v>
      </c>
      <c r="J120" s="24">
        <f>SUMIFS('Saldos Iniciales'!$D:$D,'Saldos Iniciales'!$A:$A,"Electrama")+SUMIFS(Movimientos!$K$1:$K$1324,Movimientos!$C$1:$C$1324,"Electrama",Movimientos!$B$1:$B$1324,"&lt;="&amp;$B120)</f>
        <v>13270.02</v>
      </c>
      <c r="K120" s="24">
        <f>SUMIFS('Saldos Iniciales'!$D:$D,'Saldos Iniciales'!$A:$A,"Sacred Valley Capital")+SUMIFS(Movimientos!$K$1:$K$1324,Movimientos!$C$1:$C$1324,"Sacred Valley Capital",Movimientos!$B$1:$B$1324,"&lt;="&amp;$B120)</f>
        <v>124.45</v>
      </c>
      <c r="L120" s="24">
        <f>SUMIFS('Saldos Iniciales'!$D:$D,'Saldos Iniciales'!$A:$A,"YWC Capital")+SUMIFS(Movimientos!$K$1:$K$1324,Movimientos!$C$1:$C$1324,"YWC Capital",Movimientos!$B$1:$B$1324,"&lt;="&amp;$B120)</f>
        <v>2177.87</v>
      </c>
      <c r="M120" s="24">
        <f>SUMIFS('Saldos Iniciales'!$D:$D,'Saldos Iniciales'!$A:$A,"Soweto")+SUMIFS(Movimientos!$K$1:$K$1324,Movimientos!$C$1:$C$1324,"Soweto",Movimientos!$B$1:$B$1324,"&lt;="&amp;$B120)</f>
        <v>754424.72</v>
      </c>
      <c r="N120" s="24">
        <f>SUMIFS('Saldos Iniciales'!$D:$D,'Saldos Iniciales'!$A:$A,"Green Stone Trust")+SUMIFS(Movimientos!$K$1:$K$1324,Movimientos!$C$1:$C$1324,"Green Stone Trust",Movimientos!$B$1:$B$1324,"&lt;="&amp;$B120)</f>
        <v>1968.99</v>
      </c>
      <c r="O120" s="24">
        <f>SUMIFS('Saldos Iniciales'!$D:$D,'Saldos Iniciales'!$A:$A,"EC Auto")+SUMIFS(Movimientos!$K$1:$K$1324,Movimientos!$C$1:$C$1324,"EC Auto",Movimientos!$B$1:$B$1324,"&lt;="&amp;$B120)</f>
        <v>901.34</v>
      </c>
      <c r="P120" s="24">
        <f>SUMIFS('Saldos Iniciales'!$D:$D,'Saldos Iniciales'!$A:$A,"Arbor Capital Properties")+SUMIFS(Movimientos!$K$1:$K$1324,Movimientos!$C$1:$C$1324,"Arbor Capital Properties",Movimientos!$B$1:$B$1324,"&lt;="&amp;$B120)</f>
        <v>1396.08</v>
      </c>
      <c r="Q120" s="24">
        <f>SUMIFS('Saldos Iniciales'!$D:$D,'Saldos Iniciales'!$A:$A,"2515 Overbrook")+SUMIFS(Movimientos!$K$1:$K$1324,Movimientos!$C$1:$C$1324,"2515 Overbrook",Movimientos!$B$1:$B$1324,"&lt;="&amp;$B120)</f>
        <v>33685.709999999963</v>
      </c>
      <c r="R120" s="24">
        <f>SUMIFS('Saldos Iniciales'!$D:$D,'Saldos Iniciales'!$A:$A,"112 Florida Ave")+SUMIFS(Movimientos!$K$1:$K$1324,Movimientos!$C$1:$C$1324,"112 Florida Ave",Movimientos!$B$1:$B$1324,"&lt;="&amp;$B120)</f>
        <v>29724.170000000006</v>
      </c>
      <c r="S120" s="24">
        <f>SUMIFS('Saldos Iniciales'!$D:$D,'Saldos Iniciales'!$A:$A,"3628 Thomas Ave")+SUMIFS(Movimientos!$K$1:$K$1324,Movimientos!$C$1:$C$1324,"3628 Thomas Ave",Movimientos!$B$1:$B$1324,"&lt;="&amp;$B120)</f>
        <v>19336.039999999997</v>
      </c>
      <c r="T120" s="24">
        <f>SUMIFS('Saldos Iniciales'!$D:$D,'Saldos Iniciales'!$A:$A,"Green Harbor Trust")+SUMIFS(Movimientos!$K$1:$K$1324,Movimientos!$C$1:$C$1324,"Green Harbor Trust",Movimientos!$B$1:$B$1324,"&lt;="&amp;$B120)</f>
        <v>345</v>
      </c>
      <c r="U120" s="24">
        <f>SUMIFS('Saldos Iniciales'!$D:$D,'Saldos Iniciales'!$A:$A,"Go Blue")+SUMIFS(Movimientos!$K$1:$K$1324,Movimientos!$C$1:$C$1324,"Go Blue",Movimientos!$B$1:$B$1324,"&lt;="&amp;$B120)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Aparments",Movimientos!$B$1:$B$1324,"&lt;="&amp;$B120))</f>
        <v>0</v>
      </c>
      <c r="AD120" s="24">
        <f>IF(YEAR($B120)*100+MONTH($B120)&lt;--SUBSTITUTE(_xlfn.XLOOKUP("Don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Life",Movimientos!$B$1:$B$1324,"&lt;="&amp;$B120))</f>
        <v>0</v>
      </c>
      <c r="AE120" s="25">
        <f t="shared" si="4"/>
        <v>5150471.58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Group")+SUMIFS(Movimientos!$K$1:$K$1324,Movimientos!$C$1:$C$1324,"CFT Group",Movimientos!$B$1:$B$1324,"&lt;="&amp;$B121)</f>
        <v>743430.83000000054</v>
      </c>
      <c r="D121" s="24">
        <f>SUMIFS('Saldos Iniciales'!$D:$D,'Saldos Iniciales'!$A:$A,"M1B")+SUMIFS(Movimientos!$K$1:$K$1324,Movimientos!$C$1:$C$1324,"M1B",Movimientos!$B$1:$B$1324,"&lt;="&amp;$B121)</f>
        <v>93280.230000000171</v>
      </c>
      <c r="E121" s="24">
        <f>SUMIFS('Saldos Iniciales'!$D:$D,'Saldos Iniciales'!$A:$A,"Durand")+SUMIFS(Movimientos!$K$1:$K$1324,Movimientos!$C$1:$C$1324,"Durand",Movimientos!$B$1:$B$1324,"&lt;="&amp;$B121)</f>
        <v>1669.89</v>
      </c>
      <c r="F121" s="24">
        <f>SUMIFS('Saldos Iniciales'!$D:$D,'Saldos Iniciales'!$A:$A,"A&amp;M Imports")+SUMIFS(Movimientos!$K$1:$K$1324,Movimientos!$C$1:$C$1324,"A&amp;M Imports",Movimientos!$B$1:$B$1324,"&lt;="&amp;$B121)</f>
        <v>1418445.91</v>
      </c>
      <c r="G121" s="24">
        <f>SUMIFS('Saldos Iniciales'!$D:$D,'Saldos Iniciales'!$A:$A,"SSP Capital")+SUMIFS(Movimientos!$K$1:$K$1324,Movimientos!$C$1:$C$1324,"SSP Capital",Movimientos!$B$1:$B$1324,"&lt;="&amp;$B121)</f>
        <v>1553167.1899999995</v>
      </c>
      <c r="H121" s="24">
        <f>SUMIFS('Saldos Iniciales'!$D:$D,'Saldos Iniciales'!$A:$A,"Cross Family Trust")+SUMIFS(Movimientos!$K$1:$K$1324,Movimientos!$C$1:$C$1324,"Cross Family Trust",Movimientos!$B$1:$B$1324,"&lt;="&amp;$B121)</f>
        <v>221496.38</v>
      </c>
      <c r="I121" s="24">
        <f>SUMIFS('Saldos Iniciales'!$D:$D,'Saldos Iniciales'!$A:$A,"Cross Security Trust")+SUMIFS(Movimientos!$K$1:$K$1324,Movimientos!$C$1:$C$1324,"Cross Security Trust",Movimientos!$B$1:$B$1324,"&lt;="&amp;$B121)</f>
        <v>217684.34</v>
      </c>
      <c r="J121" s="24">
        <f>SUMIFS('Saldos Iniciales'!$D:$D,'Saldos Iniciales'!$A:$A,"Electrama")+SUMIFS(Movimientos!$K$1:$K$1324,Movimientos!$C$1:$C$1324,"Electrama",Movimientos!$B$1:$B$1324,"&lt;="&amp;$B121)</f>
        <v>13270.02</v>
      </c>
      <c r="K121" s="24">
        <f>SUMIFS('Saldos Iniciales'!$D:$D,'Saldos Iniciales'!$A:$A,"Sacred Valley Capital")+SUMIFS(Movimientos!$K$1:$K$1324,Movimientos!$C$1:$C$1324,"Sacred Valley Capital",Movimientos!$B$1:$B$1324,"&lt;="&amp;$B121)</f>
        <v>124.45</v>
      </c>
      <c r="L121" s="24">
        <f>SUMIFS('Saldos Iniciales'!$D:$D,'Saldos Iniciales'!$A:$A,"YWC Capital")+SUMIFS(Movimientos!$K$1:$K$1324,Movimientos!$C$1:$C$1324,"YWC Capital",Movimientos!$B$1:$B$1324,"&lt;="&amp;$B121)</f>
        <v>2177.87</v>
      </c>
      <c r="M121" s="24">
        <f>SUMIFS('Saldos Iniciales'!$D:$D,'Saldos Iniciales'!$A:$A,"Soweto")+SUMIFS(Movimientos!$K$1:$K$1324,Movimientos!$C$1:$C$1324,"Soweto",Movimientos!$B$1:$B$1324,"&lt;="&amp;$B121)</f>
        <v>754424.72</v>
      </c>
      <c r="N121" s="24">
        <f>SUMIFS('Saldos Iniciales'!$D:$D,'Saldos Iniciales'!$A:$A,"Green Stone Trust")+SUMIFS(Movimientos!$K$1:$K$1324,Movimientos!$C$1:$C$1324,"Green Stone Trust",Movimientos!$B$1:$B$1324,"&lt;="&amp;$B121)</f>
        <v>1968.99</v>
      </c>
      <c r="O121" s="24">
        <f>SUMIFS('Saldos Iniciales'!$D:$D,'Saldos Iniciales'!$A:$A,"EC Auto")+SUMIFS(Movimientos!$K$1:$K$1324,Movimientos!$C$1:$C$1324,"EC Auto",Movimientos!$B$1:$B$1324,"&lt;="&amp;$B121)</f>
        <v>901.34</v>
      </c>
      <c r="P121" s="24">
        <f>SUMIFS('Saldos Iniciales'!$D:$D,'Saldos Iniciales'!$A:$A,"Arbor Capital Properties")+SUMIFS(Movimientos!$K$1:$K$1324,Movimientos!$C$1:$C$1324,"Arbor Capital Properties",Movimientos!$B$1:$B$1324,"&lt;="&amp;$B121)</f>
        <v>1396.08</v>
      </c>
      <c r="Q121" s="24">
        <f>SUMIFS('Saldos Iniciales'!$D:$D,'Saldos Iniciales'!$A:$A,"2515 Overbrook")+SUMIFS(Movimientos!$K$1:$K$1324,Movimientos!$C$1:$C$1324,"2515 Overbrook",Movimientos!$B$1:$B$1324,"&lt;="&amp;$B121)</f>
        <v>33670.709999999963</v>
      </c>
      <c r="R121" s="24">
        <f>SUMIFS('Saldos Iniciales'!$D:$D,'Saldos Iniciales'!$A:$A,"112 Florida Ave")+SUMIFS(Movimientos!$K$1:$K$1324,Movimientos!$C$1:$C$1324,"112 Florida Ave",Movimientos!$B$1:$B$1324,"&lt;="&amp;$B121)</f>
        <v>29709.170000000006</v>
      </c>
      <c r="S121" s="24">
        <f>SUMIFS('Saldos Iniciales'!$D:$D,'Saldos Iniciales'!$A:$A,"3628 Thomas Ave")+SUMIFS(Movimientos!$K$1:$K$1324,Movimientos!$C$1:$C$1324,"3628 Thomas Ave",Movimientos!$B$1:$B$1324,"&lt;="&amp;$B121)</f>
        <v>19336.039999999997</v>
      </c>
      <c r="T121" s="24">
        <f>SUMIFS('Saldos Iniciales'!$D:$D,'Saldos Iniciales'!$A:$A,"Green Harbor Trust")+SUMIFS(Movimientos!$K$1:$K$1324,Movimientos!$C$1:$C$1324,"Green Harbor Trust",Movimientos!$B$1:$B$1324,"&lt;="&amp;$B121)</f>
        <v>345</v>
      </c>
      <c r="U121" s="24">
        <f>SUMIFS('Saldos Iniciales'!$D:$D,'Saldos Iniciales'!$A:$A,"Go Blue")+SUMIFS(Movimientos!$K$1:$K$1324,Movimientos!$C$1:$C$1324,"Go Blue",Movimientos!$B$1:$B$1324,"&lt;="&amp;$B121)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Aparments",Movimientos!$B$1:$B$1324,"&lt;="&amp;$B121))</f>
        <v>0</v>
      </c>
      <c r="AD121" s="24">
        <f>IF(YEAR($B121)*100+MONTH($B121)&lt;--SUBSTITUTE(_xlfn.XLOOKUP("Don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Life",Movimientos!$B$1:$B$1324,"&lt;="&amp;$B121))</f>
        <v>0</v>
      </c>
      <c r="AE121" s="25">
        <f t="shared" si="4"/>
        <v>5116059.16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Group")+SUMIFS(Movimientos!$K$1:$K$1324,Movimientos!$C$1:$C$1324,"CFT Group",Movimientos!$B$1:$B$1324,"&lt;="&amp;$B122)</f>
        <v>743430.83000000054</v>
      </c>
      <c r="D122" s="24">
        <f>SUMIFS('Saldos Iniciales'!$D:$D,'Saldos Iniciales'!$A:$A,"M1B")+SUMIFS(Movimientos!$K$1:$K$1324,Movimientos!$C$1:$C$1324,"M1B",Movimientos!$B$1:$B$1324,"&lt;="&amp;$B122)</f>
        <v>93280.230000000171</v>
      </c>
      <c r="E122" s="24">
        <f>SUMIFS('Saldos Iniciales'!$D:$D,'Saldos Iniciales'!$A:$A,"Durand")+SUMIFS(Movimientos!$K$1:$K$1324,Movimientos!$C$1:$C$1324,"Durand",Movimientos!$B$1:$B$1324,"&lt;="&amp;$B122)</f>
        <v>1669.89</v>
      </c>
      <c r="F122" s="24">
        <f>SUMIFS('Saldos Iniciales'!$D:$D,'Saldos Iniciales'!$A:$A,"A&amp;M Imports")+SUMIFS(Movimientos!$K$1:$K$1324,Movimientos!$C$1:$C$1324,"A&amp;M Imports",Movimientos!$B$1:$B$1324,"&lt;="&amp;$B122)</f>
        <v>1418445.91</v>
      </c>
      <c r="G122" s="24">
        <f>SUMIFS('Saldos Iniciales'!$D:$D,'Saldos Iniciales'!$A:$A,"SSP Capital")+SUMIFS(Movimientos!$K$1:$K$1324,Movimientos!$C$1:$C$1324,"SSP Capital",Movimientos!$B$1:$B$1324,"&lt;="&amp;$B122)</f>
        <v>1553167.1899999995</v>
      </c>
      <c r="H122" s="24">
        <f>SUMIFS('Saldos Iniciales'!$D:$D,'Saldos Iniciales'!$A:$A,"Cross Family Trust")+SUMIFS(Movimientos!$K$1:$K$1324,Movimientos!$C$1:$C$1324,"Cross Family Trust",Movimientos!$B$1:$B$1324,"&lt;="&amp;$B122)</f>
        <v>221496.38</v>
      </c>
      <c r="I122" s="24">
        <f>SUMIFS('Saldos Iniciales'!$D:$D,'Saldos Iniciales'!$A:$A,"Cross Security Trust")+SUMIFS(Movimientos!$K$1:$K$1324,Movimientos!$C$1:$C$1324,"Cross Security Trust",Movimientos!$B$1:$B$1324,"&lt;="&amp;$B122)</f>
        <v>217684.34</v>
      </c>
      <c r="J122" s="24">
        <f>SUMIFS('Saldos Iniciales'!$D:$D,'Saldos Iniciales'!$A:$A,"Electrama")+SUMIFS(Movimientos!$K$1:$K$1324,Movimientos!$C$1:$C$1324,"Electrama",Movimientos!$B$1:$B$1324,"&lt;="&amp;$B122)</f>
        <v>13270.02</v>
      </c>
      <c r="K122" s="24">
        <f>SUMIFS('Saldos Iniciales'!$D:$D,'Saldos Iniciales'!$A:$A,"Sacred Valley Capital")+SUMIFS(Movimientos!$K$1:$K$1324,Movimientos!$C$1:$C$1324,"Sacred Valley Capital",Movimientos!$B$1:$B$1324,"&lt;="&amp;$B122)</f>
        <v>124.45</v>
      </c>
      <c r="L122" s="24">
        <f>SUMIFS('Saldos Iniciales'!$D:$D,'Saldos Iniciales'!$A:$A,"YWC Capital")+SUMIFS(Movimientos!$K$1:$K$1324,Movimientos!$C$1:$C$1324,"YWC Capital",Movimientos!$B$1:$B$1324,"&lt;="&amp;$B122)</f>
        <v>2177.87</v>
      </c>
      <c r="M122" s="24">
        <f>SUMIFS('Saldos Iniciales'!$D:$D,'Saldos Iniciales'!$A:$A,"Soweto")+SUMIFS(Movimientos!$K$1:$K$1324,Movimientos!$C$1:$C$1324,"Soweto",Movimientos!$B$1:$B$1324,"&lt;="&amp;$B122)</f>
        <v>754424.72</v>
      </c>
      <c r="N122" s="24">
        <f>SUMIFS('Saldos Iniciales'!$D:$D,'Saldos Iniciales'!$A:$A,"Green Stone Trust")+SUMIFS(Movimientos!$K$1:$K$1324,Movimientos!$C$1:$C$1324,"Green Stone Trust",Movimientos!$B$1:$B$1324,"&lt;="&amp;$B122)</f>
        <v>1968.99</v>
      </c>
      <c r="O122" s="24">
        <f>SUMIFS('Saldos Iniciales'!$D:$D,'Saldos Iniciales'!$A:$A,"EC Auto")+SUMIFS(Movimientos!$K$1:$K$1324,Movimientos!$C$1:$C$1324,"EC Auto",Movimientos!$B$1:$B$1324,"&lt;="&amp;$B122)</f>
        <v>901.34</v>
      </c>
      <c r="P122" s="24">
        <f>SUMIFS('Saldos Iniciales'!$D:$D,'Saldos Iniciales'!$A:$A,"Arbor Capital Properties")+SUMIFS(Movimientos!$K$1:$K$1324,Movimientos!$C$1:$C$1324,"Arbor Capital Properties",Movimientos!$B$1:$B$1324,"&lt;="&amp;$B122)</f>
        <v>1396.08</v>
      </c>
      <c r="Q122" s="24">
        <f>SUMIFS('Saldos Iniciales'!$D:$D,'Saldos Iniciales'!$A:$A,"2515 Overbrook")+SUMIFS(Movimientos!$K$1:$K$1324,Movimientos!$C$1:$C$1324,"2515 Overbrook",Movimientos!$B$1:$B$1324,"&lt;="&amp;$B122)</f>
        <v>33670.709999999963</v>
      </c>
      <c r="R122" s="24">
        <f>SUMIFS('Saldos Iniciales'!$D:$D,'Saldos Iniciales'!$A:$A,"112 Florida Ave")+SUMIFS(Movimientos!$K$1:$K$1324,Movimientos!$C$1:$C$1324,"112 Florida Ave",Movimientos!$B$1:$B$1324,"&lt;="&amp;$B122)</f>
        <v>29709.170000000006</v>
      </c>
      <c r="S122" s="24">
        <f>SUMIFS('Saldos Iniciales'!$D:$D,'Saldos Iniciales'!$A:$A,"3628 Thomas Ave")+SUMIFS(Movimientos!$K$1:$K$1324,Movimientos!$C$1:$C$1324,"3628 Thomas Ave",Movimientos!$B$1:$B$1324,"&lt;="&amp;$B122)</f>
        <v>19336.039999999997</v>
      </c>
      <c r="T122" s="24">
        <f>SUMIFS('Saldos Iniciales'!$D:$D,'Saldos Iniciales'!$A:$A,"Green Harbor Trust")+SUMIFS(Movimientos!$K$1:$K$1324,Movimientos!$C$1:$C$1324,"Green Harbor Trust",Movimientos!$B$1:$B$1324,"&lt;="&amp;$B122)</f>
        <v>345</v>
      </c>
      <c r="U122" s="24">
        <f>SUMIFS('Saldos Iniciales'!$D:$D,'Saldos Iniciales'!$A:$A,"Go Blue")+SUMIFS(Movimientos!$K$1:$K$1324,Movimientos!$C$1:$C$1324,"Go Blue",Movimientos!$B$1:$B$1324,"&lt;="&amp;$B122)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Aparments",Movimientos!$B$1:$B$1324,"&lt;="&amp;$B122))</f>
        <v>0</v>
      </c>
      <c r="AD122" s="24">
        <f>IF(YEAR($B122)*100+MONTH($B122)&lt;--SUBSTITUTE(_xlfn.XLOOKUP("Don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Life",Movimientos!$B$1:$B$1324,"&lt;="&amp;$B122))</f>
        <v>0</v>
      </c>
      <c r="AE122" s="25">
        <f t="shared" si="4"/>
        <v>5116059.16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Group")+SUMIFS(Movimientos!$K$1:$K$1324,Movimientos!$C$1:$C$1324,"CFT Group",Movimientos!$B$1:$B$1324,"&lt;="&amp;$B123)</f>
        <v>743430.83000000054</v>
      </c>
      <c r="D123" s="24">
        <f>SUMIFS('Saldos Iniciales'!$D:$D,'Saldos Iniciales'!$A:$A,"M1B")+SUMIFS(Movimientos!$K$1:$K$1324,Movimientos!$C$1:$C$1324,"M1B",Movimientos!$B$1:$B$1324,"&lt;="&amp;$B123)</f>
        <v>93280.230000000171</v>
      </c>
      <c r="E123" s="24">
        <f>SUMIFS('Saldos Iniciales'!$D:$D,'Saldos Iniciales'!$A:$A,"Durand")+SUMIFS(Movimientos!$K$1:$K$1324,Movimientos!$C$1:$C$1324,"Durand",Movimientos!$B$1:$B$1324,"&lt;="&amp;$B123)</f>
        <v>1669.89</v>
      </c>
      <c r="F123" s="24">
        <f>SUMIFS('Saldos Iniciales'!$D:$D,'Saldos Iniciales'!$A:$A,"A&amp;M Imports")+SUMIFS(Movimientos!$K$1:$K$1324,Movimientos!$C$1:$C$1324,"A&amp;M Imports",Movimientos!$B$1:$B$1324,"&lt;="&amp;$B123)</f>
        <v>1418445.91</v>
      </c>
      <c r="G123" s="24">
        <f>SUMIFS('Saldos Iniciales'!$D:$D,'Saldos Iniciales'!$A:$A,"SSP Capital")+SUMIFS(Movimientos!$K$1:$K$1324,Movimientos!$C$1:$C$1324,"SSP Capital",Movimientos!$B$1:$B$1324,"&lt;="&amp;$B123)</f>
        <v>1553167.1899999995</v>
      </c>
      <c r="H123" s="24">
        <f>SUMIFS('Saldos Iniciales'!$D:$D,'Saldos Iniciales'!$A:$A,"Cross Family Trust")+SUMIFS(Movimientos!$K$1:$K$1324,Movimientos!$C$1:$C$1324,"Cross Family Trust",Movimientos!$B$1:$B$1324,"&lt;="&amp;$B123)</f>
        <v>221496.38</v>
      </c>
      <c r="I123" s="24">
        <f>SUMIFS('Saldos Iniciales'!$D:$D,'Saldos Iniciales'!$A:$A,"Cross Security Trust")+SUMIFS(Movimientos!$K$1:$K$1324,Movimientos!$C$1:$C$1324,"Cross Security Trust",Movimientos!$B$1:$B$1324,"&lt;="&amp;$B123)</f>
        <v>217684.34</v>
      </c>
      <c r="J123" s="24">
        <f>SUMIFS('Saldos Iniciales'!$D:$D,'Saldos Iniciales'!$A:$A,"Electrama")+SUMIFS(Movimientos!$K$1:$K$1324,Movimientos!$C$1:$C$1324,"Electrama",Movimientos!$B$1:$B$1324,"&lt;="&amp;$B123)</f>
        <v>13270.02</v>
      </c>
      <c r="K123" s="24">
        <f>SUMIFS('Saldos Iniciales'!$D:$D,'Saldos Iniciales'!$A:$A,"Sacred Valley Capital")+SUMIFS(Movimientos!$K$1:$K$1324,Movimientos!$C$1:$C$1324,"Sacred Valley Capital",Movimientos!$B$1:$B$1324,"&lt;="&amp;$B123)</f>
        <v>124.45</v>
      </c>
      <c r="L123" s="24">
        <f>SUMIFS('Saldos Iniciales'!$D:$D,'Saldos Iniciales'!$A:$A,"YWC Capital")+SUMIFS(Movimientos!$K$1:$K$1324,Movimientos!$C$1:$C$1324,"YWC Capital",Movimientos!$B$1:$B$1324,"&lt;="&amp;$B123)</f>
        <v>2177.87</v>
      </c>
      <c r="M123" s="24">
        <f>SUMIFS('Saldos Iniciales'!$D:$D,'Saldos Iniciales'!$A:$A,"Soweto")+SUMIFS(Movimientos!$K$1:$K$1324,Movimientos!$C$1:$C$1324,"Soweto",Movimientos!$B$1:$B$1324,"&lt;="&amp;$B123)</f>
        <v>754424.72</v>
      </c>
      <c r="N123" s="24">
        <f>SUMIFS('Saldos Iniciales'!$D:$D,'Saldos Iniciales'!$A:$A,"Green Stone Trust")+SUMIFS(Movimientos!$K$1:$K$1324,Movimientos!$C$1:$C$1324,"Green Stone Trust",Movimientos!$B$1:$B$1324,"&lt;="&amp;$B123)</f>
        <v>1968.99</v>
      </c>
      <c r="O123" s="24">
        <f>SUMIFS('Saldos Iniciales'!$D:$D,'Saldos Iniciales'!$A:$A,"EC Auto")+SUMIFS(Movimientos!$K$1:$K$1324,Movimientos!$C$1:$C$1324,"EC Auto",Movimientos!$B$1:$B$1324,"&lt;="&amp;$B123)</f>
        <v>901.34</v>
      </c>
      <c r="P123" s="24">
        <f>SUMIFS('Saldos Iniciales'!$D:$D,'Saldos Iniciales'!$A:$A,"Arbor Capital Properties")+SUMIFS(Movimientos!$K$1:$K$1324,Movimientos!$C$1:$C$1324,"Arbor Capital Properties",Movimientos!$B$1:$B$1324,"&lt;="&amp;$B123)</f>
        <v>1396.08</v>
      </c>
      <c r="Q123" s="24">
        <f>SUMIFS('Saldos Iniciales'!$D:$D,'Saldos Iniciales'!$A:$A,"2515 Overbrook")+SUMIFS(Movimientos!$K$1:$K$1324,Movimientos!$C$1:$C$1324,"2515 Overbrook",Movimientos!$B$1:$B$1324,"&lt;="&amp;$B123)</f>
        <v>33670.709999999963</v>
      </c>
      <c r="R123" s="24">
        <f>SUMIFS('Saldos Iniciales'!$D:$D,'Saldos Iniciales'!$A:$A,"112 Florida Ave")+SUMIFS(Movimientos!$K$1:$K$1324,Movimientos!$C$1:$C$1324,"112 Florida Ave",Movimientos!$B$1:$B$1324,"&lt;="&amp;$B123)</f>
        <v>29709.170000000006</v>
      </c>
      <c r="S123" s="24">
        <f>SUMIFS('Saldos Iniciales'!$D:$D,'Saldos Iniciales'!$A:$A,"3628 Thomas Ave")+SUMIFS(Movimientos!$K$1:$K$1324,Movimientos!$C$1:$C$1324,"3628 Thomas Ave",Movimientos!$B$1:$B$1324,"&lt;="&amp;$B123)</f>
        <v>19336.039999999997</v>
      </c>
      <c r="T123" s="24">
        <f>SUMIFS('Saldos Iniciales'!$D:$D,'Saldos Iniciales'!$A:$A,"Green Harbor Trust")+SUMIFS(Movimientos!$K$1:$K$1324,Movimientos!$C$1:$C$1324,"Green Harbor Trust",Movimientos!$B$1:$B$1324,"&lt;="&amp;$B123)</f>
        <v>345</v>
      </c>
      <c r="U123" s="24">
        <f>SUMIFS('Saldos Iniciales'!$D:$D,'Saldos Iniciales'!$A:$A,"Go Blue")+SUMIFS(Movimientos!$K$1:$K$1324,Movimientos!$C$1:$C$1324,"Go Blue",Movimientos!$B$1:$B$1324,"&lt;="&amp;$B123)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Aparments",Movimientos!$B$1:$B$1324,"&lt;="&amp;$B123))</f>
        <v>0</v>
      </c>
      <c r="AD123" s="24">
        <f>IF(YEAR($B123)*100+MONTH($B123)&lt;--SUBSTITUTE(_xlfn.XLOOKUP("Don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Life",Movimientos!$B$1:$B$1324,"&lt;="&amp;$B123))</f>
        <v>0</v>
      </c>
      <c r="AE123" s="25">
        <f t="shared" si="4"/>
        <v>5116059.16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Group")+SUMIFS(Movimientos!$K$1:$K$1324,Movimientos!$C$1:$C$1324,"CFT Group",Movimientos!$B$1:$B$1324,"&lt;="&amp;$B124)</f>
        <v>740452.88000000059</v>
      </c>
      <c r="D124" s="24">
        <f>SUMIFS('Saldos Iniciales'!$D:$D,'Saldos Iniciales'!$A:$A,"M1B")+SUMIFS(Movimientos!$K$1:$K$1324,Movimientos!$C$1:$C$1324,"M1B",Movimientos!$B$1:$B$1324,"&lt;="&amp;$B124)</f>
        <v>93280.230000000171</v>
      </c>
      <c r="E124" s="24">
        <f>SUMIFS('Saldos Iniciales'!$D:$D,'Saldos Iniciales'!$A:$A,"Durand")+SUMIFS(Movimientos!$K$1:$K$1324,Movimientos!$C$1:$C$1324,"Durand",Movimientos!$B$1:$B$1324,"&lt;="&amp;$B124)</f>
        <v>1669.89</v>
      </c>
      <c r="F124" s="24">
        <f>SUMIFS('Saldos Iniciales'!$D:$D,'Saldos Iniciales'!$A:$A,"A&amp;M Imports")+SUMIFS(Movimientos!$K$1:$K$1324,Movimientos!$C$1:$C$1324,"A&amp;M Imports",Movimientos!$B$1:$B$1324,"&lt;="&amp;$B124)</f>
        <v>1419898.24</v>
      </c>
      <c r="G124" s="24">
        <f>SUMIFS('Saldos Iniciales'!$D:$D,'Saldos Iniciales'!$A:$A,"SSP Capital")+SUMIFS(Movimientos!$K$1:$K$1324,Movimientos!$C$1:$C$1324,"SSP Capital",Movimientos!$B$1:$B$1324,"&lt;="&amp;$B124)</f>
        <v>1555601.2099999995</v>
      </c>
      <c r="H124" s="24">
        <f>SUMIFS('Saldos Iniciales'!$D:$D,'Saldos Iniciales'!$A:$A,"Cross Family Trust")+SUMIFS(Movimientos!$K$1:$K$1324,Movimientos!$C$1:$C$1324,"Cross Family Trust",Movimientos!$B$1:$B$1324,"&lt;="&amp;$B124)</f>
        <v>221496.38</v>
      </c>
      <c r="I124" s="24">
        <f>SUMIFS('Saldos Iniciales'!$D:$D,'Saldos Iniciales'!$A:$A,"Cross Security Trust")+SUMIFS(Movimientos!$K$1:$K$1324,Movimientos!$C$1:$C$1324,"Cross Security Trust",Movimientos!$B$1:$B$1324,"&lt;="&amp;$B124)</f>
        <v>217684.34</v>
      </c>
      <c r="J124" s="24">
        <f>SUMIFS('Saldos Iniciales'!$D:$D,'Saldos Iniciales'!$A:$A,"Electrama")+SUMIFS(Movimientos!$K$1:$K$1324,Movimientos!$C$1:$C$1324,"Electrama",Movimientos!$B$1:$B$1324,"&lt;="&amp;$B124)</f>
        <v>13270.02</v>
      </c>
      <c r="K124" s="24">
        <f>SUMIFS('Saldos Iniciales'!$D:$D,'Saldos Iniciales'!$A:$A,"Sacred Valley Capital")+SUMIFS(Movimientos!$K$1:$K$1324,Movimientos!$C$1:$C$1324,"Sacred Valley Capital",Movimientos!$B$1:$B$1324,"&lt;="&amp;$B124)</f>
        <v>124.45</v>
      </c>
      <c r="L124" s="24">
        <f>SUMIFS('Saldos Iniciales'!$D:$D,'Saldos Iniciales'!$A:$A,"YWC Capital")+SUMIFS(Movimientos!$K$1:$K$1324,Movimientos!$C$1:$C$1324,"YWC Capital",Movimientos!$B$1:$B$1324,"&lt;="&amp;$B124)</f>
        <v>2177.87</v>
      </c>
      <c r="M124" s="24">
        <f>SUMIFS('Saldos Iniciales'!$D:$D,'Saldos Iniciales'!$A:$A,"Soweto")+SUMIFS(Movimientos!$K$1:$K$1324,Movimientos!$C$1:$C$1324,"Soweto",Movimientos!$B$1:$B$1324,"&lt;="&amp;$B124)</f>
        <v>754424.72</v>
      </c>
      <c r="N124" s="24">
        <f>SUMIFS('Saldos Iniciales'!$D:$D,'Saldos Iniciales'!$A:$A,"Green Stone Trust")+SUMIFS(Movimientos!$K$1:$K$1324,Movimientos!$C$1:$C$1324,"Green Stone Trust",Movimientos!$B$1:$B$1324,"&lt;="&amp;$B124)</f>
        <v>1968.99</v>
      </c>
      <c r="O124" s="24">
        <f>SUMIFS('Saldos Iniciales'!$D:$D,'Saldos Iniciales'!$A:$A,"EC Auto")+SUMIFS(Movimientos!$K$1:$K$1324,Movimientos!$C$1:$C$1324,"EC Auto",Movimientos!$B$1:$B$1324,"&lt;="&amp;$B124)</f>
        <v>901.34</v>
      </c>
      <c r="P124" s="24">
        <f>SUMIFS('Saldos Iniciales'!$D:$D,'Saldos Iniciales'!$A:$A,"Arbor Capital Properties")+SUMIFS(Movimientos!$K$1:$K$1324,Movimientos!$C$1:$C$1324,"Arbor Capital Properties",Movimientos!$B$1:$B$1324,"&lt;="&amp;$B124)</f>
        <v>1396.08</v>
      </c>
      <c r="Q124" s="24">
        <f>SUMIFS('Saldos Iniciales'!$D:$D,'Saldos Iniciales'!$A:$A,"2515 Overbrook")+SUMIFS(Movimientos!$K$1:$K$1324,Movimientos!$C$1:$C$1324,"2515 Overbrook",Movimientos!$B$1:$B$1324,"&lt;="&amp;$B124)</f>
        <v>33570.709999999963</v>
      </c>
      <c r="R124" s="24">
        <f>SUMIFS('Saldos Iniciales'!$D:$D,'Saldos Iniciales'!$A:$A,"112 Florida Ave")+SUMIFS(Movimientos!$K$1:$K$1324,Movimientos!$C$1:$C$1324,"112 Florida Ave",Movimientos!$B$1:$B$1324,"&lt;="&amp;$B124)</f>
        <v>26559.170000000006</v>
      </c>
      <c r="S124" s="24">
        <f>SUMIFS('Saldos Iniciales'!$D:$D,'Saldos Iniciales'!$A:$A,"3628 Thomas Ave")+SUMIFS(Movimientos!$K$1:$K$1324,Movimientos!$C$1:$C$1324,"3628 Thomas Ave",Movimientos!$B$1:$B$1324,"&lt;="&amp;$B124)</f>
        <v>23736.039999999997</v>
      </c>
      <c r="T124" s="24">
        <f>SUMIFS('Saldos Iniciales'!$D:$D,'Saldos Iniciales'!$A:$A,"Green Harbor Trust")+SUMIFS(Movimientos!$K$1:$K$1324,Movimientos!$C$1:$C$1324,"Green Harbor Trust",Movimientos!$B$1:$B$1324,"&lt;="&amp;$B124)</f>
        <v>345</v>
      </c>
      <c r="U124" s="24">
        <f>SUMIFS('Saldos Iniciales'!$D:$D,'Saldos Iniciales'!$A:$A,"Go Blue")+SUMIFS(Movimientos!$K$1:$K$1324,Movimientos!$C$1:$C$1324,"Go Blue",Movimientos!$B$1:$B$1324,"&lt;="&amp;$B124)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Aparments",Movimientos!$B$1:$B$1324,"&lt;="&amp;$B124))</f>
        <v>0</v>
      </c>
      <c r="AD124" s="24">
        <f>IF(YEAR($B124)*100+MONTH($B124)&lt;--SUBSTITUTE(_xlfn.XLOOKUP("Don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Life",Movimientos!$B$1:$B$1324,"&lt;="&amp;$B124))</f>
        <v>0</v>
      </c>
      <c r="AE124" s="25">
        <f t="shared" si="4"/>
        <v>5118117.5599999996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Group")+SUMIFS(Movimientos!$K$1:$K$1324,Movimientos!$C$1:$C$1324,"CFT Group",Movimientos!$B$1:$B$1324,"&lt;="&amp;$B125)</f>
        <v>757677.3900000006</v>
      </c>
      <c r="D125" s="24">
        <f>SUMIFS('Saldos Iniciales'!$D:$D,'Saldos Iniciales'!$A:$A,"M1B")+SUMIFS(Movimientos!$K$1:$K$1324,Movimientos!$C$1:$C$1324,"M1B",Movimientos!$B$1:$B$1324,"&lt;="&amp;$B125)</f>
        <v>93280.230000000171</v>
      </c>
      <c r="E125" s="24">
        <f>SUMIFS('Saldos Iniciales'!$D:$D,'Saldos Iniciales'!$A:$A,"Durand")+SUMIFS(Movimientos!$K$1:$K$1324,Movimientos!$C$1:$C$1324,"Durand",Movimientos!$B$1:$B$1324,"&lt;="&amp;$B125)</f>
        <v>1669.89</v>
      </c>
      <c r="F125" s="24">
        <f>SUMIFS('Saldos Iniciales'!$D:$D,'Saldos Iniciales'!$A:$A,"A&amp;M Imports")+SUMIFS(Movimientos!$K$1:$K$1324,Movimientos!$C$1:$C$1324,"A&amp;M Imports",Movimientos!$B$1:$B$1324,"&lt;="&amp;$B125)</f>
        <v>1419898.24</v>
      </c>
      <c r="G125" s="24">
        <f>SUMIFS('Saldos Iniciales'!$D:$D,'Saldos Iniciales'!$A:$A,"SSP Capital")+SUMIFS(Movimientos!$K$1:$K$1324,Movimientos!$C$1:$C$1324,"SSP Capital",Movimientos!$B$1:$B$1324,"&lt;="&amp;$B125)</f>
        <v>1484962.6199999996</v>
      </c>
      <c r="H125" s="24">
        <f>SUMIFS('Saldos Iniciales'!$D:$D,'Saldos Iniciales'!$A:$A,"Cross Family Trust")+SUMIFS(Movimientos!$K$1:$K$1324,Movimientos!$C$1:$C$1324,"Cross Family Trust",Movimientos!$B$1:$B$1324,"&lt;="&amp;$B125)</f>
        <v>215496.38</v>
      </c>
      <c r="I125" s="24">
        <f>SUMIFS('Saldos Iniciales'!$D:$D,'Saldos Iniciales'!$A:$A,"Cross Security Trust")+SUMIFS(Movimientos!$K$1:$K$1324,Movimientos!$C$1:$C$1324,"Cross Security Trust",Movimientos!$B$1:$B$1324,"&lt;="&amp;$B125)</f>
        <v>217684.34</v>
      </c>
      <c r="J125" s="24">
        <f>SUMIFS('Saldos Iniciales'!$D:$D,'Saldos Iniciales'!$A:$A,"Electrama")+SUMIFS(Movimientos!$K$1:$K$1324,Movimientos!$C$1:$C$1324,"Electrama",Movimientos!$B$1:$B$1324,"&lt;="&amp;$B125)</f>
        <v>13054.880000000001</v>
      </c>
      <c r="K125" s="24">
        <f>SUMIFS('Saldos Iniciales'!$D:$D,'Saldos Iniciales'!$A:$A,"Sacred Valley Capital")+SUMIFS(Movimientos!$K$1:$K$1324,Movimientos!$C$1:$C$1324,"Sacred Valley Capital",Movimientos!$B$1:$B$1324,"&lt;="&amp;$B125)</f>
        <v>94.5</v>
      </c>
      <c r="L125" s="24">
        <f>SUMIFS('Saldos Iniciales'!$D:$D,'Saldos Iniciales'!$A:$A,"YWC Capital")+SUMIFS(Movimientos!$K$1:$K$1324,Movimientos!$C$1:$C$1324,"YWC Capital",Movimientos!$B$1:$B$1324,"&lt;="&amp;$B125)</f>
        <v>2147.92</v>
      </c>
      <c r="M125" s="24">
        <f>SUMIFS('Saldos Iniciales'!$D:$D,'Saldos Iniciales'!$A:$A,"Soweto")+SUMIFS(Movimientos!$K$1:$K$1324,Movimientos!$C$1:$C$1324,"Soweto",Movimientos!$B$1:$B$1324,"&lt;="&amp;$B125)</f>
        <v>754424.72</v>
      </c>
      <c r="N125" s="24">
        <f>SUMIFS('Saldos Iniciales'!$D:$D,'Saldos Iniciales'!$A:$A,"Green Stone Trust")+SUMIFS(Movimientos!$K$1:$K$1324,Movimientos!$C$1:$C$1324,"Green Stone Trust",Movimientos!$B$1:$B$1324,"&lt;="&amp;$B125)</f>
        <v>1968.99</v>
      </c>
      <c r="O125" s="24">
        <f>SUMIFS('Saldos Iniciales'!$D:$D,'Saldos Iniciales'!$A:$A,"EC Auto")+SUMIFS(Movimientos!$K$1:$K$1324,Movimientos!$C$1:$C$1324,"EC Auto",Movimientos!$B$1:$B$1324,"&lt;="&amp;$B125)</f>
        <v>901.34</v>
      </c>
      <c r="P125" s="24">
        <f>SUMIFS('Saldos Iniciales'!$D:$D,'Saldos Iniciales'!$A:$A,"Arbor Capital Properties")+SUMIFS(Movimientos!$K$1:$K$1324,Movimientos!$C$1:$C$1324,"Arbor Capital Properties",Movimientos!$B$1:$B$1324,"&lt;="&amp;$B125)</f>
        <v>1380.08</v>
      </c>
      <c r="Q125" s="24">
        <f>SUMIFS('Saldos Iniciales'!$D:$D,'Saldos Iniciales'!$A:$A,"2515 Overbrook")+SUMIFS(Movimientos!$K$1:$K$1324,Movimientos!$C$1:$C$1324,"2515 Overbrook",Movimientos!$B$1:$B$1324,"&lt;="&amp;$B125)</f>
        <v>25027.379999999961</v>
      </c>
      <c r="R125" s="24">
        <f>SUMIFS('Saldos Iniciales'!$D:$D,'Saldos Iniciales'!$A:$A,"112 Florida Ave")+SUMIFS(Movimientos!$K$1:$K$1324,Movimientos!$C$1:$C$1324,"112 Florida Ave",Movimientos!$B$1:$B$1324,"&lt;="&amp;$B125)</f>
        <v>16760.540000000008</v>
      </c>
      <c r="S125" s="24">
        <f>SUMIFS('Saldos Iniciales'!$D:$D,'Saldos Iniciales'!$A:$A,"3628 Thomas Ave")+SUMIFS(Movimientos!$K$1:$K$1324,Movimientos!$C$1:$C$1324,"3628 Thomas Ave",Movimientos!$B$1:$B$1324,"&lt;="&amp;$B125)</f>
        <v>14962.999999999996</v>
      </c>
      <c r="T125" s="24">
        <f>SUMIFS('Saldos Iniciales'!$D:$D,'Saldos Iniciales'!$A:$A,"Green Harbor Trust")+SUMIFS(Movimientos!$K$1:$K$1324,Movimientos!$C$1:$C$1324,"Green Harbor Trust",Movimientos!$B$1:$B$1324,"&lt;="&amp;$B125)</f>
        <v>345</v>
      </c>
      <c r="U125" s="24">
        <f>SUMIFS('Saldos Iniciales'!$D:$D,'Saldos Iniciales'!$A:$A,"Go Blue")+SUMIFS(Movimientos!$K$1:$K$1324,Movimientos!$C$1:$C$1324,"Go Blue",Movimientos!$B$1:$B$1324,"&lt;="&amp;$B125)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Aparments",Movimientos!$B$1:$B$1324,"&lt;="&amp;$B125))</f>
        <v>241342.91999999998</v>
      </c>
      <c r="AD125" s="24">
        <f>IF(YEAR($B125)*100+MONTH($B125)&lt;--SUBSTITUTE(_xlfn.XLOOKUP("Don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Life",Movimientos!$B$1:$B$1324,"&lt;="&amp;$B125))</f>
        <v>303874.71999999997</v>
      </c>
      <c r="AE125" s="25">
        <f t="shared" si="4"/>
        <v>6002602.2400000002</v>
      </c>
    </row>
    <row r="126" spans="1:31" outlineLevel="1" x14ac:dyDescent="0.3">
      <c r="A126" s="22">
        <f t="shared" ref="A126:A168" si="5">+A125+1</f>
        <v>125</v>
      </c>
      <c r="B126" s="23">
        <v>46267</v>
      </c>
      <c r="C126" s="24">
        <f>SUMIFS('Saldos Iniciales'!$D:$D,'Saldos Iniciales'!$A:$A,"CFT Group")+SUMIFS(Movimientos!$K$1:$K$1324,Movimientos!$C$1:$C$1324,"CFT Group",Movimientos!$B$1:$B$1324,"&lt;="&amp;$B126)</f>
        <v>1468396.1200000006</v>
      </c>
      <c r="D126" s="24">
        <f>SUMIFS('Saldos Iniciales'!$D:$D,'Saldos Iniciales'!$A:$A,"M1B")+SUMIFS(Movimientos!$K$1:$K$1324,Movimientos!$C$1:$C$1324,"M1B",Movimientos!$B$1:$B$1324,"&lt;="&amp;$B126)</f>
        <v>93280.230000000171</v>
      </c>
      <c r="E126" s="24">
        <f>SUMIFS('Saldos Iniciales'!$D:$D,'Saldos Iniciales'!$A:$A,"Durand")+SUMIFS(Movimientos!$K$1:$K$1324,Movimientos!$C$1:$C$1324,"Durand",Movimientos!$B$1:$B$1324,"&lt;="&amp;$B126)</f>
        <v>1669.89</v>
      </c>
      <c r="F126" s="24">
        <f>SUMIFS('Saldos Iniciales'!$D:$D,'Saldos Iniciales'!$A:$A,"A&amp;M Imports")+SUMIFS(Movimientos!$K$1:$K$1324,Movimientos!$C$1:$C$1324,"A&amp;M Imports",Movimientos!$B$1:$B$1324,"&lt;="&amp;$B126)</f>
        <v>1419898.24</v>
      </c>
      <c r="G126" s="24">
        <f>SUMIFS('Saldos Iniciales'!$D:$D,'Saldos Iniciales'!$A:$A,"SSP Capital")+SUMIFS(Movimientos!$K$1:$K$1324,Movimientos!$C$1:$C$1324,"SSP Capital",Movimientos!$B$1:$B$1324,"&lt;="&amp;$B126)</f>
        <v>1484962.6199999996</v>
      </c>
      <c r="H126" s="24">
        <f>SUMIFS('Saldos Iniciales'!$D:$D,'Saldos Iniciales'!$A:$A,"Cross Family Trust")+SUMIFS(Movimientos!$K$1:$K$1324,Movimientos!$C$1:$C$1324,"Cross Family Trust",Movimientos!$B$1:$B$1324,"&lt;="&amp;$B126)</f>
        <v>249778.14</v>
      </c>
      <c r="I126" s="24">
        <f>SUMIFS('Saldos Iniciales'!$D:$D,'Saldos Iniciales'!$A:$A,"Cross Security Trust")+SUMIFS(Movimientos!$K$1:$K$1324,Movimientos!$C$1:$C$1324,"Cross Security Trust",Movimientos!$B$1:$B$1324,"&lt;="&amp;$B126)</f>
        <v>217684.34</v>
      </c>
      <c r="J126" s="24">
        <f>SUMIFS('Saldos Iniciales'!$D:$D,'Saldos Iniciales'!$A:$A,"Electrama")+SUMIFS(Movimientos!$K$1:$K$1324,Movimientos!$C$1:$C$1324,"Electrama",Movimientos!$B$1:$B$1324,"&lt;="&amp;$B126)</f>
        <v>13054.880000000001</v>
      </c>
      <c r="K126" s="24">
        <f>SUMIFS('Saldos Iniciales'!$D:$D,'Saldos Iniciales'!$A:$A,"Sacred Valley Capital")+SUMIFS(Movimientos!$K$1:$K$1324,Movimientos!$C$1:$C$1324,"Sacred Valley Capital",Movimientos!$B$1:$B$1324,"&lt;="&amp;$B126)</f>
        <v>94.5</v>
      </c>
      <c r="L126" s="24">
        <f>SUMIFS('Saldos Iniciales'!$D:$D,'Saldos Iniciales'!$A:$A,"YWC Capital")+SUMIFS(Movimientos!$K$1:$K$1324,Movimientos!$C$1:$C$1324,"YWC Capital",Movimientos!$B$1:$B$1324,"&lt;="&amp;$B126)</f>
        <v>2147.92</v>
      </c>
      <c r="M126" s="24">
        <f>SUMIFS('Saldos Iniciales'!$D:$D,'Saldos Iniciales'!$A:$A,"Soweto")+SUMIFS(Movimientos!$K$1:$K$1324,Movimientos!$C$1:$C$1324,"Soweto",Movimientos!$B$1:$B$1324,"&lt;="&amp;$B126)</f>
        <v>17895.290000000015</v>
      </c>
      <c r="N126" s="24">
        <f>SUMIFS('Saldos Iniciales'!$D:$D,'Saldos Iniciales'!$A:$A,"Green Stone Trust")+SUMIFS(Movimientos!$K$1:$K$1324,Movimientos!$C$1:$C$1324,"Green Stone Trust",Movimientos!$B$1:$B$1324,"&lt;="&amp;$B126)</f>
        <v>1968.99</v>
      </c>
      <c r="O126" s="24">
        <f>SUMIFS('Saldos Iniciales'!$D:$D,'Saldos Iniciales'!$A:$A,"EC Auto")+SUMIFS(Movimientos!$K$1:$K$1324,Movimientos!$C$1:$C$1324,"EC Auto",Movimientos!$B$1:$B$1324,"&lt;="&amp;$B126)</f>
        <v>901.34</v>
      </c>
      <c r="P126" s="24">
        <f>SUMIFS('Saldos Iniciales'!$D:$D,'Saldos Iniciales'!$A:$A,"Arbor Capital Properties")+SUMIFS(Movimientos!$K$1:$K$1324,Movimientos!$C$1:$C$1324,"Arbor Capital Properties",Movimientos!$B$1:$B$1324,"&lt;="&amp;$B126)</f>
        <v>1380.08</v>
      </c>
      <c r="Q126" s="24">
        <f>SUMIFS('Saldos Iniciales'!$D:$D,'Saldos Iniciales'!$A:$A,"2515 Overbrook")+SUMIFS(Movimientos!$K$1:$K$1324,Movimientos!$C$1:$C$1324,"2515 Overbrook",Movimientos!$B$1:$B$1324,"&lt;="&amp;$B126)</f>
        <v>25027.379999999961</v>
      </c>
      <c r="R126" s="24">
        <f>SUMIFS('Saldos Iniciales'!$D:$D,'Saldos Iniciales'!$A:$A,"112 Florida Ave")+SUMIFS(Movimientos!$K$1:$K$1324,Movimientos!$C$1:$C$1324,"112 Florida Ave",Movimientos!$B$1:$B$1324,"&lt;="&amp;$B126)</f>
        <v>16760.540000000008</v>
      </c>
      <c r="S126" s="24">
        <f>SUMIFS('Saldos Iniciales'!$D:$D,'Saldos Iniciales'!$A:$A,"3628 Thomas Ave")+SUMIFS(Movimientos!$K$1:$K$1324,Movimientos!$C$1:$C$1324,"3628 Thomas Ave",Movimientos!$B$1:$B$1324,"&lt;="&amp;$B126)</f>
        <v>14162.999999999996</v>
      </c>
      <c r="T126" s="24">
        <f>SUMIFS('Saldos Iniciales'!$D:$D,'Saldos Iniciales'!$A:$A,"Green Harbor Trust")+SUMIFS(Movimientos!$K$1:$K$1324,Movimientos!$C$1:$C$1324,"Green Harbor Trust",Movimientos!$B$1:$B$1324,"&lt;="&amp;$B126)</f>
        <v>345</v>
      </c>
      <c r="U126" s="24">
        <f>SUMIFS('Saldos Iniciales'!$D:$D,'Saldos Iniciales'!$A:$A,"Go Blue")+SUMIFS(Movimientos!$K$1:$K$1324,Movimientos!$C$1:$C$1324,"Go Blue",Movimientos!$B$1:$B$1324,"&lt;="&amp;$B126)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Aparments",Movimientos!$B$1:$B$1324,"&lt;="&amp;$B126))</f>
        <v>241674.28999999998</v>
      </c>
      <c r="AD126" s="24">
        <f>IF(YEAR($B126)*100+MONTH($B126)&lt;--SUBSTITUTE(_xlfn.XLOOKUP("Don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Life",Movimientos!$B$1:$B$1324,"&lt;="&amp;$B126))</f>
        <v>303874.71999999997</v>
      </c>
      <c r="AE126" s="25">
        <f t="shared" si="4"/>
        <v>6006916.0399999991</v>
      </c>
    </row>
    <row r="127" spans="1:3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Group")+SUMIFS(Movimientos!$K$1:$K$1324,Movimientos!$C$1:$C$1324,"CFT Group",Movimientos!$B$1:$B$1324,"&lt;="&amp;$B127)</f>
        <v>1053254.4500000007</v>
      </c>
      <c r="D127" s="24">
        <f>SUMIFS('Saldos Iniciales'!$D:$D,'Saldos Iniciales'!$A:$A,"M1B")+SUMIFS(Movimientos!$K$1:$K$1324,Movimientos!$C$1:$C$1324,"M1B",Movimientos!$B$1:$B$1324,"&lt;="&amp;$B127)</f>
        <v>93280.230000000171</v>
      </c>
      <c r="E127" s="24">
        <f>SUMIFS('Saldos Iniciales'!$D:$D,'Saldos Iniciales'!$A:$A,"Durand")+SUMIFS(Movimientos!$K$1:$K$1324,Movimientos!$C$1:$C$1324,"Durand",Movimientos!$B$1:$B$1324,"&lt;="&amp;$B127)</f>
        <v>1669.89</v>
      </c>
      <c r="F127" s="24">
        <f>SUMIFS('Saldos Iniciales'!$D:$D,'Saldos Iniciales'!$A:$A,"A&amp;M Imports")+SUMIFS(Movimientos!$K$1:$K$1324,Movimientos!$C$1:$C$1324,"A&amp;M Imports",Movimientos!$B$1:$B$1324,"&lt;="&amp;$B127)</f>
        <v>1250938</v>
      </c>
      <c r="G127" s="24">
        <f>SUMIFS('Saldos Iniciales'!$D:$D,'Saldos Iniciales'!$A:$A,"SSP Capital")+SUMIFS(Movimientos!$K$1:$K$1324,Movimientos!$C$1:$C$1324,"SSP Capital",Movimientos!$B$1:$B$1324,"&lt;="&amp;$B127)</f>
        <v>1500228.9099999997</v>
      </c>
      <c r="H127" s="24">
        <f>SUMIFS('Saldos Iniciales'!$D:$D,'Saldos Iniciales'!$A:$A,"Cross Family Trust")+SUMIFS(Movimientos!$K$1:$K$1324,Movimientos!$C$1:$C$1324,"Cross Family Trust",Movimientos!$B$1:$B$1324,"&lt;="&amp;$B127)</f>
        <v>249778.14</v>
      </c>
      <c r="I127" s="24">
        <f>SUMIFS('Saldos Iniciales'!$D:$D,'Saldos Iniciales'!$A:$A,"Cross Security Trust")+SUMIFS(Movimientos!$K$1:$K$1324,Movimientos!$C$1:$C$1324,"Cross Security Trust",Movimientos!$B$1:$B$1324,"&lt;="&amp;$B127)</f>
        <v>217684.34</v>
      </c>
      <c r="J127" s="24">
        <f>SUMIFS('Saldos Iniciales'!$D:$D,'Saldos Iniciales'!$A:$A,"Electrama")+SUMIFS(Movimientos!$K$1:$K$1324,Movimientos!$C$1:$C$1324,"Electrama",Movimientos!$B$1:$B$1324,"&lt;="&amp;$B127)</f>
        <v>13014.880000000001</v>
      </c>
      <c r="K127" s="24">
        <f>SUMIFS('Saldos Iniciales'!$D:$D,'Saldos Iniciales'!$A:$A,"Sacred Valley Capital")+SUMIFS(Movimientos!$K$1:$K$1324,Movimientos!$C$1:$C$1324,"Sacred Valley Capital",Movimientos!$B$1:$B$1324,"&lt;="&amp;$B127)</f>
        <v>94.5</v>
      </c>
      <c r="L127" s="24">
        <f>SUMIFS('Saldos Iniciales'!$D:$D,'Saldos Iniciales'!$A:$A,"YWC Capital")+SUMIFS(Movimientos!$K$1:$K$1324,Movimientos!$C$1:$C$1324,"YWC Capital",Movimientos!$B$1:$B$1324,"&lt;="&amp;$B127)</f>
        <v>2147.92</v>
      </c>
      <c r="M127" s="24">
        <f>SUMIFS('Saldos Iniciales'!$D:$D,'Saldos Iniciales'!$A:$A,"Soweto")+SUMIFS(Movimientos!$K$1:$K$1324,Movimientos!$C$1:$C$1324,"Soweto",Movimientos!$B$1:$B$1324,"&lt;="&amp;$B127)</f>
        <v>17895.290000000015</v>
      </c>
      <c r="N127" s="24">
        <f>SUMIFS('Saldos Iniciales'!$D:$D,'Saldos Iniciales'!$A:$A,"Green Stone Trust")+SUMIFS(Movimientos!$K$1:$K$1324,Movimientos!$C$1:$C$1324,"Green Stone Trust",Movimientos!$B$1:$B$1324,"&lt;="&amp;$B127)</f>
        <v>1968.99</v>
      </c>
      <c r="O127" s="24">
        <f>SUMIFS('Saldos Iniciales'!$D:$D,'Saldos Iniciales'!$A:$A,"EC Auto")+SUMIFS(Movimientos!$K$1:$K$1324,Movimientos!$C$1:$C$1324,"EC Auto",Movimientos!$B$1:$B$1324,"&lt;="&amp;$B127)</f>
        <v>901.34</v>
      </c>
      <c r="P127" s="24">
        <f>SUMIFS('Saldos Iniciales'!$D:$D,'Saldos Iniciales'!$A:$A,"Arbor Capital Properties")+SUMIFS(Movimientos!$K$1:$K$1324,Movimientos!$C$1:$C$1324,"Arbor Capital Properties",Movimientos!$B$1:$B$1324,"&lt;="&amp;$B127)</f>
        <v>1380.08</v>
      </c>
      <c r="Q127" s="24">
        <f>SUMIFS('Saldos Iniciales'!$D:$D,'Saldos Iniciales'!$A:$A,"2515 Overbrook")+SUMIFS(Movimientos!$K$1:$K$1324,Movimientos!$C$1:$C$1324,"2515 Overbrook",Movimientos!$B$1:$B$1324,"&lt;="&amp;$B127)</f>
        <v>25027.379999999961</v>
      </c>
      <c r="R127" s="24">
        <f>SUMIFS('Saldos Iniciales'!$D:$D,'Saldos Iniciales'!$A:$A,"112 Florida Ave")+SUMIFS(Movimientos!$K$1:$K$1324,Movimientos!$C$1:$C$1324,"112 Florida Ave",Movimientos!$B$1:$B$1324,"&lt;="&amp;$B127)</f>
        <v>16760.540000000008</v>
      </c>
      <c r="S127" s="24">
        <f>SUMIFS('Saldos Iniciales'!$D:$D,'Saldos Iniciales'!$A:$A,"3628 Thomas Ave")+SUMIFS(Movimientos!$K$1:$K$1324,Movimientos!$C$1:$C$1324,"3628 Thomas Ave",Movimientos!$B$1:$B$1324,"&lt;="&amp;$B127)</f>
        <v>14162.999999999996</v>
      </c>
      <c r="T127" s="24">
        <f>SUMIFS('Saldos Iniciales'!$D:$D,'Saldos Iniciales'!$A:$A,"Green Harbor Trust")+SUMIFS(Movimientos!$K$1:$K$1324,Movimientos!$C$1:$C$1324,"Green Harbor Trust",Movimientos!$B$1:$B$1324,"&lt;="&amp;$B127)</f>
        <v>345</v>
      </c>
      <c r="U127" s="24">
        <f>SUMIFS('Saldos Iniciales'!$D:$D,'Saldos Iniciales'!$A:$A,"Go Blue")+SUMIFS(Movimientos!$K$1:$K$1324,Movimientos!$C$1:$C$1324,"Go Blue",Movimientos!$B$1:$B$1324,"&lt;="&amp;$B127)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Aparments",Movimientos!$B$1:$B$1324,"&lt;="&amp;$B127))</f>
        <v>241819.28999999998</v>
      </c>
      <c r="AD127" s="24">
        <f>IF(YEAR($B127)*100+MONTH($B127)&lt;--SUBSTITUTE(_xlfn.XLOOKUP("Don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Life",Movimientos!$B$1:$B$1324,"&lt;="&amp;$B127))</f>
        <v>303874.71999999997</v>
      </c>
      <c r="AE127" s="25">
        <f t="shared" si="4"/>
        <v>5434398.7800000012</v>
      </c>
    </row>
    <row r="128" spans="1:3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Group")+SUMIFS(Movimientos!$K$1:$K$1324,Movimientos!$C$1:$C$1324,"CFT Group",Movimientos!$B$1:$B$1324,"&lt;="&amp;$B128)</f>
        <v>1549729.4500000007</v>
      </c>
      <c r="D128" s="24">
        <f>SUMIFS('Saldos Iniciales'!$D:$D,'Saldos Iniciales'!$A:$A,"M1B")+SUMIFS(Movimientos!$K$1:$K$1324,Movimientos!$C$1:$C$1324,"M1B",Movimientos!$B$1:$B$1324,"&lt;="&amp;$B128)</f>
        <v>93280.230000000171</v>
      </c>
      <c r="E128" s="24">
        <f>SUMIFS('Saldos Iniciales'!$D:$D,'Saldos Iniciales'!$A:$A,"Durand")+SUMIFS(Movimientos!$K$1:$K$1324,Movimientos!$C$1:$C$1324,"Durand",Movimientos!$B$1:$B$1324,"&lt;="&amp;$B128)</f>
        <v>1669.89</v>
      </c>
      <c r="F128" s="24">
        <f>SUMIFS('Saldos Iniciales'!$D:$D,'Saldos Iniciales'!$A:$A,"A&amp;M Imports")+SUMIFS(Movimientos!$K$1:$K$1324,Movimientos!$C$1:$C$1324,"A&amp;M Imports",Movimientos!$B$1:$B$1324,"&lt;="&amp;$B128)</f>
        <v>1250938</v>
      </c>
      <c r="G128" s="24">
        <f>SUMIFS('Saldos Iniciales'!$D:$D,'Saldos Iniciales'!$A:$A,"SSP Capital")+SUMIFS(Movimientos!$K$1:$K$1324,Movimientos!$C$1:$C$1324,"SSP Capital",Movimientos!$B$1:$B$1324,"&lt;="&amp;$B128)</f>
        <v>1499204.7399999998</v>
      </c>
      <c r="H128" s="24">
        <f>SUMIFS('Saldos Iniciales'!$D:$D,'Saldos Iniciales'!$A:$A,"Cross Family Trust")+SUMIFS(Movimientos!$K$1:$K$1324,Movimientos!$C$1:$C$1324,"Cross Family Trust",Movimientos!$B$1:$B$1324,"&lt;="&amp;$B128)</f>
        <v>249778.14</v>
      </c>
      <c r="I128" s="24">
        <f>SUMIFS('Saldos Iniciales'!$D:$D,'Saldos Iniciales'!$A:$A,"Cross Security Trust")+SUMIFS(Movimientos!$K$1:$K$1324,Movimientos!$C$1:$C$1324,"Cross Security Trust",Movimientos!$B$1:$B$1324,"&lt;="&amp;$B128)</f>
        <v>217684.34</v>
      </c>
      <c r="J128" s="24">
        <f>SUMIFS('Saldos Iniciales'!$D:$D,'Saldos Iniciales'!$A:$A,"Electrama")+SUMIFS(Movimientos!$K$1:$K$1324,Movimientos!$C$1:$C$1324,"Electrama",Movimientos!$B$1:$B$1324,"&lt;="&amp;$B128)</f>
        <v>13014.880000000001</v>
      </c>
      <c r="K128" s="24">
        <f>SUMIFS('Saldos Iniciales'!$D:$D,'Saldos Iniciales'!$A:$A,"Sacred Valley Capital")+SUMIFS(Movimientos!$K$1:$K$1324,Movimientos!$C$1:$C$1324,"Sacred Valley Capital",Movimientos!$B$1:$B$1324,"&lt;="&amp;$B128)</f>
        <v>94.5</v>
      </c>
      <c r="L128" s="24">
        <f>SUMIFS('Saldos Iniciales'!$D:$D,'Saldos Iniciales'!$A:$A,"YWC Capital")+SUMIFS(Movimientos!$K$1:$K$1324,Movimientos!$C$1:$C$1324,"YWC Capital",Movimientos!$B$1:$B$1324,"&lt;="&amp;$B128)</f>
        <v>2147.92</v>
      </c>
      <c r="M128" s="24">
        <f>SUMIFS('Saldos Iniciales'!$D:$D,'Saldos Iniciales'!$A:$A,"Soweto")+SUMIFS(Movimientos!$K$1:$K$1324,Movimientos!$C$1:$C$1324,"Soweto",Movimientos!$B$1:$B$1324,"&lt;="&amp;$B128)</f>
        <v>17895.290000000015</v>
      </c>
      <c r="N128" s="24">
        <f>SUMIFS('Saldos Iniciales'!$D:$D,'Saldos Iniciales'!$A:$A,"Green Stone Trust")+SUMIFS(Movimientos!$K$1:$K$1324,Movimientos!$C$1:$C$1324,"Green Stone Trust",Movimientos!$B$1:$B$1324,"&lt;="&amp;$B128)</f>
        <v>1968.99</v>
      </c>
      <c r="O128" s="24">
        <f>SUMIFS('Saldos Iniciales'!$D:$D,'Saldos Iniciales'!$A:$A,"EC Auto")+SUMIFS(Movimientos!$K$1:$K$1324,Movimientos!$C$1:$C$1324,"EC Auto",Movimientos!$B$1:$B$1324,"&lt;="&amp;$B128)</f>
        <v>901.34</v>
      </c>
      <c r="P128" s="24">
        <f>SUMIFS('Saldos Iniciales'!$D:$D,'Saldos Iniciales'!$A:$A,"Arbor Capital Properties")+SUMIFS(Movimientos!$K$1:$K$1324,Movimientos!$C$1:$C$1324,"Arbor Capital Properties",Movimientos!$B$1:$B$1324,"&lt;="&amp;$B128)</f>
        <v>1380.08</v>
      </c>
      <c r="Q128" s="24">
        <f>SUMIFS('Saldos Iniciales'!$D:$D,'Saldos Iniciales'!$A:$A,"2515 Overbrook")+SUMIFS(Movimientos!$K$1:$K$1324,Movimientos!$C$1:$C$1324,"2515 Overbrook",Movimientos!$B$1:$B$1324,"&lt;="&amp;$B128)</f>
        <v>25027.379999999961</v>
      </c>
      <c r="R128" s="24">
        <f>SUMIFS('Saldos Iniciales'!$D:$D,'Saldos Iniciales'!$A:$A,"112 Florida Ave")+SUMIFS(Movimientos!$K$1:$K$1324,Movimientos!$C$1:$C$1324,"112 Florida Ave",Movimientos!$B$1:$B$1324,"&lt;="&amp;$B128)</f>
        <v>16760.540000000008</v>
      </c>
      <c r="S128" s="24">
        <f>SUMIFS('Saldos Iniciales'!$D:$D,'Saldos Iniciales'!$A:$A,"3628 Thomas Ave")+SUMIFS(Movimientos!$K$1:$K$1324,Movimientos!$C$1:$C$1324,"3628 Thomas Ave",Movimientos!$B$1:$B$1324,"&lt;="&amp;$B128)</f>
        <v>14162.999999999996</v>
      </c>
      <c r="T128" s="24">
        <f>SUMIFS('Saldos Iniciales'!$D:$D,'Saldos Iniciales'!$A:$A,"Green Harbor Trust")+SUMIFS(Movimientos!$K$1:$K$1324,Movimientos!$C$1:$C$1324,"Green Harbor Trust",Movimientos!$B$1:$B$1324,"&lt;="&amp;$B128)</f>
        <v>345</v>
      </c>
      <c r="U128" s="24">
        <f>SUMIFS('Saldos Iniciales'!$D:$D,'Saldos Iniciales'!$A:$A,"Go Blue")+SUMIFS(Movimientos!$K$1:$K$1324,Movimientos!$C$1:$C$1324,"Go Blue",Movimientos!$B$1:$B$1324,"&lt;="&amp;$B128)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Aparments",Movimientos!$B$1:$B$1324,"&lt;="&amp;$B128))</f>
        <v>242034.28999999998</v>
      </c>
      <c r="AD128" s="24">
        <f>IF(YEAR($B128)*100+MONTH($B128)&lt;--SUBSTITUTE(_xlfn.XLOOKUP("Don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Life",Movimientos!$B$1:$B$1324,"&lt;="&amp;$B128))</f>
        <v>303874.71999999997</v>
      </c>
      <c r="AE128" s="25">
        <f t="shared" si="4"/>
        <v>5869984.6100000003</v>
      </c>
    </row>
    <row r="129" spans="1:3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Group")+SUMIFS(Movimientos!$K$1:$K$1324,Movimientos!$C$1:$C$1324,"CFT Group",Movimientos!$B$1:$B$1324,"&lt;="&amp;$B129)</f>
        <v>1549729.4500000007</v>
      </c>
      <c r="D129" s="24">
        <f>SUMIFS('Saldos Iniciales'!$D:$D,'Saldos Iniciales'!$A:$A,"M1B")+SUMIFS(Movimientos!$K$1:$K$1324,Movimientos!$C$1:$C$1324,"M1B",Movimientos!$B$1:$B$1324,"&lt;="&amp;$B129)</f>
        <v>93280.230000000171</v>
      </c>
      <c r="E129" s="24">
        <f>SUMIFS('Saldos Iniciales'!$D:$D,'Saldos Iniciales'!$A:$A,"Durand")+SUMIFS(Movimientos!$K$1:$K$1324,Movimientos!$C$1:$C$1324,"Durand",Movimientos!$B$1:$B$1324,"&lt;="&amp;$B129)</f>
        <v>1669.89</v>
      </c>
      <c r="F129" s="24">
        <f>SUMIFS('Saldos Iniciales'!$D:$D,'Saldos Iniciales'!$A:$A,"A&amp;M Imports")+SUMIFS(Movimientos!$K$1:$K$1324,Movimientos!$C$1:$C$1324,"A&amp;M Imports",Movimientos!$B$1:$B$1324,"&lt;="&amp;$B129)</f>
        <v>1250938</v>
      </c>
      <c r="G129" s="24">
        <f>SUMIFS('Saldos Iniciales'!$D:$D,'Saldos Iniciales'!$A:$A,"SSP Capital")+SUMIFS(Movimientos!$K$1:$K$1324,Movimientos!$C$1:$C$1324,"SSP Capital",Movimientos!$B$1:$B$1324,"&lt;="&amp;$B129)</f>
        <v>1499204.7399999998</v>
      </c>
      <c r="H129" s="24">
        <f>SUMIFS('Saldos Iniciales'!$D:$D,'Saldos Iniciales'!$A:$A,"Cross Family Trust")+SUMIFS(Movimientos!$K$1:$K$1324,Movimientos!$C$1:$C$1324,"Cross Family Trust",Movimientos!$B$1:$B$1324,"&lt;="&amp;$B129)</f>
        <v>249778.14</v>
      </c>
      <c r="I129" s="24">
        <f>SUMIFS('Saldos Iniciales'!$D:$D,'Saldos Iniciales'!$A:$A,"Cross Security Trust")+SUMIFS(Movimientos!$K$1:$K$1324,Movimientos!$C$1:$C$1324,"Cross Security Trust",Movimientos!$B$1:$B$1324,"&lt;="&amp;$B129)</f>
        <v>217684.34</v>
      </c>
      <c r="J129" s="24">
        <f>SUMIFS('Saldos Iniciales'!$D:$D,'Saldos Iniciales'!$A:$A,"Electrama")+SUMIFS(Movimientos!$K$1:$K$1324,Movimientos!$C$1:$C$1324,"Electrama",Movimientos!$B$1:$B$1324,"&lt;="&amp;$B129)</f>
        <v>13014.880000000001</v>
      </c>
      <c r="K129" s="24">
        <f>SUMIFS('Saldos Iniciales'!$D:$D,'Saldos Iniciales'!$A:$A,"Sacred Valley Capital")+SUMIFS(Movimientos!$K$1:$K$1324,Movimientos!$C$1:$C$1324,"Sacred Valley Capital",Movimientos!$B$1:$B$1324,"&lt;="&amp;$B129)</f>
        <v>94.5</v>
      </c>
      <c r="L129" s="24">
        <f>SUMIFS('Saldos Iniciales'!$D:$D,'Saldos Iniciales'!$A:$A,"YWC Capital")+SUMIFS(Movimientos!$K$1:$K$1324,Movimientos!$C$1:$C$1324,"YWC Capital",Movimientos!$B$1:$B$1324,"&lt;="&amp;$B129)</f>
        <v>2147.92</v>
      </c>
      <c r="M129" s="24">
        <f>SUMIFS('Saldos Iniciales'!$D:$D,'Saldos Iniciales'!$A:$A,"Soweto")+SUMIFS(Movimientos!$K$1:$K$1324,Movimientos!$C$1:$C$1324,"Soweto",Movimientos!$B$1:$B$1324,"&lt;="&amp;$B129)</f>
        <v>17895.290000000015</v>
      </c>
      <c r="N129" s="24">
        <f>SUMIFS('Saldos Iniciales'!$D:$D,'Saldos Iniciales'!$A:$A,"Green Stone Trust")+SUMIFS(Movimientos!$K$1:$K$1324,Movimientos!$C$1:$C$1324,"Green Stone Trust",Movimientos!$B$1:$B$1324,"&lt;="&amp;$B129)</f>
        <v>1968.99</v>
      </c>
      <c r="O129" s="24">
        <f>SUMIFS('Saldos Iniciales'!$D:$D,'Saldos Iniciales'!$A:$A,"EC Auto")+SUMIFS(Movimientos!$K$1:$K$1324,Movimientos!$C$1:$C$1324,"EC Auto",Movimientos!$B$1:$B$1324,"&lt;="&amp;$B129)</f>
        <v>901.34</v>
      </c>
      <c r="P129" s="24">
        <f>SUMIFS('Saldos Iniciales'!$D:$D,'Saldos Iniciales'!$A:$A,"Arbor Capital Properties")+SUMIFS(Movimientos!$K$1:$K$1324,Movimientos!$C$1:$C$1324,"Arbor Capital Properties",Movimientos!$B$1:$B$1324,"&lt;="&amp;$B129)</f>
        <v>1380.08</v>
      </c>
      <c r="Q129" s="24">
        <f>SUMIFS('Saldos Iniciales'!$D:$D,'Saldos Iniciales'!$A:$A,"2515 Overbrook")+SUMIFS(Movimientos!$K$1:$K$1324,Movimientos!$C$1:$C$1324,"2515 Overbrook",Movimientos!$B$1:$B$1324,"&lt;="&amp;$B129)</f>
        <v>25027.379999999961</v>
      </c>
      <c r="R129" s="24">
        <f>SUMIFS('Saldos Iniciales'!$D:$D,'Saldos Iniciales'!$A:$A,"112 Florida Ave")+SUMIFS(Movimientos!$K$1:$K$1324,Movimientos!$C$1:$C$1324,"112 Florida Ave",Movimientos!$B$1:$B$1324,"&lt;="&amp;$B129)</f>
        <v>16760.540000000008</v>
      </c>
      <c r="S129" s="24">
        <f>SUMIFS('Saldos Iniciales'!$D:$D,'Saldos Iniciales'!$A:$A,"3628 Thomas Ave")+SUMIFS(Movimientos!$K$1:$K$1324,Movimientos!$C$1:$C$1324,"3628 Thomas Ave",Movimientos!$B$1:$B$1324,"&lt;="&amp;$B129)</f>
        <v>14162.999999999996</v>
      </c>
      <c r="T129" s="24">
        <f>SUMIFS('Saldos Iniciales'!$D:$D,'Saldos Iniciales'!$A:$A,"Green Harbor Trust")+SUMIFS(Movimientos!$K$1:$K$1324,Movimientos!$C$1:$C$1324,"Green Harbor Trust",Movimientos!$B$1:$B$1324,"&lt;="&amp;$B129)</f>
        <v>345</v>
      </c>
      <c r="U129" s="24">
        <f>SUMIFS('Saldos Iniciales'!$D:$D,'Saldos Iniciales'!$A:$A,"Go Blue")+SUMIFS(Movimientos!$K$1:$K$1324,Movimientos!$C$1:$C$1324,"Go Blue",Movimientos!$B$1:$B$1324,"&lt;="&amp;$B129)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Aparments",Movimientos!$B$1:$B$1324,"&lt;="&amp;$B129))</f>
        <v>242034.28999999998</v>
      </c>
      <c r="AD129" s="24">
        <f>IF(YEAR($B129)*100+MONTH($B129)&lt;--SUBSTITUTE(_xlfn.XLOOKUP("Don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Life",Movimientos!$B$1:$B$1324,"&lt;="&amp;$B129))</f>
        <v>303874.71999999997</v>
      </c>
      <c r="AE129" s="25">
        <f t="shared" ref="AE129:AE160" si="6">SUM(C129:AD129)</f>
        <v>5869984.6100000003</v>
      </c>
    </row>
    <row r="130" spans="1:3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Group")+SUMIFS(Movimientos!$K$1:$K$1324,Movimientos!$C$1:$C$1324,"CFT Group",Movimientos!$B$1:$B$1324,"&lt;="&amp;$B130)</f>
        <v>1549729.4500000007</v>
      </c>
      <c r="D130" s="24">
        <f>SUMIFS('Saldos Iniciales'!$D:$D,'Saldos Iniciales'!$A:$A,"M1B")+SUMIFS(Movimientos!$K$1:$K$1324,Movimientos!$C$1:$C$1324,"M1B",Movimientos!$B$1:$B$1324,"&lt;="&amp;$B130)</f>
        <v>93280.230000000171</v>
      </c>
      <c r="E130" s="24">
        <f>SUMIFS('Saldos Iniciales'!$D:$D,'Saldos Iniciales'!$A:$A,"Durand")+SUMIFS(Movimientos!$K$1:$K$1324,Movimientos!$C$1:$C$1324,"Durand",Movimientos!$B$1:$B$1324,"&lt;="&amp;$B130)</f>
        <v>1669.89</v>
      </c>
      <c r="F130" s="24">
        <f>SUMIFS('Saldos Iniciales'!$D:$D,'Saldos Iniciales'!$A:$A,"A&amp;M Imports")+SUMIFS(Movimientos!$K$1:$K$1324,Movimientos!$C$1:$C$1324,"A&amp;M Imports",Movimientos!$B$1:$B$1324,"&lt;="&amp;$B130)</f>
        <v>1250938</v>
      </c>
      <c r="G130" s="24">
        <f>SUMIFS('Saldos Iniciales'!$D:$D,'Saldos Iniciales'!$A:$A,"SSP Capital")+SUMIFS(Movimientos!$K$1:$K$1324,Movimientos!$C$1:$C$1324,"SSP Capital",Movimientos!$B$1:$B$1324,"&lt;="&amp;$B130)</f>
        <v>1499204.7399999998</v>
      </c>
      <c r="H130" s="24">
        <f>SUMIFS('Saldos Iniciales'!$D:$D,'Saldos Iniciales'!$A:$A,"Cross Family Trust")+SUMIFS(Movimientos!$K$1:$K$1324,Movimientos!$C$1:$C$1324,"Cross Family Trust",Movimientos!$B$1:$B$1324,"&lt;="&amp;$B130)</f>
        <v>249778.14</v>
      </c>
      <c r="I130" s="24">
        <f>SUMIFS('Saldos Iniciales'!$D:$D,'Saldos Iniciales'!$A:$A,"Cross Security Trust")+SUMIFS(Movimientos!$K$1:$K$1324,Movimientos!$C$1:$C$1324,"Cross Security Trust",Movimientos!$B$1:$B$1324,"&lt;="&amp;$B130)</f>
        <v>217684.34</v>
      </c>
      <c r="J130" s="24">
        <f>SUMIFS('Saldos Iniciales'!$D:$D,'Saldos Iniciales'!$A:$A,"Electrama")+SUMIFS(Movimientos!$K$1:$K$1324,Movimientos!$C$1:$C$1324,"Electrama",Movimientos!$B$1:$B$1324,"&lt;="&amp;$B130)</f>
        <v>13014.880000000001</v>
      </c>
      <c r="K130" s="24">
        <f>SUMIFS('Saldos Iniciales'!$D:$D,'Saldos Iniciales'!$A:$A,"Sacred Valley Capital")+SUMIFS(Movimientos!$K$1:$K$1324,Movimientos!$C$1:$C$1324,"Sacred Valley Capital",Movimientos!$B$1:$B$1324,"&lt;="&amp;$B130)</f>
        <v>94.5</v>
      </c>
      <c r="L130" s="24">
        <f>SUMIFS('Saldos Iniciales'!$D:$D,'Saldos Iniciales'!$A:$A,"YWC Capital")+SUMIFS(Movimientos!$K$1:$K$1324,Movimientos!$C$1:$C$1324,"YWC Capital",Movimientos!$B$1:$B$1324,"&lt;="&amp;$B130)</f>
        <v>2147.92</v>
      </c>
      <c r="M130" s="24">
        <f>SUMIFS('Saldos Iniciales'!$D:$D,'Saldos Iniciales'!$A:$A,"Soweto")+SUMIFS(Movimientos!$K$1:$K$1324,Movimientos!$C$1:$C$1324,"Soweto",Movimientos!$B$1:$B$1324,"&lt;="&amp;$B130)</f>
        <v>17895.290000000015</v>
      </c>
      <c r="N130" s="24">
        <f>SUMIFS('Saldos Iniciales'!$D:$D,'Saldos Iniciales'!$A:$A,"Green Stone Trust")+SUMIFS(Movimientos!$K$1:$K$1324,Movimientos!$C$1:$C$1324,"Green Stone Trust",Movimientos!$B$1:$B$1324,"&lt;="&amp;$B130)</f>
        <v>1968.99</v>
      </c>
      <c r="O130" s="24">
        <f>SUMIFS('Saldos Iniciales'!$D:$D,'Saldos Iniciales'!$A:$A,"EC Auto")+SUMIFS(Movimientos!$K$1:$K$1324,Movimientos!$C$1:$C$1324,"EC Auto",Movimientos!$B$1:$B$1324,"&lt;="&amp;$B130)</f>
        <v>901.34</v>
      </c>
      <c r="P130" s="24">
        <f>SUMIFS('Saldos Iniciales'!$D:$D,'Saldos Iniciales'!$A:$A,"Arbor Capital Properties")+SUMIFS(Movimientos!$K$1:$K$1324,Movimientos!$C$1:$C$1324,"Arbor Capital Properties",Movimientos!$B$1:$B$1324,"&lt;="&amp;$B130)</f>
        <v>1380.08</v>
      </c>
      <c r="Q130" s="24">
        <f>SUMIFS('Saldos Iniciales'!$D:$D,'Saldos Iniciales'!$A:$A,"2515 Overbrook")+SUMIFS(Movimientos!$K$1:$K$1324,Movimientos!$C$1:$C$1324,"2515 Overbrook",Movimientos!$B$1:$B$1324,"&lt;="&amp;$B130)</f>
        <v>25027.379999999961</v>
      </c>
      <c r="R130" s="24">
        <f>SUMIFS('Saldos Iniciales'!$D:$D,'Saldos Iniciales'!$A:$A,"112 Florida Ave")+SUMIFS(Movimientos!$K$1:$K$1324,Movimientos!$C$1:$C$1324,"112 Florida Ave",Movimientos!$B$1:$B$1324,"&lt;="&amp;$B130)</f>
        <v>16760.540000000008</v>
      </c>
      <c r="S130" s="24">
        <f>SUMIFS('Saldos Iniciales'!$D:$D,'Saldos Iniciales'!$A:$A,"3628 Thomas Ave")+SUMIFS(Movimientos!$K$1:$K$1324,Movimientos!$C$1:$C$1324,"3628 Thomas Ave",Movimientos!$B$1:$B$1324,"&lt;="&amp;$B130)</f>
        <v>14162.999999999996</v>
      </c>
      <c r="T130" s="24">
        <f>SUMIFS('Saldos Iniciales'!$D:$D,'Saldos Iniciales'!$A:$A,"Green Harbor Trust")+SUMIFS(Movimientos!$K$1:$K$1324,Movimientos!$C$1:$C$1324,"Green Harbor Trust",Movimientos!$B$1:$B$1324,"&lt;="&amp;$B130)</f>
        <v>345</v>
      </c>
      <c r="U130" s="24">
        <f>SUMIFS('Saldos Iniciales'!$D:$D,'Saldos Iniciales'!$A:$A,"Go Blue")+SUMIFS(Movimientos!$K$1:$K$1324,Movimientos!$C$1:$C$1324,"Go Blue",Movimientos!$B$1:$B$1324,"&lt;="&amp;$B130)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Aparments",Movimientos!$B$1:$B$1324,"&lt;="&amp;$B130))</f>
        <v>242034.28999999998</v>
      </c>
      <c r="AD130" s="24">
        <f>IF(YEAR($B130)*100+MONTH($B130)&lt;--SUBSTITUTE(_xlfn.XLOOKUP("Don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Life",Movimientos!$B$1:$B$1324,"&lt;="&amp;$B130))</f>
        <v>303874.71999999997</v>
      </c>
      <c r="AE130" s="25">
        <f t="shared" si="6"/>
        <v>5869984.6100000003</v>
      </c>
    </row>
    <row r="131" spans="1:3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Group")+SUMIFS(Movimientos!$K$1:$K$1324,Movimientos!$C$1:$C$1324,"CFT Group",Movimientos!$B$1:$B$1324,"&lt;="&amp;$B131)</f>
        <v>1549729.4500000007</v>
      </c>
      <c r="D131" s="24">
        <f>SUMIFS('Saldos Iniciales'!$D:$D,'Saldos Iniciales'!$A:$A,"M1B")+SUMIFS(Movimientos!$K$1:$K$1324,Movimientos!$C$1:$C$1324,"M1B",Movimientos!$B$1:$B$1324,"&lt;="&amp;$B131)</f>
        <v>93280.230000000171</v>
      </c>
      <c r="E131" s="24">
        <f>SUMIFS('Saldos Iniciales'!$D:$D,'Saldos Iniciales'!$A:$A,"Durand")+SUMIFS(Movimientos!$K$1:$K$1324,Movimientos!$C$1:$C$1324,"Durand",Movimientos!$B$1:$B$1324,"&lt;="&amp;$B131)</f>
        <v>1669.89</v>
      </c>
      <c r="F131" s="24">
        <f>SUMIFS('Saldos Iniciales'!$D:$D,'Saldos Iniciales'!$A:$A,"A&amp;M Imports")+SUMIFS(Movimientos!$K$1:$K$1324,Movimientos!$C$1:$C$1324,"A&amp;M Imports",Movimientos!$B$1:$B$1324,"&lt;="&amp;$B131)</f>
        <v>1250938</v>
      </c>
      <c r="G131" s="24">
        <f>SUMIFS('Saldos Iniciales'!$D:$D,'Saldos Iniciales'!$A:$A,"SSP Capital")+SUMIFS(Movimientos!$K$1:$K$1324,Movimientos!$C$1:$C$1324,"SSP Capital",Movimientos!$B$1:$B$1324,"&lt;="&amp;$B131)</f>
        <v>1499204.7399999998</v>
      </c>
      <c r="H131" s="24">
        <f>SUMIFS('Saldos Iniciales'!$D:$D,'Saldos Iniciales'!$A:$A,"Cross Family Trust")+SUMIFS(Movimientos!$K$1:$K$1324,Movimientos!$C$1:$C$1324,"Cross Family Trust",Movimientos!$B$1:$B$1324,"&lt;="&amp;$B131)</f>
        <v>249778.14</v>
      </c>
      <c r="I131" s="24">
        <f>SUMIFS('Saldos Iniciales'!$D:$D,'Saldos Iniciales'!$A:$A,"Cross Security Trust")+SUMIFS(Movimientos!$K$1:$K$1324,Movimientos!$C$1:$C$1324,"Cross Security Trust",Movimientos!$B$1:$B$1324,"&lt;="&amp;$B131)</f>
        <v>217684.34</v>
      </c>
      <c r="J131" s="24">
        <f>SUMIFS('Saldos Iniciales'!$D:$D,'Saldos Iniciales'!$A:$A,"Electrama")+SUMIFS(Movimientos!$K$1:$K$1324,Movimientos!$C$1:$C$1324,"Electrama",Movimientos!$B$1:$B$1324,"&lt;="&amp;$B131)</f>
        <v>13014.880000000001</v>
      </c>
      <c r="K131" s="24">
        <f>SUMIFS('Saldos Iniciales'!$D:$D,'Saldos Iniciales'!$A:$A,"Sacred Valley Capital")+SUMIFS(Movimientos!$K$1:$K$1324,Movimientos!$C$1:$C$1324,"Sacred Valley Capital",Movimientos!$B$1:$B$1324,"&lt;="&amp;$B131)</f>
        <v>94.5</v>
      </c>
      <c r="L131" s="24">
        <f>SUMIFS('Saldos Iniciales'!$D:$D,'Saldos Iniciales'!$A:$A,"YWC Capital")+SUMIFS(Movimientos!$K$1:$K$1324,Movimientos!$C$1:$C$1324,"YWC Capital",Movimientos!$B$1:$B$1324,"&lt;="&amp;$B131)</f>
        <v>2147.92</v>
      </c>
      <c r="M131" s="24">
        <f>SUMIFS('Saldos Iniciales'!$D:$D,'Saldos Iniciales'!$A:$A,"Soweto")+SUMIFS(Movimientos!$K$1:$K$1324,Movimientos!$C$1:$C$1324,"Soweto",Movimientos!$B$1:$B$1324,"&lt;="&amp;$B131)</f>
        <v>17895.290000000015</v>
      </c>
      <c r="N131" s="24">
        <f>SUMIFS('Saldos Iniciales'!$D:$D,'Saldos Iniciales'!$A:$A,"Green Stone Trust")+SUMIFS(Movimientos!$K$1:$K$1324,Movimientos!$C$1:$C$1324,"Green Stone Trust",Movimientos!$B$1:$B$1324,"&lt;="&amp;$B131)</f>
        <v>1968.99</v>
      </c>
      <c r="O131" s="24">
        <f>SUMIFS('Saldos Iniciales'!$D:$D,'Saldos Iniciales'!$A:$A,"EC Auto")+SUMIFS(Movimientos!$K$1:$K$1324,Movimientos!$C$1:$C$1324,"EC Auto",Movimientos!$B$1:$B$1324,"&lt;="&amp;$B131)</f>
        <v>901.34</v>
      </c>
      <c r="P131" s="24">
        <f>SUMIFS('Saldos Iniciales'!$D:$D,'Saldos Iniciales'!$A:$A,"Arbor Capital Properties")+SUMIFS(Movimientos!$K$1:$K$1324,Movimientos!$C$1:$C$1324,"Arbor Capital Properties",Movimientos!$B$1:$B$1324,"&lt;="&amp;$B131)</f>
        <v>1380.08</v>
      </c>
      <c r="Q131" s="24">
        <f>SUMIFS('Saldos Iniciales'!$D:$D,'Saldos Iniciales'!$A:$A,"2515 Overbrook")+SUMIFS(Movimientos!$K$1:$K$1324,Movimientos!$C$1:$C$1324,"2515 Overbrook",Movimientos!$B$1:$B$1324,"&lt;="&amp;$B131)</f>
        <v>25027.379999999961</v>
      </c>
      <c r="R131" s="24">
        <f>SUMIFS('Saldos Iniciales'!$D:$D,'Saldos Iniciales'!$A:$A,"112 Florida Ave")+SUMIFS(Movimientos!$K$1:$K$1324,Movimientos!$C$1:$C$1324,"112 Florida Ave",Movimientos!$B$1:$B$1324,"&lt;="&amp;$B131)</f>
        <v>16760.540000000008</v>
      </c>
      <c r="S131" s="24">
        <f>SUMIFS('Saldos Iniciales'!$D:$D,'Saldos Iniciales'!$A:$A,"3628 Thomas Ave")+SUMIFS(Movimientos!$K$1:$K$1324,Movimientos!$C$1:$C$1324,"3628 Thomas Ave",Movimientos!$B$1:$B$1324,"&lt;="&amp;$B131)</f>
        <v>14162.999999999996</v>
      </c>
      <c r="T131" s="24">
        <f>SUMIFS('Saldos Iniciales'!$D:$D,'Saldos Iniciales'!$A:$A,"Green Harbor Trust")+SUMIFS(Movimientos!$K$1:$K$1324,Movimientos!$C$1:$C$1324,"Green Harbor Trust",Movimientos!$B$1:$B$1324,"&lt;="&amp;$B131)</f>
        <v>345</v>
      </c>
      <c r="U131" s="24">
        <f>SUMIFS('Saldos Iniciales'!$D:$D,'Saldos Iniciales'!$A:$A,"Go Blue")+SUMIFS(Movimientos!$K$1:$K$1324,Movimientos!$C$1:$C$1324,"Go Blue",Movimientos!$B$1:$B$1324,"&lt;="&amp;$B131)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Aparments",Movimientos!$B$1:$B$1324,"&lt;="&amp;$B131))</f>
        <v>242034.28999999998</v>
      </c>
      <c r="AD131" s="24">
        <f>IF(YEAR($B131)*100+MONTH($B131)&lt;--SUBSTITUTE(_xlfn.XLOOKUP("Don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Life",Movimientos!$B$1:$B$1324,"&lt;="&amp;$B131))</f>
        <v>303874.71999999997</v>
      </c>
      <c r="AE131" s="25">
        <f t="shared" si="6"/>
        <v>5869984.6100000003</v>
      </c>
    </row>
    <row r="132" spans="1:3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Group")+SUMIFS(Movimientos!$K$1:$K$1324,Movimientos!$C$1:$C$1324,"CFT Group",Movimientos!$B$1:$B$1324,"&lt;="&amp;$B132)</f>
        <v>1805955.2800000007</v>
      </c>
      <c r="D132" s="24">
        <f>SUMIFS('Saldos Iniciales'!$D:$D,'Saldos Iniciales'!$A:$A,"M1B")+SUMIFS(Movimientos!$K$1:$K$1324,Movimientos!$C$1:$C$1324,"M1B",Movimientos!$B$1:$B$1324,"&lt;="&amp;$B132)</f>
        <v>93737.970000000176</v>
      </c>
      <c r="E132" s="24">
        <f>SUMIFS('Saldos Iniciales'!$D:$D,'Saldos Iniciales'!$A:$A,"Durand")+SUMIFS(Movimientos!$K$1:$K$1324,Movimientos!$C$1:$C$1324,"Durand",Movimientos!$B$1:$B$1324,"&lt;="&amp;$B132)</f>
        <v>1669.89</v>
      </c>
      <c r="F132" s="24">
        <f>SUMIFS('Saldos Iniciales'!$D:$D,'Saldos Iniciales'!$A:$A,"A&amp;M Imports")+SUMIFS(Movimientos!$K$1:$K$1324,Movimientos!$C$1:$C$1324,"A&amp;M Imports",Movimientos!$B$1:$B$1324,"&lt;="&amp;$B132)</f>
        <v>1256669.99</v>
      </c>
      <c r="G132" s="24">
        <f>SUMIFS('Saldos Iniciales'!$D:$D,'Saldos Iniciales'!$A:$A,"SSP Capital")+SUMIFS(Movimientos!$K$1:$K$1324,Movimientos!$C$1:$C$1324,"SSP Capital",Movimientos!$B$1:$B$1324,"&lt;="&amp;$B132)</f>
        <v>1490233.3099999996</v>
      </c>
      <c r="H132" s="24">
        <f>SUMIFS('Saldos Iniciales'!$D:$D,'Saldos Iniciales'!$A:$A,"Cross Family Trust")+SUMIFS(Movimientos!$K$1:$K$1324,Movimientos!$C$1:$C$1324,"Cross Family Trust",Movimientos!$B$1:$B$1324,"&lt;="&amp;$B132)</f>
        <v>249778.14</v>
      </c>
      <c r="I132" s="24">
        <f>SUMIFS('Saldos Iniciales'!$D:$D,'Saldos Iniciales'!$A:$A,"Cross Security Trust")+SUMIFS(Movimientos!$K$1:$K$1324,Movimientos!$C$1:$C$1324,"Cross Security Trust",Movimientos!$B$1:$B$1324,"&lt;="&amp;$B132)</f>
        <v>217684.34</v>
      </c>
      <c r="J132" s="24">
        <f>SUMIFS('Saldos Iniciales'!$D:$D,'Saldos Iniciales'!$A:$A,"Electrama")+SUMIFS(Movimientos!$K$1:$K$1324,Movimientos!$C$1:$C$1324,"Electrama",Movimientos!$B$1:$B$1324,"&lt;="&amp;$B132)</f>
        <v>11744.75</v>
      </c>
      <c r="K132" s="24">
        <f>SUMIFS('Saldos Iniciales'!$D:$D,'Saldos Iniciales'!$A:$A,"Sacred Valley Capital")+SUMIFS(Movimientos!$K$1:$K$1324,Movimientos!$C$1:$C$1324,"Sacred Valley Capital",Movimientos!$B$1:$B$1324,"&lt;="&amp;$B132)</f>
        <v>94.5</v>
      </c>
      <c r="L132" s="24">
        <f>SUMIFS('Saldos Iniciales'!$D:$D,'Saldos Iniciales'!$A:$A,"YWC Capital")+SUMIFS(Movimientos!$K$1:$K$1324,Movimientos!$C$1:$C$1324,"YWC Capital",Movimientos!$B$1:$B$1324,"&lt;="&amp;$B132)</f>
        <v>2147.92</v>
      </c>
      <c r="M132" s="24">
        <f>SUMIFS('Saldos Iniciales'!$D:$D,'Saldos Iniciales'!$A:$A,"Soweto")+SUMIFS(Movimientos!$K$1:$K$1324,Movimientos!$C$1:$C$1324,"Soweto",Movimientos!$B$1:$B$1324,"&lt;="&amp;$B132)</f>
        <v>17895.290000000015</v>
      </c>
      <c r="N132" s="24">
        <f>SUMIFS('Saldos Iniciales'!$D:$D,'Saldos Iniciales'!$A:$A,"Green Stone Trust")+SUMIFS(Movimientos!$K$1:$K$1324,Movimientos!$C$1:$C$1324,"Green Stone Trust",Movimientos!$B$1:$B$1324,"&lt;="&amp;$B132)</f>
        <v>1968.99</v>
      </c>
      <c r="O132" s="24">
        <f>SUMIFS('Saldos Iniciales'!$D:$D,'Saldos Iniciales'!$A:$A,"EC Auto")+SUMIFS(Movimientos!$K$1:$K$1324,Movimientos!$C$1:$C$1324,"EC Auto",Movimientos!$B$1:$B$1324,"&lt;="&amp;$B132)</f>
        <v>901.34</v>
      </c>
      <c r="P132" s="24">
        <f>SUMIFS('Saldos Iniciales'!$D:$D,'Saldos Iniciales'!$A:$A,"Arbor Capital Properties")+SUMIFS(Movimientos!$K$1:$K$1324,Movimientos!$C$1:$C$1324,"Arbor Capital Properties",Movimientos!$B$1:$B$1324,"&lt;="&amp;$B132)</f>
        <v>1380.08</v>
      </c>
      <c r="Q132" s="24">
        <f>SUMIFS('Saldos Iniciales'!$D:$D,'Saldos Iniciales'!$A:$A,"2515 Overbrook")+SUMIFS(Movimientos!$K$1:$K$1324,Movimientos!$C$1:$C$1324,"2515 Overbrook",Movimientos!$B$1:$B$1324,"&lt;="&amp;$B132)</f>
        <v>25027.379999999961</v>
      </c>
      <c r="R132" s="24">
        <f>SUMIFS('Saldos Iniciales'!$D:$D,'Saldos Iniciales'!$A:$A,"112 Florida Ave")+SUMIFS(Movimientos!$K$1:$K$1324,Movimientos!$C$1:$C$1324,"112 Florida Ave",Movimientos!$B$1:$B$1324,"&lt;="&amp;$B132)</f>
        <v>16760.540000000008</v>
      </c>
      <c r="S132" s="24">
        <f>SUMIFS('Saldos Iniciales'!$D:$D,'Saldos Iniciales'!$A:$A,"3628 Thomas Ave")+SUMIFS(Movimientos!$K$1:$K$1324,Movimientos!$C$1:$C$1324,"3628 Thomas Ave",Movimientos!$B$1:$B$1324,"&lt;="&amp;$B132)</f>
        <v>14162.999999999996</v>
      </c>
      <c r="T132" s="24">
        <f>SUMIFS('Saldos Iniciales'!$D:$D,'Saldos Iniciales'!$A:$A,"Green Harbor Trust")+SUMIFS(Movimientos!$K$1:$K$1324,Movimientos!$C$1:$C$1324,"Green Harbor Trust",Movimientos!$B$1:$B$1324,"&lt;="&amp;$B132)</f>
        <v>345</v>
      </c>
      <c r="U132" s="24">
        <f>SUMIFS('Saldos Iniciales'!$D:$D,'Saldos Iniciales'!$A:$A,"Go Blue")+SUMIFS(Movimientos!$K$1:$K$1324,Movimientos!$C$1:$C$1324,"Go Blue",Movimientos!$B$1:$B$1324,"&lt;="&amp;$B132)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Aparments",Movimientos!$B$1:$B$1324,"&lt;="&amp;$B132))</f>
        <v>241987.22999999998</v>
      </c>
      <c r="AD132" s="24">
        <f>IF(YEAR($B132)*100+MONTH($B132)&lt;--SUBSTITUTE(_xlfn.XLOOKUP("Don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Life",Movimientos!$B$1:$B$1324,"&lt;="&amp;$B132))</f>
        <v>303874.71999999997</v>
      </c>
      <c r="AE132" s="25">
        <f t="shared" si="6"/>
        <v>6120876.4899999993</v>
      </c>
    </row>
    <row r="133" spans="1:3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Group")+SUMIFS(Movimientos!$K$1:$K$1324,Movimientos!$C$1:$C$1324,"CFT Group",Movimientos!$B$1:$B$1324,"&lt;="&amp;$B133)</f>
        <v>1805355.2800000007</v>
      </c>
      <c r="D133" s="24">
        <f>SUMIFS('Saldos Iniciales'!$D:$D,'Saldos Iniciales'!$A:$A,"M1B")+SUMIFS(Movimientos!$K$1:$K$1324,Movimientos!$C$1:$C$1324,"M1B",Movimientos!$B$1:$B$1324,"&lt;="&amp;$B133)</f>
        <v>93737.970000000176</v>
      </c>
      <c r="E133" s="24">
        <f>SUMIFS('Saldos Iniciales'!$D:$D,'Saldos Iniciales'!$A:$A,"Durand")+SUMIFS(Movimientos!$K$1:$K$1324,Movimientos!$C$1:$C$1324,"Durand",Movimientos!$B$1:$B$1324,"&lt;="&amp;$B133)</f>
        <v>1669.89</v>
      </c>
      <c r="F133" s="24">
        <f>SUMIFS('Saldos Iniciales'!$D:$D,'Saldos Iniciales'!$A:$A,"A&amp;M Imports")+SUMIFS(Movimientos!$K$1:$K$1324,Movimientos!$C$1:$C$1324,"A&amp;M Imports",Movimientos!$B$1:$B$1324,"&lt;="&amp;$B133)</f>
        <v>1256669.99</v>
      </c>
      <c r="G133" s="24">
        <f>SUMIFS('Saldos Iniciales'!$D:$D,'Saldos Iniciales'!$A:$A,"SSP Capital")+SUMIFS(Movimientos!$K$1:$K$1324,Movimientos!$C$1:$C$1324,"SSP Capital",Movimientos!$B$1:$B$1324,"&lt;="&amp;$B133)</f>
        <v>1487787.1299999997</v>
      </c>
      <c r="H133" s="24">
        <f>SUMIFS('Saldos Iniciales'!$D:$D,'Saldos Iniciales'!$A:$A,"Cross Family Trust")+SUMIFS(Movimientos!$K$1:$K$1324,Movimientos!$C$1:$C$1324,"Cross Family Trust",Movimientos!$B$1:$B$1324,"&lt;="&amp;$B133)</f>
        <v>229778.14</v>
      </c>
      <c r="I133" s="24">
        <f>SUMIFS('Saldos Iniciales'!$D:$D,'Saldos Iniciales'!$A:$A,"Cross Security Trust")+SUMIFS(Movimientos!$K$1:$K$1324,Movimientos!$C$1:$C$1324,"Cross Security Trust",Movimientos!$B$1:$B$1324,"&lt;="&amp;$B133)</f>
        <v>217684.34</v>
      </c>
      <c r="J133" s="24">
        <f>SUMIFS('Saldos Iniciales'!$D:$D,'Saldos Iniciales'!$A:$A,"Electrama")+SUMIFS(Movimientos!$K$1:$K$1324,Movimientos!$C$1:$C$1324,"Electrama",Movimientos!$B$1:$B$1324,"&lt;="&amp;$B133)</f>
        <v>11744.75</v>
      </c>
      <c r="K133" s="24">
        <f>SUMIFS('Saldos Iniciales'!$D:$D,'Saldos Iniciales'!$A:$A,"Sacred Valley Capital")+SUMIFS(Movimientos!$K$1:$K$1324,Movimientos!$C$1:$C$1324,"Sacred Valley Capital",Movimientos!$B$1:$B$1324,"&lt;="&amp;$B133)</f>
        <v>94.5</v>
      </c>
      <c r="L133" s="24">
        <f>SUMIFS('Saldos Iniciales'!$D:$D,'Saldos Iniciales'!$A:$A,"YWC Capital")+SUMIFS(Movimientos!$K$1:$K$1324,Movimientos!$C$1:$C$1324,"YWC Capital",Movimientos!$B$1:$B$1324,"&lt;="&amp;$B133)</f>
        <v>2147.92</v>
      </c>
      <c r="M133" s="24">
        <f>SUMIFS('Saldos Iniciales'!$D:$D,'Saldos Iniciales'!$A:$A,"Soweto")+SUMIFS(Movimientos!$K$1:$K$1324,Movimientos!$C$1:$C$1324,"Soweto",Movimientos!$B$1:$B$1324,"&lt;="&amp;$B133)</f>
        <v>17895.290000000015</v>
      </c>
      <c r="N133" s="24">
        <f>SUMIFS('Saldos Iniciales'!$D:$D,'Saldos Iniciales'!$A:$A,"Green Stone Trust")+SUMIFS(Movimientos!$K$1:$K$1324,Movimientos!$C$1:$C$1324,"Green Stone Trust",Movimientos!$B$1:$B$1324,"&lt;="&amp;$B133)</f>
        <v>1968.99</v>
      </c>
      <c r="O133" s="24">
        <f>SUMIFS('Saldos Iniciales'!$D:$D,'Saldos Iniciales'!$A:$A,"EC Auto")+SUMIFS(Movimientos!$K$1:$K$1324,Movimientos!$C$1:$C$1324,"EC Auto",Movimientos!$B$1:$B$1324,"&lt;="&amp;$B133)</f>
        <v>901.34</v>
      </c>
      <c r="P133" s="24">
        <f>SUMIFS('Saldos Iniciales'!$D:$D,'Saldos Iniciales'!$A:$A,"Arbor Capital Properties")+SUMIFS(Movimientos!$K$1:$K$1324,Movimientos!$C$1:$C$1324,"Arbor Capital Properties",Movimientos!$B$1:$B$1324,"&lt;="&amp;$B133)</f>
        <v>1380.08</v>
      </c>
      <c r="Q133" s="24">
        <f>SUMIFS('Saldos Iniciales'!$D:$D,'Saldos Iniciales'!$A:$A,"2515 Overbrook")+SUMIFS(Movimientos!$K$1:$K$1324,Movimientos!$C$1:$C$1324,"2515 Overbrook",Movimientos!$B$1:$B$1324,"&lt;="&amp;$B133)</f>
        <v>25027.379999999961</v>
      </c>
      <c r="R133" s="24">
        <f>SUMIFS('Saldos Iniciales'!$D:$D,'Saldos Iniciales'!$A:$A,"112 Florida Ave")+SUMIFS(Movimientos!$K$1:$K$1324,Movimientos!$C$1:$C$1324,"112 Florida Ave",Movimientos!$B$1:$B$1324,"&lt;="&amp;$B133)</f>
        <v>16760.540000000008</v>
      </c>
      <c r="S133" s="24">
        <f>SUMIFS('Saldos Iniciales'!$D:$D,'Saldos Iniciales'!$A:$A,"3628 Thomas Ave")+SUMIFS(Movimientos!$K$1:$K$1324,Movimientos!$C$1:$C$1324,"3628 Thomas Ave",Movimientos!$B$1:$B$1324,"&lt;="&amp;$B133)</f>
        <v>14162.999999999996</v>
      </c>
      <c r="T133" s="24">
        <f>SUMIFS('Saldos Iniciales'!$D:$D,'Saldos Iniciales'!$A:$A,"Green Harbor Trust")+SUMIFS(Movimientos!$K$1:$K$1324,Movimientos!$C$1:$C$1324,"Green Harbor Trust",Movimientos!$B$1:$B$1324,"&lt;="&amp;$B133)</f>
        <v>345</v>
      </c>
      <c r="U133" s="24">
        <f>SUMIFS('Saldos Iniciales'!$D:$D,'Saldos Iniciales'!$A:$A,"Go Blue")+SUMIFS(Movimientos!$K$1:$K$1324,Movimientos!$C$1:$C$1324,"Go Blue",Movimientos!$B$1:$B$1324,"&lt;="&amp;$B133)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Aparments",Movimientos!$B$1:$B$1324,"&lt;="&amp;$B133))</f>
        <v>241987.22999999998</v>
      </c>
      <c r="AD133" s="24">
        <f>IF(YEAR($B133)*100+MONTH($B133)&lt;--SUBSTITUTE(_xlfn.XLOOKUP("Don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Life",Movimientos!$B$1:$B$1324,"&lt;="&amp;$B133))</f>
        <v>303874.71999999997</v>
      </c>
      <c r="AE133" s="25">
        <f t="shared" si="6"/>
        <v>6116817.6299999999</v>
      </c>
    </row>
    <row r="134" spans="1:3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Group")+SUMIFS(Movimientos!$K$1:$K$1324,Movimientos!$C$1:$C$1324,"CFT Group",Movimientos!$B$1:$B$1324,"&lt;="&amp;$B134)</f>
        <v>1338116.3900000008</v>
      </c>
      <c r="D134" s="24">
        <f>SUMIFS('Saldos Iniciales'!$D:$D,'Saldos Iniciales'!$A:$A,"M1B")+SUMIFS(Movimientos!$K$1:$K$1324,Movimientos!$C$1:$C$1324,"M1B",Movimientos!$B$1:$B$1324,"&lt;="&amp;$B134)</f>
        <v>93737.970000000176</v>
      </c>
      <c r="E134" s="24">
        <f>SUMIFS('Saldos Iniciales'!$D:$D,'Saldos Iniciales'!$A:$A,"Durand")+SUMIFS(Movimientos!$K$1:$K$1324,Movimientos!$C$1:$C$1324,"Durand",Movimientos!$B$1:$B$1324,"&lt;="&amp;$B134)</f>
        <v>1669.89</v>
      </c>
      <c r="F134" s="24">
        <f>SUMIFS('Saldos Iniciales'!$D:$D,'Saldos Iniciales'!$A:$A,"A&amp;M Imports")+SUMIFS(Movimientos!$K$1:$K$1324,Movimientos!$C$1:$C$1324,"A&amp;M Imports",Movimientos!$B$1:$B$1324,"&lt;="&amp;$B134)</f>
        <v>1089169.99</v>
      </c>
      <c r="G134" s="24">
        <f>SUMIFS('Saldos Iniciales'!$D:$D,'Saldos Iniciales'!$A:$A,"SSP Capital")+SUMIFS(Movimientos!$K$1:$K$1324,Movimientos!$C$1:$C$1324,"SSP Capital",Movimientos!$B$1:$B$1324,"&lt;="&amp;$B134)</f>
        <v>1233789.9099999997</v>
      </c>
      <c r="H134" s="24">
        <f>SUMIFS('Saldos Iniciales'!$D:$D,'Saldos Iniciales'!$A:$A,"Cross Family Trust")+SUMIFS(Movimientos!$K$1:$K$1324,Movimientos!$C$1:$C$1324,"Cross Family Trust",Movimientos!$B$1:$B$1324,"&lt;="&amp;$B134)</f>
        <v>229778.14</v>
      </c>
      <c r="I134" s="24">
        <f>SUMIFS('Saldos Iniciales'!$D:$D,'Saldos Iniciales'!$A:$A,"Cross Security Trust")+SUMIFS(Movimientos!$K$1:$K$1324,Movimientos!$C$1:$C$1324,"Cross Security Trust",Movimientos!$B$1:$B$1324,"&lt;="&amp;$B134)</f>
        <v>217684.34</v>
      </c>
      <c r="J134" s="24">
        <f>SUMIFS('Saldos Iniciales'!$D:$D,'Saldos Iniciales'!$A:$A,"Electrama")+SUMIFS(Movimientos!$K$1:$K$1324,Movimientos!$C$1:$C$1324,"Electrama",Movimientos!$B$1:$B$1324,"&lt;="&amp;$B134)</f>
        <v>11744.75</v>
      </c>
      <c r="K134" s="24">
        <f>SUMIFS('Saldos Iniciales'!$D:$D,'Saldos Iniciales'!$A:$A,"Sacred Valley Capital")+SUMIFS(Movimientos!$K$1:$K$1324,Movimientos!$C$1:$C$1324,"Sacred Valley Capital",Movimientos!$B$1:$B$1324,"&lt;="&amp;$B134)</f>
        <v>94.5</v>
      </c>
      <c r="L134" s="24">
        <f>SUMIFS('Saldos Iniciales'!$D:$D,'Saldos Iniciales'!$A:$A,"YWC Capital")+SUMIFS(Movimientos!$K$1:$K$1324,Movimientos!$C$1:$C$1324,"YWC Capital",Movimientos!$B$1:$B$1324,"&lt;="&amp;$B134)</f>
        <v>2147.92</v>
      </c>
      <c r="M134" s="24">
        <f>SUMIFS('Saldos Iniciales'!$D:$D,'Saldos Iniciales'!$A:$A,"Soweto")+SUMIFS(Movimientos!$K$1:$K$1324,Movimientos!$C$1:$C$1324,"Soweto",Movimientos!$B$1:$B$1324,"&lt;="&amp;$B134)</f>
        <v>17895.290000000015</v>
      </c>
      <c r="N134" s="24">
        <f>SUMIFS('Saldos Iniciales'!$D:$D,'Saldos Iniciales'!$A:$A,"Green Stone Trust")+SUMIFS(Movimientos!$K$1:$K$1324,Movimientos!$C$1:$C$1324,"Green Stone Trust",Movimientos!$B$1:$B$1324,"&lt;="&amp;$B134)</f>
        <v>1968.99</v>
      </c>
      <c r="O134" s="24">
        <f>SUMIFS('Saldos Iniciales'!$D:$D,'Saldos Iniciales'!$A:$A,"EC Auto")+SUMIFS(Movimientos!$K$1:$K$1324,Movimientos!$C$1:$C$1324,"EC Auto",Movimientos!$B$1:$B$1324,"&lt;="&amp;$B134)</f>
        <v>901.34</v>
      </c>
      <c r="P134" s="24">
        <f>SUMIFS('Saldos Iniciales'!$D:$D,'Saldos Iniciales'!$A:$A,"Arbor Capital Properties")+SUMIFS(Movimientos!$K$1:$K$1324,Movimientos!$C$1:$C$1324,"Arbor Capital Properties",Movimientos!$B$1:$B$1324,"&lt;="&amp;$B134)</f>
        <v>1380.08</v>
      </c>
      <c r="Q134" s="24">
        <f>SUMIFS('Saldos Iniciales'!$D:$D,'Saldos Iniciales'!$A:$A,"2515 Overbrook")+SUMIFS(Movimientos!$K$1:$K$1324,Movimientos!$C$1:$C$1324,"2515 Overbrook",Movimientos!$B$1:$B$1324,"&lt;="&amp;$B134)</f>
        <v>25027.379999999961</v>
      </c>
      <c r="R134" s="24">
        <f>SUMIFS('Saldos Iniciales'!$D:$D,'Saldos Iniciales'!$A:$A,"112 Florida Ave")+SUMIFS(Movimientos!$K$1:$K$1324,Movimientos!$C$1:$C$1324,"112 Florida Ave",Movimientos!$B$1:$B$1324,"&lt;="&amp;$B134)</f>
        <v>16760.540000000008</v>
      </c>
      <c r="S134" s="24">
        <f>SUMIFS('Saldos Iniciales'!$D:$D,'Saldos Iniciales'!$A:$A,"3628 Thomas Ave")+SUMIFS(Movimientos!$K$1:$K$1324,Movimientos!$C$1:$C$1324,"3628 Thomas Ave",Movimientos!$B$1:$B$1324,"&lt;="&amp;$B134)</f>
        <v>14162.999999999996</v>
      </c>
      <c r="T134" s="24">
        <f>SUMIFS('Saldos Iniciales'!$D:$D,'Saldos Iniciales'!$A:$A,"Green Harbor Trust")+SUMIFS(Movimientos!$K$1:$K$1324,Movimientos!$C$1:$C$1324,"Green Harbor Trust",Movimientos!$B$1:$B$1324,"&lt;="&amp;$B134)</f>
        <v>345</v>
      </c>
      <c r="U134" s="24">
        <f>SUMIFS('Saldos Iniciales'!$D:$D,'Saldos Iniciales'!$A:$A,"Go Blue")+SUMIFS(Movimientos!$K$1:$K$1324,Movimientos!$C$1:$C$1324,"Go Blue",Movimientos!$B$1:$B$1324,"&lt;="&amp;$B134)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Aparments",Movimientos!$B$1:$B$1324,"&lt;="&amp;$B134))</f>
        <v>241889.38999999998</v>
      </c>
      <c r="AD134" s="24">
        <f>IF(YEAR($B134)*100+MONTH($B134)&lt;--SUBSTITUTE(_xlfn.XLOOKUP("Don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Life",Movimientos!$B$1:$B$1324,"&lt;="&amp;$B134))</f>
        <v>327985.82999999996</v>
      </c>
      <c r="AE134" s="25">
        <f t="shared" si="6"/>
        <v>5258796.72</v>
      </c>
    </row>
    <row r="135" spans="1:3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Group")+SUMIFS(Movimientos!$K$1:$K$1324,Movimientos!$C$1:$C$1324,"CFT Group",Movimientos!$B$1:$B$1324,"&lt;="&amp;$B135)</f>
        <v>1892948.5900000008</v>
      </c>
      <c r="D135" s="24">
        <f>SUMIFS('Saldos Iniciales'!$D:$D,'Saldos Iniciales'!$A:$A,"M1B")+SUMIFS(Movimientos!$K$1:$K$1324,Movimientos!$C$1:$C$1324,"M1B",Movimientos!$B$1:$B$1324,"&lt;="&amp;$B135)</f>
        <v>93737.970000000176</v>
      </c>
      <c r="E135" s="24">
        <f>SUMIFS('Saldos Iniciales'!$D:$D,'Saldos Iniciales'!$A:$A,"Durand")+SUMIFS(Movimientos!$K$1:$K$1324,Movimientos!$C$1:$C$1324,"Durand",Movimientos!$B$1:$B$1324,"&lt;="&amp;$B135)</f>
        <v>1669.89</v>
      </c>
      <c r="F135" s="24">
        <f>SUMIFS('Saldos Iniciales'!$D:$D,'Saldos Iniciales'!$A:$A,"A&amp;M Imports")+SUMIFS(Movimientos!$K$1:$K$1324,Movimientos!$C$1:$C$1324,"A&amp;M Imports",Movimientos!$B$1:$B$1324,"&lt;="&amp;$B135)</f>
        <v>1089124.99</v>
      </c>
      <c r="G135" s="24">
        <f>SUMIFS('Saldos Iniciales'!$D:$D,'Saldos Iniciales'!$A:$A,"SSP Capital")+SUMIFS(Movimientos!$K$1:$K$1324,Movimientos!$C$1:$C$1324,"SSP Capital",Movimientos!$B$1:$B$1324,"&lt;="&amp;$B135)</f>
        <v>1233680.9399999995</v>
      </c>
      <c r="H135" s="24">
        <f>SUMIFS('Saldos Iniciales'!$D:$D,'Saldos Iniciales'!$A:$A,"Cross Family Trust")+SUMIFS(Movimientos!$K$1:$K$1324,Movimientos!$C$1:$C$1324,"Cross Family Trust",Movimientos!$B$1:$B$1324,"&lt;="&amp;$B135)</f>
        <v>229778.14</v>
      </c>
      <c r="I135" s="24">
        <f>SUMIFS('Saldos Iniciales'!$D:$D,'Saldos Iniciales'!$A:$A,"Cross Security Trust")+SUMIFS(Movimientos!$K$1:$K$1324,Movimientos!$C$1:$C$1324,"Cross Security Trust",Movimientos!$B$1:$B$1324,"&lt;="&amp;$B135)</f>
        <v>217684.34</v>
      </c>
      <c r="J135" s="24">
        <f>SUMIFS('Saldos Iniciales'!$D:$D,'Saldos Iniciales'!$A:$A,"Electrama")+SUMIFS(Movimientos!$K$1:$K$1324,Movimientos!$C$1:$C$1324,"Electrama",Movimientos!$B$1:$B$1324,"&lt;="&amp;$B135)</f>
        <v>11744.75</v>
      </c>
      <c r="K135" s="24">
        <f>SUMIFS('Saldos Iniciales'!$D:$D,'Saldos Iniciales'!$A:$A,"Sacred Valley Capital")+SUMIFS(Movimientos!$K$1:$K$1324,Movimientos!$C$1:$C$1324,"Sacred Valley Capital",Movimientos!$B$1:$B$1324,"&lt;="&amp;$B135)</f>
        <v>94.5</v>
      </c>
      <c r="L135" s="24">
        <f>SUMIFS('Saldos Iniciales'!$D:$D,'Saldos Iniciales'!$A:$A,"YWC Capital")+SUMIFS(Movimientos!$K$1:$K$1324,Movimientos!$C$1:$C$1324,"YWC Capital",Movimientos!$B$1:$B$1324,"&lt;="&amp;$B135)</f>
        <v>2147.92</v>
      </c>
      <c r="M135" s="24">
        <f>SUMIFS('Saldos Iniciales'!$D:$D,'Saldos Iniciales'!$A:$A,"Soweto")+SUMIFS(Movimientos!$K$1:$K$1324,Movimientos!$C$1:$C$1324,"Soweto",Movimientos!$B$1:$B$1324,"&lt;="&amp;$B135)</f>
        <v>17895.290000000015</v>
      </c>
      <c r="N135" s="24">
        <f>SUMIFS('Saldos Iniciales'!$D:$D,'Saldos Iniciales'!$A:$A,"Green Stone Trust")+SUMIFS(Movimientos!$K$1:$K$1324,Movimientos!$C$1:$C$1324,"Green Stone Trust",Movimientos!$B$1:$B$1324,"&lt;="&amp;$B135)</f>
        <v>1968.99</v>
      </c>
      <c r="O135" s="24">
        <f>SUMIFS('Saldos Iniciales'!$D:$D,'Saldos Iniciales'!$A:$A,"EC Auto")+SUMIFS(Movimientos!$K$1:$K$1324,Movimientos!$C$1:$C$1324,"EC Auto",Movimientos!$B$1:$B$1324,"&lt;="&amp;$B135)</f>
        <v>901.34</v>
      </c>
      <c r="P135" s="24">
        <f>SUMIFS('Saldos Iniciales'!$D:$D,'Saldos Iniciales'!$A:$A,"Arbor Capital Properties")+SUMIFS(Movimientos!$K$1:$K$1324,Movimientos!$C$1:$C$1324,"Arbor Capital Properties",Movimientos!$B$1:$B$1324,"&lt;="&amp;$B135)</f>
        <v>1380.08</v>
      </c>
      <c r="Q135" s="24">
        <f>SUMIFS('Saldos Iniciales'!$D:$D,'Saldos Iniciales'!$A:$A,"2515 Overbrook")+SUMIFS(Movimientos!$K$1:$K$1324,Movimientos!$C$1:$C$1324,"2515 Overbrook",Movimientos!$B$1:$B$1324,"&lt;="&amp;$B135)</f>
        <v>25027.379999999961</v>
      </c>
      <c r="R135" s="24">
        <f>SUMIFS('Saldos Iniciales'!$D:$D,'Saldos Iniciales'!$A:$A,"112 Florida Ave")+SUMIFS(Movimientos!$K$1:$K$1324,Movimientos!$C$1:$C$1324,"112 Florida Ave",Movimientos!$B$1:$B$1324,"&lt;="&amp;$B135)</f>
        <v>16282.630000000006</v>
      </c>
      <c r="S135" s="24">
        <f>SUMIFS('Saldos Iniciales'!$D:$D,'Saldos Iniciales'!$A:$A,"3628 Thomas Ave")+SUMIFS(Movimientos!$K$1:$K$1324,Movimientos!$C$1:$C$1324,"3628 Thomas Ave",Movimientos!$B$1:$B$1324,"&lt;="&amp;$B135)</f>
        <v>13339.389999999996</v>
      </c>
      <c r="T135" s="24">
        <f>SUMIFS('Saldos Iniciales'!$D:$D,'Saldos Iniciales'!$A:$A,"Green Harbor Trust")+SUMIFS(Movimientos!$K$1:$K$1324,Movimientos!$C$1:$C$1324,"Green Harbor Trust",Movimientos!$B$1:$B$1324,"&lt;="&amp;$B135)</f>
        <v>345</v>
      </c>
      <c r="U135" s="24">
        <f>SUMIFS('Saldos Iniciales'!$D:$D,'Saldos Iniciales'!$A:$A,"Go Blue")+SUMIFS(Movimientos!$K$1:$K$1324,Movimientos!$C$1:$C$1324,"Go Blue",Movimientos!$B$1:$B$1324,"&lt;="&amp;$B135)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Aparments",Movimientos!$B$1:$B$1324,"&lt;="&amp;$B135))</f>
        <v>240458.22999999998</v>
      </c>
      <c r="AD135" s="24">
        <f>IF(YEAR($B135)*100+MONTH($B135)&lt;--SUBSTITUTE(_xlfn.XLOOKUP("Don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Life",Movimientos!$B$1:$B$1324,"&lt;="&amp;$B135))</f>
        <v>327985.82999999996</v>
      </c>
      <c r="AE135" s="25">
        <f t="shared" si="6"/>
        <v>5810148.5899999999</v>
      </c>
    </row>
    <row r="136" spans="1:3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Group")+SUMIFS(Movimientos!$K$1:$K$1324,Movimientos!$C$1:$C$1324,"CFT Group",Movimientos!$B$1:$B$1324,"&lt;="&amp;$B136)</f>
        <v>1892948.5900000008</v>
      </c>
      <c r="D136" s="24">
        <f>SUMIFS('Saldos Iniciales'!$D:$D,'Saldos Iniciales'!$A:$A,"M1B")+SUMIFS(Movimientos!$K$1:$K$1324,Movimientos!$C$1:$C$1324,"M1B",Movimientos!$B$1:$B$1324,"&lt;="&amp;$B136)</f>
        <v>93737.970000000176</v>
      </c>
      <c r="E136" s="24">
        <f>SUMIFS('Saldos Iniciales'!$D:$D,'Saldos Iniciales'!$A:$A,"Durand")+SUMIFS(Movimientos!$K$1:$K$1324,Movimientos!$C$1:$C$1324,"Durand",Movimientos!$B$1:$B$1324,"&lt;="&amp;$B136)</f>
        <v>1669.89</v>
      </c>
      <c r="F136" s="24">
        <f>SUMIFS('Saldos Iniciales'!$D:$D,'Saldos Iniciales'!$A:$A,"A&amp;M Imports")+SUMIFS(Movimientos!$K$1:$K$1324,Movimientos!$C$1:$C$1324,"A&amp;M Imports",Movimientos!$B$1:$B$1324,"&lt;="&amp;$B136)</f>
        <v>1089124.99</v>
      </c>
      <c r="G136" s="24">
        <f>SUMIFS('Saldos Iniciales'!$D:$D,'Saldos Iniciales'!$A:$A,"SSP Capital")+SUMIFS(Movimientos!$K$1:$K$1324,Movimientos!$C$1:$C$1324,"SSP Capital",Movimientos!$B$1:$B$1324,"&lt;="&amp;$B136)</f>
        <v>1233680.9399999995</v>
      </c>
      <c r="H136" s="24">
        <f>SUMIFS('Saldos Iniciales'!$D:$D,'Saldos Iniciales'!$A:$A,"Cross Family Trust")+SUMIFS(Movimientos!$K$1:$K$1324,Movimientos!$C$1:$C$1324,"Cross Family Trust",Movimientos!$B$1:$B$1324,"&lt;="&amp;$B136)</f>
        <v>229778.14</v>
      </c>
      <c r="I136" s="24">
        <f>SUMIFS('Saldos Iniciales'!$D:$D,'Saldos Iniciales'!$A:$A,"Cross Security Trust")+SUMIFS(Movimientos!$K$1:$K$1324,Movimientos!$C$1:$C$1324,"Cross Security Trust",Movimientos!$B$1:$B$1324,"&lt;="&amp;$B136)</f>
        <v>217684.34</v>
      </c>
      <c r="J136" s="24">
        <f>SUMIFS('Saldos Iniciales'!$D:$D,'Saldos Iniciales'!$A:$A,"Electrama")+SUMIFS(Movimientos!$K$1:$K$1324,Movimientos!$C$1:$C$1324,"Electrama",Movimientos!$B$1:$B$1324,"&lt;="&amp;$B136)</f>
        <v>11744.75</v>
      </c>
      <c r="K136" s="24">
        <f>SUMIFS('Saldos Iniciales'!$D:$D,'Saldos Iniciales'!$A:$A,"Sacred Valley Capital")+SUMIFS(Movimientos!$K$1:$K$1324,Movimientos!$C$1:$C$1324,"Sacred Valley Capital",Movimientos!$B$1:$B$1324,"&lt;="&amp;$B136)</f>
        <v>94.5</v>
      </c>
      <c r="L136" s="24">
        <f>SUMIFS('Saldos Iniciales'!$D:$D,'Saldos Iniciales'!$A:$A,"YWC Capital")+SUMIFS(Movimientos!$K$1:$K$1324,Movimientos!$C$1:$C$1324,"YWC Capital",Movimientos!$B$1:$B$1324,"&lt;="&amp;$B136)</f>
        <v>2147.92</v>
      </c>
      <c r="M136" s="24">
        <f>SUMIFS('Saldos Iniciales'!$D:$D,'Saldos Iniciales'!$A:$A,"Soweto")+SUMIFS(Movimientos!$K$1:$K$1324,Movimientos!$C$1:$C$1324,"Soweto",Movimientos!$B$1:$B$1324,"&lt;="&amp;$B136)</f>
        <v>17895.290000000015</v>
      </c>
      <c r="N136" s="24">
        <f>SUMIFS('Saldos Iniciales'!$D:$D,'Saldos Iniciales'!$A:$A,"Green Stone Trust")+SUMIFS(Movimientos!$K$1:$K$1324,Movimientos!$C$1:$C$1324,"Green Stone Trust",Movimientos!$B$1:$B$1324,"&lt;="&amp;$B136)</f>
        <v>1968.99</v>
      </c>
      <c r="O136" s="24">
        <f>SUMIFS('Saldos Iniciales'!$D:$D,'Saldos Iniciales'!$A:$A,"EC Auto")+SUMIFS(Movimientos!$K$1:$K$1324,Movimientos!$C$1:$C$1324,"EC Auto",Movimientos!$B$1:$B$1324,"&lt;="&amp;$B136)</f>
        <v>901.34</v>
      </c>
      <c r="P136" s="24">
        <f>SUMIFS('Saldos Iniciales'!$D:$D,'Saldos Iniciales'!$A:$A,"Arbor Capital Properties")+SUMIFS(Movimientos!$K$1:$K$1324,Movimientos!$C$1:$C$1324,"Arbor Capital Properties",Movimientos!$B$1:$B$1324,"&lt;="&amp;$B136)</f>
        <v>1380.08</v>
      </c>
      <c r="Q136" s="24">
        <f>SUMIFS('Saldos Iniciales'!$D:$D,'Saldos Iniciales'!$A:$A,"2515 Overbrook")+SUMIFS(Movimientos!$K$1:$K$1324,Movimientos!$C$1:$C$1324,"2515 Overbrook",Movimientos!$B$1:$B$1324,"&lt;="&amp;$B136)</f>
        <v>25027.379999999961</v>
      </c>
      <c r="R136" s="24">
        <f>SUMIFS('Saldos Iniciales'!$D:$D,'Saldos Iniciales'!$A:$A,"112 Florida Ave")+SUMIFS(Movimientos!$K$1:$K$1324,Movimientos!$C$1:$C$1324,"112 Florida Ave",Movimientos!$B$1:$B$1324,"&lt;="&amp;$B136)</f>
        <v>16282.630000000006</v>
      </c>
      <c r="S136" s="24">
        <f>SUMIFS('Saldos Iniciales'!$D:$D,'Saldos Iniciales'!$A:$A,"3628 Thomas Ave")+SUMIFS(Movimientos!$K$1:$K$1324,Movimientos!$C$1:$C$1324,"3628 Thomas Ave",Movimientos!$B$1:$B$1324,"&lt;="&amp;$B136)</f>
        <v>13339.389999999996</v>
      </c>
      <c r="T136" s="24">
        <f>SUMIFS('Saldos Iniciales'!$D:$D,'Saldos Iniciales'!$A:$A,"Green Harbor Trust")+SUMIFS(Movimientos!$K$1:$K$1324,Movimientos!$C$1:$C$1324,"Green Harbor Trust",Movimientos!$B$1:$B$1324,"&lt;="&amp;$B136)</f>
        <v>345</v>
      </c>
      <c r="U136" s="24">
        <f>SUMIFS('Saldos Iniciales'!$D:$D,'Saldos Iniciales'!$A:$A,"Go Blue")+SUMIFS(Movimientos!$K$1:$K$1324,Movimientos!$C$1:$C$1324,"Go Blue",Movimientos!$B$1:$B$1324,"&lt;="&amp;$B136)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Aparments",Movimientos!$B$1:$B$1324,"&lt;="&amp;$B136))</f>
        <v>240458.22999999998</v>
      </c>
      <c r="AD136" s="24">
        <f>IF(YEAR($B136)*100+MONTH($B136)&lt;--SUBSTITUTE(_xlfn.XLOOKUP("Don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Life",Movimientos!$B$1:$B$1324,"&lt;="&amp;$B136))</f>
        <v>327985.82999999996</v>
      </c>
      <c r="AE136" s="25">
        <f t="shared" si="6"/>
        <v>5810148.5899999999</v>
      </c>
    </row>
    <row r="137" spans="1:3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Group")+SUMIFS(Movimientos!$K$1:$K$1324,Movimientos!$C$1:$C$1324,"CFT Group",Movimientos!$B$1:$B$1324,"&lt;="&amp;$B137)</f>
        <v>1892948.5900000008</v>
      </c>
      <c r="D137" s="24">
        <f>SUMIFS('Saldos Iniciales'!$D:$D,'Saldos Iniciales'!$A:$A,"M1B")+SUMIFS(Movimientos!$K$1:$K$1324,Movimientos!$C$1:$C$1324,"M1B",Movimientos!$B$1:$B$1324,"&lt;="&amp;$B137)</f>
        <v>93737.970000000176</v>
      </c>
      <c r="E137" s="24">
        <f>SUMIFS('Saldos Iniciales'!$D:$D,'Saldos Iniciales'!$A:$A,"Durand")+SUMIFS(Movimientos!$K$1:$K$1324,Movimientos!$C$1:$C$1324,"Durand",Movimientos!$B$1:$B$1324,"&lt;="&amp;$B137)</f>
        <v>1669.89</v>
      </c>
      <c r="F137" s="24">
        <f>SUMIFS('Saldos Iniciales'!$D:$D,'Saldos Iniciales'!$A:$A,"A&amp;M Imports")+SUMIFS(Movimientos!$K$1:$K$1324,Movimientos!$C$1:$C$1324,"A&amp;M Imports",Movimientos!$B$1:$B$1324,"&lt;="&amp;$B137)</f>
        <v>1089124.99</v>
      </c>
      <c r="G137" s="24">
        <f>SUMIFS('Saldos Iniciales'!$D:$D,'Saldos Iniciales'!$A:$A,"SSP Capital")+SUMIFS(Movimientos!$K$1:$K$1324,Movimientos!$C$1:$C$1324,"SSP Capital",Movimientos!$B$1:$B$1324,"&lt;="&amp;$B137)</f>
        <v>1233680.9399999995</v>
      </c>
      <c r="H137" s="24">
        <f>SUMIFS('Saldos Iniciales'!$D:$D,'Saldos Iniciales'!$A:$A,"Cross Family Trust")+SUMIFS(Movimientos!$K$1:$K$1324,Movimientos!$C$1:$C$1324,"Cross Family Trust",Movimientos!$B$1:$B$1324,"&lt;="&amp;$B137)</f>
        <v>229778.14</v>
      </c>
      <c r="I137" s="24">
        <f>SUMIFS('Saldos Iniciales'!$D:$D,'Saldos Iniciales'!$A:$A,"Cross Security Trust")+SUMIFS(Movimientos!$K$1:$K$1324,Movimientos!$C$1:$C$1324,"Cross Security Trust",Movimientos!$B$1:$B$1324,"&lt;="&amp;$B137)</f>
        <v>217684.34</v>
      </c>
      <c r="J137" s="24">
        <f>SUMIFS('Saldos Iniciales'!$D:$D,'Saldos Iniciales'!$A:$A,"Electrama")+SUMIFS(Movimientos!$K$1:$K$1324,Movimientos!$C$1:$C$1324,"Electrama",Movimientos!$B$1:$B$1324,"&lt;="&amp;$B137)</f>
        <v>11744.75</v>
      </c>
      <c r="K137" s="24">
        <f>SUMIFS('Saldos Iniciales'!$D:$D,'Saldos Iniciales'!$A:$A,"Sacred Valley Capital")+SUMIFS(Movimientos!$K$1:$K$1324,Movimientos!$C$1:$C$1324,"Sacred Valley Capital",Movimientos!$B$1:$B$1324,"&lt;="&amp;$B137)</f>
        <v>94.5</v>
      </c>
      <c r="L137" s="24">
        <f>SUMIFS('Saldos Iniciales'!$D:$D,'Saldos Iniciales'!$A:$A,"YWC Capital")+SUMIFS(Movimientos!$K$1:$K$1324,Movimientos!$C$1:$C$1324,"YWC Capital",Movimientos!$B$1:$B$1324,"&lt;="&amp;$B137)</f>
        <v>2147.92</v>
      </c>
      <c r="M137" s="24">
        <f>SUMIFS('Saldos Iniciales'!$D:$D,'Saldos Iniciales'!$A:$A,"Soweto")+SUMIFS(Movimientos!$K$1:$K$1324,Movimientos!$C$1:$C$1324,"Soweto",Movimientos!$B$1:$B$1324,"&lt;="&amp;$B137)</f>
        <v>17895.290000000015</v>
      </c>
      <c r="N137" s="24">
        <f>SUMIFS('Saldos Iniciales'!$D:$D,'Saldos Iniciales'!$A:$A,"Green Stone Trust")+SUMIFS(Movimientos!$K$1:$K$1324,Movimientos!$C$1:$C$1324,"Green Stone Trust",Movimientos!$B$1:$B$1324,"&lt;="&amp;$B137)</f>
        <v>1968.99</v>
      </c>
      <c r="O137" s="24">
        <f>SUMIFS('Saldos Iniciales'!$D:$D,'Saldos Iniciales'!$A:$A,"EC Auto")+SUMIFS(Movimientos!$K$1:$K$1324,Movimientos!$C$1:$C$1324,"EC Auto",Movimientos!$B$1:$B$1324,"&lt;="&amp;$B137)</f>
        <v>901.34</v>
      </c>
      <c r="P137" s="24">
        <f>SUMIFS('Saldos Iniciales'!$D:$D,'Saldos Iniciales'!$A:$A,"Arbor Capital Properties")+SUMIFS(Movimientos!$K$1:$K$1324,Movimientos!$C$1:$C$1324,"Arbor Capital Properties",Movimientos!$B$1:$B$1324,"&lt;="&amp;$B137)</f>
        <v>1380.08</v>
      </c>
      <c r="Q137" s="24">
        <f>SUMIFS('Saldos Iniciales'!$D:$D,'Saldos Iniciales'!$A:$A,"2515 Overbrook")+SUMIFS(Movimientos!$K$1:$K$1324,Movimientos!$C$1:$C$1324,"2515 Overbrook",Movimientos!$B$1:$B$1324,"&lt;="&amp;$B137)</f>
        <v>25027.379999999961</v>
      </c>
      <c r="R137" s="24">
        <f>SUMIFS('Saldos Iniciales'!$D:$D,'Saldos Iniciales'!$A:$A,"112 Florida Ave")+SUMIFS(Movimientos!$K$1:$K$1324,Movimientos!$C$1:$C$1324,"112 Florida Ave",Movimientos!$B$1:$B$1324,"&lt;="&amp;$B137)</f>
        <v>16282.630000000006</v>
      </c>
      <c r="S137" s="24">
        <f>SUMIFS('Saldos Iniciales'!$D:$D,'Saldos Iniciales'!$A:$A,"3628 Thomas Ave")+SUMIFS(Movimientos!$K$1:$K$1324,Movimientos!$C$1:$C$1324,"3628 Thomas Ave",Movimientos!$B$1:$B$1324,"&lt;="&amp;$B137)</f>
        <v>13339.389999999996</v>
      </c>
      <c r="T137" s="24">
        <f>SUMIFS('Saldos Iniciales'!$D:$D,'Saldos Iniciales'!$A:$A,"Green Harbor Trust")+SUMIFS(Movimientos!$K$1:$K$1324,Movimientos!$C$1:$C$1324,"Green Harbor Trust",Movimientos!$B$1:$B$1324,"&lt;="&amp;$B137)</f>
        <v>345</v>
      </c>
      <c r="U137" s="24">
        <f>SUMIFS('Saldos Iniciales'!$D:$D,'Saldos Iniciales'!$A:$A,"Go Blue")+SUMIFS(Movimientos!$K$1:$K$1324,Movimientos!$C$1:$C$1324,"Go Blue",Movimientos!$B$1:$B$1324,"&lt;="&amp;$B137)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Aparments",Movimientos!$B$1:$B$1324,"&lt;="&amp;$B137))</f>
        <v>240458.22999999998</v>
      </c>
      <c r="AD137" s="24">
        <f>IF(YEAR($B137)*100+MONTH($B137)&lt;--SUBSTITUTE(_xlfn.XLOOKUP("Don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Life",Movimientos!$B$1:$B$1324,"&lt;="&amp;$B137))</f>
        <v>327985.82999999996</v>
      </c>
      <c r="AE137" s="25">
        <f t="shared" si="6"/>
        <v>5810148.5899999999</v>
      </c>
    </row>
    <row r="138" spans="1:3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Group")+SUMIFS(Movimientos!$K$1:$K$1324,Movimientos!$C$1:$C$1324,"CFT Group",Movimientos!$B$1:$B$1324,"&lt;="&amp;$B138)</f>
        <v>2042948.5900000008</v>
      </c>
      <c r="D138" s="24">
        <f>SUMIFS('Saldos Iniciales'!$D:$D,'Saldos Iniciales'!$A:$A,"M1B")+SUMIFS(Movimientos!$K$1:$K$1324,Movimientos!$C$1:$C$1324,"M1B",Movimientos!$B$1:$B$1324,"&lt;="&amp;$B138)</f>
        <v>93737.970000000176</v>
      </c>
      <c r="E138" s="24">
        <f>SUMIFS('Saldos Iniciales'!$D:$D,'Saldos Iniciales'!$A:$A,"Durand")+SUMIFS(Movimientos!$K$1:$K$1324,Movimientos!$C$1:$C$1324,"Durand",Movimientos!$B$1:$B$1324,"&lt;="&amp;$B138)</f>
        <v>1669.89</v>
      </c>
      <c r="F138" s="24">
        <f>SUMIFS('Saldos Iniciales'!$D:$D,'Saldos Iniciales'!$A:$A,"A&amp;M Imports")+SUMIFS(Movimientos!$K$1:$K$1324,Movimientos!$C$1:$C$1324,"A&amp;M Imports",Movimientos!$B$1:$B$1324,"&lt;="&amp;$B138)</f>
        <v>1105910.26</v>
      </c>
      <c r="G138" s="24">
        <f>SUMIFS('Saldos Iniciales'!$D:$D,'Saldos Iniciales'!$A:$A,"SSP Capital")+SUMIFS(Movimientos!$K$1:$K$1324,Movimientos!$C$1:$C$1324,"SSP Capital",Movimientos!$B$1:$B$1324,"&lt;="&amp;$B138)</f>
        <v>1191956.6299999997</v>
      </c>
      <c r="H138" s="24">
        <f>SUMIFS('Saldos Iniciales'!$D:$D,'Saldos Iniciales'!$A:$A,"Cross Family Trust")+SUMIFS(Movimientos!$K$1:$K$1324,Movimientos!$C$1:$C$1324,"Cross Family Trust",Movimientos!$B$1:$B$1324,"&lt;="&amp;$B138)</f>
        <v>229778.14</v>
      </c>
      <c r="I138" s="24">
        <f>SUMIFS('Saldos Iniciales'!$D:$D,'Saldos Iniciales'!$A:$A,"Cross Security Trust")+SUMIFS(Movimientos!$K$1:$K$1324,Movimientos!$C$1:$C$1324,"Cross Security Trust",Movimientos!$B$1:$B$1324,"&lt;="&amp;$B138)</f>
        <v>217684.34</v>
      </c>
      <c r="J138" s="24">
        <f>SUMIFS('Saldos Iniciales'!$D:$D,'Saldos Iniciales'!$A:$A,"Electrama")+SUMIFS(Movimientos!$K$1:$K$1324,Movimientos!$C$1:$C$1324,"Electrama",Movimientos!$B$1:$B$1324,"&lt;="&amp;$B138)</f>
        <v>11744.75</v>
      </c>
      <c r="K138" s="24">
        <f>SUMIFS('Saldos Iniciales'!$D:$D,'Saldos Iniciales'!$A:$A,"Sacred Valley Capital")+SUMIFS(Movimientos!$K$1:$K$1324,Movimientos!$C$1:$C$1324,"Sacred Valley Capital",Movimientos!$B$1:$B$1324,"&lt;="&amp;$B138)</f>
        <v>94.5</v>
      </c>
      <c r="L138" s="24">
        <f>SUMIFS('Saldos Iniciales'!$D:$D,'Saldos Iniciales'!$A:$A,"YWC Capital")+SUMIFS(Movimientos!$K$1:$K$1324,Movimientos!$C$1:$C$1324,"YWC Capital",Movimientos!$B$1:$B$1324,"&lt;="&amp;$B138)</f>
        <v>2147.92</v>
      </c>
      <c r="M138" s="24">
        <f>SUMIFS('Saldos Iniciales'!$D:$D,'Saldos Iniciales'!$A:$A,"Soweto")+SUMIFS(Movimientos!$K$1:$K$1324,Movimientos!$C$1:$C$1324,"Soweto",Movimientos!$B$1:$B$1324,"&lt;="&amp;$B138)</f>
        <v>17895.290000000015</v>
      </c>
      <c r="N138" s="24">
        <f>SUMIFS('Saldos Iniciales'!$D:$D,'Saldos Iniciales'!$A:$A,"Green Stone Trust")+SUMIFS(Movimientos!$K$1:$K$1324,Movimientos!$C$1:$C$1324,"Green Stone Trust",Movimientos!$B$1:$B$1324,"&lt;="&amp;$B138)</f>
        <v>1968.99</v>
      </c>
      <c r="O138" s="24">
        <f>SUMIFS('Saldos Iniciales'!$D:$D,'Saldos Iniciales'!$A:$A,"EC Auto")+SUMIFS(Movimientos!$K$1:$K$1324,Movimientos!$C$1:$C$1324,"EC Auto",Movimientos!$B$1:$B$1324,"&lt;="&amp;$B138)</f>
        <v>901.34</v>
      </c>
      <c r="P138" s="24">
        <f>SUMIFS('Saldos Iniciales'!$D:$D,'Saldos Iniciales'!$A:$A,"Arbor Capital Properties")+SUMIFS(Movimientos!$K$1:$K$1324,Movimientos!$C$1:$C$1324,"Arbor Capital Properties",Movimientos!$B$1:$B$1324,"&lt;="&amp;$B138)</f>
        <v>1380.08</v>
      </c>
      <c r="Q138" s="24">
        <f>SUMIFS('Saldos Iniciales'!$D:$D,'Saldos Iniciales'!$A:$A,"2515 Overbrook")+SUMIFS(Movimientos!$K$1:$K$1324,Movimientos!$C$1:$C$1324,"2515 Overbrook",Movimientos!$B$1:$B$1324,"&lt;="&amp;$B138)</f>
        <v>25027.379999999961</v>
      </c>
      <c r="R138" s="24">
        <f>SUMIFS('Saldos Iniciales'!$D:$D,'Saldos Iniciales'!$A:$A,"112 Florida Ave")+SUMIFS(Movimientos!$K$1:$K$1324,Movimientos!$C$1:$C$1324,"112 Florida Ave",Movimientos!$B$1:$B$1324,"&lt;="&amp;$B138)</f>
        <v>16282.630000000006</v>
      </c>
      <c r="S138" s="24">
        <f>SUMIFS('Saldos Iniciales'!$D:$D,'Saldos Iniciales'!$A:$A,"3628 Thomas Ave")+SUMIFS(Movimientos!$K$1:$K$1324,Movimientos!$C$1:$C$1324,"3628 Thomas Ave",Movimientos!$B$1:$B$1324,"&lt;="&amp;$B138)</f>
        <v>13685.999999999996</v>
      </c>
      <c r="T138" s="24">
        <f>SUMIFS('Saldos Iniciales'!$D:$D,'Saldos Iniciales'!$A:$A,"Green Harbor Trust")+SUMIFS(Movimientos!$K$1:$K$1324,Movimientos!$C$1:$C$1324,"Green Harbor Trust",Movimientos!$B$1:$B$1324,"&lt;="&amp;$B138)</f>
        <v>345</v>
      </c>
      <c r="U138" s="24">
        <f>SUMIFS('Saldos Iniciales'!$D:$D,'Saldos Iniciales'!$A:$A,"Go Blue")+SUMIFS(Movimientos!$K$1:$K$1324,Movimientos!$C$1:$C$1324,"Go Blue",Movimientos!$B$1:$B$1324,"&lt;="&amp;$B138)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Aparments",Movimientos!$B$1:$B$1324,"&lt;="&amp;$B138))</f>
        <v>240356.58</v>
      </c>
      <c r="AD138" s="24">
        <f>IF(YEAR($B138)*100+MONTH($B138)&lt;--SUBSTITUTE(_xlfn.XLOOKUP("Don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Life",Movimientos!$B$1:$B$1324,"&lt;="&amp;$B138))</f>
        <v>327985.82999999996</v>
      </c>
      <c r="AE138" s="25">
        <f t="shared" si="6"/>
        <v>5927533.5100000007</v>
      </c>
    </row>
    <row r="139" spans="1:3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Group")+SUMIFS(Movimientos!$K$1:$K$1324,Movimientos!$C$1:$C$1324,"CFT Group",Movimientos!$B$1:$B$1324,"&lt;="&amp;$B139)</f>
        <v>2042948.5900000008</v>
      </c>
      <c r="D139" s="24">
        <f>SUMIFS('Saldos Iniciales'!$D:$D,'Saldos Iniciales'!$A:$A,"M1B")+SUMIFS(Movimientos!$K$1:$K$1324,Movimientos!$C$1:$C$1324,"M1B",Movimientos!$B$1:$B$1324,"&lt;="&amp;$B139)</f>
        <v>100486.46000000017</v>
      </c>
      <c r="E139" s="24">
        <f>SUMIFS('Saldos Iniciales'!$D:$D,'Saldos Iniciales'!$A:$A,"Durand")+SUMIFS(Movimientos!$K$1:$K$1324,Movimientos!$C$1:$C$1324,"Durand",Movimientos!$B$1:$B$1324,"&lt;="&amp;$B139)</f>
        <v>1669.89</v>
      </c>
      <c r="F139" s="24">
        <f>SUMIFS('Saldos Iniciales'!$D:$D,'Saldos Iniciales'!$A:$A,"A&amp;M Imports")+SUMIFS(Movimientos!$K$1:$K$1324,Movimientos!$C$1:$C$1324,"A&amp;M Imports",Movimientos!$B$1:$B$1324,"&lt;="&amp;$B139)</f>
        <v>1105534.6399999999</v>
      </c>
      <c r="G139" s="24">
        <f>SUMIFS('Saldos Iniciales'!$D:$D,'Saldos Iniciales'!$A:$A,"SSP Capital")+SUMIFS(Movimientos!$K$1:$K$1324,Movimientos!$C$1:$C$1324,"SSP Capital",Movimientos!$B$1:$B$1324,"&lt;="&amp;$B139)</f>
        <v>1191927.2199999995</v>
      </c>
      <c r="H139" s="24">
        <f>SUMIFS('Saldos Iniciales'!$D:$D,'Saldos Iniciales'!$A:$A,"Cross Family Trust")+SUMIFS(Movimientos!$K$1:$K$1324,Movimientos!$C$1:$C$1324,"Cross Family Trust",Movimientos!$B$1:$B$1324,"&lt;="&amp;$B139)</f>
        <v>229778.14</v>
      </c>
      <c r="I139" s="24">
        <f>SUMIFS('Saldos Iniciales'!$D:$D,'Saldos Iniciales'!$A:$A,"Cross Security Trust")+SUMIFS(Movimientos!$K$1:$K$1324,Movimientos!$C$1:$C$1324,"Cross Security Trust",Movimientos!$B$1:$B$1324,"&lt;="&amp;$B139)</f>
        <v>217688.58</v>
      </c>
      <c r="J139" s="24">
        <f>SUMIFS('Saldos Iniciales'!$D:$D,'Saldos Iniciales'!$A:$A,"Electrama")+SUMIFS(Movimientos!$K$1:$K$1324,Movimientos!$C$1:$C$1324,"Electrama",Movimientos!$B$1:$B$1324,"&lt;="&amp;$B139)</f>
        <v>11744.75</v>
      </c>
      <c r="K139" s="24">
        <f>SUMIFS('Saldos Iniciales'!$D:$D,'Saldos Iniciales'!$A:$A,"Sacred Valley Capital")+SUMIFS(Movimientos!$K$1:$K$1324,Movimientos!$C$1:$C$1324,"Sacred Valley Capital",Movimientos!$B$1:$B$1324,"&lt;="&amp;$B139)</f>
        <v>94.5</v>
      </c>
      <c r="L139" s="24">
        <f>SUMIFS('Saldos Iniciales'!$D:$D,'Saldos Iniciales'!$A:$A,"YWC Capital")+SUMIFS(Movimientos!$K$1:$K$1324,Movimientos!$C$1:$C$1324,"YWC Capital",Movimientos!$B$1:$B$1324,"&lt;="&amp;$B139)</f>
        <v>2147.92</v>
      </c>
      <c r="M139" s="24">
        <f>SUMIFS('Saldos Iniciales'!$D:$D,'Saldos Iniciales'!$A:$A,"Soweto")+SUMIFS(Movimientos!$K$1:$K$1324,Movimientos!$C$1:$C$1324,"Soweto",Movimientos!$B$1:$B$1324,"&lt;="&amp;$B139)</f>
        <v>17895.290000000015</v>
      </c>
      <c r="N139" s="24">
        <f>SUMIFS('Saldos Iniciales'!$D:$D,'Saldos Iniciales'!$A:$A,"Green Stone Trust")+SUMIFS(Movimientos!$K$1:$K$1324,Movimientos!$C$1:$C$1324,"Green Stone Trust",Movimientos!$B$1:$B$1324,"&lt;="&amp;$B139)</f>
        <v>1968.99</v>
      </c>
      <c r="O139" s="24">
        <f>SUMIFS('Saldos Iniciales'!$D:$D,'Saldos Iniciales'!$A:$A,"EC Auto")+SUMIFS(Movimientos!$K$1:$K$1324,Movimientos!$C$1:$C$1324,"EC Auto",Movimientos!$B$1:$B$1324,"&lt;="&amp;$B139)</f>
        <v>901.34</v>
      </c>
      <c r="P139" s="24">
        <f>SUMIFS('Saldos Iniciales'!$D:$D,'Saldos Iniciales'!$A:$A,"Arbor Capital Properties")+SUMIFS(Movimientos!$K$1:$K$1324,Movimientos!$C$1:$C$1324,"Arbor Capital Properties",Movimientos!$B$1:$B$1324,"&lt;="&amp;$B139)</f>
        <v>1380.08</v>
      </c>
      <c r="Q139" s="24">
        <f>SUMIFS('Saldos Iniciales'!$D:$D,'Saldos Iniciales'!$A:$A,"2515 Overbrook")+SUMIFS(Movimientos!$K$1:$K$1324,Movimientos!$C$1:$C$1324,"2515 Overbrook",Movimientos!$B$1:$B$1324,"&lt;="&amp;$B139)</f>
        <v>25027.379999999961</v>
      </c>
      <c r="R139" s="24">
        <f>SUMIFS('Saldos Iniciales'!$D:$D,'Saldos Iniciales'!$A:$A,"112 Florida Ave")+SUMIFS(Movimientos!$K$1:$K$1324,Movimientos!$C$1:$C$1324,"112 Florida Ave",Movimientos!$B$1:$B$1324,"&lt;="&amp;$B139)</f>
        <v>16282.630000000006</v>
      </c>
      <c r="S139" s="24">
        <f>SUMIFS('Saldos Iniciales'!$D:$D,'Saldos Iniciales'!$A:$A,"3628 Thomas Ave")+SUMIFS(Movimientos!$K$1:$K$1324,Movimientos!$C$1:$C$1324,"3628 Thomas Ave",Movimientos!$B$1:$B$1324,"&lt;="&amp;$B139)</f>
        <v>13685.999999999996</v>
      </c>
      <c r="T139" s="24">
        <f>SUMIFS('Saldos Iniciales'!$D:$D,'Saldos Iniciales'!$A:$A,"Green Harbor Trust")+SUMIFS(Movimientos!$K$1:$K$1324,Movimientos!$C$1:$C$1324,"Green Harbor Trust",Movimientos!$B$1:$B$1324,"&lt;="&amp;$B139)</f>
        <v>345</v>
      </c>
      <c r="U139" s="24">
        <f>SUMIFS('Saldos Iniciales'!$D:$D,'Saldos Iniciales'!$A:$A,"Go Blue")+SUMIFS(Movimientos!$K$1:$K$1324,Movimientos!$C$1:$C$1324,"Go Blue",Movimientos!$B$1:$B$1324,"&lt;="&amp;$B139)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Aparments",Movimientos!$B$1:$B$1324,"&lt;="&amp;$B139))</f>
        <v>240356.58</v>
      </c>
      <c r="AD139" s="24">
        <f>IF(YEAR($B139)*100+MONTH($B139)&lt;--SUBSTITUTE(_xlfn.XLOOKUP("Don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Life",Movimientos!$B$1:$B$1324,"&lt;="&amp;$B139))</f>
        <v>327985.82999999996</v>
      </c>
      <c r="AE139" s="25">
        <f t="shared" si="6"/>
        <v>5933191.8900000006</v>
      </c>
    </row>
    <row r="140" spans="1:3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Group")+SUMIFS(Movimientos!$K$1:$K$1324,Movimientos!$C$1:$C$1324,"CFT Group",Movimientos!$B$1:$B$1324,"&lt;="&amp;$B140)</f>
        <v>2042948.5900000008</v>
      </c>
      <c r="D140" s="24">
        <f>SUMIFS('Saldos Iniciales'!$D:$D,'Saldos Iniciales'!$A:$A,"M1B")+SUMIFS(Movimientos!$K$1:$K$1324,Movimientos!$C$1:$C$1324,"M1B",Movimientos!$B$1:$B$1324,"&lt;="&amp;$B140)</f>
        <v>100486.46000000017</v>
      </c>
      <c r="E140" s="24">
        <f>SUMIFS('Saldos Iniciales'!$D:$D,'Saldos Iniciales'!$A:$A,"Durand")+SUMIFS(Movimientos!$K$1:$K$1324,Movimientos!$C$1:$C$1324,"Durand",Movimientos!$B$1:$B$1324,"&lt;="&amp;$B140)</f>
        <v>1669.89</v>
      </c>
      <c r="F140" s="24">
        <f>SUMIFS('Saldos Iniciales'!$D:$D,'Saldos Iniciales'!$A:$A,"A&amp;M Imports")+SUMIFS(Movimientos!$K$1:$K$1324,Movimientos!$C$1:$C$1324,"A&amp;M Imports",Movimientos!$B$1:$B$1324,"&lt;="&amp;$B140)</f>
        <v>1105534.6399999999</v>
      </c>
      <c r="G140" s="24">
        <f>SUMIFS('Saldos Iniciales'!$D:$D,'Saldos Iniciales'!$A:$A,"SSP Capital")+SUMIFS(Movimientos!$K$1:$K$1324,Movimientos!$C$1:$C$1324,"SSP Capital",Movimientos!$B$1:$B$1324,"&lt;="&amp;$B140)</f>
        <v>1189436.8599999996</v>
      </c>
      <c r="H140" s="24">
        <f>SUMIFS('Saldos Iniciales'!$D:$D,'Saldos Iniciales'!$A:$A,"Cross Family Trust")+SUMIFS(Movimientos!$K$1:$K$1324,Movimientos!$C$1:$C$1324,"Cross Family Trust",Movimientos!$B$1:$B$1324,"&lt;="&amp;$B140)</f>
        <v>229778.14</v>
      </c>
      <c r="I140" s="24">
        <f>SUMIFS('Saldos Iniciales'!$D:$D,'Saldos Iniciales'!$A:$A,"Cross Security Trust")+SUMIFS(Movimientos!$K$1:$K$1324,Movimientos!$C$1:$C$1324,"Cross Security Trust",Movimientos!$B$1:$B$1324,"&lt;="&amp;$B140)</f>
        <v>217688.58</v>
      </c>
      <c r="J140" s="24">
        <f>SUMIFS('Saldos Iniciales'!$D:$D,'Saldos Iniciales'!$A:$A,"Electrama")+SUMIFS(Movimientos!$K$1:$K$1324,Movimientos!$C$1:$C$1324,"Electrama",Movimientos!$B$1:$B$1324,"&lt;="&amp;$B140)</f>
        <v>11744.75</v>
      </c>
      <c r="K140" s="24">
        <f>SUMIFS('Saldos Iniciales'!$D:$D,'Saldos Iniciales'!$A:$A,"Sacred Valley Capital")+SUMIFS(Movimientos!$K$1:$K$1324,Movimientos!$C$1:$C$1324,"Sacred Valley Capital",Movimientos!$B$1:$B$1324,"&lt;="&amp;$B140)</f>
        <v>94.5</v>
      </c>
      <c r="L140" s="24">
        <f>SUMIFS('Saldos Iniciales'!$D:$D,'Saldos Iniciales'!$A:$A,"YWC Capital")+SUMIFS(Movimientos!$K$1:$K$1324,Movimientos!$C$1:$C$1324,"YWC Capital",Movimientos!$B$1:$B$1324,"&lt;="&amp;$B140)</f>
        <v>2147.92</v>
      </c>
      <c r="M140" s="24">
        <f>SUMIFS('Saldos Iniciales'!$D:$D,'Saldos Iniciales'!$A:$A,"Soweto")+SUMIFS(Movimientos!$K$1:$K$1324,Movimientos!$C$1:$C$1324,"Soweto",Movimientos!$B$1:$B$1324,"&lt;="&amp;$B140)</f>
        <v>17895.290000000015</v>
      </c>
      <c r="N140" s="24">
        <f>SUMIFS('Saldos Iniciales'!$D:$D,'Saldos Iniciales'!$A:$A,"Green Stone Trust")+SUMIFS(Movimientos!$K$1:$K$1324,Movimientos!$C$1:$C$1324,"Green Stone Trust",Movimientos!$B$1:$B$1324,"&lt;="&amp;$B140)</f>
        <v>1968.99</v>
      </c>
      <c r="O140" s="24">
        <f>SUMIFS('Saldos Iniciales'!$D:$D,'Saldos Iniciales'!$A:$A,"EC Auto")+SUMIFS(Movimientos!$K$1:$K$1324,Movimientos!$C$1:$C$1324,"EC Auto",Movimientos!$B$1:$B$1324,"&lt;="&amp;$B140)</f>
        <v>901.34</v>
      </c>
      <c r="P140" s="24">
        <f>SUMIFS('Saldos Iniciales'!$D:$D,'Saldos Iniciales'!$A:$A,"Arbor Capital Properties")+SUMIFS(Movimientos!$K$1:$K$1324,Movimientos!$C$1:$C$1324,"Arbor Capital Properties",Movimientos!$B$1:$B$1324,"&lt;="&amp;$B140)</f>
        <v>1380.08</v>
      </c>
      <c r="Q140" s="24">
        <f>SUMIFS('Saldos Iniciales'!$D:$D,'Saldos Iniciales'!$A:$A,"2515 Overbrook")+SUMIFS(Movimientos!$K$1:$K$1324,Movimientos!$C$1:$C$1324,"2515 Overbrook",Movimientos!$B$1:$B$1324,"&lt;="&amp;$B140)</f>
        <v>25027.379999999961</v>
      </c>
      <c r="R140" s="24">
        <f>SUMIFS('Saldos Iniciales'!$D:$D,'Saldos Iniciales'!$A:$A,"112 Florida Ave")+SUMIFS(Movimientos!$K$1:$K$1324,Movimientos!$C$1:$C$1324,"112 Florida Ave",Movimientos!$B$1:$B$1324,"&lt;="&amp;$B140)</f>
        <v>16282.630000000006</v>
      </c>
      <c r="S140" s="24">
        <f>SUMIFS('Saldos Iniciales'!$D:$D,'Saldos Iniciales'!$A:$A,"3628 Thomas Ave")+SUMIFS(Movimientos!$K$1:$K$1324,Movimientos!$C$1:$C$1324,"3628 Thomas Ave",Movimientos!$B$1:$B$1324,"&lt;="&amp;$B140)</f>
        <v>13685.999999999996</v>
      </c>
      <c r="T140" s="24">
        <f>SUMIFS('Saldos Iniciales'!$D:$D,'Saldos Iniciales'!$A:$A,"Green Harbor Trust")+SUMIFS(Movimientos!$K$1:$K$1324,Movimientos!$C$1:$C$1324,"Green Harbor Trust",Movimientos!$B$1:$B$1324,"&lt;="&amp;$B140)</f>
        <v>345</v>
      </c>
      <c r="U140" s="24">
        <f>SUMIFS('Saldos Iniciales'!$D:$D,'Saldos Iniciales'!$A:$A,"Go Blue")+SUMIFS(Movimientos!$K$1:$K$1324,Movimientos!$C$1:$C$1324,"Go Blue",Movimientos!$B$1:$B$1324,"&lt;="&amp;$B140)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Aparments",Movimientos!$B$1:$B$1324,"&lt;="&amp;$B140))</f>
        <v>240356.58</v>
      </c>
      <c r="AD140" s="24">
        <f>IF(YEAR($B140)*100+MONTH($B140)&lt;--SUBSTITUTE(_xlfn.XLOOKUP("Don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Life",Movimientos!$B$1:$B$1324,"&lt;="&amp;$B140))</f>
        <v>327985.82999999996</v>
      </c>
      <c r="AE140" s="25">
        <f t="shared" si="6"/>
        <v>5929783.5300000003</v>
      </c>
    </row>
    <row r="141" spans="1:3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Group")+SUMIFS(Movimientos!$K$1:$K$1324,Movimientos!$C$1:$C$1324,"CFT Group",Movimientos!$B$1:$B$1324,"&lt;="&amp;$B141)</f>
        <v>1912320.2500000007</v>
      </c>
      <c r="D141" s="24">
        <f>SUMIFS('Saldos Iniciales'!$D:$D,'Saldos Iniciales'!$A:$A,"M1B")+SUMIFS(Movimientos!$K$1:$K$1324,Movimientos!$C$1:$C$1324,"M1B",Movimientos!$B$1:$B$1324,"&lt;="&amp;$B141)</f>
        <v>100486.46000000017</v>
      </c>
      <c r="E141" s="24">
        <f>SUMIFS('Saldos Iniciales'!$D:$D,'Saldos Iniciales'!$A:$A,"Durand")+SUMIFS(Movimientos!$K$1:$K$1324,Movimientos!$C$1:$C$1324,"Durand",Movimientos!$B$1:$B$1324,"&lt;="&amp;$B141)</f>
        <v>1669.89</v>
      </c>
      <c r="F141" s="24">
        <f>SUMIFS('Saldos Iniciales'!$D:$D,'Saldos Iniciales'!$A:$A,"A&amp;M Imports")+SUMIFS(Movimientos!$K$1:$K$1324,Movimientos!$C$1:$C$1324,"A&amp;M Imports",Movimientos!$B$1:$B$1324,"&lt;="&amp;$B141)</f>
        <v>975534.6399999999</v>
      </c>
      <c r="G141" s="24">
        <f>SUMIFS('Saldos Iniciales'!$D:$D,'Saldos Iniciales'!$A:$A,"SSP Capital")+SUMIFS(Movimientos!$K$1:$K$1324,Movimientos!$C$1:$C$1324,"SSP Capital",Movimientos!$B$1:$B$1324,"&lt;="&amp;$B141)</f>
        <v>1070645.1899999995</v>
      </c>
      <c r="H141" s="24">
        <f>SUMIFS('Saldos Iniciales'!$D:$D,'Saldos Iniciales'!$A:$A,"Cross Family Trust")+SUMIFS(Movimientos!$K$1:$K$1324,Movimientos!$C$1:$C$1324,"Cross Family Trust",Movimientos!$B$1:$B$1324,"&lt;="&amp;$B141)</f>
        <v>229778.14</v>
      </c>
      <c r="I141" s="24">
        <f>SUMIFS('Saldos Iniciales'!$D:$D,'Saldos Iniciales'!$A:$A,"Cross Security Trust")+SUMIFS(Movimientos!$K$1:$K$1324,Movimientos!$C$1:$C$1324,"Cross Security Trust",Movimientos!$B$1:$B$1324,"&lt;="&amp;$B141)</f>
        <v>217688.58</v>
      </c>
      <c r="J141" s="24">
        <f>SUMIFS('Saldos Iniciales'!$D:$D,'Saldos Iniciales'!$A:$A,"Electrama")+SUMIFS(Movimientos!$K$1:$K$1324,Movimientos!$C$1:$C$1324,"Electrama",Movimientos!$B$1:$B$1324,"&lt;="&amp;$B141)</f>
        <v>11744.75</v>
      </c>
      <c r="K141" s="24">
        <f>SUMIFS('Saldos Iniciales'!$D:$D,'Saldos Iniciales'!$A:$A,"Sacred Valley Capital")+SUMIFS(Movimientos!$K$1:$K$1324,Movimientos!$C$1:$C$1324,"Sacred Valley Capital",Movimientos!$B$1:$B$1324,"&lt;="&amp;$B141)</f>
        <v>94.5</v>
      </c>
      <c r="L141" s="24">
        <f>SUMIFS('Saldos Iniciales'!$D:$D,'Saldos Iniciales'!$A:$A,"YWC Capital")+SUMIFS(Movimientos!$K$1:$K$1324,Movimientos!$C$1:$C$1324,"YWC Capital",Movimientos!$B$1:$B$1324,"&lt;="&amp;$B141)</f>
        <v>2147.92</v>
      </c>
      <c r="M141" s="24">
        <f>SUMIFS('Saldos Iniciales'!$D:$D,'Saldos Iniciales'!$A:$A,"Soweto")+SUMIFS(Movimientos!$K$1:$K$1324,Movimientos!$C$1:$C$1324,"Soweto",Movimientos!$B$1:$B$1324,"&lt;="&amp;$B141)</f>
        <v>17895.290000000015</v>
      </c>
      <c r="N141" s="24">
        <f>SUMIFS('Saldos Iniciales'!$D:$D,'Saldos Iniciales'!$A:$A,"Green Stone Trust")+SUMIFS(Movimientos!$K$1:$K$1324,Movimientos!$C$1:$C$1324,"Green Stone Trust",Movimientos!$B$1:$B$1324,"&lt;="&amp;$B141)</f>
        <v>1968.99</v>
      </c>
      <c r="O141" s="24">
        <f>SUMIFS('Saldos Iniciales'!$D:$D,'Saldos Iniciales'!$A:$A,"EC Auto")+SUMIFS(Movimientos!$K$1:$K$1324,Movimientos!$C$1:$C$1324,"EC Auto",Movimientos!$B$1:$B$1324,"&lt;="&amp;$B141)</f>
        <v>901.34</v>
      </c>
      <c r="P141" s="24">
        <f>SUMIFS('Saldos Iniciales'!$D:$D,'Saldos Iniciales'!$A:$A,"Arbor Capital Properties")+SUMIFS(Movimientos!$K$1:$K$1324,Movimientos!$C$1:$C$1324,"Arbor Capital Properties",Movimientos!$B$1:$B$1324,"&lt;="&amp;$B141)</f>
        <v>1380.08</v>
      </c>
      <c r="Q141" s="24">
        <f>SUMIFS('Saldos Iniciales'!$D:$D,'Saldos Iniciales'!$A:$A,"2515 Overbrook")+SUMIFS(Movimientos!$K$1:$K$1324,Movimientos!$C$1:$C$1324,"2515 Overbrook",Movimientos!$B$1:$B$1324,"&lt;="&amp;$B141)</f>
        <v>25027.379999999961</v>
      </c>
      <c r="R141" s="24">
        <f>SUMIFS('Saldos Iniciales'!$D:$D,'Saldos Iniciales'!$A:$A,"112 Florida Ave")+SUMIFS(Movimientos!$K$1:$K$1324,Movimientos!$C$1:$C$1324,"112 Florida Ave",Movimientos!$B$1:$B$1324,"&lt;="&amp;$B141)</f>
        <v>16282.630000000006</v>
      </c>
      <c r="S141" s="24">
        <f>SUMIFS('Saldos Iniciales'!$D:$D,'Saldos Iniciales'!$A:$A,"3628 Thomas Ave")+SUMIFS(Movimientos!$K$1:$K$1324,Movimientos!$C$1:$C$1324,"3628 Thomas Ave",Movimientos!$B$1:$B$1324,"&lt;="&amp;$B141)</f>
        <v>13685.999999999996</v>
      </c>
      <c r="T141" s="24">
        <f>SUMIFS('Saldos Iniciales'!$D:$D,'Saldos Iniciales'!$A:$A,"Green Harbor Trust")+SUMIFS(Movimientos!$K$1:$K$1324,Movimientos!$C$1:$C$1324,"Green Harbor Trust",Movimientos!$B$1:$B$1324,"&lt;="&amp;$B141)</f>
        <v>345</v>
      </c>
      <c r="U141" s="24">
        <f>SUMIFS('Saldos Iniciales'!$D:$D,'Saldos Iniciales'!$A:$A,"Go Blue")+SUMIFS(Movimientos!$K$1:$K$1324,Movimientos!$C$1:$C$1324,"Go Blue",Movimientos!$B$1:$B$1324,"&lt;="&amp;$B141)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Aparments",Movimientos!$B$1:$B$1324,"&lt;="&amp;$B141))</f>
        <v>240356.58</v>
      </c>
      <c r="AD141" s="24">
        <f>IF(YEAR($B141)*100+MONTH($B141)&lt;--SUBSTITUTE(_xlfn.XLOOKUP("Don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Life",Movimientos!$B$1:$B$1324,"&lt;="&amp;$B141))</f>
        <v>327985.82999999996</v>
      </c>
      <c r="AE141" s="25">
        <f t="shared" si="6"/>
        <v>5550876.4199999999</v>
      </c>
    </row>
    <row r="142" spans="1:3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Group")+SUMIFS(Movimientos!$K$1:$K$1324,Movimientos!$C$1:$C$1324,"CFT Group",Movimientos!$B$1:$B$1324,"&lt;="&amp;$B142)</f>
        <v>2322320.2500000005</v>
      </c>
      <c r="D142" s="24">
        <f>SUMIFS('Saldos Iniciales'!$D:$D,'Saldos Iniciales'!$A:$A,"M1B")+SUMIFS(Movimientos!$K$1:$K$1324,Movimientos!$C$1:$C$1324,"M1B",Movimientos!$B$1:$B$1324,"&lt;="&amp;$B142)</f>
        <v>100486.46000000017</v>
      </c>
      <c r="E142" s="24">
        <f>SUMIFS('Saldos Iniciales'!$D:$D,'Saldos Iniciales'!$A:$A,"Durand")+SUMIFS(Movimientos!$K$1:$K$1324,Movimientos!$C$1:$C$1324,"Durand",Movimientos!$B$1:$B$1324,"&lt;="&amp;$B142)</f>
        <v>1669.89</v>
      </c>
      <c r="F142" s="24">
        <f>SUMIFS('Saldos Iniciales'!$D:$D,'Saldos Iniciales'!$A:$A,"A&amp;M Imports")+SUMIFS(Movimientos!$K$1:$K$1324,Movimientos!$C$1:$C$1324,"A&amp;M Imports",Movimientos!$B$1:$B$1324,"&lt;="&amp;$B142)</f>
        <v>1425534.64</v>
      </c>
      <c r="G142" s="24">
        <f>SUMIFS('Saldos Iniciales'!$D:$D,'Saldos Iniciales'!$A:$A,"SSP Capital")+SUMIFS(Movimientos!$K$1:$K$1324,Movimientos!$C$1:$C$1324,"SSP Capital",Movimientos!$B$1:$B$1324,"&lt;="&amp;$B142)</f>
        <v>1070478.5299999996</v>
      </c>
      <c r="H142" s="24">
        <f>SUMIFS('Saldos Iniciales'!$D:$D,'Saldos Iniciales'!$A:$A,"Cross Family Trust")+SUMIFS(Movimientos!$K$1:$K$1324,Movimientos!$C$1:$C$1324,"Cross Family Trust",Movimientos!$B$1:$B$1324,"&lt;="&amp;$B142)</f>
        <v>229778.14</v>
      </c>
      <c r="I142" s="24">
        <f>SUMIFS('Saldos Iniciales'!$D:$D,'Saldos Iniciales'!$A:$A,"Cross Security Trust")+SUMIFS(Movimientos!$K$1:$K$1324,Movimientos!$C$1:$C$1324,"Cross Security Trust",Movimientos!$B$1:$B$1324,"&lt;="&amp;$B142)</f>
        <v>217688.58</v>
      </c>
      <c r="J142" s="24">
        <f>SUMIFS('Saldos Iniciales'!$D:$D,'Saldos Iniciales'!$A:$A,"Electrama")+SUMIFS(Movimientos!$K$1:$K$1324,Movimientos!$C$1:$C$1324,"Electrama",Movimientos!$B$1:$B$1324,"&lt;="&amp;$B142)</f>
        <v>11744.75</v>
      </c>
      <c r="K142" s="24">
        <f>SUMIFS('Saldos Iniciales'!$D:$D,'Saldos Iniciales'!$A:$A,"Sacred Valley Capital")+SUMIFS(Movimientos!$K$1:$K$1324,Movimientos!$C$1:$C$1324,"Sacred Valley Capital",Movimientos!$B$1:$B$1324,"&lt;="&amp;$B142)</f>
        <v>94.5</v>
      </c>
      <c r="L142" s="24">
        <f>SUMIFS('Saldos Iniciales'!$D:$D,'Saldos Iniciales'!$A:$A,"YWC Capital")+SUMIFS(Movimientos!$K$1:$K$1324,Movimientos!$C$1:$C$1324,"YWC Capital",Movimientos!$B$1:$B$1324,"&lt;="&amp;$B142)</f>
        <v>2147.92</v>
      </c>
      <c r="M142" s="24">
        <f>SUMIFS('Saldos Iniciales'!$D:$D,'Saldos Iniciales'!$A:$A,"Soweto")+SUMIFS(Movimientos!$K$1:$K$1324,Movimientos!$C$1:$C$1324,"Soweto",Movimientos!$B$1:$B$1324,"&lt;="&amp;$B142)</f>
        <v>17895.290000000015</v>
      </c>
      <c r="N142" s="24">
        <f>SUMIFS('Saldos Iniciales'!$D:$D,'Saldos Iniciales'!$A:$A,"Green Stone Trust")+SUMIFS(Movimientos!$K$1:$K$1324,Movimientos!$C$1:$C$1324,"Green Stone Trust",Movimientos!$B$1:$B$1324,"&lt;="&amp;$B142)</f>
        <v>1968.99</v>
      </c>
      <c r="O142" s="24">
        <f>SUMIFS('Saldos Iniciales'!$D:$D,'Saldos Iniciales'!$A:$A,"EC Auto")+SUMIFS(Movimientos!$K$1:$K$1324,Movimientos!$C$1:$C$1324,"EC Auto",Movimientos!$B$1:$B$1324,"&lt;="&amp;$B142)</f>
        <v>901.34</v>
      </c>
      <c r="P142" s="24">
        <f>SUMIFS('Saldos Iniciales'!$D:$D,'Saldos Iniciales'!$A:$A,"Arbor Capital Properties")+SUMIFS(Movimientos!$K$1:$K$1324,Movimientos!$C$1:$C$1324,"Arbor Capital Properties",Movimientos!$B$1:$B$1324,"&lt;="&amp;$B142)</f>
        <v>1380.08</v>
      </c>
      <c r="Q142" s="24">
        <f>SUMIFS('Saldos Iniciales'!$D:$D,'Saldos Iniciales'!$A:$A,"2515 Overbrook")+SUMIFS(Movimientos!$K$1:$K$1324,Movimientos!$C$1:$C$1324,"2515 Overbrook",Movimientos!$B$1:$B$1324,"&lt;="&amp;$B142)</f>
        <v>30277.379999999961</v>
      </c>
      <c r="R142" s="24">
        <f>SUMIFS('Saldos Iniciales'!$D:$D,'Saldos Iniciales'!$A:$A,"112 Florida Ave")+SUMIFS(Movimientos!$K$1:$K$1324,Movimientos!$C$1:$C$1324,"112 Florida Ave",Movimientos!$B$1:$B$1324,"&lt;="&amp;$B142)</f>
        <v>16282.630000000006</v>
      </c>
      <c r="S142" s="24">
        <f>SUMIFS('Saldos Iniciales'!$D:$D,'Saldos Iniciales'!$A:$A,"3628 Thomas Ave")+SUMIFS(Movimientos!$K$1:$K$1324,Movimientos!$C$1:$C$1324,"3628 Thomas Ave",Movimientos!$B$1:$B$1324,"&lt;="&amp;$B142)</f>
        <v>13685.999999999996</v>
      </c>
      <c r="T142" s="24">
        <f>SUMIFS('Saldos Iniciales'!$D:$D,'Saldos Iniciales'!$A:$A,"Green Harbor Trust")+SUMIFS(Movimientos!$K$1:$K$1324,Movimientos!$C$1:$C$1324,"Green Harbor Trust",Movimientos!$B$1:$B$1324,"&lt;="&amp;$B142)</f>
        <v>345</v>
      </c>
      <c r="U142" s="24">
        <f>SUMIFS('Saldos Iniciales'!$D:$D,'Saldos Iniciales'!$A:$A,"Go Blue")+SUMIFS(Movimientos!$K$1:$K$1324,Movimientos!$C$1:$C$1324,"Go Blue",Movimientos!$B$1:$B$1324,"&lt;="&amp;$B142)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Aparments",Movimientos!$B$1:$B$1324,"&lt;="&amp;$B142))</f>
        <v>240356.58</v>
      </c>
      <c r="AD142" s="24">
        <f>IF(YEAR($B142)*100+MONTH($B142)&lt;--SUBSTITUTE(_xlfn.XLOOKUP("Don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Life",Movimientos!$B$1:$B$1324,"&lt;="&amp;$B142))</f>
        <v>327985.82999999996</v>
      </c>
      <c r="AE142" s="25">
        <f t="shared" si="6"/>
        <v>6502351.5599999987</v>
      </c>
    </row>
    <row r="143" spans="1:3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Group")+SUMIFS(Movimientos!$K$1:$K$1324,Movimientos!$C$1:$C$1324,"CFT Group",Movimientos!$B$1:$B$1324,"&lt;="&amp;$B143)</f>
        <v>2322320.2500000005</v>
      </c>
      <c r="D143" s="24">
        <f>SUMIFS('Saldos Iniciales'!$D:$D,'Saldos Iniciales'!$A:$A,"M1B")+SUMIFS(Movimientos!$K$1:$K$1324,Movimientos!$C$1:$C$1324,"M1B",Movimientos!$B$1:$B$1324,"&lt;="&amp;$B143)</f>
        <v>100486.46000000017</v>
      </c>
      <c r="E143" s="24">
        <f>SUMIFS('Saldos Iniciales'!$D:$D,'Saldos Iniciales'!$A:$A,"Durand")+SUMIFS(Movimientos!$K$1:$K$1324,Movimientos!$C$1:$C$1324,"Durand",Movimientos!$B$1:$B$1324,"&lt;="&amp;$B143)</f>
        <v>1669.89</v>
      </c>
      <c r="F143" s="24">
        <f>SUMIFS('Saldos Iniciales'!$D:$D,'Saldos Iniciales'!$A:$A,"A&amp;M Imports")+SUMIFS(Movimientos!$K$1:$K$1324,Movimientos!$C$1:$C$1324,"A&amp;M Imports",Movimientos!$B$1:$B$1324,"&lt;="&amp;$B143)</f>
        <v>1425534.64</v>
      </c>
      <c r="G143" s="24">
        <f>SUMIFS('Saldos Iniciales'!$D:$D,'Saldos Iniciales'!$A:$A,"SSP Capital")+SUMIFS(Movimientos!$K$1:$K$1324,Movimientos!$C$1:$C$1324,"SSP Capital",Movimientos!$B$1:$B$1324,"&lt;="&amp;$B143)</f>
        <v>1070478.5299999996</v>
      </c>
      <c r="H143" s="24">
        <f>SUMIFS('Saldos Iniciales'!$D:$D,'Saldos Iniciales'!$A:$A,"Cross Family Trust")+SUMIFS(Movimientos!$K$1:$K$1324,Movimientos!$C$1:$C$1324,"Cross Family Trust",Movimientos!$B$1:$B$1324,"&lt;="&amp;$B143)</f>
        <v>229778.14</v>
      </c>
      <c r="I143" s="24">
        <f>SUMIFS('Saldos Iniciales'!$D:$D,'Saldos Iniciales'!$A:$A,"Cross Security Trust")+SUMIFS(Movimientos!$K$1:$K$1324,Movimientos!$C$1:$C$1324,"Cross Security Trust",Movimientos!$B$1:$B$1324,"&lt;="&amp;$B143)</f>
        <v>217688.58</v>
      </c>
      <c r="J143" s="24">
        <f>SUMIFS('Saldos Iniciales'!$D:$D,'Saldos Iniciales'!$A:$A,"Electrama")+SUMIFS(Movimientos!$K$1:$K$1324,Movimientos!$C$1:$C$1324,"Electrama",Movimientos!$B$1:$B$1324,"&lt;="&amp;$B143)</f>
        <v>11744.75</v>
      </c>
      <c r="K143" s="24">
        <f>SUMIFS('Saldos Iniciales'!$D:$D,'Saldos Iniciales'!$A:$A,"Sacred Valley Capital")+SUMIFS(Movimientos!$K$1:$K$1324,Movimientos!$C$1:$C$1324,"Sacred Valley Capital",Movimientos!$B$1:$B$1324,"&lt;="&amp;$B143)</f>
        <v>94.5</v>
      </c>
      <c r="L143" s="24">
        <f>SUMIFS('Saldos Iniciales'!$D:$D,'Saldos Iniciales'!$A:$A,"YWC Capital")+SUMIFS(Movimientos!$K$1:$K$1324,Movimientos!$C$1:$C$1324,"YWC Capital",Movimientos!$B$1:$B$1324,"&lt;="&amp;$B143)</f>
        <v>2147.92</v>
      </c>
      <c r="M143" s="24">
        <f>SUMIFS('Saldos Iniciales'!$D:$D,'Saldos Iniciales'!$A:$A,"Soweto")+SUMIFS(Movimientos!$K$1:$K$1324,Movimientos!$C$1:$C$1324,"Soweto",Movimientos!$B$1:$B$1324,"&lt;="&amp;$B143)</f>
        <v>17895.290000000015</v>
      </c>
      <c r="N143" s="24">
        <f>SUMIFS('Saldos Iniciales'!$D:$D,'Saldos Iniciales'!$A:$A,"Green Stone Trust")+SUMIFS(Movimientos!$K$1:$K$1324,Movimientos!$C$1:$C$1324,"Green Stone Trust",Movimientos!$B$1:$B$1324,"&lt;="&amp;$B143)</f>
        <v>1968.99</v>
      </c>
      <c r="O143" s="24">
        <f>SUMIFS('Saldos Iniciales'!$D:$D,'Saldos Iniciales'!$A:$A,"EC Auto")+SUMIFS(Movimientos!$K$1:$K$1324,Movimientos!$C$1:$C$1324,"EC Auto",Movimientos!$B$1:$B$1324,"&lt;="&amp;$B143)</f>
        <v>901.34</v>
      </c>
      <c r="P143" s="24">
        <f>SUMIFS('Saldos Iniciales'!$D:$D,'Saldos Iniciales'!$A:$A,"Arbor Capital Properties")+SUMIFS(Movimientos!$K$1:$K$1324,Movimientos!$C$1:$C$1324,"Arbor Capital Properties",Movimientos!$B$1:$B$1324,"&lt;="&amp;$B143)</f>
        <v>1380.08</v>
      </c>
      <c r="Q143" s="24">
        <f>SUMIFS('Saldos Iniciales'!$D:$D,'Saldos Iniciales'!$A:$A,"2515 Overbrook")+SUMIFS(Movimientos!$K$1:$K$1324,Movimientos!$C$1:$C$1324,"2515 Overbrook",Movimientos!$B$1:$B$1324,"&lt;="&amp;$B143)</f>
        <v>30277.379999999961</v>
      </c>
      <c r="R143" s="24">
        <f>SUMIFS('Saldos Iniciales'!$D:$D,'Saldos Iniciales'!$A:$A,"112 Florida Ave")+SUMIFS(Movimientos!$K$1:$K$1324,Movimientos!$C$1:$C$1324,"112 Florida Ave",Movimientos!$B$1:$B$1324,"&lt;="&amp;$B143)</f>
        <v>16282.630000000006</v>
      </c>
      <c r="S143" s="24">
        <f>SUMIFS('Saldos Iniciales'!$D:$D,'Saldos Iniciales'!$A:$A,"3628 Thomas Ave")+SUMIFS(Movimientos!$K$1:$K$1324,Movimientos!$C$1:$C$1324,"3628 Thomas Ave",Movimientos!$B$1:$B$1324,"&lt;="&amp;$B143)</f>
        <v>13685.999999999996</v>
      </c>
      <c r="T143" s="24">
        <f>SUMIFS('Saldos Iniciales'!$D:$D,'Saldos Iniciales'!$A:$A,"Green Harbor Trust")+SUMIFS(Movimientos!$K$1:$K$1324,Movimientos!$C$1:$C$1324,"Green Harbor Trust",Movimientos!$B$1:$B$1324,"&lt;="&amp;$B143)</f>
        <v>345</v>
      </c>
      <c r="U143" s="24">
        <f>SUMIFS('Saldos Iniciales'!$D:$D,'Saldos Iniciales'!$A:$A,"Go Blue")+SUMIFS(Movimientos!$K$1:$K$1324,Movimientos!$C$1:$C$1324,"Go Blue",Movimientos!$B$1:$B$1324,"&lt;="&amp;$B143)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Aparments",Movimientos!$B$1:$B$1324,"&lt;="&amp;$B143))</f>
        <v>240356.58</v>
      </c>
      <c r="AD143" s="24">
        <f>IF(YEAR($B143)*100+MONTH($B143)&lt;--SUBSTITUTE(_xlfn.XLOOKUP("Don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Life",Movimientos!$B$1:$B$1324,"&lt;="&amp;$B143))</f>
        <v>327985.82999999996</v>
      </c>
      <c r="AE143" s="25">
        <f t="shared" si="6"/>
        <v>6502351.5599999987</v>
      </c>
    </row>
    <row r="144" spans="1:3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Group")+SUMIFS(Movimientos!$K$1:$K$1324,Movimientos!$C$1:$C$1324,"CFT Group",Movimientos!$B$1:$B$1324,"&lt;="&amp;$B144)</f>
        <v>2322320.2500000005</v>
      </c>
      <c r="D144" s="24">
        <f>SUMIFS('Saldos Iniciales'!$D:$D,'Saldos Iniciales'!$A:$A,"M1B")+SUMIFS(Movimientos!$K$1:$K$1324,Movimientos!$C$1:$C$1324,"M1B",Movimientos!$B$1:$B$1324,"&lt;="&amp;$B144)</f>
        <v>100486.46000000017</v>
      </c>
      <c r="E144" s="24">
        <f>SUMIFS('Saldos Iniciales'!$D:$D,'Saldos Iniciales'!$A:$A,"Durand")+SUMIFS(Movimientos!$K$1:$K$1324,Movimientos!$C$1:$C$1324,"Durand",Movimientos!$B$1:$B$1324,"&lt;="&amp;$B144)</f>
        <v>1669.89</v>
      </c>
      <c r="F144" s="24">
        <f>SUMIFS('Saldos Iniciales'!$D:$D,'Saldos Iniciales'!$A:$A,"A&amp;M Imports")+SUMIFS(Movimientos!$K$1:$K$1324,Movimientos!$C$1:$C$1324,"A&amp;M Imports",Movimientos!$B$1:$B$1324,"&lt;="&amp;$B144)</f>
        <v>1425534.64</v>
      </c>
      <c r="G144" s="24">
        <f>SUMIFS('Saldos Iniciales'!$D:$D,'Saldos Iniciales'!$A:$A,"SSP Capital")+SUMIFS(Movimientos!$K$1:$K$1324,Movimientos!$C$1:$C$1324,"SSP Capital",Movimientos!$B$1:$B$1324,"&lt;="&amp;$B144)</f>
        <v>1070478.5299999996</v>
      </c>
      <c r="H144" s="24">
        <f>SUMIFS('Saldos Iniciales'!$D:$D,'Saldos Iniciales'!$A:$A,"Cross Family Trust")+SUMIFS(Movimientos!$K$1:$K$1324,Movimientos!$C$1:$C$1324,"Cross Family Trust",Movimientos!$B$1:$B$1324,"&lt;="&amp;$B144)</f>
        <v>229778.14</v>
      </c>
      <c r="I144" s="24">
        <f>SUMIFS('Saldos Iniciales'!$D:$D,'Saldos Iniciales'!$A:$A,"Cross Security Trust")+SUMIFS(Movimientos!$K$1:$K$1324,Movimientos!$C$1:$C$1324,"Cross Security Trust",Movimientos!$B$1:$B$1324,"&lt;="&amp;$B144)</f>
        <v>217688.58</v>
      </c>
      <c r="J144" s="24">
        <f>SUMIFS('Saldos Iniciales'!$D:$D,'Saldos Iniciales'!$A:$A,"Electrama")+SUMIFS(Movimientos!$K$1:$K$1324,Movimientos!$C$1:$C$1324,"Electrama",Movimientos!$B$1:$B$1324,"&lt;="&amp;$B144)</f>
        <v>11744.75</v>
      </c>
      <c r="K144" s="24">
        <f>SUMIFS('Saldos Iniciales'!$D:$D,'Saldos Iniciales'!$A:$A,"Sacred Valley Capital")+SUMIFS(Movimientos!$K$1:$K$1324,Movimientos!$C$1:$C$1324,"Sacred Valley Capital",Movimientos!$B$1:$B$1324,"&lt;="&amp;$B144)</f>
        <v>94.5</v>
      </c>
      <c r="L144" s="24">
        <f>SUMIFS('Saldos Iniciales'!$D:$D,'Saldos Iniciales'!$A:$A,"YWC Capital")+SUMIFS(Movimientos!$K$1:$K$1324,Movimientos!$C$1:$C$1324,"YWC Capital",Movimientos!$B$1:$B$1324,"&lt;="&amp;$B144)</f>
        <v>2147.92</v>
      </c>
      <c r="M144" s="24">
        <f>SUMIFS('Saldos Iniciales'!$D:$D,'Saldos Iniciales'!$A:$A,"Soweto")+SUMIFS(Movimientos!$K$1:$K$1324,Movimientos!$C$1:$C$1324,"Soweto",Movimientos!$B$1:$B$1324,"&lt;="&amp;$B144)</f>
        <v>17895.290000000015</v>
      </c>
      <c r="N144" s="24">
        <f>SUMIFS('Saldos Iniciales'!$D:$D,'Saldos Iniciales'!$A:$A,"Green Stone Trust")+SUMIFS(Movimientos!$K$1:$K$1324,Movimientos!$C$1:$C$1324,"Green Stone Trust",Movimientos!$B$1:$B$1324,"&lt;="&amp;$B144)</f>
        <v>1968.99</v>
      </c>
      <c r="O144" s="24">
        <f>SUMIFS('Saldos Iniciales'!$D:$D,'Saldos Iniciales'!$A:$A,"EC Auto")+SUMIFS(Movimientos!$K$1:$K$1324,Movimientos!$C$1:$C$1324,"EC Auto",Movimientos!$B$1:$B$1324,"&lt;="&amp;$B144)</f>
        <v>901.34</v>
      </c>
      <c r="P144" s="24">
        <f>SUMIFS('Saldos Iniciales'!$D:$D,'Saldos Iniciales'!$A:$A,"Arbor Capital Properties")+SUMIFS(Movimientos!$K$1:$K$1324,Movimientos!$C$1:$C$1324,"Arbor Capital Properties",Movimientos!$B$1:$B$1324,"&lt;="&amp;$B144)</f>
        <v>1380.08</v>
      </c>
      <c r="Q144" s="24">
        <f>SUMIFS('Saldos Iniciales'!$D:$D,'Saldos Iniciales'!$A:$A,"2515 Overbrook")+SUMIFS(Movimientos!$K$1:$K$1324,Movimientos!$C$1:$C$1324,"2515 Overbrook",Movimientos!$B$1:$B$1324,"&lt;="&amp;$B144)</f>
        <v>30277.379999999961</v>
      </c>
      <c r="R144" s="24">
        <f>SUMIFS('Saldos Iniciales'!$D:$D,'Saldos Iniciales'!$A:$A,"112 Florida Ave")+SUMIFS(Movimientos!$K$1:$K$1324,Movimientos!$C$1:$C$1324,"112 Florida Ave",Movimientos!$B$1:$B$1324,"&lt;="&amp;$B144)</f>
        <v>16282.630000000006</v>
      </c>
      <c r="S144" s="24">
        <f>SUMIFS('Saldos Iniciales'!$D:$D,'Saldos Iniciales'!$A:$A,"3628 Thomas Ave")+SUMIFS(Movimientos!$K$1:$K$1324,Movimientos!$C$1:$C$1324,"3628 Thomas Ave",Movimientos!$B$1:$B$1324,"&lt;="&amp;$B144)</f>
        <v>13685.999999999996</v>
      </c>
      <c r="T144" s="24">
        <f>SUMIFS('Saldos Iniciales'!$D:$D,'Saldos Iniciales'!$A:$A,"Green Harbor Trust")+SUMIFS(Movimientos!$K$1:$K$1324,Movimientos!$C$1:$C$1324,"Green Harbor Trust",Movimientos!$B$1:$B$1324,"&lt;="&amp;$B144)</f>
        <v>345</v>
      </c>
      <c r="U144" s="24">
        <f>SUMIFS('Saldos Iniciales'!$D:$D,'Saldos Iniciales'!$A:$A,"Go Blue")+SUMIFS(Movimientos!$K$1:$K$1324,Movimientos!$C$1:$C$1324,"Go Blue",Movimientos!$B$1:$B$1324,"&lt;="&amp;$B144)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Aparments",Movimientos!$B$1:$B$1324,"&lt;="&amp;$B144))</f>
        <v>240356.58</v>
      </c>
      <c r="AD144" s="24">
        <f>IF(YEAR($B144)*100+MONTH($B144)&lt;--SUBSTITUTE(_xlfn.XLOOKUP("Don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Life",Movimientos!$B$1:$B$1324,"&lt;="&amp;$B144))</f>
        <v>327985.82999999996</v>
      </c>
      <c r="AE144" s="25">
        <f t="shared" si="6"/>
        <v>6502351.5599999987</v>
      </c>
    </row>
    <row r="145" spans="1:3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Group")+SUMIFS(Movimientos!$K$1:$K$1324,Movimientos!$C$1:$C$1324,"CFT Group",Movimientos!$B$1:$B$1324,"&lt;="&amp;$B145)</f>
        <v>2322320.2500000005</v>
      </c>
      <c r="D145" s="24">
        <f>SUMIFS('Saldos Iniciales'!$D:$D,'Saldos Iniciales'!$A:$A,"M1B")+SUMIFS(Movimientos!$K$1:$K$1324,Movimientos!$C$1:$C$1324,"M1B",Movimientos!$B$1:$B$1324,"&lt;="&amp;$B145)</f>
        <v>100486.46000000017</v>
      </c>
      <c r="E145" s="24">
        <f>SUMIFS('Saldos Iniciales'!$D:$D,'Saldos Iniciales'!$A:$A,"Durand")+SUMIFS(Movimientos!$K$1:$K$1324,Movimientos!$C$1:$C$1324,"Durand",Movimientos!$B$1:$B$1324,"&lt;="&amp;$B145)</f>
        <v>1669.89</v>
      </c>
      <c r="F145" s="24">
        <f>SUMIFS('Saldos Iniciales'!$D:$D,'Saldos Iniciales'!$A:$A,"A&amp;M Imports")+SUMIFS(Movimientos!$K$1:$K$1324,Movimientos!$C$1:$C$1324,"A&amp;M Imports",Movimientos!$B$1:$B$1324,"&lt;="&amp;$B145)</f>
        <v>1453603.3599999999</v>
      </c>
      <c r="G145" s="24">
        <f>SUMIFS('Saldos Iniciales'!$D:$D,'Saldos Iniciales'!$A:$A,"SSP Capital")+SUMIFS(Movimientos!$K$1:$K$1324,Movimientos!$C$1:$C$1324,"SSP Capital",Movimientos!$B$1:$B$1324,"&lt;="&amp;$B145)</f>
        <v>1066496.7899999996</v>
      </c>
      <c r="H145" s="24">
        <f>SUMIFS('Saldos Iniciales'!$D:$D,'Saldos Iniciales'!$A:$A,"Cross Family Trust")+SUMIFS(Movimientos!$K$1:$K$1324,Movimientos!$C$1:$C$1324,"Cross Family Trust",Movimientos!$B$1:$B$1324,"&lt;="&amp;$B145)</f>
        <v>229778.14</v>
      </c>
      <c r="I145" s="24">
        <f>SUMIFS('Saldos Iniciales'!$D:$D,'Saldos Iniciales'!$A:$A,"Cross Security Trust")+SUMIFS(Movimientos!$K$1:$K$1324,Movimientos!$C$1:$C$1324,"Cross Security Trust",Movimientos!$B$1:$B$1324,"&lt;="&amp;$B145)</f>
        <v>217688.58</v>
      </c>
      <c r="J145" s="24">
        <f>SUMIFS('Saldos Iniciales'!$D:$D,'Saldos Iniciales'!$A:$A,"Electrama")+SUMIFS(Movimientos!$K$1:$K$1324,Movimientos!$C$1:$C$1324,"Electrama",Movimientos!$B$1:$B$1324,"&lt;="&amp;$B145)</f>
        <v>11744.75</v>
      </c>
      <c r="K145" s="24">
        <f>SUMIFS('Saldos Iniciales'!$D:$D,'Saldos Iniciales'!$A:$A,"Sacred Valley Capital")+SUMIFS(Movimientos!$K$1:$K$1324,Movimientos!$C$1:$C$1324,"Sacred Valley Capital",Movimientos!$B$1:$B$1324,"&lt;="&amp;$B145)</f>
        <v>94.5</v>
      </c>
      <c r="L145" s="24">
        <f>SUMIFS('Saldos Iniciales'!$D:$D,'Saldos Iniciales'!$A:$A,"YWC Capital")+SUMIFS(Movimientos!$K$1:$K$1324,Movimientos!$C$1:$C$1324,"YWC Capital",Movimientos!$B$1:$B$1324,"&lt;="&amp;$B145)</f>
        <v>2147.92</v>
      </c>
      <c r="M145" s="24">
        <f>SUMIFS('Saldos Iniciales'!$D:$D,'Saldos Iniciales'!$A:$A,"Soweto")+SUMIFS(Movimientos!$K$1:$K$1324,Movimientos!$C$1:$C$1324,"Soweto",Movimientos!$B$1:$B$1324,"&lt;="&amp;$B145)</f>
        <v>17895.290000000015</v>
      </c>
      <c r="N145" s="24">
        <f>SUMIFS('Saldos Iniciales'!$D:$D,'Saldos Iniciales'!$A:$A,"Green Stone Trust")+SUMIFS(Movimientos!$K$1:$K$1324,Movimientos!$C$1:$C$1324,"Green Stone Trust",Movimientos!$B$1:$B$1324,"&lt;="&amp;$B145)</f>
        <v>1968.99</v>
      </c>
      <c r="O145" s="24">
        <f>SUMIFS('Saldos Iniciales'!$D:$D,'Saldos Iniciales'!$A:$A,"EC Auto")+SUMIFS(Movimientos!$K$1:$K$1324,Movimientos!$C$1:$C$1324,"EC Auto",Movimientos!$B$1:$B$1324,"&lt;="&amp;$B145)</f>
        <v>901.34</v>
      </c>
      <c r="P145" s="24">
        <f>SUMIFS('Saldos Iniciales'!$D:$D,'Saldos Iniciales'!$A:$A,"Arbor Capital Properties")+SUMIFS(Movimientos!$K$1:$K$1324,Movimientos!$C$1:$C$1324,"Arbor Capital Properties",Movimientos!$B$1:$B$1324,"&lt;="&amp;$B145)</f>
        <v>1380.08</v>
      </c>
      <c r="Q145" s="24">
        <f>SUMIFS('Saldos Iniciales'!$D:$D,'Saldos Iniciales'!$A:$A,"2515 Overbrook")+SUMIFS(Movimientos!$K$1:$K$1324,Movimientos!$C$1:$C$1324,"2515 Overbrook",Movimientos!$B$1:$B$1324,"&lt;="&amp;$B145)</f>
        <v>30277.379999999961</v>
      </c>
      <c r="R145" s="24">
        <f>SUMIFS('Saldos Iniciales'!$D:$D,'Saldos Iniciales'!$A:$A,"112 Florida Ave")+SUMIFS(Movimientos!$K$1:$K$1324,Movimientos!$C$1:$C$1324,"112 Florida Ave",Movimientos!$B$1:$B$1324,"&lt;="&amp;$B145)</f>
        <v>16282.630000000006</v>
      </c>
      <c r="S145" s="24">
        <f>SUMIFS('Saldos Iniciales'!$D:$D,'Saldos Iniciales'!$A:$A,"3628 Thomas Ave")+SUMIFS(Movimientos!$K$1:$K$1324,Movimientos!$C$1:$C$1324,"3628 Thomas Ave",Movimientos!$B$1:$B$1324,"&lt;="&amp;$B145)</f>
        <v>13685.999999999996</v>
      </c>
      <c r="T145" s="24">
        <f>SUMIFS('Saldos Iniciales'!$D:$D,'Saldos Iniciales'!$A:$A,"Green Harbor Trust")+SUMIFS(Movimientos!$K$1:$K$1324,Movimientos!$C$1:$C$1324,"Green Harbor Trust",Movimientos!$B$1:$B$1324,"&lt;="&amp;$B145)</f>
        <v>345</v>
      </c>
      <c r="U145" s="24">
        <f>SUMIFS('Saldos Iniciales'!$D:$D,'Saldos Iniciales'!$A:$A,"Go Blue")+SUMIFS(Movimientos!$K$1:$K$1324,Movimientos!$C$1:$C$1324,"Go Blue",Movimientos!$B$1:$B$1324,"&lt;="&amp;$B145)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Aparments",Movimientos!$B$1:$B$1324,"&lt;="&amp;$B145))</f>
        <v>239950.84</v>
      </c>
      <c r="AD145" s="24">
        <f>IF(YEAR($B145)*100+MONTH($B145)&lt;--SUBSTITUTE(_xlfn.XLOOKUP("Don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Life",Movimientos!$B$1:$B$1324,"&lt;="&amp;$B145))</f>
        <v>327985.82999999996</v>
      </c>
      <c r="AE145" s="25">
        <f t="shared" si="6"/>
        <v>6524012.7599999998</v>
      </c>
    </row>
    <row r="146" spans="1:3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Group")+SUMIFS(Movimientos!$K$1:$K$1324,Movimientos!$C$1:$C$1324,"CFT Group",Movimientos!$B$1:$B$1324,"&lt;="&amp;$B146)</f>
        <v>2322320.2500000005</v>
      </c>
      <c r="D146" s="24">
        <f>SUMIFS('Saldos Iniciales'!$D:$D,'Saldos Iniciales'!$A:$A,"M1B")+SUMIFS(Movimientos!$K$1:$K$1324,Movimientos!$C$1:$C$1324,"M1B",Movimientos!$B$1:$B$1324,"&lt;="&amp;$B146)</f>
        <v>100486.46000000017</v>
      </c>
      <c r="E146" s="24">
        <f>SUMIFS('Saldos Iniciales'!$D:$D,'Saldos Iniciales'!$A:$A,"Durand")+SUMIFS(Movimientos!$K$1:$K$1324,Movimientos!$C$1:$C$1324,"Durand",Movimientos!$B$1:$B$1324,"&lt;="&amp;$B146)</f>
        <v>1669.89</v>
      </c>
      <c r="F146" s="24">
        <f>SUMIFS('Saldos Iniciales'!$D:$D,'Saldos Iniciales'!$A:$A,"A&amp;M Imports")+SUMIFS(Movimientos!$K$1:$K$1324,Movimientos!$C$1:$C$1324,"A&amp;M Imports",Movimientos!$B$1:$B$1324,"&lt;="&amp;$B146)</f>
        <v>1453603.3599999999</v>
      </c>
      <c r="G146" s="24">
        <f>SUMIFS('Saldos Iniciales'!$D:$D,'Saldos Iniciales'!$A:$A,"SSP Capital")+SUMIFS(Movimientos!$K$1:$K$1324,Movimientos!$C$1:$C$1324,"SSP Capital",Movimientos!$B$1:$B$1324,"&lt;="&amp;$B146)</f>
        <v>1065733.7999999996</v>
      </c>
      <c r="H146" s="24">
        <f>SUMIFS('Saldos Iniciales'!$D:$D,'Saldos Iniciales'!$A:$A,"Cross Family Trust")+SUMIFS(Movimientos!$K$1:$K$1324,Movimientos!$C$1:$C$1324,"Cross Family Trust",Movimientos!$B$1:$B$1324,"&lt;="&amp;$B146)</f>
        <v>229778.14</v>
      </c>
      <c r="I146" s="24">
        <f>SUMIFS('Saldos Iniciales'!$D:$D,'Saldos Iniciales'!$A:$A,"Cross Security Trust")+SUMIFS(Movimientos!$K$1:$K$1324,Movimientos!$C$1:$C$1324,"Cross Security Trust",Movimientos!$B$1:$B$1324,"&lt;="&amp;$B146)</f>
        <v>217688.58</v>
      </c>
      <c r="J146" s="24">
        <f>SUMIFS('Saldos Iniciales'!$D:$D,'Saldos Iniciales'!$A:$A,"Electrama")+SUMIFS(Movimientos!$K$1:$K$1324,Movimientos!$C$1:$C$1324,"Electrama",Movimientos!$B$1:$B$1324,"&lt;="&amp;$B146)</f>
        <v>11744.75</v>
      </c>
      <c r="K146" s="24">
        <f>SUMIFS('Saldos Iniciales'!$D:$D,'Saldos Iniciales'!$A:$A,"Sacred Valley Capital")+SUMIFS(Movimientos!$K$1:$K$1324,Movimientos!$C$1:$C$1324,"Sacred Valley Capital",Movimientos!$B$1:$B$1324,"&lt;="&amp;$B146)</f>
        <v>94.5</v>
      </c>
      <c r="L146" s="24">
        <f>SUMIFS('Saldos Iniciales'!$D:$D,'Saldos Iniciales'!$A:$A,"YWC Capital")+SUMIFS(Movimientos!$K$1:$K$1324,Movimientos!$C$1:$C$1324,"YWC Capital",Movimientos!$B$1:$B$1324,"&lt;="&amp;$B146)</f>
        <v>2147.92</v>
      </c>
      <c r="M146" s="24">
        <f>SUMIFS('Saldos Iniciales'!$D:$D,'Saldos Iniciales'!$A:$A,"Soweto")+SUMIFS(Movimientos!$K$1:$K$1324,Movimientos!$C$1:$C$1324,"Soweto",Movimientos!$B$1:$B$1324,"&lt;="&amp;$B146)</f>
        <v>17895.290000000015</v>
      </c>
      <c r="N146" s="24">
        <f>SUMIFS('Saldos Iniciales'!$D:$D,'Saldos Iniciales'!$A:$A,"Green Stone Trust")+SUMIFS(Movimientos!$K$1:$K$1324,Movimientos!$C$1:$C$1324,"Green Stone Trust",Movimientos!$B$1:$B$1324,"&lt;="&amp;$B146)</f>
        <v>1968.99</v>
      </c>
      <c r="O146" s="24">
        <f>SUMIFS('Saldos Iniciales'!$D:$D,'Saldos Iniciales'!$A:$A,"EC Auto")+SUMIFS(Movimientos!$K$1:$K$1324,Movimientos!$C$1:$C$1324,"EC Auto",Movimientos!$B$1:$B$1324,"&lt;="&amp;$B146)</f>
        <v>901.34</v>
      </c>
      <c r="P146" s="24">
        <f>SUMIFS('Saldos Iniciales'!$D:$D,'Saldos Iniciales'!$A:$A,"Arbor Capital Properties")+SUMIFS(Movimientos!$K$1:$K$1324,Movimientos!$C$1:$C$1324,"Arbor Capital Properties",Movimientos!$B$1:$B$1324,"&lt;="&amp;$B146)</f>
        <v>1380.08</v>
      </c>
      <c r="Q146" s="24">
        <f>SUMIFS('Saldos Iniciales'!$D:$D,'Saldos Iniciales'!$A:$A,"2515 Overbrook")+SUMIFS(Movimientos!$K$1:$K$1324,Movimientos!$C$1:$C$1324,"2515 Overbrook",Movimientos!$B$1:$B$1324,"&lt;="&amp;$B146)</f>
        <v>28714.879999999961</v>
      </c>
      <c r="R146" s="24">
        <f>SUMIFS('Saldos Iniciales'!$D:$D,'Saldos Iniciales'!$A:$A,"112 Florida Ave")+SUMIFS(Movimientos!$K$1:$K$1324,Movimientos!$C$1:$C$1324,"112 Florida Ave",Movimientos!$B$1:$B$1324,"&lt;="&amp;$B146)</f>
        <v>15162.600000000006</v>
      </c>
      <c r="S146" s="24">
        <f>SUMIFS('Saldos Iniciales'!$D:$D,'Saldos Iniciales'!$A:$A,"3628 Thomas Ave")+SUMIFS(Movimientos!$K$1:$K$1324,Movimientos!$C$1:$C$1324,"3628 Thomas Ave",Movimientos!$B$1:$B$1324,"&lt;="&amp;$B146)</f>
        <v>12937.859999999997</v>
      </c>
      <c r="T146" s="24">
        <f>SUMIFS('Saldos Iniciales'!$D:$D,'Saldos Iniciales'!$A:$A,"Green Harbor Trust")+SUMIFS(Movimientos!$K$1:$K$1324,Movimientos!$C$1:$C$1324,"Green Harbor Trust",Movimientos!$B$1:$B$1324,"&lt;="&amp;$B146)</f>
        <v>345</v>
      </c>
      <c r="U146" s="24">
        <f>SUMIFS('Saldos Iniciales'!$D:$D,'Saldos Iniciales'!$A:$A,"Go Blue")+SUMIFS(Movimientos!$K$1:$K$1324,Movimientos!$C$1:$C$1324,"Go Blue",Movimientos!$B$1:$B$1324,"&lt;="&amp;$B146)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Aparments",Movimientos!$B$1:$B$1324,"&lt;="&amp;$B146))</f>
        <v>234193.16999999998</v>
      </c>
      <c r="AD146" s="24">
        <f>IF(YEAR($B146)*100+MONTH($B146)&lt;--SUBSTITUTE(_xlfn.XLOOKUP("Don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Life",Movimientos!$B$1:$B$1324,"&lt;="&amp;$B146))</f>
        <v>327985.82999999996</v>
      </c>
      <c r="AE146" s="25">
        <f t="shared" si="6"/>
        <v>6513498.4899999993</v>
      </c>
    </row>
    <row r="147" spans="1:3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Group")+SUMIFS(Movimientos!$K$1:$K$1324,Movimientos!$C$1:$C$1324,"CFT Group",Movimientos!$B$1:$B$1324,"&lt;="&amp;$B147)</f>
        <v>2322320.2500000005</v>
      </c>
      <c r="D147" s="24">
        <f>SUMIFS('Saldos Iniciales'!$D:$D,'Saldos Iniciales'!$A:$A,"M1B")+SUMIFS(Movimientos!$K$1:$K$1324,Movimientos!$C$1:$C$1324,"M1B",Movimientos!$B$1:$B$1324,"&lt;="&amp;$B147)</f>
        <v>100486.46000000017</v>
      </c>
      <c r="E147" s="24">
        <f>SUMIFS('Saldos Iniciales'!$D:$D,'Saldos Iniciales'!$A:$A,"Durand")+SUMIFS(Movimientos!$K$1:$K$1324,Movimientos!$C$1:$C$1324,"Durand",Movimientos!$B$1:$B$1324,"&lt;="&amp;$B147)</f>
        <v>1669.89</v>
      </c>
      <c r="F147" s="24">
        <f>SUMIFS('Saldos Iniciales'!$D:$D,'Saldos Iniciales'!$A:$A,"A&amp;M Imports")+SUMIFS(Movimientos!$K$1:$K$1324,Movimientos!$C$1:$C$1324,"A&amp;M Imports",Movimientos!$B$1:$B$1324,"&lt;="&amp;$B147)</f>
        <v>1453603.3599999999</v>
      </c>
      <c r="G147" s="24">
        <f>SUMIFS('Saldos Iniciales'!$D:$D,'Saldos Iniciales'!$A:$A,"SSP Capital")+SUMIFS(Movimientos!$K$1:$K$1324,Movimientos!$C$1:$C$1324,"SSP Capital",Movimientos!$B$1:$B$1324,"&lt;="&amp;$B147)</f>
        <v>1065733.7999999996</v>
      </c>
      <c r="H147" s="24">
        <f>SUMIFS('Saldos Iniciales'!$D:$D,'Saldos Iniciales'!$A:$A,"Cross Family Trust")+SUMIFS(Movimientos!$K$1:$K$1324,Movimientos!$C$1:$C$1324,"Cross Family Trust",Movimientos!$B$1:$B$1324,"&lt;="&amp;$B147)</f>
        <v>229778.14</v>
      </c>
      <c r="I147" s="24">
        <f>SUMIFS('Saldos Iniciales'!$D:$D,'Saldos Iniciales'!$A:$A,"Cross Security Trust")+SUMIFS(Movimientos!$K$1:$K$1324,Movimientos!$C$1:$C$1324,"Cross Security Trust",Movimientos!$B$1:$B$1324,"&lt;="&amp;$B147)</f>
        <v>217688.58</v>
      </c>
      <c r="J147" s="24">
        <f>SUMIFS('Saldos Iniciales'!$D:$D,'Saldos Iniciales'!$A:$A,"Electrama")+SUMIFS(Movimientos!$K$1:$K$1324,Movimientos!$C$1:$C$1324,"Electrama",Movimientos!$B$1:$B$1324,"&lt;="&amp;$B147)</f>
        <v>11744.75</v>
      </c>
      <c r="K147" s="24">
        <f>SUMIFS('Saldos Iniciales'!$D:$D,'Saldos Iniciales'!$A:$A,"Sacred Valley Capital")+SUMIFS(Movimientos!$K$1:$K$1324,Movimientos!$C$1:$C$1324,"Sacred Valley Capital",Movimientos!$B$1:$B$1324,"&lt;="&amp;$B147)</f>
        <v>94.5</v>
      </c>
      <c r="L147" s="24">
        <f>SUMIFS('Saldos Iniciales'!$D:$D,'Saldos Iniciales'!$A:$A,"YWC Capital")+SUMIFS(Movimientos!$K$1:$K$1324,Movimientos!$C$1:$C$1324,"YWC Capital",Movimientos!$B$1:$B$1324,"&lt;="&amp;$B147)</f>
        <v>2147.92</v>
      </c>
      <c r="M147" s="24">
        <f>SUMIFS('Saldos Iniciales'!$D:$D,'Saldos Iniciales'!$A:$A,"Soweto")+SUMIFS(Movimientos!$K$1:$K$1324,Movimientos!$C$1:$C$1324,"Soweto",Movimientos!$B$1:$B$1324,"&lt;="&amp;$B147)</f>
        <v>17895.290000000015</v>
      </c>
      <c r="N147" s="24">
        <f>SUMIFS('Saldos Iniciales'!$D:$D,'Saldos Iniciales'!$A:$A,"Green Stone Trust")+SUMIFS(Movimientos!$K$1:$K$1324,Movimientos!$C$1:$C$1324,"Green Stone Trust",Movimientos!$B$1:$B$1324,"&lt;="&amp;$B147)</f>
        <v>1968.99</v>
      </c>
      <c r="O147" s="24">
        <f>SUMIFS('Saldos Iniciales'!$D:$D,'Saldos Iniciales'!$A:$A,"EC Auto")+SUMIFS(Movimientos!$K$1:$K$1324,Movimientos!$C$1:$C$1324,"EC Auto",Movimientos!$B$1:$B$1324,"&lt;="&amp;$B147)</f>
        <v>901.34</v>
      </c>
      <c r="P147" s="24">
        <f>SUMIFS('Saldos Iniciales'!$D:$D,'Saldos Iniciales'!$A:$A,"Arbor Capital Properties")+SUMIFS(Movimientos!$K$1:$K$1324,Movimientos!$C$1:$C$1324,"Arbor Capital Properties",Movimientos!$B$1:$B$1324,"&lt;="&amp;$B147)</f>
        <v>1380.08</v>
      </c>
      <c r="Q147" s="24">
        <f>SUMIFS('Saldos Iniciales'!$D:$D,'Saldos Iniciales'!$A:$A,"2515 Overbrook")+SUMIFS(Movimientos!$K$1:$K$1324,Movimientos!$C$1:$C$1324,"2515 Overbrook",Movimientos!$B$1:$B$1324,"&lt;="&amp;$B147)</f>
        <v>28714.879999999961</v>
      </c>
      <c r="R147" s="24">
        <f>SUMIFS('Saldos Iniciales'!$D:$D,'Saldos Iniciales'!$A:$A,"112 Florida Ave")+SUMIFS(Movimientos!$K$1:$K$1324,Movimientos!$C$1:$C$1324,"112 Florida Ave",Movimientos!$B$1:$B$1324,"&lt;="&amp;$B147)</f>
        <v>15162.600000000006</v>
      </c>
      <c r="S147" s="24">
        <f>SUMIFS('Saldos Iniciales'!$D:$D,'Saldos Iniciales'!$A:$A,"3628 Thomas Ave")+SUMIFS(Movimientos!$K$1:$K$1324,Movimientos!$C$1:$C$1324,"3628 Thomas Ave",Movimientos!$B$1:$B$1324,"&lt;="&amp;$B147)</f>
        <v>12937.859999999997</v>
      </c>
      <c r="T147" s="24">
        <f>SUMIFS('Saldos Iniciales'!$D:$D,'Saldos Iniciales'!$A:$A,"Green Harbor Trust")+SUMIFS(Movimientos!$K$1:$K$1324,Movimientos!$C$1:$C$1324,"Green Harbor Trust",Movimientos!$B$1:$B$1324,"&lt;="&amp;$B147)</f>
        <v>345</v>
      </c>
      <c r="U147" s="24">
        <f>SUMIFS('Saldos Iniciales'!$D:$D,'Saldos Iniciales'!$A:$A,"Go Blue")+SUMIFS(Movimientos!$K$1:$K$1324,Movimientos!$C$1:$C$1324,"Go Blue",Movimientos!$B$1:$B$1324,"&lt;="&amp;$B147)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Aparments",Movimientos!$B$1:$B$1324,"&lt;="&amp;$B147))</f>
        <v>236093.16999999998</v>
      </c>
      <c r="AD147" s="24">
        <f>IF(YEAR($B147)*100+MONTH($B147)&lt;--SUBSTITUTE(_xlfn.XLOOKUP("Don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Life",Movimientos!$B$1:$B$1324,"&lt;="&amp;$B147))</f>
        <v>327985.82999999996</v>
      </c>
      <c r="AE147" s="25">
        <f t="shared" si="6"/>
        <v>6515398.4899999993</v>
      </c>
    </row>
    <row r="148" spans="1:3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Group")+SUMIFS(Movimientos!$K$1:$K$1324,Movimientos!$C$1:$C$1324,"CFT Group",Movimientos!$B$1:$B$1324,"&lt;="&amp;$B148)</f>
        <v>2322320.2500000005</v>
      </c>
      <c r="D148" s="24">
        <f>SUMIFS('Saldos Iniciales'!$D:$D,'Saldos Iniciales'!$A:$A,"M1B")+SUMIFS(Movimientos!$K$1:$K$1324,Movimientos!$C$1:$C$1324,"M1B",Movimientos!$B$1:$B$1324,"&lt;="&amp;$B148)</f>
        <v>100486.46000000017</v>
      </c>
      <c r="E148" s="24">
        <f>SUMIFS('Saldos Iniciales'!$D:$D,'Saldos Iniciales'!$A:$A,"Durand")+SUMIFS(Movimientos!$K$1:$K$1324,Movimientos!$C$1:$C$1324,"Durand",Movimientos!$B$1:$B$1324,"&lt;="&amp;$B148)</f>
        <v>1669.89</v>
      </c>
      <c r="F148" s="24">
        <f>SUMIFS('Saldos Iniciales'!$D:$D,'Saldos Iniciales'!$A:$A,"A&amp;M Imports")+SUMIFS(Movimientos!$K$1:$K$1324,Movimientos!$C$1:$C$1324,"A&amp;M Imports",Movimientos!$B$1:$B$1324,"&lt;="&amp;$B148)</f>
        <v>1453603.3599999999</v>
      </c>
      <c r="G148" s="24">
        <f>SUMIFS('Saldos Iniciales'!$D:$D,'Saldos Iniciales'!$A:$A,"SSP Capital")+SUMIFS(Movimientos!$K$1:$K$1324,Movimientos!$C$1:$C$1324,"SSP Capital",Movimientos!$B$1:$B$1324,"&lt;="&amp;$B148)</f>
        <v>1065733.7999999996</v>
      </c>
      <c r="H148" s="24">
        <f>SUMIFS('Saldos Iniciales'!$D:$D,'Saldos Iniciales'!$A:$A,"Cross Family Trust")+SUMIFS(Movimientos!$K$1:$K$1324,Movimientos!$C$1:$C$1324,"Cross Family Trust",Movimientos!$B$1:$B$1324,"&lt;="&amp;$B148)</f>
        <v>229778.14</v>
      </c>
      <c r="I148" s="24">
        <f>SUMIFS('Saldos Iniciales'!$D:$D,'Saldos Iniciales'!$A:$A,"Cross Security Trust")+SUMIFS(Movimientos!$K$1:$K$1324,Movimientos!$C$1:$C$1324,"Cross Security Trust",Movimientos!$B$1:$B$1324,"&lt;="&amp;$B148)</f>
        <v>217688.58</v>
      </c>
      <c r="J148" s="24">
        <f>SUMIFS('Saldos Iniciales'!$D:$D,'Saldos Iniciales'!$A:$A,"Electrama")+SUMIFS(Movimientos!$K$1:$K$1324,Movimientos!$C$1:$C$1324,"Electrama",Movimientos!$B$1:$B$1324,"&lt;="&amp;$B148)</f>
        <v>11744.75</v>
      </c>
      <c r="K148" s="24">
        <f>SUMIFS('Saldos Iniciales'!$D:$D,'Saldos Iniciales'!$A:$A,"Sacred Valley Capital")+SUMIFS(Movimientos!$K$1:$K$1324,Movimientos!$C$1:$C$1324,"Sacred Valley Capital",Movimientos!$B$1:$B$1324,"&lt;="&amp;$B148)</f>
        <v>94.5</v>
      </c>
      <c r="L148" s="24">
        <f>SUMIFS('Saldos Iniciales'!$D:$D,'Saldos Iniciales'!$A:$A,"YWC Capital")+SUMIFS(Movimientos!$K$1:$K$1324,Movimientos!$C$1:$C$1324,"YWC Capital",Movimientos!$B$1:$B$1324,"&lt;="&amp;$B148)</f>
        <v>2147.92</v>
      </c>
      <c r="M148" s="24">
        <f>SUMIFS('Saldos Iniciales'!$D:$D,'Saldos Iniciales'!$A:$A,"Soweto")+SUMIFS(Movimientos!$K$1:$K$1324,Movimientos!$C$1:$C$1324,"Soweto",Movimientos!$B$1:$B$1324,"&lt;="&amp;$B148)</f>
        <v>17895.290000000015</v>
      </c>
      <c r="N148" s="24">
        <f>SUMIFS('Saldos Iniciales'!$D:$D,'Saldos Iniciales'!$A:$A,"Green Stone Trust")+SUMIFS(Movimientos!$K$1:$K$1324,Movimientos!$C$1:$C$1324,"Green Stone Trust",Movimientos!$B$1:$B$1324,"&lt;="&amp;$B148)</f>
        <v>1968.99</v>
      </c>
      <c r="O148" s="24">
        <f>SUMIFS('Saldos Iniciales'!$D:$D,'Saldos Iniciales'!$A:$A,"EC Auto")+SUMIFS(Movimientos!$K$1:$K$1324,Movimientos!$C$1:$C$1324,"EC Auto",Movimientos!$B$1:$B$1324,"&lt;="&amp;$B148)</f>
        <v>901.34</v>
      </c>
      <c r="P148" s="24">
        <f>SUMIFS('Saldos Iniciales'!$D:$D,'Saldos Iniciales'!$A:$A,"Arbor Capital Properties")+SUMIFS(Movimientos!$K$1:$K$1324,Movimientos!$C$1:$C$1324,"Arbor Capital Properties",Movimientos!$B$1:$B$1324,"&lt;="&amp;$B148)</f>
        <v>1380.08</v>
      </c>
      <c r="Q148" s="24">
        <f>SUMIFS('Saldos Iniciales'!$D:$D,'Saldos Iniciales'!$A:$A,"2515 Overbrook")+SUMIFS(Movimientos!$K$1:$K$1324,Movimientos!$C$1:$C$1324,"2515 Overbrook",Movimientos!$B$1:$B$1324,"&lt;="&amp;$B148)</f>
        <v>28714.879999999961</v>
      </c>
      <c r="R148" s="24">
        <f>SUMIFS('Saldos Iniciales'!$D:$D,'Saldos Iniciales'!$A:$A,"112 Florida Ave")+SUMIFS(Movimientos!$K$1:$K$1324,Movimientos!$C$1:$C$1324,"112 Florida Ave",Movimientos!$B$1:$B$1324,"&lt;="&amp;$B148)</f>
        <v>15162.600000000006</v>
      </c>
      <c r="S148" s="24">
        <f>SUMIFS('Saldos Iniciales'!$D:$D,'Saldos Iniciales'!$A:$A,"3628 Thomas Ave")+SUMIFS(Movimientos!$K$1:$K$1324,Movimientos!$C$1:$C$1324,"3628 Thomas Ave",Movimientos!$B$1:$B$1324,"&lt;="&amp;$B148)</f>
        <v>12937.859999999997</v>
      </c>
      <c r="T148" s="24">
        <f>SUMIFS('Saldos Iniciales'!$D:$D,'Saldos Iniciales'!$A:$A,"Green Harbor Trust")+SUMIFS(Movimientos!$K$1:$K$1324,Movimientos!$C$1:$C$1324,"Green Harbor Trust",Movimientos!$B$1:$B$1324,"&lt;="&amp;$B148)</f>
        <v>345</v>
      </c>
      <c r="U148" s="24">
        <f>SUMIFS('Saldos Iniciales'!$D:$D,'Saldos Iniciales'!$A:$A,"Go Blue")+SUMIFS(Movimientos!$K$1:$K$1324,Movimientos!$C$1:$C$1324,"Go Blue",Movimientos!$B$1:$B$1324,"&lt;="&amp;$B148)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Aparments",Movimientos!$B$1:$B$1324,"&lt;="&amp;$B148))</f>
        <v>236093.16999999998</v>
      </c>
      <c r="AD148" s="24">
        <f>IF(YEAR($B148)*100+MONTH($B148)&lt;--SUBSTITUTE(_xlfn.XLOOKUP("Don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Life",Movimientos!$B$1:$B$1324,"&lt;="&amp;$B148))</f>
        <v>327985.82999999996</v>
      </c>
      <c r="AE148" s="25">
        <f t="shared" si="6"/>
        <v>6514885.0199999996</v>
      </c>
    </row>
    <row r="149" spans="1:3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Group")+SUMIFS(Movimientos!$K$1:$K$1324,Movimientos!$C$1:$C$1324,"CFT Group",Movimientos!$B$1:$B$1324,"&lt;="&amp;$B149)</f>
        <v>1835826.1700000004</v>
      </c>
      <c r="D149" s="24">
        <f>SUMIFS('Saldos Iniciales'!$D:$D,'Saldos Iniciales'!$A:$A,"M1B")+SUMIFS(Movimientos!$K$1:$K$1324,Movimientos!$C$1:$C$1324,"M1B",Movimientos!$B$1:$B$1324,"&lt;="&amp;$B149)</f>
        <v>100486.46000000017</v>
      </c>
      <c r="E149" s="24">
        <f>SUMIFS('Saldos Iniciales'!$D:$D,'Saldos Iniciales'!$A:$A,"Durand")+SUMIFS(Movimientos!$K$1:$K$1324,Movimientos!$C$1:$C$1324,"Durand",Movimientos!$B$1:$B$1324,"&lt;="&amp;$B149)</f>
        <v>1669.89</v>
      </c>
      <c r="F149" s="24">
        <f>SUMIFS('Saldos Iniciales'!$D:$D,'Saldos Iniciales'!$A:$A,"A&amp;M Imports")+SUMIFS(Movimientos!$K$1:$K$1324,Movimientos!$C$1:$C$1324,"A&amp;M Imports",Movimientos!$B$1:$B$1324,"&lt;="&amp;$B149)</f>
        <v>1313603.3599999999</v>
      </c>
      <c r="G149" s="24">
        <f>SUMIFS('Saldos Iniciales'!$D:$D,'Saldos Iniciales'!$A:$A,"SSP Capital")+SUMIFS(Movimientos!$K$1:$K$1324,Movimientos!$C$1:$C$1324,"SSP Capital",Movimientos!$B$1:$B$1324,"&lt;="&amp;$B149)</f>
        <v>1350091.6599999997</v>
      </c>
      <c r="H149" s="24">
        <f>SUMIFS('Saldos Iniciales'!$D:$D,'Saldos Iniciales'!$A:$A,"Cross Family Trust")+SUMIFS(Movimientos!$K$1:$K$1324,Movimientos!$C$1:$C$1324,"Cross Family Trust",Movimientos!$B$1:$B$1324,"&lt;="&amp;$B149)</f>
        <v>229778.14</v>
      </c>
      <c r="I149" s="24">
        <f>SUMIFS('Saldos Iniciales'!$D:$D,'Saldos Iniciales'!$A:$A,"Cross Security Trust")+SUMIFS(Movimientos!$K$1:$K$1324,Movimientos!$C$1:$C$1324,"Cross Security Trust",Movimientos!$B$1:$B$1324,"&lt;="&amp;$B149)</f>
        <v>217688.58</v>
      </c>
      <c r="J149" s="24">
        <f>SUMIFS('Saldos Iniciales'!$D:$D,'Saldos Iniciales'!$A:$A,"Electrama")+SUMIFS(Movimientos!$K$1:$K$1324,Movimientos!$C$1:$C$1324,"Electrama",Movimientos!$B$1:$B$1324,"&lt;="&amp;$B149)</f>
        <v>11744.75</v>
      </c>
      <c r="K149" s="24">
        <f>SUMIFS('Saldos Iniciales'!$D:$D,'Saldos Iniciales'!$A:$A,"Sacred Valley Capital")+SUMIFS(Movimientos!$K$1:$K$1324,Movimientos!$C$1:$C$1324,"Sacred Valley Capital",Movimientos!$B$1:$B$1324,"&lt;="&amp;$B149)</f>
        <v>94.5</v>
      </c>
      <c r="L149" s="24">
        <f>SUMIFS('Saldos Iniciales'!$D:$D,'Saldos Iniciales'!$A:$A,"YWC Capital")+SUMIFS(Movimientos!$K$1:$K$1324,Movimientos!$C$1:$C$1324,"YWC Capital",Movimientos!$B$1:$B$1324,"&lt;="&amp;$B149)</f>
        <v>2147.92</v>
      </c>
      <c r="M149" s="24">
        <f>SUMIFS('Saldos Iniciales'!$D:$D,'Saldos Iniciales'!$A:$A,"Soweto")+SUMIFS(Movimientos!$K$1:$K$1324,Movimientos!$C$1:$C$1324,"Soweto",Movimientos!$B$1:$B$1324,"&lt;="&amp;$B149)</f>
        <v>17895.290000000015</v>
      </c>
      <c r="N149" s="24">
        <f>SUMIFS('Saldos Iniciales'!$D:$D,'Saldos Iniciales'!$A:$A,"Green Stone Trust")+SUMIFS(Movimientos!$K$1:$K$1324,Movimientos!$C$1:$C$1324,"Green Stone Trust",Movimientos!$B$1:$B$1324,"&lt;="&amp;$B149)</f>
        <v>1968.99</v>
      </c>
      <c r="O149" s="24">
        <f>SUMIFS('Saldos Iniciales'!$D:$D,'Saldos Iniciales'!$A:$A,"EC Auto")+SUMIFS(Movimientos!$K$1:$K$1324,Movimientos!$C$1:$C$1324,"EC Auto",Movimientos!$B$1:$B$1324,"&lt;="&amp;$B149)</f>
        <v>901.34</v>
      </c>
      <c r="P149" s="24">
        <f>SUMIFS('Saldos Iniciales'!$D:$D,'Saldos Iniciales'!$A:$A,"Arbor Capital Properties")+SUMIFS(Movimientos!$K$1:$K$1324,Movimientos!$C$1:$C$1324,"Arbor Capital Properties",Movimientos!$B$1:$B$1324,"&lt;="&amp;$B149)</f>
        <v>1380.08</v>
      </c>
      <c r="Q149" s="24">
        <f>SUMIFS('Saldos Iniciales'!$D:$D,'Saldos Iniciales'!$A:$A,"2515 Overbrook")+SUMIFS(Movimientos!$K$1:$K$1324,Movimientos!$C$1:$C$1324,"2515 Overbrook",Movimientos!$B$1:$B$1324,"&lt;="&amp;$B149)</f>
        <v>28714.879999999961</v>
      </c>
      <c r="R149" s="24">
        <f>SUMIFS('Saldos Iniciales'!$D:$D,'Saldos Iniciales'!$A:$A,"112 Florida Ave")+SUMIFS(Movimientos!$K$1:$K$1324,Movimientos!$C$1:$C$1324,"112 Florida Ave",Movimientos!$B$1:$B$1324,"&lt;="&amp;$B149)</f>
        <v>23389.690000000006</v>
      </c>
      <c r="S149" s="24">
        <f>SUMIFS('Saldos Iniciales'!$D:$D,'Saldos Iniciales'!$A:$A,"3628 Thomas Ave")+SUMIFS(Movimientos!$K$1:$K$1324,Movimientos!$C$1:$C$1324,"3628 Thomas Ave",Movimientos!$B$1:$B$1324,"&lt;="&amp;$B149)</f>
        <v>16896.059999999998</v>
      </c>
      <c r="T149" s="24">
        <f>SUMIFS('Saldos Iniciales'!$D:$D,'Saldos Iniciales'!$A:$A,"Green Harbor Trust")+SUMIFS(Movimientos!$K$1:$K$1324,Movimientos!$C$1:$C$1324,"Green Harbor Trust",Movimientos!$B$1:$B$1324,"&lt;="&amp;$B149)</f>
        <v>345</v>
      </c>
      <c r="U149" s="24">
        <f>SUMIFS('Saldos Iniciales'!$D:$D,'Saldos Iniciales'!$A:$A,"Go Blue")+SUMIFS(Movimientos!$K$1:$K$1324,Movimientos!$C$1:$C$1324,"Go Blue",Movimientos!$B$1:$B$1324,"&lt;="&amp;$B149)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Aparments",Movimientos!$B$1:$B$1324,"&lt;="&amp;$B149))</f>
        <v>236033.16999999998</v>
      </c>
      <c r="AD149" s="24">
        <f>IF(YEAR($B149)*100+MONTH($B149)&lt;--SUBSTITUTE(_xlfn.XLOOKUP("Don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Life",Movimientos!$B$1:$B$1324,"&lt;="&amp;$B149))</f>
        <v>327985.82999999996</v>
      </c>
      <c r="AE149" s="25">
        <f t="shared" si="6"/>
        <v>6180164.46</v>
      </c>
    </row>
    <row r="150" spans="1:3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Group")+SUMIFS(Movimientos!$K$1:$K$1324,Movimientos!$C$1:$C$1324,"CFT Group",Movimientos!$B$1:$B$1324,"&lt;="&amp;$B150)</f>
        <v>1835826.1700000004</v>
      </c>
      <c r="D150" s="24">
        <f>SUMIFS('Saldos Iniciales'!$D:$D,'Saldos Iniciales'!$A:$A,"M1B")+SUMIFS(Movimientos!$K$1:$K$1324,Movimientos!$C$1:$C$1324,"M1B",Movimientos!$B$1:$B$1324,"&lt;="&amp;$B150)</f>
        <v>100486.46000000017</v>
      </c>
      <c r="E150" s="24">
        <f>SUMIFS('Saldos Iniciales'!$D:$D,'Saldos Iniciales'!$A:$A,"Durand")+SUMIFS(Movimientos!$K$1:$K$1324,Movimientos!$C$1:$C$1324,"Durand",Movimientos!$B$1:$B$1324,"&lt;="&amp;$B150)</f>
        <v>1669.89</v>
      </c>
      <c r="F150" s="24">
        <f>SUMIFS('Saldos Iniciales'!$D:$D,'Saldos Iniciales'!$A:$A,"A&amp;M Imports")+SUMIFS(Movimientos!$K$1:$K$1324,Movimientos!$C$1:$C$1324,"A&amp;M Imports",Movimientos!$B$1:$B$1324,"&lt;="&amp;$B150)</f>
        <v>1313603.3599999999</v>
      </c>
      <c r="G150" s="24">
        <f>SUMIFS('Saldos Iniciales'!$D:$D,'Saldos Iniciales'!$A:$A,"SSP Capital")+SUMIFS(Movimientos!$K$1:$K$1324,Movimientos!$C$1:$C$1324,"SSP Capital",Movimientos!$B$1:$B$1324,"&lt;="&amp;$B150)</f>
        <v>1350091.6599999997</v>
      </c>
      <c r="H150" s="24">
        <f>SUMIFS('Saldos Iniciales'!$D:$D,'Saldos Iniciales'!$A:$A,"Cross Family Trust")+SUMIFS(Movimientos!$K$1:$K$1324,Movimientos!$C$1:$C$1324,"Cross Family Trust",Movimientos!$B$1:$B$1324,"&lt;="&amp;$B150)</f>
        <v>229778.14</v>
      </c>
      <c r="I150" s="24">
        <f>SUMIFS('Saldos Iniciales'!$D:$D,'Saldos Iniciales'!$A:$A,"Cross Security Trust")+SUMIFS(Movimientos!$K$1:$K$1324,Movimientos!$C$1:$C$1324,"Cross Security Trust",Movimientos!$B$1:$B$1324,"&lt;="&amp;$B150)</f>
        <v>217688.58</v>
      </c>
      <c r="J150" s="24">
        <f>SUMIFS('Saldos Iniciales'!$D:$D,'Saldos Iniciales'!$A:$A,"Electrama")+SUMIFS(Movimientos!$K$1:$K$1324,Movimientos!$C$1:$C$1324,"Electrama",Movimientos!$B$1:$B$1324,"&lt;="&amp;$B150)</f>
        <v>11744.75</v>
      </c>
      <c r="K150" s="24">
        <f>SUMIFS('Saldos Iniciales'!$D:$D,'Saldos Iniciales'!$A:$A,"Sacred Valley Capital")+SUMIFS(Movimientos!$K$1:$K$1324,Movimientos!$C$1:$C$1324,"Sacred Valley Capital",Movimientos!$B$1:$B$1324,"&lt;="&amp;$B150)</f>
        <v>94.5</v>
      </c>
      <c r="L150" s="24">
        <f>SUMIFS('Saldos Iniciales'!$D:$D,'Saldos Iniciales'!$A:$A,"YWC Capital")+SUMIFS(Movimientos!$K$1:$K$1324,Movimientos!$C$1:$C$1324,"YWC Capital",Movimientos!$B$1:$B$1324,"&lt;="&amp;$B150)</f>
        <v>2147.92</v>
      </c>
      <c r="M150" s="24">
        <f>SUMIFS('Saldos Iniciales'!$D:$D,'Saldos Iniciales'!$A:$A,"Soweto")+SUMIFS(Movimientos!$K$1:$K$1324,Movimientos!$C$1:$C$1324,"Soweto",Movimientos!$B$1:$B$1324,"&lt;="&amp;$B150)</f>
        <v>17895.290000000015</v>
      </c>
      <c r="N150" s="24">
        <f>SUMIFS('Saldos Iniciales'!$D:$D,'Saldos Iniciales'!$A:$A,"Green Stone Trust")+SUMIFS(Movimientos!$K$1:$K$1324,Movimientos!$C$1:$C$1324,"Green Stone Trust",Movimientos!$B$1:$B$1324,"&lt;="&amp;$B150)</f>
        <v>1968.99</v>
      </c>
      <c r="O150" s="24">
        <f>SUMIFS('Saldos Iniciales'!$D:$D,'Saldos Iniciales'!$A:$A,"EC Auto")+SUMIFS(Movimientos!$K$1:$K$1324,Movimientos!$C$1:$C$1324,"EC Auto",Movimientos!$B$1:$B$1324,"&lt;="&amp;$B150)</f>
        <v>901.34</v>
      </c>
      <c r="P150" s="24">
        <f>SUMIFS('Saldos Iniciales'!$D:$D,'Saldos Iniciales'!$A:$A,"Arbor Capital Properties")+SUMIFS(Movimientos!$K$1:$K$1324,Movimientos!$C$1:$C$1324,"Arbor Capital Properties",Movimientos!$B$1:$B$1324,"&lt;="&amp;$B150)</f>
        <v>1380.08</v>
      </c>
      <c r="Q150" s="24">
        <f>SUMIFS('Saldos Iniciales'!$D:$D,'Saldos Iniciales'!$A:$A,"2515 Overbrook")+SUMIFS(Movimientos!$K$1:$K$1324,Movimientos!$C$1:$C$1324,"2515 Overbrook",Movimientos!$B$1:$B$1324,"&lt;="&amp;$B150)</f>
        <v>28714.879999999961</v>
      </c>
      <c r="R150" s="24">
        <f>SUMIFS('Saldos Iniciales'!$D:$D,'Saldos Iniciales'!$A:$A,"112 Florida Ave")+SUMIFS(Movimientos!$K$1:$K$1324,Movimientos!$C$1:$C$1324,"112 Florida Ave",Movimientos!$B$1:$B$1324,"&lt;="&amp;$B150)</f>
        <v>23389.690000000006</v>
      </c>
      <c r="S150" s="24">
        <f>SUMIFS('Saldos Iniciales'!$D:$D,'Saldos Iniciales'!$A:$A,"3628 Thomas Ave")+SUMIFS(Movimientos!$K$1:$K$1324,Movimientos!$C$1:$C$1324,"3628 Thomas Ave",Movimientos!$B$1:$B$1324,"&lt;="&amp;$B150)</f>
        <v>16896.059999999998</v>
      </c>
      <c r="T150" s="24">
        <f>SUMIFS('Saldos Iniciales'!$D:$D,'Saldos Iniciales'!$A:$A,"Green Harbor Trust")+SUMIFS(Movimientos!$K$1:$K$1324,Movimientos!$C$1:$C$1324,"Green Harbor Trust",Movimientos!$B$1:$B$1324,"&lt;="&amp;$B150)</f>
        <v>345</v>
      </c>
      <c r="U150" s="24">
        <f>SUMIFS('Saldos Iniciales'!$D:$D,'Saldos Iniciales'!$A:$A,"Go Blue")+SUMIFS(Movimientos!$K$1:$K$1324,Movimientos!$C$1:$C$1324,"Go Blue",Movimientos!$B$1:$B$1324,"&lt;="&amp;$B150)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Aparments",Movimientos!$B$1:$B$1324,"&lt;="&amp;$B150))</f>
        <v>236033.16999999998</v>
      </c>
      <c r="AD150" s="24">
        <f>IF(YEAR($B150)*100+MONTH($B150)&lt;--SUBSTITUTE(_xlfn.XLOOKUP("Don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Life",Movimientos!$B$1:$B$1324,"&lt;="&amp;$B150))</f>
        <v>327985.82999999996</v>
      </c>
      <c r="AE150" s="25">
        <f t="shared" si="6"/>
        <v>6180164.46</v>
      </c>
    </row>
    <row r="151" spans="1:3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Group")+SUMIFS(Movimientos!$K$1:$K$1324,Movimientos!$C$1:$C$1324,"CFT Group",Movimientos!$B$1:$B$1324,"&lt;="&amp;$B151)</f>
        <v>1835826.1700000004</v>
      </c>
      <c r="D151" s="24">
        <f>SUMIFS('Saldos Iniciales'!$D:$D,'Saldos Iniciales'!$A:$A,"M1B")+SUMIFS(Movimientos!$K$1:$K$1324,Movimientos!$C$1:$C$1324,"M1B",Movimientos!$B$1:$B$1324,"&lt;="&amp;$B151)</f>
        <v>100486.46000000017</v>
      </c>
      <c r="E151" s="24">
        <f>SUMIFS('Saldos Iniciales'!$D:$D,'Saldos Iniciales'!$A:$A,"Durand")+SUMIFS(Movimientos!$K$1:$K$1324,Movimientos!$C$1:$C$1324,"Durand",Movimientos!$B$1:$B$1324,"&lt;="&amp;$B151)</f>
        <v>1669.89</v>
      </c>
      <c r="F151" s="24">
        <f>SUMIFS('Saldos Iniciales'!$D:$D,'Saldos Iniciales'!$A:$A,"A&amp;M Imports")+SUMIFS(Movimientos!$K$1:$K$1324,Movimientos!$C$1:$C$1324,"A&amp;M Imports",Movimientos!$B$1:$B$1324,"&lt;="&amp;$B151)</f>
        <v>1313603.3599999999</v>
      </c>
      <c r="G151" s="24">
        <f>SUMIFS('Saldos Iniciales'!$D:$D,'Saldos Iniciales'!$A:$A,"SSP Capital")+SUMIFS(Movimientos!$K$1:$K$1324,Movimientos!$C$1:$C$1324,"SSP Capital",Movimientos!$B$1:$B$1324,"&lt;="&amp;$B151)</f>
        <v>1350091.6599999997</v>
      </c>
      <c r="H151" s="24">
        <f>SUMIFS('Saldos Iniciales'!$D:$D,'Saldos Iniciales'!$A:$A,"Cross Family Trust")+SUMIFS(Movimientos!$K$1:$K$1324,Movimientos!$C$1:$C$1324,"Cross Family Trust",Movimientos!$B$1:$B$1324,"&lt;="&amp;$B151)</f>
        <v>229778.14</v>
      </c>
      <c r="I151" s="24">
        <f>SUMIFS('Saldos Iniciales'!$D:$D,'Saldos Iniciales'!$A:$A,"Cross Security Trust")+SUMIFS(Movimientos!$K$1:$K$1324,Movimientos!$C$1:$C$1324,"Cross Security Trust",Movimientos!$B$1:$B$1324,"&lt;="&amp;$B151)</f>
        <v>217688.58</v>
      </c>
      <c r="J151" s="24">
        <f>SUMIFS('Saldos Iniciales'!$D:$D,'Saldos Iniciales'!$A:$A,"Electrama")+SUMIFS(Movimientos!$K$1:$K$1324,Movimientos!$C$1:$C$1324,"Electrama",Movimientos!$B$1:$B$1324,"&lt;="&amp;$B151)</f>
        <v>11744.75</v>
      </c>
      <c r="K151" s="24">
        <f>SUMIFS('Saldos Iniciales'!$D:$D,'Saldos Iniciales'!$A:$A,"Sacred Valley Capital")+SUMIFS(Movimientos!$K$1:$K$1324,Movimientos!$C$1:$C$1324,"Sacred Valley Capital",Movimientos!$B$1:$B$1324,"&lt;="&amp;$B151)</f>
        <v>94.5</v>
      </c>
      <c r="L151" s="24">
        <f>SUMIFS('Saldos Iniciales'!$D:$D,'Saldos Iniciales'!$A:$A,"YWC Capital")+SUMIFS(Movimientos!$K$1:$K$1324,Movimientos!$C$1:$C$1324,"YWC Capital",Movimientos!$B$1:$B$1324,"&lt;="&amp;$B151)</f>
        <v>2147.92</v>
      </c>
      <c r="M151" s="24">
        <f>SUMIFS('Saldos Iniciales'!$D:$D,'Saldos Iniciales'!$A:$A,"Soweto")+SUMIFS(Movimientos!$K$1:$K$1324,Movimientos!$C$1:$C$1324,"Soweto",Movimientos!$B$1:$B$1324,"&lt;="&amp;$B151)</f>
        <v>17895.290000000015</v>
      </c>
      <c r="N151" s="24">
        <f>SUMIFS('Saldos Iniciales'!$D:$D,'Saldos Iniciales'!$A:$A,"Green Stone Trust")+SUMIFS(Movimientos!$K$1:$K$1324,Movimientos!$C$1:$C$1324,"Green Stone Trust",Movimientos!$B$1:$B$1324,"&lt;="&amp;$B151)</f>
        <v>1968.99</v>
      </c>
      <c r="O151" s="24">
        <f>SUMIFS('Saldos Iniciales'!$D:$D,'Saldos Iniciales'!$A:$A,"EC Auto")+SUMIFS(Movimientos!$K$1:$K$1324,Movimientos!$C$1:$C$1324,"EC Auto",Movimientos!$B$1:$B$1324,"&lt;="&amp;$B151)</f>
        <v>901.34</v>
      </c>
      <c r="P151" s="24">
        <f>SUMIFS('Saldos Iniciales'!$D:$D,'Saldos Iniciales'!$A:$A,"Arbor Capital Properties")+SUMIFS(Movimientos!$K$1:$K$1324,Movimientos!$C$1:$C$1324,"Arbor Capital Properties",Movimientos!$B$1:$B$1324,"&lt;="&amp;$B151)</f>
        <v>1380.08</v>
      </c>
      <c r="Q151" s="24">
        <f>SUMIFS('Saldos Iniciales'!$D:$D,'Saldos Iniciales'!$A:$A,"2515 Overbrook")+SUMIFS(Movimientos!$K$1:$K$1324,Movimientos!$C$1:$C$1324,"2515 Overbrook",Movimientos!$B$1:$B$1324,"&lt;="&amp;$B151)</f>
        <v>28714.879999999961</v>
      </c>
      <c r="R151" s="24">
        <f>SUMIFS('Saldos Iniciales'!$D:$D,'Saldos Iniciales'!$A:$A,"112 Florida Ave")+SUMIFS(Movimientos!$K$1:$K$1324,Movimientos!$C$1:$C$1324,"112 Florida Ave",Movimientos!$B$1:$B$1324,"&lt;="&amp;$B151)</f>
        <v>23389.690000000006</v>
      </c>
      <c r="S151" s="24">
        <f>SUMIFS('Saldos Iniciales'!$D:$D,'Saldos Iniciales'!$A:$A,"3628 Thomas Ave")+SUMIFS(Movimientos!$K$1:$K$1324,Movimientos!$C$1:$C$1324,"3628 Thomas Ave",Movimientos!$B$1:$B$1324,"&lt;="&amp;$B151)</f>
        <v>16896.059999999998</v>
      </c>
      <c r="T151" s="24">
        <f>SUMIFS('Saldos Iniciales'!$D:$D,'Saldos Iniciales'!$A:$A,"Green Harbor Trust")+SUMIFS(Movimientos!$K$1:$K$1324,Movimientos!$C$1:$C$1324,"Green Harbor Trust",Movimientos!$B$1:$B$1324,"&lt;="&amp;$B151)</f>
        <v>345</v>
      </c>
      <c r="U151" s="24">
        <f>SUMIFS('Saldos Iniciales'!$D:$D,'Saldos Iniciales'!$A:$A,"Go Blue")+SUMIFS(Movimientos!$K$1:$K$1324,Movimientos!$C$1:$C$1324,"Go Blue",Movimientos!$B$1:$B$1324,"&lt;="&amp;$B151)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Aparments",Movimientos!$B$1:$B$1324,"&lt;="&amp;$B151))</f>
        <v>236033.16999999998</v>
      </c>
      <c r="AD151" s="24">
        <f>IF(YEAR($B151)*100+MONTH($B151)&lt;--SUBSTITUTE(_xlfn.XLOOKUP("Don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Life",Movimientos!$B$1:$B$1324,"&lt;="&amp;$B151))</f>
        <v>327985.82999999996</v>
      </c>
      <c r="AE151" s="25">
        <f t="shared" si="6"/>
        <v>6180164.46</v>
      </c>
    </row>
    <row r="152" spans="1:3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Group")+SUMIFS(Movimientos!$K$1:$K$1324,Movimientos!$C$1:$C$1324,"CFT Group",Movimientos!$B$1:$B$1324,"&lt;="&amp;$B152)</f>
        <v>1843622.6700000004</v>
      </c>
      <c r="D152" s="24">
        <f>SUMIFS('Saldos Iniciales'!$D:$D,'Saldos Iniciales'!$A:$A,"M1B")+SUMIFS(Movimientos!$K$1:$K$1324,Movimientos!$C$1:$C$1324,"M1B",Movimientos!$B$1:$B$1324,"&lt;="&amp;$B152)</f>
        <v>100486.46000000017</v>
      </c>
      <c r="E152" s="24">
        <f>SUMIFS('Saldos Iniciales'!$D:$D,'Saldos Iniciales'!$A:$A,"Durand")+SUMIFS(Movimientos!$K$1:$K$1324,Movimientos!$C$1:$C$1324,"Durand",Movimientos!$B$1:$B$1324,"&lt;="&amp;$B152)</f>
        <v>1669.89</v>
      </c>
      <c r="F152" s="24">
        <f>SUMIFS('Saldos Iniciales'!$D:$D,'Saldos Iniciales'!$A:$A,"A&amp;M Imports")+SUMIFS(Movimientos!$K$1:$K$1324,Movimientos!$C$1:$C$1324,"A&amp;M Imports",Movimientos!$B$1:$B$1324,"&lt;="&amp;$B152)</f>
        <v>1330582.2599999998</v>
      </c>
      <c r="G152" s="24">
        <f>SUMIFS('Saldos Iniciales'!$D:$D,'Saldos Iniciales'!$A:$A,"SSP Capital")+SUMIFS(Movimientos!$K$1:$K$1324,Movimientos!$C$1:$C$1324,"SSP Capital",Movimientos!$B$1:$B$1324,"&lt;="&amp;$B152)</f>
        <v>1350091.6599999997</v>
      </c>
      <c r="H152" s="24">
        <f>SUMIFS('Saldos Iniciales'!$D:$D,'Saldos Iniciales'!$A:$A,"Cross Family Trust")+SUMIFS(Movimientos!$K$1:$K$1324,Movimientos!$C$1:$C$1324,"Cross Family Trust",Movimientos!$B$1:$B$1324,"&lt;="&amp;$B152)</f>
        <v>229778.14</v>
      </c>
      <c r="I152" s="24">
        <f>SUMIFS('Saldos Iniciales'!$D:$D,'Saldos Iniciales'!$A:$A,"Cross Security Trust")+SUMIFS(Movimientos!$K$1:$K$1324,Movimientos!$C$1:$C$1324,"Cross Security Trust",Movimientos!$B$1:$B$1324,"&lt;="&amp;$B152)</f>
        <v>217688.58</v>
      </c>
      <c r="J152" s="24">
        <f>SUMIFS('Saldos Iniciales'!$D:$D,'Saldos Iniciales'!$A:$A,"Electrama")+SUMIFS(Movimientos!$K$1:$K$1324,Movimientos!$C$1:$C$1324,"Electrama",Movimientos!$B$1:$B$1324,"&lt;="&amp;$B152)</f>
        <v>11744.75</v>
      </c>
      <c r="K152" s="24">
        <f>SUMIFS('Saldos Iniciales'!$D:$D,'Saldos Iniciales'!$A:$A,"Sacred Valley Capital")+SUMIFS(Movimientos!$K$1:$K$1324,Movimientos!$C$1:$C$1324,"Sacred Valley Capital",Movimientos!$B$1:$B$1324,"&lt;="&amp;$B152)</f>
        <v>94.5</v>
      </c>
      <c r="L152" s="24">
        <f>SUMIFS('Saldos Iniciales'!$D:$D,'Saldos Iniciales'!$A:$A,"YWC Capital")+SUMIFS(Movimientos!$K$1:$K$1324,Movimientos!$C$1:$C$1324,"YWC Capital",Movimientos!$B$1:$B$1324,"&lt;="&amp;$B152)</f>
        <v>2147.92</v>
      </c>
      <c r="M152" s="24">
        <f>SUMIFS('Saldos Iniciales'!$D:$D,'Saldos Iniciales'!$A:$A,"Soweto")+SUMIFS(Movimientos!$K$1:$K$1324,Movimientos!$C$1:$C$1324,"Soweto",Movimientos!$B$1:$B$1324,"&lt;="&amp;$B152)</f>
        <v>17895.290000000015</v>
      </c>
      <c r="N152" s="24">
        <f>SUMIFS('Saldos Iniciales'!$D:$D,'Saldos Iniciales'!$A:$A,"Green Stone Trust")+SUMIFS(Movimientos!$K$1:$K$1324,Movimientos!$C$1:$C$1324,"Green Stone Trust",Movimientos!$B$1:$B$1324,"&lt;="&amp;$B152)</f>
        <v>1968.99</v>
      </c>
      <c r="O152" s="24">
        <f>SUMIFS('Saldos Iniciales'!$D:$D,'Saldos Iniciales'!$A:$A,"EC Auto")+SUMIFS(Movimientos!$K$1:$K$1324,Movimientos!$C$1:$C$1324,"EC Auto",Movimientos!$B$1:$B$1324,"&lt;="&amp;$B152)</f>
        <v>901.34</v>
      </c>
      <c r="P152" s="24">
        <f>SUMIFS('Saldos Iniciales'!$D:$D,'Saldos Iniciales'!$A:$A,"Arbor Capital Properties")+SUMIFS(Movimientos!$K$1:$K$1324,Movimientos!$C$1:$C$1324,"Arbor Capital Properties",Movimientos!$B$1:$B$1324,"&lt;="&amp;$B152)</f>
        <v>1380.08</v>
      </c>
      <c r="Q152" s="24">
        <f>SUMIFS('Saldos Iniciales'!$D:$D,'Saldos Iniciales'!$A:$A,"2515 Overbrook")+SUMIFS(Movimientos!$K$1:$K$1324,Movimientos!$C$1:$C$1324,"2515 Overbrook",Movimientos!$B$1:$B$1324,"&lt;="&amp;$B152)</f>
        <v>28714.879999999961</v>
      </c>
      <c r="R152" s="24">
        <f>SUMIFS('Saldos Iniciales'!$D:$D,'Saldos Iniciales'!$A:$A,"112 Florida Ave")+SUMIFS(Movimientos!$K$1:$K$1324,Movimientos!$C$1:$C$1324,"112 Florida Ave",Movimientos!$B$1:$B$1324,"&lt;="&amp;$B152)</f>
        <v>23374.690000000006</v>
      </c>
      <c r="S152" s="24">
        <f>SUMIFS('Saldos Iniciales'!$D:$D,'Saldos Iniciales'!$A:$A,"3628 Thomas Ave")+SUMIFS(Movimientos!$K$1:$K$1324,Movimientos!$C$1:$C$1324,"3628 Thomas Ave",Movimientos!$B$1:$B$1324,"&lt;="&amp;$B152)</f>
        <v>16266.809999999998</v>
      </c>
      <c r="T152" s="24">
        <f>SUMIFS('Saldos Iniciales'!$D:$D,'Saldos Iniciales'!$A:$A,"Green Harbor Trust")+SUMIFS(Movimientos!$K$1:$K$1324,Movimientos!$C$1:$C$1324,"Green Harbor Trust",Movimientos!$B$1:$B$1324,"&lt;="&amp;$B152)</f>
        <v>345</v>
      </c>
      <c r="U152" s="24">
        <f>SUMIFS('Saldos Iniciales'!$D:$D,'Saldos Iniciales'!$A:$A,"Go Blue")+SUMIFS(Movimientos!$K$1:$K$1324,Movimientos!$C$1:$C$1324,"Go Blue",Movimientos!$B$1:$B$1324,"&lt;="&amp;$B152)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Aparments",Movimientos!$B$1:$B$1324,"&lt;="&amp;$B152))</f>
        <v>237883.16999999998</v>
      </c>
      <c r="AD152" s="24">
        <f>IF(YEAR($B152)*100+MONTH($B152)&lt;--SUBSTITUTE(_xlfn.XLOOKUP("Don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Life",Movimientos!$B$1:$B$1324,"&lt;="&amp;$B152))</f>
        <v>327985.82999999996</v>
      </c>
      <c r="AE152" s="25">
        <f t="shared" si="6"/>
        <v>6205640.5199999996</v>
      </c>
    </row>
    <row r="153" spans="1:3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Group")+SUMIFS(Movimientos!$K$1:$K$1324,Movimientos!$C$1:$C$1324,"CFT Group",Movimientos!$B$1:$B$1324,"&lt;="&amp;$B153)</f>
        <v>1840829.6400000004</v>
      </c>
      <c r="D153" s="24">
        <f>SUMIFS('Saldos Iniciales'!$D:$D,'Saldos Iniciales'!$A:$A,"M1B")+SUMIFS(Movimientos!$K$1:$K$1324,Movimientos!$C$1:$C$1324,"M1B",Movimientos!$B$1:$B$1324,"&lt;="&amp;$B153)</f>
        <v>100486.46000000017</v>
      </c>
      <c r="E153" s="24">
        <f>SUMIFS('Saldos Iniciales'!$D:$D,'Saldos Iniciales'!$A:$A,"Durand")+SUMIFS(Movimientos!$K$1:$K$1324,Movimientos!$C$1:$C$1324,"Durand",Movimientos!$B$1:$B$1324,"&lt;="&amp;$B153)</f>
        <v>1669.89</v>
      </c>
      <c r="F153" s="24">
        <f>SUMIFS('Saldos Iniciales'!$D:$D,'Saldos Iniciales'!$A:$A,"A&amp;M Imports")+SUMIFS(Movimientos!$K$1:$K$1324,Movimientos!$C$1:$C$1324,"A&amp;M Imports",Movimientos!$B$1:$B$1324,"&lt;="&amp;$B153)</f>
        <v>1330582.2599999998</v>
      </c>
      <c r="G153" s="24">
        <f>SUMIFS('Saldos Iniciales'!$D:$D,'Saldos Iniciales'!$A:$A,"SSP Capital")+SUMIFS(Movimientos!$K$1:$K$1324,Movimientos!$C$1:$C$1324,"SSP Capital",Movimientos!$B$1:$B$1324,"&lt;="&amp;$B153)</f>
        <v>1180932.1499999997</v>
      </c>
      <c r="H153" s="24">
        <f>SUMIFS('Saldos Iniciales'!$D:$D,'Saldos Iniciales'!$A:$A,"Cross Family Trust")+SUMIFS(Movimientos!$K$1:$K$1324,Movimientos!$C$1:$C$1324,"Cross Family Trust",Movimientos!$B$1:$B$1324,"&lt;="&amp;$B153)</f>
        <v>229778.14</v>
      </c>
      <c r="I153" s="24">
        <f>SUMIFS('Saldos Iniciales'!$D:$D,'Saldos Iniciales'!$A:$A,"Cross Security Trust")+SUMIFS(Movimientos!$K$1:$K$1324,Movimientos!$C$1:$C$1324,"Cross Security Trust",Movimientos!$B$1:$B$1324,"&lt;="&amp;$B153)</f>
        <v>217688.58</v>
      </c>
      <c r="J153" s="24">
        <f>SUMIFS('Saldos Iniciales'!$D:$D,'Saldos Iniciales'!$A:$A,"Electrama")+SUMIFS(Movimientos!$K$1:$K$1324,Movimientos!$C$1:$C$1324,"Electrama",Movimientos!$B$1:$B$1324,"&lt;="&amp;$B153)</f>
        <v>10474.32</v>
      </c>
      <c r="K153" s="24">
        <f>SUMIFS('Saldos Iniciales'!$D:$D,'Saldos Iniciales'!$A:$A,"Sacred Valley Capital")+SUMIFS(Movimientos!$K$1:$K$1324,Movimientos!$C$1:$C$1324,"Sacred Valley Capital",Movimientos!$B$1:$B$1324,"&lt;="&amp;$B153)</f>
        <v>94.5</v>
      </c>
      <c r="L153" s="24">
        <f>SUMIFS('Saldos Iniciales'!$D:$D,'Saldos Iniciales'!$A:$A,"YWC Capital")+SUMIFS(Movimientos!$K$1:$K$1324,Movimientos!$C$1:$C$1324,"YWC Capital",Movimientos!$B$1:$B$1324,"&lt;="&amp;$B153)</f>
        <v>2147.92</v>
      </c>
      <c r="M153" s="24">
        <f>SUMIFS('Saldos Iniciales'!$D:$D,'Saldos Iniciales'!$A:$A,"Soweto")+SUMIFS(Movimientos!$K$1:$K$1324,Movimientos!$C$1:$C$1324,"Soweto",Movimientos!$B$1:$B$1324,"&lt;="&amp;$B153)</f>
        <v>17895.290000000015</v>
      </c>
      <c r="N153" s="24">
        <f>SUMIFS('Saldos Iniciales'!$D:$D,'Saldos Iniciales'!$A:$A,"Green Stone Trust")+SUMIFS(Movimientos!$K$1:$K$1324,Movimientos!$C$1:$C$1324,"Green Stone Trust",Movimientos!$B$1:$B$1324,"&lt;="&amp;$B153)</f>
        <v>1968.99</v>
      </c>
      <c r="O153" s="24">
        <f>SUMIFS('Saldos Iniciales'!$D:$D,'Saldos Iniciales'!$A:$A,"EC Auto")+SUMIFS(Movimientos!$K$1:$K$1324,Movimientos!$C$1:$C$1324,"EC Auto",Movimientos!$B$1:$B$1324,"&lt;="&amp;$B153)</f>
        <v>901.34</v>
      </c>
      <c r="P153" s="24">
        <f>SUMIFS('Saldos Iniciales'!$D:$D,'Saldos Iniciales'!$A:$A,"Arbor Capital Properties")+SUMIFS(Movimientos!$K$1:$K$1324,Movimientos!$C$1:$C$1324,"Arbor Capital Properties",Movimientos!$B$1:$B$1324,"&lt;="&amp;$B153)</f>
        <v>1380.08</v>
      </c>
      <c r="Q153" s="24">
        <f>SUMIFS('Saldos Iniciales'!$D:$D,'Saldos Iniciales'!$A:$A,"2515 Overbrook")+SUMIFS(Movimientos!$K$1:$K$1324,Movimientos!$C$1:$C$1324,"2515 Overbrook",Movimientos!$B$1:$B$1324,"&lt;="&amp;$B153)</f>
        <v>28714.879999999961</v>
      </c>
      <c r="R153" s="24">
        <f>SUMIFS('Saldos Iniciales'!$D:$D,'Saldos Iniciales'!$A:$A,"112 Florida Ave")+SUMIFS(Movimientos!$K$1:$K$1324,Movimientos!$C$1:$C$1324,"112 Florida Ave",Movimientos!$B$1:$B$1324,"&lt;="&amp;$B153)</f>
        <v>23374.690000000006</v>
      </c>
      <c r="S153" s="24">
        <f>SUMIFS('Saldos Iniciales'!$D:$D,'Saldos Iniciales'!$A:$A,"3628 Thomas Ave")+SUMIFS(Movimientos!$K$1:$K$1324,Movimientos!$C$1:$C$1324,"3628 Thomas Ave",Movimientos!$B$1:$B$1324,"&lt;="&amp;$B153)</f>
        <v>19266.809999999998</v>
      </c>
      <c r="T153" s="24">
        <f>SUMIFS('Saldos Iniciales'!$D:$D,'Saldos Iniciales'!$A:$A,"Green Harbor Trust")+SUMIFS(Movimientos!$K$1:$K$1324,Movimientos!$C$1:$C$1324,"Green Harbor Trust",Movimientos!$B$1:$B$1324,"&lt;="&amp;$B153)</f>
        <v>345</v>
      </c>
      <c r="U153" s="24">
        <f>SUMIFS('Saldos Iniciales'!$D:$D,'Saldos Iniciales'!$A:$A,"Go Blue")+SUMIFS(Movimientos!$K$1:$K$1324,Movimientos!$C$1:$C$1324,"Go Blue",Movimientos!$B$1:$B$1324,"&lt;="&amp;$B153)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Aparments",Movimientos!$B$1:$B$1324,"&lt;="&amp;$B153))</f>
        <v>239523.16999999998</v>
      </c>
      <c r="AD153" s="24">
        <f>IF(YEAR($B153)*100+MONTH($B153)&lt;--SUBSTITUTE(_xlfn.XLOOKUP("Don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Life",Movimientos!$B$1:$B$1324,"&lt;="&amp;$B153))</f>
        <v>327985.82999999996</v>
      </c>
      <c r="AE153" s="25">
        <f t="shared" si="6"/>
        <v>6035890.6299999999</v>
      </c>
    </row>
    <row r="154" spans="1:3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Group")+SUMIFS(Movimientos!$K$1:$K$1324,Movimientos!$C$1:$C$1324,"CFT Group",Movimientos!$B$1:$B$1324,"&lt;="&amp;$B154)</f>
        <v>1926823.6500000004</v>
      </c>
      <c r="D154" s="24">
        <f>SUMIFS('Saldos Iniciales'!$D:$D,'Saldos Iniciales'!$A:$A,"M1B")+SUMIFS(Movimientos!$K$1:$K$1324,Movimientos!$C$1:$C$1324,"M1B",Movimientos!$B$1:$B$1324,"&lt;="&amp;$B154)</f>
        <v>103123.59000000017</v>
      </c>
      <c r="E154" s="24">
        <f>SUMIFS('Saldos Iniciales'!$D:$D,'Saldos Iniciales'!$A:$A,"Durand")+SUMIFS(Movimientos!$K$1:$K$1324,Movimientos!$C$1:$C$1324,"Durand",Movimientos!$B$1:$B$1324,"&lt;="&amp;$B154)</f>
        <v>1669.89</v>
      </c>
      <c r="F154" s="24">
        <f>SUMIFS('Saldos Iniciales'!$D:$D,'Saldos Iniciales'!$A:$A,"A&amp;M Imports")+SUMIFS(Movimientos!$K$1:$K$1324,Movimientos!$C$1:$C$1324,"A&amp;M Imports",Movimientos!$B$1:$B$1324,"&lt;="&amp;$B154)</f>
        <v>1355779.1799999997</v>
      </c>
      <c r="G154" s="24">
        <f>SUMIFS('Saldos Iniciales'!$D:$D,'Saldos Iniciales'!$A:$A,"SSP Capital")+SUMIFS(Movimientos!$K$1:$K$1324,Movimientos!$C$1:$C$1324,"SSP Capital",Movimientos!$B$1:$B$1324,"&lt;="&amp;$B154)</f>
        <v>1111163.6899999995</v>
      </c>
      <c r="H154" s="24">
        <f>SUMIFS('Saldos Iniciales'!$D:$D,'Saldos Iniciales'!$A:$A,"Cross Family Trust")+SUMIFS(Movimientos!$K$1:$K$1324,Movimientos!$C$1:$C$1324,"Cross Family Trust",Movimientos!$B$1:$B$1324,"&lt;="&amp;$B154)</f>
        <v>229778.14</v>
      </c>
      <c r="I154" s="24">
        <f>SUMIFS('Saldos Iniciales'!$D:$D,'Saldos Iniciales'!$A:$A,"Cross Security Trust")+SUMIFS(Movimientos!$K$1:$K$1324,Movimientos!$C$1:$C$1324,"Cross Security Trust",Movimientos!$B$1:$B$1324,"&lt;="&amp;$B154)</f>
        <v>80533.579999999987</v>
      </c>
      <c r="J154" s="24">
        <f>SUMIFS('Saldos Iniciales'!$D:$D,'Saldos Iniciales'!$A:$A,"Electrama")+SUMIFS(Movimientos!$K$1:$K$1324,Movimientos!$C$1:$C$1324,"Electrama",Movimientos!$B$1:$B$1324,"&lt;="&amp;$B154)</f>
        <v>10259.18</v>
      </c>
      <c r="K154" s="24">
        <f>SUMIFS('Saldos Iniciales'!$D:$D,'Saldos Iniciales'!$A:$A,"Sacred Valley Capital")+SUMIFS(Movimientos!$K$1:$K$1324,Movimientos!$C$1:$C$1324,"Sacred Valley Capital",Movimientos!$B$1:$B$1324,"&lt;="&amp;$B154)</f>
        <v>94.5</v>
      </c>
      <c r="L154" s="24">
        <f>SUMIFS('Saldos Iniciales'!$D:$D,'Saldos Iniciales'!$A:$A,"YWC Capital")+SUMIFS(Movimientos!$K$1:$K$1324,Movimientos!$C$1:$C$1324,"YWC Capital",Movimientos!$B$1:$B$1324,"&lt;="&amp;$B154)</f>
        <v>2147.92</v>
      </c>
      <c r="M154" s="24">
        <f>SUMIFS('Saldos Iniciales'!$D:$D,'Saldos Iniciales'!$A:$A,"Soweto")+SUMIFS(Movimientos!$K$1:$K$1324,Movimientos!$C$1:$C$1324,"Soweto",Movimientos!$B$1:$B$1324,"&lt;="&amp;$B154)</f>
        <v>17895.290000000015</v>
      </c>
      <c r="N154" s="24">
        <f>SUMIFS('Saldos Iniciales'!$D:$D,'Saldos Iniciales'!$A:$A,"Green Stone Trust")+SUMIFS(Movimientos!$K$1:$K$1324,Movimientos!$C$1:$C$1324,"Green Stone Trust",Movimientos!$B$1:$B$1324,"&lt;="&amp;$B154)</f>
        <v>1968.99</v>
      </c>
      <c r="O154" s="24">
        <f>SUMIFS('Saldos Iniciales'!$D:$D,'Saldos Iniciales'!$A:$A,"EC Auto")+SUMIFS(Movimientos!$K$1:$K$1324,Movimientos!$C$1:$C$1324,"EC Auto",Movimientos!$B$1:$B$1324,"&lt;="&amp;$B154)</f>
        <v>901.34</v>
      </c>
      <c r="P154" s="24">
        <f>SUMIFS('Saldos Iniciales'!$D:$D,'Saldos Iniciales'!$A:$A,"Arbor Capital Properties")+SUMIFS(Movimientos!$K$1:$K$1324,Movimientos!$C$1:$C$1324,"Arbor Capital Properties",Movimientos!$B$1:$B$1324,"&lt;="&amp;$B154)</f>
        <v>1380.08</v>
      </c>
      <c r="Q154" s="24">
        <f>SUMIFS('Saldos Iniciales'!$D:$D,'Saldos Iniciales'!$A:$A,"2515 Overbrook")+SUMIFS(Movimientos!$K$1:$K$1324,Movimientos!$C$1:$C$1324,"2515 Overbrook",Movimientos!$B$1:$B$1324,"&lt;="&amp;$B154)</f>
        <v>28714.879999999961</v>
      </c>
      <c r="R154" s="24">
        <f>SUMIFS('Saldos Iniciales'!$D:$D,'Saldos Iniciales'!$A:$A,"112 Florida Ave")+SUMIFS(Movimientos!$K$1:$K$1324,Movimientos!$C$1:$C$1324,"112 Florida Ave",Movimientos!$B$1:$B$1324,"&lt;="&amp;$B154)</f>
        <v>23374.690000000006</v>
      </c>
      <c r="S154" s="24">
        <f>SUMIFS('Saldos Iniciales'!$D:$D,'Saldos Iniciales'!$A:$A,"3628 Thomas Ave")+SUMIFS(Movimientos!$K$1:$K$1324,Movimientos!$C$1:$C$1324,"3628 Thomas Ave",Movimientos!$B$1:$B$1324,"&lt;="&amp;$B154)</f>
        <v>19266.809999999998</v>
      </c>
      <c r="T154" s="24">
        <f>SUMIFS('Saldos Iniciales'!$D:$D,'Saldos Iniciales'!$A:$A,"Green Harbor Trust")+SUMIFS(Movimientos!$K$1:$K$1324,Movimientos!$C$1:$C$1324,"Green Harbor Trust",Movimientos!$B$1:$B$1324,"&lt;="&amp;$B154)</f>
        <v>345</v>
      </c>
      <c r="U154" s="24">
        <f>SUMIFS('Saldos Iniciales'!$D:$D,'Saldos Iniciales'!$A:$A,"Go Blue")+SUMIFS(Movimientos!$K$1:$K$1324,Movimientos!$C$1:$C$1324,"Go Blue",Movimientos!$B$1:$B$1324,"&lt;="&amp;$B154)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Aparments",Movimientos!$B$1:$B$1324,"&lt;="&amp;$B154))</f>
        <v>239523.16999999998</v>
      </c>
      <c r="AD154" s="24">
        <f>IF(YEAR($B154)*100+MONTH($B154)&lt;--SUBSTITUTE(_xlfn.XLOOKUP("Don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Life",Movimientos!$B$1:$B$1324,"&lt;="&amp;$B154))</f>
        <v>327985.82999999996</v>
      </c>
      <c r="AE154" s="25">
        <f t="shared" si="6"/>
        <v>5942902.7199999997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Group")+SUMIFS(Movimientos!$K$1:$K$1324,Movimientos!$C$1:$C$1324,"CFT Group",Movimientos!$B$1:$B$1324,"&lt;="&amp;$B155)</f>
        <v>3099831.9800000004</v>
      </c>
      <c r="D155" s="24">
        <f>SUMIFS('Saldos Iniciales'!$D:$D,'Saldos Iniciales'!$A:$A,"M1B")+SUMIFS(Movimientos!$K$1:$K$1324,Movimientos!$C$1:$C$1324,"M1B",Movimientos!$B$1:$B$1324,"&lt;="&amp;$B155)</f>
        <v>103123.59000000017</v>
      </c>
      <c r="E155" s="24">
        <f>SUMIFS('Saldos Iniciales'!$D:$D,'Saldos Iniciales'!$A:$A,"Durand")+SUMIFS(Movimientos!$K$1:$K$1324,Movimientos!$C$1:$C$1324,"Durand",Movimientos!$B$1:$B$1324,"&lt;="&amp;$B155)</f>
        <v>1669.89</v>
      </c>
      <c r="F155" s="24">
        <f>SUMIFS('Saldos Iniciales'!$D:$D,'Saldos Iniciales'!$A:$A,"A&amp;M Imports")+SUMIFS(Movimientos!$K$1:$K$1324,Movimientos!$C$1:$C$1324,"A&amp;M Imports",Movimientos!$B$1:$B$1324,"&lt;="&amp;$B155)</f>
        <v>1200526.7499999995</v>
      </c>
      <c r="G155" s="24">
        <f>SUMIFS('Saldos Iniciales'!$D:$D,'Saldos Iniciales'!$A:$A,"SSP Capital")+SUMIFS(Movimientos!$K$1:$K$1324,Movimientos!$C$1:$C$1324,"SSP Capital",Movimientos!$B$1:$B$1324,"&lt;="&amp;$B155)</f>
        <v>1586416.1199999996</v>
      </c>
      <c r="H155" s="24">
        <f>SUMIFS('Saldos Iniciales'!$D:$D,'Saldos Iniciales'!$A:$A,"Cross Family Trust")+SUMIFS(Movimientos!$K$1:$K$1324,Movimientos!$C$1:$C$1324,"Cross Family Trust",Movimientos!$B$1:$B$1324,"&lt;="&amp;$B155)</f>
        <v>208778.14</v>
      </c>
      <c r="I155" s="24">
        <f>SUMIFS('Saldos Iniciales'!$D:$D,'Saldos Iniciales'!$A:$A,"Cross Security Trust")+SUMIFS(Movimientos!$K$1:$K$1324,Movimientos!$C$1:$C$1324,"Cross Security Trust",Movimientos!$B$1:$B$1324,"&lt;="&amp;$B155)</f>
        <v>80533.579999999987</v>
      </c>
      <c r="J155" s="24">
        <f>SUMIFS('Saldos Iniciales'!$D:$D,'Saldos Iniciales'!$A:$A,"Electrama")+SUMIFS(Movimientos!$K$1:$K$1324,Movimientos!$C$1:$C$1324,"Electrama",Movimientos!$B$1:$B$1324,"&lt;="&amp;$B155)</f>
        <v>10259.18</v>
      </c>
      <c r="K155" s="24">
        <f>SUMIFS('Saldos Iniciales'!$D:$D,'Saldos Iniciales'!$A:$A,"Sacred Valley Capital")+SUMIFS(Movimientos!$K$1:$K$1324,Movimientos!$C$1:$C$1324,"Sacred Valley Capital",Movimientos!$B$1:$B$1324,"&lt;="&amp;$B155)</f>
        <v>64.55</v>
      </c>
      <c r="L155" s="24">
        <f>SUMIFS('Saldos Iniciales'!$D:$D,'Saldos Iniciales'!$A:$A,"YWC Capital")+SUMIFS(Movimientos!$K$1:$K$1324,Movimientos!$C$1:$C$1324,"YWC Capital",Movimientos!$B$1:$B$1324,"&lt;="&amp;$B155)</f>
        <v>2117.9700000000003</v>
      </c>
      <c r="M155" s="24">
        <f>SUMIFS('Saldos Iniciales'!$D:$D,'Saldos Iniciales'!$A:$A,"Soweto")+SUMIFS(Movimientos!$K$1:$K$1324,Movimientos!$C$1:$C$1324,"Soweto",Movimientos!$B$1:$B$1324,"&lt;="&amp;$B155)</f>
        <v>17895.290000000015</v>
      </c>
      <c r="N155" s="24">
        <f>SUMIFS('Saldos Iniciales'!$D:$D,'Saldos Iniciales'!$A:$A,"Green Stone Trust")+SUMIFS(Movimientos!$K$1:$K$1324,Movimientos!$C$1:$C$1324,"Green Stone Trust",Movimientos!$B$1:$B$1324,"&lt;="&amp;$B155)</f>
        <v>1968.99</v>
      </c>
      <c r="O155" s="24">
        <f>SUMIFS('Saldos Iniciales'!$D:$D,'Saldos Iniciales'!$A:$A,"EC Auto")+SUMIFS(Movimientos!$K$1:$K$1324,Movimientos!$C$1:$C$1324,"EC Auto",Movimientos!$B$1:$B$1324,"&lt;="&amp;$B155)</f>
        <v>901.34</v>
      </c>
      <c r="P155" s="24">
        <f>SUMIFS('Saldos Iniciales'!$D:$D,'Saldos Iniciales'!$A:$A,"Arbor Capital Properties")+SUMIFS(Movimientos!$K$1:$K$1324,Movimientos!$C$1:$C$1324,"Arbor Capital Properties",Movimientos!$B$1:$B$1324,"&lt;="&amp;$B155)</f>
        <v>1364.08</v>
      </c>
      <c r="Q155" s="24">
        <f>SUMIFS('Saldos Iniciales'!$D:$D,'Saldos Iniciales'!$A:$A,"2515 Overbrook")+SUMIFS(Movimientos!$K$1:$K$1324,Movimientos!$C$1:$C$1324,"2515 Overbrook",Movimientos!$B$1:$B$1324,"&lt;="&amp;$B155)</f>
        <v>20171.549999999959</v>
      </c>
      <c r="R155" s="24">
        <f>SUMIFS('Saldos Iniciales'!$D:$D,'Saldos Iniciales'!$A:$A,"112 Florida Ave")+SUMIFS(Movimientos!$K$1:$K$1324,Movimientos!$C$1:$C$1324,"112 Florida Ave",Movimientos!$B$1:$B$1324,"&lt;="&amp;$B155)</f>
        <v>13576.060000000007</v>
      </c>
      <c r="S155" s="24">
        <f>SUMIFS('Saldos Iniciales'!$D:$D,'Saldos Iniciales'!$A:$A,"3628 Thomas Ave")+SUMIFS(Movimientos!$K$1:$K$1324,Movimientos!$C$1:$C$1324,"3628 Thomas Ave",Movimientos!$B$1:$B$1324,"&lt;="&amp;$B155)</f>
        <v>16893.769999999997</v>
      </c>
      <c r="T155" s="24">
        <f>SUMIFS('Saldos Iniciales'!$D:$D,'Saldos Iniciales'!$A:$A,"Green Harbor Trust")+SUMIFS(Movimientos!$K$1:$K$1324,Movimientos!$C$1:$C$1324,"Green Harbor Trust",Movimientos!$B$1:$B$1324,"&lt;="&amp;$B155)</f>
        <v>345</v>
      </c>
      <c r="U155" s="24">
        <f>SUMIFS('Saldos Iniciales'!$D:$D,'Saldos Iniciales'!$A:$A,"Go Blue")+SUMIFS(Movimientos!$K$1:$K$1324,Movimientos!$C$1:$C$1324,"Go Blue",Movimientos!$B$1:$B$1324,"&lt;="&amp;$B155)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Aparments",Movimientos!$B$1:$B$1324,"&lt;="&amp;$B155))</f>
        <v>239523.16999999998</v>
      </c>
      <c r="AD155" s="24">
        <f>IF(YEAR($B155)*100+MONTH($B155)&lt;--SUBSTITUTE(_xlfn.XLOOKUP("Don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Life",Movimientos!$B$1:$B$1324,"&lt;="&amp;$B155))</f>
        <v>327985.82999999996</v>
      </c>
      <c r="AE155" s="25">
        <f t="shared" si="6"/>
        <v>7510753.1499999985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Group")+SUMIFS(Movimientos!$K$1:$K$1324,Movimientos!$C$1:$C$1324,"CFT Group",Movimientos!$B$1:$B$1324,"&lt;="&amp;$B156)</f>
        <v>3099831.9800000004</v>
      </c>
      <c r="D156" s="24">
        <f>SUMIFS('Saldos Iniciales'!$D:$D,'Saldos Iniciales'!$A:$A,"M1B")+SUMIFS(Movimientos!$K$1:$K$1324,Movimientos!$C$1:$C$1324,"M1B",Movimientos!$B$1:$B$1324,"&lt;="&amp;$B156)</f>
        <v>103123.59000000017</v>
      </c>
      <c r="E156" s="24">
        <f>SUMIFS('Saldos Iniciales'!$D:$D,'Saldos Iniciales'!$A:$A,"Durand")+SUMIFS(Movimientos!$K$1:$K$1324,Movimientos!$C$1:$C$1324,"Durand",Movimientos!$B$1:$B$1324,"&lt;="&amp;$B156)</f>
        <v>1669.89</v>
      </c>
      <c r="F156" s="24">
        <f>SUMIFS('Saldos Iniciales'!$D:$D,'Saldos Iniciales'!$A:$A,"A&amp;M Imports")+SUMIFS(Movimientos!$K$1:$K$1324,Movimientos!$C$1:$C$1324,"A&amp;M Imports",Movimientos!$B$1:$B$1324,"&lt;="&amp;$B156)</f>
        <v>1200526.7499999995</v>
      </c>
      <c r="G156" s="24">
        <f>SUMIFS('Saldos Iniciales'!$D:$D,'Saldos Iniciales'!$A:$A,"SSP Capital")+SUMIFS(Movimientos!$K$1:$K$1324,Movimientos!$C$1:$C$1324,"SSP Capital",Movimientos!$B$1:$B$1324,"&lt;="&amp;$B156)</f>
        <v>1586416.1199999996</v>
      </c>
      <c r="H156" s="24">
        <f>SUMIFS('Saldos Iniciales'!$D:$D,'Saldos Iniciales'!$A:$A,"Cross Family Trust")+SUMIFS(Movimientos!$K$1:$K$1324,Movimientos!$C$1:$C$1324,"Cross Family Trust",Movimientos!$B$1:$B$1324,"&lt;="&amp;$B156)</f>
        <v>208778.14</v>
      </c>
      <c r="I156" s="24">
        <f>SUMIFS('Saldos Iniciales'!$D:$D,'Saldos Iniciales'!$A:$A,"Cross Security Trust")+SUMIFS(Movimientos!$K$1:$K$1324,Movimientos!$C$1:$C$1324,"Cross Security Trust",Movimientos!$B$1:$B$1324,"&lt;="&amp;$B156)</f>
        <v>80533.579999999987</v>
      </c>
      <c r="J156" s="24">
        <f>SUMIFS('Saldos Iniciales'!$D:$D,'Saldos Iniciales'!$A:$A,"Electrama")+SUMIFS(Movimientos!$K$1:$K$1324,Movimientos!$C$1:$C$1324,"Electrama",Movimientos!$B$1:$B$1324,"&lt;="&amp;$B156)</f>
        <v>10259.18</v>
      </c>
      <c r="K156" s="24">
        <f>SUMIFS('Saldos Iniciales'!$D:$D,'Saldos Iniciales'!$A:$A,"Sacred Valley Capital")+SUMIFS(Movimientos!$K$1:$K$1324,Movimientos!$C$1:$C$1324,"Sacred Valley Capital",Movimientos!$B$1:$B$1324,"&lt;="&amp;$B156)</f>
        <v>64.55</v>
      </c>
      <c r="L156" s="24">
        <f>SUMIFS('Saldos Iniciales'!$D:$D,'Saldos Iniciales'!$A:$A,"YWC Capital")+SUMIFS(Movimientos!$K$1:$K$1324,Movimientos!$C$1:$C$1324,"YWC Capital",Movimientos!$B$1:$B$1324,"&lt;="&amp;$B156)</f>
        <v>2117.9700000000003</v>
      </c>
      <c r="M156" s="24">
        <f>SUMIFS('Saldos Iniciales'!$D:$D,'Saldos Iniciales'!$A:$A,"Soweto")+SUMIFS(Movimientos!$K$1:$K$1324,Movimientos!$C$1:$C$1324,"Soweto",Movimientos!$B$1:$B$1324,"&lt;="&amp;$B156)</f>
        <v>17895.290000000015</v>
      </c>
      <c r="N156" s="24">
        <f>SUMIFS('Saldos Iniciales'!$D:$D,'Saldos Iniciales'!$A:$A,"Green Stone Trust")+SUMIFS(Movimientos!$K$1:$K$1324,Movimientos!$C$1:$C$1324,"Green Stone Trust",Movimientos!$B$1:$B$1324,"&lt;="&amp;$B156)</f>
        <v>1968.99</v>
      </c>
      <c r="O156" s="24">
        <f>SUMIFS('Saldos Iniciales'!$D:$D,'Saldos Iniciales'!$A:$A,"EC Auto")+SUMIFS(Movimientos!$K$1:$K$1324,Movimientos!$C$1:$C$1324,"EC Auto",Movimientos!$B$1:$B$1324,"&lt;="&amp;$B156)</f>
        <v>901.34</v>
      </c>
      <c r="P156" s="24">
        <f>SUMIFS('Saldos Iniciales'!$D:$D,'Saldos Iniciales'!$A:$A,"Arbor Capital Properties")+SUMIFS(Movimientos!$K$1:$K$1324,Movimientos!$C$1:$C$1324,"Arbor Capital Properties",Movimientos!$B$1:$B$1324,"&lt;="&amp;$B156)</f>
        <v>1364.08</v>
      </c>
      <c r="Q156" s="24">
        <f>SUMIFS('Saldos Iniciales'!$D:$D,'Saldos Iniciales'!$A:$A,"2515 Overbrook")+SUMIFS(Movimientos!$K$1:$K$1324,Movimientos!$C$1:$C$1324,"2515 Overbrook",Movimientos!$B$1:$B$1324,"&lt;="&amp;$B156)</f>
        <v>20171.549999999959</v>
      </c>
      <c r="R156" s="24">
        <f>SUMIFS('Saldos Iniciales'!$D:$D,'Saldos Iniciales'!$A:$A,"112 Florida Ave")+SUMIFS(Movimientos!$K$1:$K$1324,Movimientos!$C$1:$C$1324,"112 Florida Ave",Movimientos!$B$1:$B$1324,"&lt;="&amp;$B156)</f>
        <v>13576.060000000007</v>
      </c>
      <c r="S156" s="24">
        <f>SUMIFS('Saldos Iniciales'!$D:$D,'Saldos Iniciales'!$A:$A,"3628 Thomas Ave")+SUMIFS(Movimientos!$K$1:$K$1324,Movimientos!$C$1:$C$1324,"3628 Thomas Ave",Movimientos!$B$1:$B$1324,"&lt;="&amp;$B156)</f>
        <v>16893.769999999997</v>
      </c>
      <c r="T156" s="24">
        <f>SUMIFS('Saldos Iniciales'!$D:$D,'Saldos Iniciales'!$A:$A,"Green Harbor Trust")+SUMIFS(Movimientos!$K$1:$K$1324,Movimientos!$C$1:$C$1324,"Green Harbor Trust",Movimientos!$B$1:$B$1324,"&lt;="&amp;$B156)</f>
        <v>345</v>
      </c>
      <c r="U156" s="24">
        <f>SUMIFS('Saldos Iniciales'!$D:$D,'Saldos Iniciales'!$A:$A,"Go Blue")+SUMIFS(Movimientos!$K$1:$K$1324,Movimientos!$C$1:$C$1324,"Go Blue",Movimientos!$B$1:$B$1324,"&lt;="&amp;$B156)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Aparments",Movimientos!$B$1:$B$1324,"&lt;="&amp;$B156))</f>
        <v>240473.16999999998</v>
      </c>
      <c r="AD156" s="24">
        <f>IF(YEAR($B156)*100+MONTH($B156)&lt;--SUBSTITUTE(_xlfn.XLOOKUP("Don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Life",Movimientos!$B$1:$B$1324,"&lt;="&amp;$B156))</f>
        <v>327985.82999999996</v>
      </c>
      <c r="AE156" s="25">
        <f t="shared" si="6"/>
        <v>7507247.9799999986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Group")+SUMIFS(Movimientos!$K$1:$K$1324,Movimientos!$C$1:$C$1324,"CFT Group",Movimientos!$B$1:$B$1324,"&lt;="&amp;$B157)</f>
        <v>3099831.9800000004</v>
      </c>
      <c r="D157" s="24">
        <f>SUMIFS('Saldos Iniciales'!$D:$D,'Saldos Iniciales'!$A:$A,"M1B")+SUMIFS(Movimientos!$K$1:$K$1324,Movimientos!$C$1:$C$1324,"M1B",Movimientos!$B$1:$B$1324,"&lt;="&amp;$B157)</f>
        <v>103123.59000000017</v>
      </c>
      <c r="E157" s="24">
        <f>SUMIFS('Saldos Iniciales'!$D:$D,'Saldos Iniciales'!$A:$A,"Durand")+SUMIFS(Movimientos!$K$1:$K$1324,Movimientos!$C$1:$C$1324,"Durand",Movimientos!$B$1:$B$1324,"&lt;="&amp;$B157)</f>
        <v>1669.89</v>
      </c>
      <c r="F157" s="24">
        <f>SUMIFS('Saldos Iniciales'!$D:$D,'Saldos Iniciales'!$A:$A,"A&amp;M Imports")+SUMIFS(Movimientos!$K$1:$K$1324,Movimientos!$C$1:$C$1324,"A&amp;M Imports",Movimientos!$B$1:$B$1324,"&lt;="&amp;$B157)</f>
        <v>1200526.7499999995</v>
      </c>
      <c r="G157" s="24">
        <f>SUMIFS('Saldos Iniciales'!$D:$D,'Saldos Iniciales'!$A:$A,"SSP Capital")+SUMIFS(Movimientos!$K$1:$K$1324,Movimientos!$C$1:$C$1324,"SSP Capital",Movimientos!$B$1:$B$1324,"&lt;="&amp;$B157)</f>
        <v>1586416.1199999996</v>
      </c>
      <c r="H157" s="24">
        <f>SUMIFS('Saldos Iniciales'!$D:$D,'Saldos Iniciales'!$A:$A,"Cross Family Trust")+SUMIFS(Movimientos!$K$1:$K$1324,Movimientos!$C$1:$C$1324,"Cross Family Trust",Movimientos!$B$1:$B$1324,"&lt;="&amp;$B157)</f>
        <v>208778.14</v>
      </c>
      <c r="I157" s="24">
        <f>SUMIFS('Saldos Iniciales'!$D:$D,'Saldos Iniciales'!$A:$A,"Cross Security Trust")+SUMIFS(Movimientos!$K$1:$K$1324,Movimientos!$C$1:$C$1324,"Cross Security Trust",Movimientos!$B$1:$B$1324,"&lt;="&amp;$B157)</f>
        <v>80533.579999999987</v>
      </c>
      <c r="J157" s="24">
        <f>SUMIFS('Saldos Iniciales'!$D:$D,'Saldos Iniciales'!$A:$A,"Electrama")+SUMIFS(Movimientos!$K$1:$K$1324,Movimientos!$C$1:$C$1324,"Electrama",Movimientos!$B$1:$B$1324,"&lt;="&amp;$B157)</f>
        <v>10259.18</v>
      </c>
      <c r="K157" s="24">
        <f>SUMIFS('Saldos Iniciales'!$D:$D,'Saldos Iniciales'!$A:$A,"Sacred Valley Capital")+SUMIFS(Movimientos!$K$1:$K$1324,Movimientos!$C$1:$C$1324,"Sacred Valley Capital",Movimientos!$B$1:$B$1324,"&lt;="&amp;$B157)</f>
        <v>64.55</v>
      </c>
      <c r="L157" s="24">
        <f>SUMIFS('Saldos Iniciales'!$D:$D,'Saldos Iniciales'!$A:$A,"YWC Capital")+SUMIFS(Movimientos!$K$1:$K$1324,Movimientos!$C$1:$C$1324,"YWC Capital",Movimientos!$B$1:$B$1324,"&lt;="&amp;$B157)</f>
        <v>2117.9700000000003</v>
      </c>
      <c r="M157" s="24">
        <f>SUMIFS('Saldos Iniciales'!$D:$D,'Saldos Iniciales'!$A:$A,"Soweto")+SUMIFS(Movimientos!$K$1:$K$1324,Movimientos!$C$1:$C$1324,"Soweto",Movimientos!$B$1:$B$1324,"&lt;="&amp;$B157)</f>
        <v>17895.290000000015</v>
      </c>
      <c r="N157" s="24">
        <f>SUMIFS('Saldos Iniciales'!$D:$D,'Saldos Iniciales'!$A:$A,"Green Stone Trust")+SUMIFS(Movimientos!$K$1:$K$1324,Movimientos!$C$1:$C$1324,"Green Stone Trust",Movimientos!$B$1:$B$1324,"&lt;="&amp;$B157)</f>
        <v>1968.99</v>
      </c>
      <c r="O157" s="24">
        <f>SUMIFS('Saldos Iniciales'!$D:$D,'Saldos Iniciales'!$A:$A,"EC Auto")+SUMIFS(Movimientos!$K$1:$K$1324,Movimientos!$C$1:$C$1324,"EC Auto",Movimientos!$B$1:$B$1324,"&lt;="&amp;$B157)</f>
        <v>901.34</v>
      </c>
      <c r="P157" s="24">
        <f>SUMIFS('Saldos Iniciales'!$D:$D,'Saldos Iniciales'!$A:$A,"Arbor Capital Properties")+SUMIFS(Movimientos!$K$1:$K$1324,Movimientos!$C$1:$C$1324,"Arbor Capital Properties",Movimientos!$B$1:$B$1324,"&lt;="&amp;$B157)</f>
        <v>1364.08</v>
      </c>
      <c r="Q157" s="24">
        <f>SUMIFS('Saldos Iniciales'!$D:$D,'Saldos Iniciales'!$A:$A,"2515 Overbrook")+SUMIFS(Movimientos!$K$1:$K$1324,Movimientos!$C$1:$C$1324,"2515 Overbrook",Movimientos!$B$1:$B$1324,"&lt;="&amp;$B157)</f>
        <v>20171.549999999959</v>
      </c>
      <c r="R157" s="24">
        <f>SUMIFS('Saldos Iniciales'!$D:$D,'Saldos Iniciales'!$A:$A,"112 Florida Ave")+SUMIFS(Movimientos!$K$1:$K$1324,Movimientos!$C$1:$C$1324,"112 Florida Ave",Movimientos!$B$1:$B$1324,"&lt;="&amp;$B157)</f>
        <v>13576.060000000007</v>
      </c>
      <c r="S157" s="24">
        <f>SUMIFS('Saldos Iniciales'!$D:$D,'Saldos Iniciales'!$A:$A,"3628 Thomas Ave")+SUMIFS(Movimientos!$K$1:$K$1324,Movimientos!$C$1:$C$1324,"3628 Thomas Ave",Movimientos!$B$1:$B$1324,"&lt;="&amp;$B157)</f>
        <v>16893.769999999997</v>
      </c>
      <c r="T157" s="24">
        <f>SUMIFS('Saldos Iniciales'!$D:$D,'Saldos Iniciales'!$A:$A,"Green Harbor Trust")+SUMIFS(Movimientos!$K$1:$K$1324,Movimientos!$C$1:$C$1324,"Green Harbor Trust",Movimientos!$B$1:$B$1324,"&lt;="&amp;$B157)</f>
        <v>345</v>
      </c>
      <c r="U157" s="24">
        <f>SUMIFS('Saldos Iniciales'!$D:$D,'Saldos Iniciales'!$A:$A,"Go Blue")+SUMIFS(Movimientos!$K$1:$K$1324,Movimientos!$C$1:$C$1324,"Go Blue",Movimientos!$B$1:$B$1324,"&lt;="&amp;$B157)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Aparments",Movimientos!$B$1:$B$1324,"&lt;="&amp;$B157))</f>
        <v>240473.16999999998</v>
      </c>
      <c r="AD157" s="24">
        <f>IF(YEAR($B157)*100+MONTH($B157)&lt;--SUBSTITUTE(_xlfn.XLOOKUP("Don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Life",Movimientos!$B$1:$B$1324,"&lt;="&amp;$B157))</f>
        <v>327985.82999999996</v>
      </c>
      <c r="AE157" s="25">
        <f t="shared" si="6"/>
        <v>7507247.9799999986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Group")+SUMIFS(Movimientos!$K$1:$K$1324,Movimientos!$C$1:$C$1324,"CFT Group",Movimientos!$B$1:$B$1324,"&lt;="&amp;$B158)</f>
        <v>3099831.9800000004</v>
      </c>
      <c r="D158" s="24">
        <f>SUMIFS('Saldos Iniciales'!$D:$D,'Saldos Iniciales'!$A:$A,"M1B")+SUMIFS(Movimientos!$K$1:$K$1324,Movimientos!$C$1:$C$1324,"M1B",Movimientos!$B$1:$B$1324,"&lt;="&amp;$B158)</f>
        <v>103123.59000000017</v>
      </c>
      <c r="E158" s="24">
        <f>SUMIFS('Saldos Iniciales'!$D:$D,'Saldos Iniciales'!$A:$A,"Durand")+SUMIFS(Movimientos!$K$1:$K$1324,Movimientos!$C$1:$C$1324,"Durand",Movimientos!$B$1:$B$1324,"&lt;="&amp;$B158)</f>
        <v>1669.89</v>
      </c>
      <c r="F158" s="24">
        <f>SUMIFS('Saldos Iniciales'!$D:$D,'Saldos Iniciales'!$A:$A,"A&amp;M Imports")+SUMIFS(Movimientos!$K$1:$K$1324,Movimientos!$C$1:$C$1324,"A&amp;M Imports",Movimientos!$B$1:$B$1324,"&lt;="&amp;$B158)</f>
        <v>1200526.7499999995</v>
      </c>
      <c r="G158" s="24">
        <f>SUMIFS('Saldos Iniciales'!$D:$D,'Saldos Iniciales'!$A:$A,"SSP Capital")+SUMIFS(Movimientos!$K$1:$K$1324,Movimientos!$C$1:$C$1324,"SSP Capital",Movimientos!$B$1:$B$1324,"&lt;="&amp;$B158)</f>
        <v>1586416.1199999996</v>
      </c>
      <c r="H158" s="24">
        <f>SUMIFS('Saldos Iniciales'!$D:$D,'Saldos Iniciales'!$A:$A,"Cross Family Trust")+SUMIFS(Movimientos!$K$1:$K$1324,Movimientos!$C$1:$C$1324,"Cross Family Trust",Movimientos!$B$1:$B$1324,"&lt;="&amp;$B158)</f>
        <v>208778.14</v>
      </c>
      <c r="I158" s="24">
        <f>SUMIFS('Saldos Iniciales'!$D:$D,'Saldos Iniciales'!$A:$A,"Cross Security Trust")+SUMIFS(Movimientos!$K$1:$K$1324,Movimientos!$C$1:$C$1324,"Cross Security Trust",Movimientos!$B$1:$B$1324,"&lt;="&amp;$B158)</f>
        <v>80533.579999999987</v>
      </c>
      <c r="J158" s="24">
        <f>SUMIFS('Saldos Iniciales'!$D:$D,'Saldos Iniciales'!$A:$A,"Electrama")+SUMIFS(Movimientos!$K$1:$K$1324,Movimientos!$C$1:$C$1324,"Electrama",Movimientos!$B$1:$B$1324,"&lt;="&amp;$B158)</f>
        <v>10259.18</v>
      </c>
      <c r="K158" s="24">
        <f>SUMIFS('Saldos Iniciales'!$D:$D,'Saldos Iniciales'!$A:$A,"Sacred Valley Capital")+SUMIFS(Movimientos!$K$1:$K$1324,Movimientos!$C$1:$C$1324,"Sacred Valley Capital",Movimientos!$B$1:$B$1324,"&lt;="&amp;$B158)</f>
        <v>64.55</v>
      </c>
      <c r="L158" s="24">
        <f>SUMIFS('Saldos Iniciales'!$D:$D,'Saldos Iniciales'!$A:$A,"YWC Capital")+SUMIFS(Movimientos!$K$1:$K$1324,Movimientos!$C$1:$C$1324,"YWC Capital",Movimientos!$B$1:$B$1324,"&lt;="&amp;$B158)</f>
        <v>2117.9700000000003</v>
      </c>
      <c r="M158" s="24">
        <f>SUMIFS('Saldos Iniciales'!$D:$D,'Saldos Iniciales'!$A:$A,"Soweto")+SUMIFS(Movimientos!$K$1:$K$1324,Movimientos!$C$1:$C$1324,"Soweto",Movimientos!$B$1:$B$1324,"&lt;="&amp;$B158)</f>
        <v>17895.290000000015</v>
      </c>
      <c r="N158" s="24">
        <f>SUMIFS('Saldos Iniciales'!$D:$D,'Saldos Iniciales'!$A:$A,"Green Stone Trust")+SUMIFS(Movimientos!$K$1:$K$1324,Movimientos!$C$1:$C$1324,"Green Stone Trust",Movimientos!$B$1:$B$1324,"&lt;="&amp;$B158)</f>
        <v>1968.99</v>
      </c>
      <c r="O158" s="24">
        <f>SUMIFS('Saldos Iniciales'!$D:$D,'Saldos Iniciales'!$A:$A,"EC Auto")+SUMIFS(Movimientos!$K$1:$K$1324,Movimientos!$C$1:$C$1324,"EC Auto",Movimientos!$B$1:$B$1324,"&lt;="&amp;$B158)</f>
        <v>901.34</v>
      </c>
      <c r="P158" s="24">
        <f>SUMIFS('Saldos Iniciales'!$D:$D,'Saldos Iniciales'!$A:$A,"Arbor Capital Properties")+SUMIFS(Movimientos!$K$1:$K$1324,Movimientos!$C$1:$C$1324,"Arbor Capital Properties",Movimientos!$B$1:$B$1324,"&lt;="&amp;$B158)</f>
        <v>1364.08</v>
      </c>
      <c r="Q158" s="24">
        <f>SUMIFS('Saldos Iniciales'!$D:$D,'Saldos Iniciales'!$A:$A,"2515 Overbrook")+SUMIFS(Movimientos!$K$1:$K$1324,Movimientos!$C$1:$C$1324,"2515 Overbrook",Movimientos!$B$1:$B$1324,"&lt;="&amp;$B158)</f>
        <v>20171.549999999959</v>
      </c>
      <c r="R158" s="24">
        <f>SUMIFS('Saldos Iniciales'!$D:$D,'Saldos Iniciales'!$A:$A,"112 Florida Ave")+SUMIFS(Movimientos!$K$1:$K$1324,Movimientos!$C$1:$C$1324,"112 Florida Ave",Movimientos!$B$1:$B$1324,"&lt;="&amp;$B158)</f>
        <v>13576.060000000007</v>
      </c>
      <c r="S158" s="24">
        <f>SUMIFS('Saldos Iniciales'!$D:$D,'Saldos Iniciales'!$A:$A,"3628 Thomas Ave")+SUMIFS(Movimientos!$K$1:$K$1324,Movimientos!$C$1:$C$1324,"3628 Thomas Ave",Movimientos!$B$1:$B$1324,"&lt;="&amp;$B158)</f>
        <v>16893.769999999997</v>
      </c>
      <c r="T158" s="24">
        <f>SUMIFS('Saldos Iniciales'!$D:$D,'Saldos Iniciales'!$A:$A,"Green Harbor Trust")+SUMIFS(Movimientos!$K$1:$K$1324,Movimientos!$C$1:$C$1324,"Green Harbor Trust",Movimientos!$B$1:$B$1324,"&lt;="&amp;$B158)</f>
        <v>345</v>
      </c>
      <c r="U158" s="24">
        <f>SUMIFS('Saldos Iniciales'!$D:$D,'Saldos Iniciales'!$A:$A,"Go Blue")+SUMIFS(Movimientos!$K$1:$K$1324,Movimientos!$C$1:$C$1324,"Go Blue",Movimientos!$B$1:$B$1324,"&lt;="&amp;$B158)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Aparments",Movimientos!$B$1:$B$1324,"&lt;="&amp;$B158))</f>
        <v>240473.16999999998</v>
      </c>
      <c r="AD158" s="24">
        <f>IF(YEAR($B158)*100+MONTH($B158)&lt;--SUBSTITUTE(_xlfn.XLOOKUP("Don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Life",Movimientos!$B$1:$B$1324,"&lt;="&amp;$B158))</f>
        <v>327985.82999999996</v>
      </c>
      <c r="AE158" s="25">
        <f t="shared" si="6"/>
        <v>7507247.9799999986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Group")+SUMIFS(Movimientos!$K$1:$K$1324,Movimientos!$C$1:$C$1324,"CFT Group",Movimientos!$B$1:$B$1324,"&lt;="&amp;$B159)</f>
        <v>3099831.9800000004</v>
      </c>
      <c r="D159" s="24">
        <f>SUMIFS('Saldos Iniciales'!$D:$D,'Saldos Iniciales'!$A:$A,"M1B")+SUMIFS(Movimientos!$K$1:$K$1324,Movimientos!$C$1:$C$1324,"M1B",Movimientos!$B$1:$B$1324,"&lt;="&amp;$B159)</f>
        <v>103123.59000000017</v>
      </c>
      <c r="E159" s="24">
        <f>SUMIFS('Saldos Iniciales'!$D:$D,'Saldos Iniciales'!$A:$A,"Durand")+SUMIFS(Movimientos!$K$1:$K$1324,Movimientos!$C$1:$C$1324,"Durand",Movimientos!$B$1:$B$1324,"&lt;="&amp;$B159)</f>
        <v>1669.89</v>
      </c>
      <c r="F159" s="24">
        <f>SUMIFS('Saldos Iniciales'!$D:$D,'Saldos Iniciales'!$A:$A,"A&amp;M Imports")+SUMIFS(Movimientos!$K$1:$K$1324,Movimientos!$C$1:$C$1324,"A&amp;M Imports",Movimientos!$B$1:$B$1324,"&lt;="&amp;$B159)</f>
        <v>1200526.7499999995</v>
      </c>
      <c r="G159" s="24">
        <f>SUMIFS('Saldos Iniciales'!$D:$D,'Saldos Iniciales'!$A:$A,"SSP Capital")+SUMIFS(Movimientos!$K$1:$K$1324,Movimientos!$C$1:$C$1324,"SSP Capital",Movimientos!$B$1:$B$1324,"&lt;="&amp;$B159)</f>
        <v>1585767.3599999994</v>
      </c>
      <c r="H159" s="24">
        <f>SUMIFS('Saldos Iniciales'!$D:$D,'Saldos Iniciales'!$A:$A,"Cross Family Trust")+SUMIFS(Movimientos!$K$1:$K$1324,Movimientos!$C$1:$C$1324,"Cross Family Trust",Movimientos!$B$1:$B$1324,"&lt;="&amp;$B159)</f>
        <v>181778.14</v>
      </c>
      <c r="I159" s="24">
        <f>SUMIFS('Saldos Iniciales'!$D:$D,'Saldos Iniciales'!$A:$A,"Cross Security Trust")+SUMIFS(Movimientos!$K$1:$K$1324,Movimientos!$C$1:$C$1324,"Cross Security Trust",Movimientos!$B$1:$B$1324,"&lt;="&amp;$B159)</f>
        <v>80533.579999999987</v>
      </c>
      <c r="J159" s="24">
        <f>SUMIFS('Saldos Iniciales'!$D:$D,'Saldos Iniciales'!$A:$A,"Electrama")+SUMIFS(Movimientos!$K$1:$K$1324,Movimientos!$C$1:$C$1324,"Electrama",Movimientos!$B$1:$B$1324,"&lt;="&amp;$B159)</f>
        <v>10259.18</v>
      </c>
      <c r="K159" s="24">
        <f>SUMIFS('Saldos Iniciales'!$D:$D,'Saldos Iniciales'!$A:$A,"Sacred Valley Capital")+SUMIFS(Movimientos!$K$1:$K$1324,Movimientos!$C$1:$C$1324,"Sacred Valley Capital",Movimientos!$B$1:$B$1324,"&lt;="&amp;$B159)</f>
        <v>64.55</v>
      </c>
      <c r="L159" s="24">
        <f>SUMIFS('Saldos Iniciales'!$D:$D,'Saldos Iniciales'!$A:$A,"YWC Capital")+SUMIFS(Movimientos!$K$1:$K$1324,Movimientos!$C$1:$C$1324,"YWC Capital",Movimientos!$B$1:$B$1324,"&lt;="&amp;$B159)</f>
        <v>2117.9700000000003</v>
      </c>
      <c r="M159" s="24">
        <f>SUMIFS('Saldos Iniciales'!$D:$D,'Saldos Iniciales'!$A:$A,"Soweto")+SUMIFS(Movimientos!$K$1:$K$1324,Movimientos!$C$1:$C$1324,"Soweto",Movimientos!$B$1:$B$1324,"&lt;="&amp;$B159)</f>
        <v>17895.290000000015</v>
      </c>
      <c r="N159" s="24">
        <f>SUMIFS('Saldos Iniciales'!$D:$D,'Saldos Iniciales'!$A:$A,"Green Stone Trust")+SUMIFS(Movimientos!$K$1:$K$1324,Movimientos!$C$1:$C$1324,"Green Stone Trust",Movimientos!$B$1:$B$1324,"&lt;="&amp;$B159)</f>
        <v>1968.99</v>
      </c>
      <c r="O159" s="24">
        <f>SUMIFS('Saldos Iniciales'!$D:$D,'Saldos Iniciales'!$A:$A,"EC Auto")+SUMIFS(Movimientos!$K$1:$K$1324,Movimientos!$C$1:$C$1324,"EC Auto",Movimientos!$B$1:$B$1324,"&lt;="&amp;$B159)</f>
        <v>901.34</v>
      </c>
      <c r="P159" s="24">
        <f>SUMIFS('Saldos Iniciales'!$D:$D,'Saldos Iniciales'!$A:$A,"Arbor Capital Properties")+SUMIFS(Movimientos!$K$1:$K$1324,Movimientos!$C$1:$C$1324,"Arbor Capital Properties",Movimientos!$B$1:$B$1324,"&lt;="&amp;$B159)</f>
        <v>1364.08</v>
      </c>
      <c r="Q159" s="24">
        <f>SUMIFS('Saldos Iniciales'!$D:$D,'Saldos Iniciales'!$A:$A,"2515 Overbrook")+SUMIFS(Movimientos!$K$1:$K$1324,Movimientos!$C$1:$C$1324,"2515 Overbrook",Movimientos!$B$1:$B$1324,"&lt;="&amp;$B159)</f>
        <v>20171.549999999959</v>
      </c>
      <c r="R159" s="24">
        <f>SUMIFS('Saldos Iniciales'!$D:$D,'Saldos Iniciales'!$A:$A,"112 Florida Ave")+SUMIFS(Movimientos!$K$1:$K$1324,Movimientos!$C$1:$C$1324,"112 Florida Ave",Movimientos!$B$1:$B$1324,"&lt;="&amp;$B159)</f>
        <v>13576.060000000007</v>
      </c>
      <c r="S159" s="24">
        <f>SUMIFS('Saldos Iniciales'!$D:$D,'Saldos Iniciales'!$A:$A,"3628 Thomas Ave")+SUMIFS(Movimientos!$K$1:$K$1324,Movimientos!$C$1:$C$1324,"3628 Thomas Ave",Movimientos!$B$1:$B$1324,"&lt;="&amp;$B159)</f>
        <v>16893.769999999997</v>
      </c>
      <c r="T159" s="24">
        <f>SUMIFS('Saldos Iniciales'!$D:$D,'Saldos Iniciales'!$A:$A,"Green Harbor Trust")+SUMIFS(Movimientos!$K$1:$K$1324,Movimientos!$C$1:$C$1324,"Green Harbor Trust",Movimientos!$B$1:$B$1324,"&lt;="&amp;$B159)</f>
        <v>345</v>
      </c>
      <c r="U159" s="24">
        <f>SUMIFS('Saldos Iniciales'!$D:$D,'Saldos Iniciales'!$A:$A,"Go Blue")+SUMIFS(Movimientos!$K$1:$K$1324,Movimientos!$C$1:$C$1324,"Go Blue",Movimientos!$B$1:$B$1324,"&lt;="&amp;$B159)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Aparments",Movimientos!$B$1:$B$1324,"&lt;="&amp;$B159))</f>
        <v>240473.16999999998</v>
      </c>
      <c r="AD159" s="24">
        <f>IF(YEAR($B159)*100+MONTH($B159)&lt;--SUBSTITUTE(_xlfn.XLOOKUP("Don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Life",Movimientos!$B$1:$B$1324,"&lt;="&amp;$B159))</f>
        <v>327985.82999999996</v>
      </c>
      <c r="AE159" s="25">
        <f t="shared" si="6"/>
        <v>7477192.4499999983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Group")+SUMIFS(Movimientos!$K$1:$K$1324,Movimientos!$C$1:$C$1324,"CFT Group",Movimientos!$B$1:$B$1324,"&lt;="&amp;$B160)</f>
        <v>3099831.9800000004</v>
      </c>
      <c r="D160" s="24">
        <f>SUMIFS('Saldos Iniciales'!$D:$D,'Saldos Iniciales'!$A:$A,"M1B")+SUMIFS(Movimientos!$K$1:$K$1324,Movimientos!$C$1:$C$1324,"M1B",Movimientos!$B$1:$B$1324,"&lt;="&amp;$B160)</f>
        <v>103123.59000000017</v>
      </c>
      <c r="E160" s="24">
        <f>SUMIFS('Saldos Iniciales'!$D:$D,'Saldos Iniciales'!$A:$A,"Durand")+SUMIFS(Movimientos!$K$1:$K$1324,Movimientos!$C$1:$C$1324,"Durand",Movimientos!$B$1:$B$1324,"&lt;="&amp;$B160)</f>
        <v>1669.89</v>
      </c>
      <c r="F160" s="24">
        <f>SUMIFS('Saldos Iniciales'!$D:$D,'Saldos Iniciales'!$A:$A,"A&amp;M Imports")+SUMIFS(Movimientos!$K$1:$K$1324,Movimientos!$C$1:$C$1324,"A&amp;M Imports",Movimientos!$B$1:$B$1324,"&lt;="&amp;$B160)</f>
        <v>1200526.7499999995</v>
      </c>
      <c r="G160" s="24">
        <f>SUMIFS('Saldos Iniciales'!$D:$D,'Saldos Iniciales'!$A:$A,"SSP Capital")+SUMIFS(Movimientos!$K$1:$K$1324,Movimientos!$C$1:$C$1324,"SSP Capital",Movimientos!$B$1:$B$1324,"&lt;="&amp;$B160)</f>
        <v>1585767.3599999994</v>
      </c>
      <c r="H160" s="24">
        <f>SUMIFS('Saldos Iniciales'!$D:$D,'Saldos Iniciales'!$A:$A,"Cross Family Trust")+SUMIFS(Movimientos!$K$1:$K$1324,Movimientos!$C$1:$C$1324,"Cross Family Trust",Movimientos!$B$1:$B$1324,"&lt;="&amp;$B160)</f>
        <v>181778.14</v>
      </c>
      <c r="I160" s="24">
        <f>SUMIFS('Saldos Iniciales'!$D:$D,'Saldos Iniciales'!$A:$A,"Cross Security Trust")+SUMIFS(Movimientos!$K$1:$K$1324,Movimientos!$C$1:$C$1324,"Cross Security Trust",Movimientos!$B$1:$B$1324,"&lt;="&amp;$B160)</f>
        <v>80533.579999999987</v>
      </c>
      <c r="J160" s="24">
        <f>SUMIFS('Saldos Iniciales'!$D:$D,'Saldos Iniciales'!$A:$A,"Electrama")+SUMIFS(Movimientos!$K$1:$K$1324,Movimientos!$C$1:$C$1324,"Electrama",Movimientos!$B$1:$B$1324,"&lt;="&amp;$B160)</f>
        <v>10259.18</v>
      </c>
      <c r="K160" s="24">
        <f>SUMIFS('Saldos Iniciales'!$D:$D,'Saldos Iniciales'!$A:$A,"Sacred Valley Capital")+SUMIFS(Movimientos!$K$1:$K$1324,Movimientos!$C$1:$C$1324,"Sacred Valley Capital",Movimientos!$B$1:$B$1324,"&lt;="&amp;$B160)</f>
        <v>64.55</v>
      </c>
      <c r="L160" s="24">
        <f>SUMIFS('Saldos Iniciales'!$D:$D,'Saldos Iniciales'!$A:$A,"YWC Capital")+SUMIFS(Movimientos!$K$1:$K$1324,Movimientos!$C$1:$C$1324,"YWC Capital",Movimientos!$B$1:$B$1324,"&lt;="&amp;$B160)</f>
        <v>2117.9700000000003</v>
      </c>
      <c r="M160" s="24">
        <f>SUMIFS('Saldos Iniciales'!$D:$D,'Saldos Iniciales'!$A:$A,"Soweto")+SUMIFS(Movimientos!$K$1:$K$1324,Movimientos!$C$1:$C$1324,"Soweto",Movimientos!$B$1:$B$1324,"&lt;="&amp;$B160)</f>
        <v>17895.290000000015</v>
      </c>
      <c r="N160" s="24">
        <f>SUMIFS('Saldos Iniciales'!$D:$D,'Saldos Iniciales'!$A:$A,"Green Stone Trust")+SUMIFS(Movimientos!$K$1:$K$1324,Movimientos!$C$1:$C$1324,"Green Stone Trust",Movimientos!$B$1:$B$1324,"&lt;="&amp;$B160)</f>
        <v>1968.99</v>
      </c>
      <c r="O160" s="24">
        <f>SUMIFS('Saldos Iniciales'!$D:$D,'Saldos Iniciales'!$A:$A,"EC Auto")+SUMIFS(Movimientos!$K$1:$K$1324,Movimientos!$C$1:$C$1324,"EC Auto",Movimientos!$B$1:$B$1324,"&lt;="&amp;$B160)</f>
        <v>901.34</v>
      </c>
      <c r="P160" s="24">
        <f>SUMIFS('Saldos Iniciales'!$D:$D,'Saldos Iniciales'!$A:$A,"Arbor Capital Properties")+SUMIFS(Movimientos!$K$1:$K$1324,Movimientos!$C$1:$C$1324,"Arbor Capital Properties",Movimientos!$B$1:$B$1324,"&lt;="&amp;$B160)</f>
        <v>1364.08</v>
      </c>
      <c r="Q160" s="24">
        <f>SUMIFS('Saldos Iniciales'!$D:$D,'Saldos Iniciales'!$A:$A,"2515 Overbrook")+SUMIFS(Movimientos!$K$1:$K$1324,Movimientos!$C$1:$C$1324,"2515 Overbrook",Movimientos!$B$1:$B$1324,"&lt;="&amp;$B160)</f>
        <v>20171.549999999959</v>
      </c>
      <c r="R160" s="24">
        <f>SUMIFS('Saldos Iniciales'!$D:$D,'Saldos Iniciales'!$A:$A,"112 Florida Ave")+SUMIFS(Movimientos!$K$1:$K$1324,Movimientos!$C$1:$C$1324,"112 Florida Ave",Movimientos!$B$1:$B$1324,"&lt;="&amp;$B160)</f>
        <v>13576.060000000007</v>
      </c>
      <c r="S160" s="24">
        <f>SUMIFS('Saldos Iniciales'!$D:$D,'Saldos Iniciales'!$A:$A,"3628 Thomas Ave")+SUMIFS(Movimientos!$K$1:$K$1324,Movimientos!$C$1:$C$1324,"3628 Thomas Ave",Movimientos!$B$1:$B$1324,"&lt;="&amp;$B160)</f>
        <v>16893.769999999997</v>
      </c>
      <c r="T160" s="24">
        <f>SUMIFS('Saldos Iniciales'!$D:$D,'Saldos Iniciales'!$A:$A,"Green Harbor Trust")+SUMIFS(Movimientos!$K$1:$K$1324,Movimientos!$C$1:$C$1324,"Green Harbor Trust",Movimientos!$B$1:$B$1324,"&lt;="&amp;$B160)</f>
        <v>345</v>
      </c>
      <c r="U160" s="24">
        <f>SUMIFS('Saldos Iniciales'!$D:$D,'Saldos Iniciales'!$A:$A,"Go Blue")+SUMIFS(Movimientos!$K$1:$K$1324,Movimientos!$C$1:$C$1324,"Go Blue",Movimientos!$B$1:$B$1324,"&lt;="&amp;$B160)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Aparments",Movimientos!$B$1:$B$1324,"&lt;="&amp;$B160))</f>
        <v>240473.16999999998</v>
      </c>
      <c r="AD160" s="24">
        <f>IF(YEAR($B160)*100+MONTH($B160)&lt;--SUBSTITUTE(_xlfn.XLOOKUP("Don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Life",Movimientos!$B$1:$B$1324,"&lt;="&amp;$B160))</f>
        <v>327985.82999999996</v>
      </c>
      <c r="AE160" s="25">
        <f t="shared" si="6"/>
        <v>7466861.3399999989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Group")+SUMIFS(Movimientos!$K$1:$K$1324,Movimientos!$C$1:$C$1324,"CFT Group",Movimientos!$B$1:$B$1324,"&lt;="&amp;$B161)</f>
        <v>2834671.5400000005</v>
      </c>
      <c r="D161" s="24">
        <f>SUMIFS('Saldos Iniciales'!$D:$D,'Saldos Iniciales'!$A:$A,"M1B")+SUMIFS(Movimientos!$K$1:$K$1324,Movimientos!$C$1:$C$1324,"M1B",Movimientos!$B$1:$B$1324,"&lt;="&amp;$B161)</f>
        <v>103123.59000000017</v>
      </c>
      <c r="E161" s="24">
        <f>SUMIFS('Saldos Iniciales'!$D:$D,'Saldos Iniciales'!$A:$A,"Durand")+SUMIFS(Movimientos!$K$1:$K$1324,Movimientos!$C$1:$C$1324,"Durand",Movimientos!$B$1:$B$1324,"&lt;="&amp;$B161)</f>
        <v>1669.89</v>
      </c>
      <c r="F161" s="24">
        <f>SUMIFS('Saldos Iniciales'!$D:$D,'Saldos Iniciales'!$A:$A,"A&amp;M Imports")+SUMIFS(Movimientos!$K$1:$K$1324,Movimientos!$C$1:$C$1324,"A&amp;M Imports",Movimientos!$B$1:$B$1324,"&lt;="&amp;$B161)</f>
        <v>1026832.7999999996</v>
      </c>
      <c r="G161" s="24">
        <f>SUMIFS('Saldos Iniciales'!$D:$D,'Saldos Iniciales'!$A:$A,"SSP Capital")+SUMIFS(Movimientos!$K$1:$K$1324,Movimientos!$C$1:$C$1324,"SSP Capital",Movimientos!$B$1:$B$1324,"&lt;="&amp;$B161)</f>
        <v>1380670.9099999995</v>
      </c>
      <c r="H161" s="24">
        <f>SUMIFS('Saldos Iniciales'!$D:$D,'Saldos Iniciales'!$A:$A,"Cross Family Trust")+SUMIFS(Movimientos!$K$1:$K$1324,Movimientos!$C$1:$C$1324,"Cross Family Trust",Movimientos!$B$1:$B$1324,"&lt;="&amp;$B161)</f>
        <v>181778.14</v>
      </c>
      <c r="I161" s="24">
        <f>SUMIFS('Saldos Iniciales'!$D:$D,'Saldos Iniciales'!$A:$A,"Cross Security Trust")+SUMIFS(Movimientos!$K$1:$K$1324,Movimientos!$C$1:$C$1324,"Cross Security Trust",Movimientos!$B$1:$B$1324,"&lt;="&amp;$B161)</f>
        <v>80533.579999999987</v>
      </c>
      <c r="J161" s="24">
        <f>SUMIFS('Saldos Iniciales'!$D:$D,'Saldos Iniciales'!$A:$A,"Electrama")+SUMIFS(Movimientos!$K$1:$K$1324,Movimientos!$C$1:$C$1324,"Electrama",Movimientos!$B$1:$B$1324,"&lt;="&amp;$B161)</f>
        <v>10259.18</v>
      </c>
      <c r="K161" s="24">
        <f>SUMIFS('Saldos Iniciales'!$D:$D,'Saldos Iniciales'!$A:$A,"Sacred Valley Capital")+SUMIFS(Movimientos!$K$1:$K$1324,Movimientos!$C$1:$C$1324,"Sacred Valley Capital",Movimientos!$B$1:$B$1324,"&lt;="&amp;$B161)</f>
        <v>64.55</v>
      </c>
      <c r="L161" s="24">
        <f>SUMIFS('Saldos Iniciales'!$D:$D,'Saldos Iniciales'!$A:$A,"YWC Capital")+SUMIFS(Movimientos!$K$1:$K$1324,Movimientos!$C$1:$C$1324,"YWC Capital",Movimientos!$B$1:$B$1324,"&lt;="&amp;$B161)</f>
        <v>2117.9700000000003</v>
      </c>
      <c r="M161" s="24">
        <f>SUMIFS('Saldos Iniciales'!$D:$D,'Saldos Iniciales'!$A:$A,"Soweto")+SUMIFS(Movimientos!$K$1:$K$1324,Movimientos!$C$1:$C$1324,"Soweto",Movimientos!$B$1:$B$1324,"&lt;="&amp;$B161)</f>
        <v>17895.290000000015</v>
      </c>
      <c r="N161" s="24">
        <f>SUMIFS('Saldos Iniciales'!$D:$D,'Saldos Iniciales'!$A:$A,"Green Stone Trust")+SUMIFS(Movimientos!$K$1:$K$1324,Movimientos!$C$1:$C$1324,"Green Stone Trust",Movimientos!$B$1:$B$1324,"&lt;="&amp;$B161)</f>
        <v>1968.99</v>
      </c>
      <c r="O161" s="24">
        <f>SUMIFS('Saldos Iniciales'!$D:$D,'Saldos Iniciales'!$A:$A,"EC Auto")+SUMIFS(Movimientos!$K$1:$K$1324,Movimientos!$C$1:$C$1324,"EC Auto",Movimientos!$B$1:$B$1324,"&lt;="&amp;$B161)</f>
        <v>901.34</v>
      </c>
      <c r="P161" s="24">
        <f>SUMIFS('Saldos Iniciales'!$D:$D,'Saldos Iniciales'!$A:$A,"Arbor Capital Properties")+SUMIFS(Movimientos!$K$1:$K$1324,Movimientos!$C$1:$C$1324,"Arbor Capital Properties",Movimientos!$B$1:$B$1324,"&lt;="&amp;$B161)</f>
        <v>1364.08</v>
      </c>
      <c r="Q161" s="24">
        <f>SUMIFS('Saldos Iniciales'!$D:$D,'Saldos Iniciales'!$A:$A,"2515 Overbrook")+SUMIFS(Movimientos!$K$1:$K$1324,Movimientos!$C$1:$C$1324,"2515 Overbrook",Movimientos!$B$1:$B$1324,"&lt;="&amp;$B161)</f>
        <v>20171.549999999959</v>
      </c>
      <c r="R161" s="24">
        <f>SUMIFS('Saldos Iniciales'!$D:$D,'Saldos Iniciales'!$A:$A,"112 Florida Ave")+SUMIFS(Movimientos!$K$1:$K$1324,Movimientos!$C$1:$C$1324,"112 Florida Ave",Movimientos!$B$1:$B$1324,"&lt;="&amp;$B161)</f>
        <v>13576.060000000007</v>
      </c>
      <c r="S161" s="24">
        <f>SUMIFS('Saldos Iniciales'!$D:$D,'Saldos Iniciales'!$A:$A,"3628 Thomas Ave")+SUMIFS(Movimientos!$K$1:$K$1324,Movimientos!$C$1:$C$1324,"3628 Thomas Ave",Movimientos!$B$1:$B$1324,"&lt;="&amp;$B161)</f>
        <v>16893.769999999997</v>
      </c>
      <c r="T161" s="24">
        <f>SUMIFS('Saldos Iniciales'!$D:$D,'Saldos Iniciales'!$A:$A,"Green Harbor Trust")+SUMIFS(Movimientos!$K$1:$K$1324,Movimientos!$C$1:$C$1324,"Green Harbor Trust",Movimientos!$B$1:$B$1324,"&lt;="&amp;$B161)</f>
        <v>345</v>
      </c>
      <c r="U161" s="24">
        <f>SUMIFS('Saldos Iniciales'!$D:$D,'Saldos Iniciales'!$A:$A,"Go Blue")+SUMIFS(Movimientos!$K$1:$K$1324,Movimientos!$C$1:$C$1324,"Go Blue",Movimientos!$B$1:$B$1324,"&lt;="&amp;$B161)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Aparments",Movimientos!$B$1:$B$1324,"&lt;="&amp;$B161))</f>
        <v>240473.16999999998</v>
      </c>
      <c r="AD161" s="24">
        <f>IF(YEAR($B161)*100+MONTH($B161)&lt;--SUBSTITUTE(_xlfn.XLOOKUP("Don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Life",Movimientos!$B$1:$B$1324,"&lt;="&amp;$B161))</f>
        <v>351319.16</v>
      </c>
      <c r="AE161" s="25">
        <f t="shared" ref="AE161:AE192" si="7">SUM(C161:AD161)</f>
        <v>6846084.4699999969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Group")+SUMIFS(Movimientos!$K$1:$K$1324,Movimientos!$C$1:$C$1324,"CFT Group",Movimientos!$B$1:$B$1324,"&lt;="&amp;$B162)</f>
        <v>2834671.5400000005</v>
      </c>
      <c r="D162" s="24">
        <f>SUMIFS('Saldos Iniciales'!$D:$D,'Saldos Iniciales'!$A:$A,"M1B")+SUMIFS(Movimientos!$K$1:$K$1324,Movimientos!$C$1:$C$1324,"M1B",Movimientos!$B$1:$B$1324,"&lt;="&amp;$B162)</f>
        <v>103123.59000000017</v>
      </c>
      <c r="E162" s="24">
        <f>SUMIFS('Saldos Iniciales'!$D:$D,'Saldos Iniciales'!$A:$A,"Durand")+SUMIFS(Movimientos!$K$1:$K$1324,Movimientos!$C$1:$C$1324,"Durand",Movimientos!$B$1:$B$1324,"&lt;="&amp;$B162)</f>
        <v>1669.89</v>
      </c>
      <c r="F162" s="24">
        <f>SUMIFS('Saldos Iniciales'!$D:$D,'Saldos Iniciales'!$A:$A,"A&amp;M Imports")+SUMIFS(Movimientos!$K$1:$K$1324,Movimientos!$C$1:$C$1324,"A&amp;M Imports",Movimientos!$B$1:$B$1324,"&lt;="&amp;$B162)</f>
        <v>1026832.7999999996</v>
      </c>
      <c r="G162" s="24">
        <f>SUMIFS('Saldos Iniciales'!$D:$D,'Saldos Iniciales'!$A:$A,"SSP Capital")+SUMIFS(Movimientos!$K$1:$K$1324,Movimientos!$C$1:$C$1324,"SSP Capital",Movimientos!$B$1:$B$1324,"&lt;="&amp;$B162)</f>
        <v>1378430.5699999994</v>
      </c>
      <c r="H162" s="24">
        <f>SUMIFS('Saldos Iniciales'!$D:$D,'Saldos Iniciales'!$A:$A,"Cross Family Trust")+SUMIFS(Movimientos!$K$1:$K$1324,Movimientos!$C$1:$C$1324,"Cross Family Trust",Movimientos!$B$1:$B$1324,"&lt;="&amp;$B162)</f>
        <v>181778.14</v>
      </c>
      <c r="I162" s="24">
        <f>SUMIFS('Saldos Iniciales'!$D:$D,'Saldos Iniciales'!$A:$A,"Cross Security Trust")+SUMIFS(Movimientos!$K$1:$K$1324,Movimientos!$C$1:$C$1324,"Cross Security Trust",Movimientos!$B$1:$B$1324,"&lt;="&amp;$B162)</f>
        <v>80533.579999999987</v>
      </c>
      <c r="J162" s="24">
        <f>SUMIFS('Saldos Iniciales'!$D:$D,'Saldos Iniciales'!$A:$A,"Electrama")+SUMIFS(Movimientos!$K$1:$K$1324,Movimientos!$C$1:$C$1324,"Electrama",Movimientos!$B$1:$B$1324,"&lt;="&amp;$B162)</f>
        <v>10259.18</v>
      </c>
      <c r="K162" s="24">
        <f>SUMIFS('Saldos Iniciales'!$D:$D,'Saldos Iniciales'!$A:$A,"Sacred Valley Capital")+SUMIFS(Movimientos!$K$1:$K$1324,Movimientos!$C$1:$C$1324,"Sacred Valley Capital",Movimientos!$B$1:$B$1324,"&lt;="&amp;$B162)</f>
        <v>64.55</v>
      </c>
      <c r="L162" s="24">
        <f>SUMIFS('Saldos Iniciales'!$D:$D,'Saldos Iniciales'!$A:$A,"YWC Capital")+SUMIFS(Movimientos!$K$1:$K$1324,Movimientos!$C$1:$C$1324,"YWC Capital",Movimientos!$B$1:$B$1324,"&lt;="&amp;$B162)</f>
        <v>2117.9700000000003</v>
      </c>
      <c r="M162" s="24">
        <f>SUMIFS('Saldos Iniciales'!$D:$D,'Saldos Iniciales'!$A:$A,"Soweto")+SUMIFS(Movimientos!$K$1:$K$1324,Movimientos!$C$1:$C$1324,"Soweto",Movimientos!$B$1:$B$1324,"&lt;="&amp;$B162)</f>
        <v>17895.290000000015</v>
      </c>
      <c r="N162" s="24">
        <f>SUMIFS('Saldos Iniciales'!$D:$D,'Saldos Iniciales'!$A:$A,"Green Stone Trust")+SUMIFS(Movimientos!$K$1:$K$1324,Movimientos!$C$1:$C$1324,"Green Stone Trust",Movimientos!$B$1:$B$1324,"&lt;="&amp;$B162)</f>
        <v>1968.99</v>
      </c>
      <c r="O162" s="24">
        <f>SUMIFS('Saldos Iniciales'!$D:$D,'Saldos Iniciales'!$A:$A,"EC Auto")+SUMIFS(Movimientos!$K$1:$K$1324,Movimientos!$C$1:$C$1324,"EC Auto",Movimientos!$B$1:$B$1324,"&lt;="&amp;$B162)</f>
        <v>901.34</v>
      </c>
      <c r="P162" s="24">
        <f>SUMIFS('Saldos Iniciales'!$D:$D,'Saldos Iniciales'!$A:$A,"Arbor Capital Properties")+SUMIFS(Movimientos!$K$1:$K$1324,Movimientos!$C$1:$C$1324,"Arbor Capital Properties",Movimientos!$B$1:$B$1324,"&lt;="&amp;$B162)</f>
        <v>1364.08</v>
      </c>
      <c r="Q162" s="24">
        <f>SUMIFS('Saldos Iniciales'!$D:$D,'Saldos Iniciales'!$A:$A,"2515 Overbrook")+SUMIFS(Movimientos!$K$1:$K$1324,Movimientos!$C$1:$C$1324,"2515 Overbrook",Movimientos!$B$1:$B$1324,"&lt;="&amp;$B162)</f>
        <v>20171.549999999959</v>
      </c>
      <c r="R162" s="24">
        <f>SUMIFS('Saldos Iniciales'!$D:$D,'Saldos Iniciales'!$A:$A,"112 Florida Ave")+SUMIFS(Movimientos!$K$1:$K$1324,Movimientos!$C$1:$C$1324,"112 Florida Ave",Movimientos!$B$1:$B$1324,"&lt;="&amp;$B162)</f>
        <v>13576.060000000007</v>
      </c>
      <c r="S162" s="24">
        <f>SUMIFS('Saldos Iniciales'!$D:$D,'Saldos Iniciales'!$A:$A,"3628 Thomas Ave")+SUMIFS(Movimientos!$K$1:$K$1324,Movimientos!$C$1:$C$1324,"3628 Thomas Ave",Movimientos!$B$1:$B$1324,"&lt;="&amp;$B162)</f>
        <v>16893.769999999997</v>
      </c>
      <c r="T162" s="24">
        <f>SUMIFS('Saldos Iniciales'!$D:$D,'Saldos Iniciales'!$A:$A,"Green Harbor Trust")+SUMIFS(Movimientos!$K$1:$K$1324,Movimientos!$C$1:$C$1324,"Green Harbor Trust",Movimientos!$B$1:$B$1324,"&lt;="&amp;$B162)</f>
        <v>345</v>
      </c>
      <c r="U162" s="24">
        <f>SUMIFS('Saldos Iniciales'!$D:$D,'Saldos Iniciales'!$A:$A,"Go Blue")+SUMIFS(Movimientos!$K$1:$K$1324,Movimientos!$C$1:$C$1324,"Go Blue",Movimientos!$B$1:$B$1324,"&lt;="&amp;$B162)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Aparments",Movimientos!$B$1:$B$1324,"&lt;="&amp;$B162))</f>
        <v>240473.16999999998</v>
      </c>
      <c r="AD162" s="24">
        <f>IF(YEAR($B162)*100+MONTH($B162)&lt;--SUBSTITUTE(_xlfn.XLOOKUP("Don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Life",Movimientos!$B$1:$B$1324,"&lt;="&amp;$B162))</f>
        <v>351319.16</v>
      </c>
      <c r="AE162" s="25">
        <f t="shared" si="7"/>
        <v>6843888.3199999975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Group")+SUMIFS(Movimientos!$K$1:$K$1324,Movimientos!$C$1:$C$1324,"CFT Group",Movimientos!$B$1:$B$1324,"&lt;="&amp;$B163)</f>
        <v>2834671.5400000005</v>
      </c>
      <c r="D163" s="24">
        <f>SUMIFS('Saldos Iniciales'!$D:$D,'Saldos Iniciales'!$A:$A,"M1B")+SUMIFS(Movimientos!$K$1:$K$1324,Movimientos!$C$1:$C$1324,"M1B",Movimientos!$B$1:$B$1324,"&lt;="&amp;$B163)</f>
        <v>103123.59000000017</v>
      </c>
      <c r="E163" s="24">
        <f>SUMIFS('Saldos Iniciales'!$D:$D,'Saldos Iniciales'!$A:$A,"Durand")+SUMIFS(Movimientos!$K$1:$K$1324,Movimientos!$C$1:$C$1324,"Durand",Movimientos!$B$1:$B$1324,"&lt;="&amp;$B163)</f>
        <v>1669.89</v>
      </c>
      <c r="F163" s="24">
        <f>SUMIFS('Saldos Iniciales'!$D:$D,'Saldos Iniciales'!$A:$A,"A&amp;M Imports")+SUMIFS(Movimientos!$K$1:$K$1324,Movimientos!$C$1:$C$1324,"A&amp;M Imports",Movimientos!$B$1:$B$1324,"&lt;="&amp;$B163)</f>
        <v>1026832.7999999996</v>
      </c>
      <c r="G163" s="24">
        <f>SUMIFS('Saldos Iniciales'!$D:$D,'Saldos Iniciales'!$A:$A,"SSP Capital")+SUMIFS(Movimientos!$K$1:$K$1324,Movimientos!$C$1:$C$1324,"SSP Capital",Movimientos!$B$1:$B$1324,"&lt;="&amp;$B163)</f>
        <v>1377138.9199999995</v>
      </c>
      <c r="H163" s="24">
        <f>SUMIFS('Saldos Iniciales'!$D:$D,'Saldos Iniciales'!$A:$A,"Cross Family Trust")+SUMIFS(Movimientos!$K$1:$K$1324,Movimientos!$C$1:$C$1324,"Cross Family Trust",Movimientos!$B$1:$B$1324,"&lt;="&amp;$B163)</f>
        <v>181778.14</v>
      </c>
      <c r="I163" s="24">
        <f>SUMIFS('Saldos Iniciales'!$D:$D,'Saldos Iniciales'!$A:$A,"Cross Security Trust")+SUMIFS(Movimientos!$K$1:$K$1324,Movimientos!$C$1:$C$1324,"Cross Security Trust",Movimientos!$B$1:$B$1324,"&lt;="&amp;$B163)</f>
        <v>80533.579999999987</v>
      </c>
      <c r="J163" s="24">
        <f>SUMIFS('Saldos Iniciales'!$D:$D,'Saldos Iniciales'!$A:$A,"Electrama")+SUMIFS(Movimientos!$K$1:$K$1324,Movimientos!$C$1:$C$1324,"Electrama",Movimientos!$B$1:$B$1324,"&lt;="&amp;$B163)</f>
        <v>10259.18</v>
      </c>
      <c r="K163" s="24">
        <f>SUMIFS('Saldos Iniciales'!$D:$D,'Saldos Iniciales'!$A:$A,"Sacred Valley Capital")+SUMIFS(Movimientos!$K$1:$K$1324,Movimientos!$C$1:$C$1324,"Sacred Valley Capital",Movimientos!$B$1:$B$1324,"&lt;="&amp;$B163)</f>
        <v>64.55</v>
      </c>
      <c r="L163" s="24">
        <f>SUMIFS('Saldos Iniciales'!$D:$D,'Saldos Iniciales'!$A:$A,"YWC Capital")+SUMIFS(Movimientos!$K$1:$K$1324,Movimientos!$C$1:$C$1324,"YWC Capital",Movimientos!$B$1:$B$1324,"&lt;="&amp;$B163)</f>
        <v>2117.9700000000003</v>
      </c>
      <c r="M163" s="24">
        <f>SUMIFS('Saldos Iniciales'!$D:$D,'Saldos Iniciales'!$A:$A,"Soweto")+SUMIFS(Movimientos!$K$1:$K$1324,Movimientos!$C$1:$C$1324,"Soweto",Movimientos!$B$1:$B$1324,"&lt;="&amp;$B163)</f>
        <v>17895.290000000015</v>
      </c>
      <c r="N163" s="24">
        <f>SUMIFS('Saldos Iniciales'!$D:$D,'Saldos Iniciales'!$A:$A,"Green Stone Trust")+SUMIFS(Movimientos!$K$1:$K$1324,Movimientos!$C$1:$C$1324,"Green Stone Trust",Movimientos!$B$1:$B$1324,"&lt;="&amp;$B163)</f>
        <v>1968.99</v>
      </c>
      <c r="O163" s="24">
        <f>SUMIFS('Saldos Iniciales'!$D:$D,'Saldos Iniciales'!$A:$A,"EC Auto")+SUMIFS(Movimientos!$K$1:$K$1324,Movimientos!$C$1:$C$1324,"EC Auto",Movimientos!$B$1:$B$1324,"&lt;="&amp;$B163)</f>
        <v>901.34</v>
      </c>
      <c r="P163" s="24">
        <f>SUMIFS('Saldos Iniciales'!$D:$D,'Saldos Iniciales'!$A:$A,"Arbor Capital Properties")+SUMIFS(Movimientos!$K$1:$K$1324,Movimientos!$C$1:$C$1324,"Arbor Capital Properties",Movimientos!$B$1:$B$1324,"&lt;="&amp;$B163)</f>
        <v>1364.08</v>
      </c>
      <c r="Q163" s="24">
        <f>SUMIFS('Saldos Iniciales'!$D:$D,'Saldos Iniciales'!$A:$A,"2515 Overbrook")+SUMIFS(Movimientos!$K$1:$K$1324,Movimientos!$C$1:$C$1324,"2515 Overbrook",Movimientos!$B$1:$B$1324,"&lt;="&amp;$B163)</f>
        <v>20171.549999999959</v>
      </c>
      <c r="R163" s="24">
        <f>SUMIFS('Saldos Iniciales'!$D:$D,'Saldos Iniciales'!$A:$A,"112 Florida Ave")+SUMIFS(Movimientos!$K$1:$K$1324,Movimientos!$C$1:$C$1324,"112 Florida Ave",Movimientos!$B$1:$B$1324,"&lt;="&amp;$B163)</f>
        <v>13576.060000000007</v>
      </c>
      <c r="S163" s="24">
        <f>SUMIFS('Saldos Iniciales'!$D:$D,'Saldos Iniciales'!$A:$A,"3628 Thomas Ave")+SUMIFS(Movimientos!$K$1:$K$1324,Movimientos!$C$1:$C$1324,"3628 Thomas Ave",Movimientos!$B$1:$B$1324,"&lt;="&amp;$B163)</f>
        <v>16893.769999999997</v>
      </c>
      <c r="T163" s="24">
        <f>SUMIFS('Saldos Iniciales'!$D:$D,'Saldos Iniciales'!$A:$A,"Green Harbor Trust")+SUMIFS(Movimientos!$K$1:$K$1324,Movimientos!$C$1:$C$1324,"Green Harbor Trust",Movimientos!$B$1:$B$1324,"&lt;="&amp;$B163)</f>
        <v>345</v>
      </c>
      <c r="U163" s="24">
        <f>SUMIFS('Saldos Iniciales'!$D:$D,'Saldos Iniciales'!$A:$A,"Go Blue")+SUMIFS(Movimientos!$K$1:$K$1324,Movimientos!$C$1:$C$1324,"Go Blue",Movimientos!$B$1:$B$1324,"&lt;="&amp;$B163)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Aparments",Movimientos!$B$1:$B$1324,"&lt;="&amp;$B163))</f>
        <v>240473.16999999998</v>
      </c>
      <c r="AD163" s="24">
        <f>IF(YEAR($B163)*100+MONTH($B163)&lt;--SUBSTITUTE(_xlfn.XLOOKUP("Don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Life",Movimientos!$B$1:$B$1324,"&lt;="&amp;$B163))</f>
        <v>351319.16</v>
      </c>
      <c r="AE163" s="25">
        <f t="shared" si="7"/>
        <v>6842596.6699999981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Group")+SUMIFS(Movimientos!$K$1:$K$1324,Movimientos!$C$1:$C$1324,"CFT Group",Movimientos!$B$1:$B$1324,"&lt;="&amp;$B164)</f>
        <v>2834671.5400000005</v>
      </c>
      <c r="D164" s="24">
        <f>SUMIFS('Saldos Iniciales'!$D:$D,'Saldos Iniciales'!$A:$A,"M1B")+SUMIFS(Movimientos!$K$1:$K$1324,Movimientos!$C$1:$C$1324,"M1B",Movimientos!$B$1:$B$1324,"&lt;="&amp;$B164)</f>
        <v>103123.59000000017</v>
      </c>
      <c r="E164" s="24">
        <f>SUMIFS('Saldos Iniciales'!$D:$D,'Saldos Iniciales'!$A:$A,"Durand")+SUMIFS(Movimientos!$K$1:$K$1324,Movimientos!$C$1:$C$1324,"Durand",Movimientos!$B$1:$B$1324,"&lt;="&amp;$B164)</f>
        <v>1669.89</v>
      </c>
      <c r="F164" s="24">
        <f>SUMIFS('Saldos Iniciales'!$D:$D,'Saldos Iniciales'!$A:$A,"A&amp;M Imports")+SUMIFS(Movimientos!$K$1:$K$1324,Movimientos!$C$1:$C$1324,"A&amp;M Imports",Movimientos!$B$1:$B$1324,"&lt;="&amp;$B164)</f>
        <v>1026832.7999999996</v>
      </c>
      <c r="G164" s="24">
        <f>SUMIFS('Saldos Iniciales'!$D:$D,'Saldos Iniciales'!$A:$A,"SSP Capital")+SUMIFS(Movimientos!$K$1:$K$1324,Movimientos!$C$1:$C$1324,"SSP Capital",Movimientos!$B$1:$B$1324,"&lt;="&amp;$B164)</f>
        <v>1340096.4199999995</v>
      </c>
      <c r="H164" s="24">
        <f>SUMIFS('Saldos Iniciales'!$D:$D,'Saldos Iniciales'!$A:$A,"Cross Family Trust")+SUMIFS(Movimientos!$K$1:$K$1324,Movimientos!$C$1:$C$1324,"Cross Family Trust",Movimientos!$B$1:$B$1324,"&lt;="&amp;$B164)</f>
        <v>181778.14</v>
      </c>
      <c r="I164" s="24">
        <f>SUMIFS('Saldos Iniciales'!$D:$D,'Saldos Iniciales'!$A:$A,"Cross Security Trust")+SUMIFS(Movimientos!$K$1:$K$1324,Movimientos!$C$1:$C$1324,"Cross Security Trust",Movimientos!$B$1:$B$1324,"&lt;="&amp;$B164)</f>
        <v>80533.579999999987</v>
      </c>
      <c r="J164" s="24">
        <f>SUMIFS('Saldos Iniciales'!$D:$D,'Saldos Iniciales'!$A:$A,"Electrama")+SUMIFS(Movimientos!$K$1:$K$1324,Movimientos!$C$1:$C$1324,"Electrama",Movimientos!$B$1:$B$1324,"&lt;="&amp;$B164)</f>
        <v>10259.18</v>
      </c>
      <c r="K164" s="24">
        <f>SUMIFS('Saldos Iniciales'!$D:$D,'Saldos Iniciales'!$A:$A,"Sacred Valley Capital")+SUMIFS(Movimientos!$K$1:$K$1324,Movimientos!$C$1:$C$1324,"Sacred Valley Capital",Movimientos!$B$1:$B$1324,"&lt;="&amp;$B164)</f>
        <v>64.55</v>
      </c>
      <c r="L164" s="24">
        <f>SUMIFS('Saldos Iniciales'!$D:$D,'Saldos Iniciales'!$A:$A,"YWC Capital")+SUMIFS(Movimientos!$K$1:$K$1324,Movimientos!$C$1:$C$1324,"YWC Capital",Movimientos!$B$1:$B$1324,"&lt;="&amp;$B164)</f>
        <v>2117.9700000000003</v>
      </c>
      <c r="M164" s="24">
        <f>SUMIFS('Saldos Iniciales'!$D:$D,'Saldos Iniciales'!$A:$A,"Soweto")+SUMIFS(Movimientos!$K$1:$K$1324,Movimientos!$C$1:$C$1324,"Soweto",Movimientos!$B$1:$B$1324,"&lt;="&amp;$B164)</f>
        <v>17895.290000000015</v>
      </c>
      <c r="N164" s="24">
        <f>SUMIFS('Saldos Iniciales'!$D:$D,'Saldos Iniciales'!$A:$A,"Green Stone Trust")+SUMIFS(Movimientos!$K$1:$K$1324,Movimientos!$C$1:$C$1324,"Green Stone Trust",Movimientos!$B$1:$B$1324,"&lt;="&amp;$B164)</f>
        <v>1968.99</v>
      </c>
      <c r="O164" s="24">
        <f>SUMIFS('Saldos Iniciales'!$D:$D,'Saldos Iniciales'!$A:$A,"EC Auto")+SUMIFS(Movimientos!$K$1:$K$1324,Movimientos!$C$1:$C$1324,"EC Auto",Movimientos!$B$1:$B$1324,"&lt;="&amp;$B164)</f>
        <v>901.34</v>
      </c>
      <c r="P164" s="24">
        <f>SUMIFS('Saldos Iniciales'!$D:$D,'Saldos Iniciales'!$A:$A,"Arbor Capital Properties")+SUMIFS(Movimientos!$K$1:$K$1324,Movimientos!$C$1:$C$1324,"Arbor Capital Properties",Movimientos!$B$1:$B$1324,"&lt;="&amp;$B164)</f>
        <v>1364.08</v>
      </c>
      <c r="Q164" s="24">
        <f>SUMIFS('Saldos Iniciales'!$D:$D,'Saldos Iniciales'!$A:$A,"2515 Overbrook")+SUMIFS(Movimientos!$K$1:$K$1324,Movimientos!$C$1:$C$1324,"2515 Overbrook",Movimientos!$B$1:$B$1324,"&lt;="&amp;$B164)</f>
        <v>20171.549999999959</v>
      </c>
      <c r="R164" s="24">
        <f>SUMIFS('Saldos Iniciales'!$D:$D,'Saldos Iniciales'!$A:$A,"112 Florida Ave")+SUMIFS(Movimientos!$K$1:$K$1324,Movimientos!$C$1:$C$1324,"112 Florida Ave",Movimientos!$B$1:$B$1324,"&lt;="&amp;$B164)</f>
        <v>13576.060000000007</v>
      </c>
      <c r="S164" s="24">
        <f>SUMIFS('Saldos Iniciales'!$D:$D,'Saldos Iniciales'!$A:$A,"3628 Thomas Ave")+SUMIFS(Movimientos!$K$1:$K$1324,Movimientos!$C$1:$C$1324,"3628 Thomas Ave",Movimientos!$B$1:$B$1324,"&lt;="&amp;$B164)</f>
        <v>16893.769999999997</v>
      </c>
      <c r="T164" s="24">
        <f>SUMIFS('Saldos Iniciales'!$D:$D,'Saldos Iniciales'!$A:$A,"Green Harbor Trust")+SUMIFS(Movimientos!$K$1:$K$1324,Movimientos!$C$1:$C$1324,"Green Harbor Trust",Movimientos!$B$1:$B$1324,"&lt;="&amp;$B164)</f>
        <v>345</v>
      </c>
      <c r="U164" s="24">
        <f>SUMIFS('Saldos Iniciales'!$D:$D,'Saldos Iniciales'!$A:$A,"Go Blue")+SUMIFS(Movimientos!$K$1:$K$1324,Movimientos!$C$1:$C$1324,"Go Blue",Movimientos!$B$1:$B$1324,"&lt;="&amp;$B164)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Aparments",Movimientos!$B$1:$B$1324,"&lt;="&amp;$B164))</f>
        <v>240473.16999999998</v>
      </c>
      <c r="AD164" s="24">
        <f>IF(YEAR($B164)*100+MONTH($B164)&lt;--SUBSTITUTE(_xlfn.XLOOKUP("Don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Life",Movimientos!$B$1:$B$1324,"&lt;="&amp;$B164))</f>
        <v>351319.16</v>
      </c>
      <c r="AE164" s="25">
        <f t="shared" si="7"/>
        <v>6804994.8499999978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Group")+SUMIFS(Movimientos!$K$1:$K$1324,Movimientos!$C$1:$C$1324,"CFT Group",Movimientos!$B$1:$B$1324,"&lt;="&amp;$B165)</f>
        <v>2834671.5400000005</v>
      </c>
      <c r="D165" s="24">
        <f>SUMIFS('Saldos Iniciales'!$D:$D,'Saldos Iniciales'!$A:$A,"M1B")+SUMIFS(Movimientos!$K$1:$K$1324,Movimientos!$C$1:$C$1324,"M1B",Movimientos!$B$1:$B$1324,"&lt;="&amp;$B165)</f>
        <v>103123.59000000017</v>
      </c>
      <c r="E165" s="24">
        <f>SUMIFS('Saldos Iniciales'!$D:$D,'Saldos Iniciales'!$A:$A,"Durand")+SUMIFS(Movimientos!$K$1:$K$1324,Movimientos!$C$1:$C$1324,"Durand",Movimientos!$B$1:$B$1324,"&lt;="&amp;$B165)</f>
        <v>1669.89</v>
      </c>
      <c r="F165" s="24">
        <f>SUMIFS('Saldos Iniciales'!$D:$D,'Saldos Iniciales'!$A:$A,"A&amp;M Imports")+SUMIFS(Movimientos!$K$1:$K$1324,Movimientos!$C$1:$C$1324,"A&amp;M Imports",Movimientos!$B$1:$B$1324,"&lt;="&amp;$B165)</f>
        <v>1026832.7999999996</v>
      </c>
      <c r="G165" s="24">
        <f>SUMIFS('Saldos Iniciales'!$D:$D,'Saldos Iniciales'!$A:$A,"SSP Capital")+SUMIFS(Movimientos!$K$1:$K$1324,Movimientos!$C$1:$C$1324,"SSP Capital",Movimientos!$B$1:$B$1324,"&lt;="&amp;$B165)</f>
        <v>1340096.4199999995</v>
      </c>
      <c r="H165" s="24">
        <f>SUMIFS('Saldos Iniciales'!$D:$D,'Saldos Iniciales'!$A:$A,"Cross Family Trust")+SUMIFS(Movimientos!$K$1:$K$1324,Movimientos!$C$1:$C$1324,"Cross Family Trust",Movimientos!$B$1:$B$1324,"&lt;="&amp;$B165)</f>
        <v>181778.14</v>
      </c>
      <c r="I165" s="24">
        <f>SUMIFS('Saldos Iniciales'!$D:$D,'Saldos Iniciales'!$A:$A,"Cross Security Trust")+SUMIFS(Movimientos!$K$1:$K$1324,Movimientos!$C$1:$C$1324,"Cross Security Trust",Movimientos!$B$1:$B$1324,"&lt;="&amp;$B165)</f>
        <v>80533.579999999987</v>
      </c>
      <c r="J165" s="24">
        <f>SUMIFS('Saldos Iniciales'!$D:$D,'Saldos Iniciales'!$A:$A,"Electrama")+SUMIFS(Movimientos!$K$1:$K$1324,Movimientos!$C$1:$C$1324,"Electrama",Movimientos!$B$1:$B$1324,"&lt;="&amp;$B165)</f>
        <v>10259.18</v>
      </c>
      <c r="K165" s="24">
        <f>SUMIFS('Saldos Iniciales'!$D:$D,'Saldos Iniciales'!$A:$A,"Sacred Valley Capital")+SUMIFS(Movimientos!$K$1:$K$1324,Movimientos!$C$1:$C$1324,"Sacred Valley Capital",Movimientos!$B$1:$B$1324,"&lt;="&amp;$B165)</f>
        <v>64.55</v>
      </c>
      <c r="L165" s="24">
        <f>SUMIFS('Saldos Iniciales'!$D:$D,'Saldos Iniciales'!$A:$A,"YWC Capital")+SUMIFS(Movimientos!$K$1:$K$1324,Movimientos!$C$1:$C$1324,"YWC Capital",Movimientos!$B$1:$B$1324,"&lt;="&amp;$B165)</f>
        <v>2117.9700000000003</v>
      </c>
      <c r="M165" s="24">
        <f>SUMIFS('Saldos Iniciales'!$D:$D,'Saldos Iniciales'!$A:$A,"Soweto")+SUMIFS(Movimientos!$K$1:$K$1324,Movimientos!$C$1:$C$1324,"Soweto",Movimientos!$B$1:$B$1324,"&lt;="&amp;$B165)</f>
        <v>17895.290000000015</v>
      </c>
      <c r="N165" s="24">
        <f>SUMIFS('Saldos Iniciales'!$D:$D,'Saldos Iniciales'!$A:$A,"Green Stone Trust")+SUMIFS(Movimientos!$K$1:$K$1324,Movimientos!$C$1:$C$1324,"Green Stone Trust",Movimientos!$B$1:$B$1324,"&lt;="&amp;$B165)</f>
        <v>1968.99</v>
      </c>
      <c r="O165" s="24">
        <f>SUMIFS('Saldos Iniciales'!$D:$D,'Saldos Iniciales'!$A:$A,"EC Auto")+SUMIFS(Movimientos!$K$1:$K$1324,Movimientos!$C$1:$C$1324,"EC Auto",Movimientos!$B$1:$B$1324,"&lt;="&amp;$B165)</f>
        <v>901.34</v>
      </c>
      <c r="P165" s="24">
        <f>SUMIFS('Saldos Iniciales'!$D:$D,'Saldos Iniciales'!$A:$A,"Arbor Capital Properties")+SUMIFS(Movimientos!$K$1:$K$1324,Movimientos!$C$1:$C$1324,"Arbor Capital Properties",Movimientos!$B$1:$B$1324,"&lt;="&amp;$B165)</f>
        <v>1364.08</v>
      </c>
      <c r="Q165" s="24">
        <f>SUMIFS('Saldos Iniciales'!$D:$D,'Saldos Iniciales'!$A:$A,"2515 Overbrook")+SUMIFS(Movimientos!$K$1:$K$1324,Movimientos!$C$1:$C$1324,"2515 Overbrook",Movimientos!$B$1:$B$1324,"&lt;="&amp;$B165)</f>
        <v>20171.549999999959</v>
      </c>
      <c r="R165" s="24">
        <f>SUMIFS('Saldos Iniciales'!$D:$D,'Saldos Iniciales'!$A:$A,"112 Florida Ave")+SUMIFS(Movimientos!$K$1:$K$1324,Movimientos!$C$1:$C$1324,"112 Florida Ave",Movimientos!$B$1:$B$1324,"&lt;="&amp;$B165)</f>
        <v>13576.060000000007</v>
      </c>
      <c r="S165" s="24">
        <f>SUMIFS('Saldos Iniciales'!$D:$D,'Saldos Iniciales'!$A:$A,"3628 Thomas Ave")+SUMIFS(Movimientos!$K$1:$K$1324,Movimientos!$C$1:$C$1324,"3628 Thomas Ave",Movimientos!$B$1:$B$1324,"&lt;="&amp;$B165)</f>
        <v>16893.769999999997</v>
      </c>
      <c r="T165" s="24">
        <f>SUMIFS('Saldos Iniciales'!$D:$D,'Saldos Iniciales'!$A:$A,"Green Harbor Trust")+SUMIFS(Movimientos!$K$1:$K$1324,Movimientos!$C$1:$C$1324,"Green Harbor Trust",Movimientos!$B$1:$B$1324,"&lt;="&amp;$B165)</f>
        <v>345</v>
      </c>
      <c r="U165" s="24">
        <f>SUMIFS('Saldos Iniciales'!$D:$D,'Saldos Iniciales'!$A:$A,"Go Blue")+SUMIFS(Movimientos!$K$1:$K$1324,Movimientos!$C$1:$C$1324,"Go Blue",Movimientos!$B$1:$B$1324,"&lt;="&amp;$B165)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Aparments",Movimientos!$B$1:$B$1324,"&lt;="&amp;$B165))</f>
        <v>240473.16999999998</v>
      </c>
      <c r="AD165" s="24">
        <f>IF(YEAR($B165)*100+MONTH($B165)&lt;--SUBSTITUTE(_xlfn.XLOOKUP("Don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Life",Movimientos!$B$1:$B$1324,"&lt;="&amp;$B165))</f>
        <v>351319.16</v>
      </c>
      <c r="AE165" s="25">
        <f t="shared" si="7"/>
        <v>6804994.8499999978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Group")+SUMIFS(Movimientos!$K$1:$K$1324,Movimientos!$C$1:$C$1324,"CFT Group",Movimientos!$B$1:$B$1324,"&lt;="&amp;$B166)</f>
        <v>2834671.5400000005</v>
      </c>
      <c r="D166" s="24">
        <f>SUMIFS('Saldos Iniciales'!$D:$D,'Saldos Iniciales'!$A:$A,"M1B")+SUMIFS(Movimientos!$K$1:$K$1324,Movimientos!$C$1:$C$1324,"M1B",Movimientos!$B$1:$B$1324,"&lt;="&amp;$B166)</f>
        <v>103123.59000000017</v>
      </c>
      <c r="E166" s="24">
        <f>SUMIFS('Saldos Iniciales'!$D:$D,'Saldos Iniciales'!$A:$A,"Durand")+SUMIFS(Movimientos!$K$1:$K$1324,Movimientos!$C$1:$C$1324,"Durand",Movimientos!$B$1:$B$1324,"&lt;="&amp;$B166)</f>
        <v>1669.89</v>
      </c>
      <c r="F166" s="24">
        <f>SUMIFS('Saldos Iniciales'!$D:$D,'Saldos Iniciales'!$A:$A,"A&amp;M Imports")+SUMIFS(Movimientos!$K$1:$K$1324,Movimientos!$C$1:$C$1324,"A&amp;M Imports",Movimientos!$B$1:$B$1324,"&lt;="&amp;$B166)</f>
        <v>1026832.7999999996</v>
      </c>
      <c r="G166" s="24">
        <f>SUMIFS('Saldos Iniciales'!$D:$D,'Saldos Iniciales'!$A:$A,"SSP Capital")+SUMIFS(Movimientos!$K$1:$K$1324,Movimientos!$C$1:$C$1324,"SSP Capital",Movimientos!$B$1:$B$1324,"&lt;="&amp;$B166)</f>
        <v>1340096.4199999995</v>
      </c>
      <c r="H166" s="24">
        <f>SUMIFS('Saldos Iniciales'!$D:$D,'Saldos Iniciales'!$A:$A,"Cross Family Trust")+SUMIFS(Movimientos!$K$1:$K$1324,Movimientos!$C$1:$C$1324,"Cross Family Trust",Movimientos!$B$1:$B$1324,"&lt;="&amp;$B166)</f>
        <v>181778.14</v>
      </c>
      <c r="I166" s="24">
        <f>SUMIFS('Saldos Iniciales'!$D:$D,'Saldos Iniciales'!$A:$A,"Cross Security Trust")+SUMIFS(Movimientos!$K$1:$K$1324,Movimientos!$C$1:$C$1324,"Cross Security Trust",Movimientos!$B$1:$B$1324,"&lt;="&amp;$B166)</f>
        <v>80533.579999999987</v>
      </c>
      <c r="J166" s="24">
        <f>SUMIFS('Saldos Iniciales'!$D:$D,'Saldos Iniciales'!$A:$A,"Electrama")+SUMIFS(Movimientos!$K$1:$K$1324,Movimientos!$C$1:$C$1324,"Electrama",Movimientos!$B$1:$B$1324,"&lt;="&amp;$B166)</f>
        <v>10259.18</v>
      </c>
      <c r="K166" s="24">
        <f>SUMIFS('Saldos Iniciales'!$D:$D,'Saldos Iniciales'!$A:$A,"Sacred Valley Capital")+SUMIFS(Movimientos!$K$1:$K$1324,Movimientos!$C$1:$C$1324,"Sacred Valley Capital",Movimientos!$B$1:$B$1324,"&lt;="&amp;$B166)</f>
        <v>64.55</v>
      </c>
      <c r="L166" s="24">
        <f>SUMIFS('Saldos Iniciales'!$D:$D,'Saldos Iniciales'!$A:$A,"YWC Capital")+SUMIFS(Movimientos!$K$1:$K$1324,Movimientos!$C$1:$C$1324,"YWC Capital",Movimientos!$B$1:$B$1324,"&lt;="&amp;$B166)</f>
        <v>2117.9700000000003</v>
      </c>
      <c r="M166" s="24">
        <f>SUMIFS('Saldos Iniciales'!$D:$D,'Saldos Iniciales'!$A:$A,"Soweto")+SUMIFS(Movimientos!$K$1:$K$1324,Movimientos!$C$1:$C$1324,"Soweto",Movimientos!$B$1:$B$1324,"&lt;="&amp;$B166)</f>
        <v>17895.290000000015</v>
      </c>
      <c r="N166" s="24">
        <f>SUMIFS('Saldos Iniciales'!$D:$D,'Saldos Iniciales'!$A:$A,"Green Stone Trust")+SUMIFS(Movimientos!$K$1:$K$1324,Movimientos!$C$1:$C$1324,"Green Stone Trust",Movimientos!$B$1:$B$1324,"&lt;="&amp;$B166)</f>
        <v>1968.99</v>
      </c>
      <c r="O166" s="24">
        <f>SUMIFS('Saldos Iniciales'!$D:$D,'Saldos Iniciales'!$A:$A,"EC Auto")+SUMIFS(Movimientos!$K$1:$K$1324,Movimientos!$C$1:$C$1324,"EC Auto",Movimientos!$B$1:$B$1324,"&lt;="&amp;$B166)</f>
        <v>901.34</v>
      </c>
      <c r="P166" s="24">
        <f>SUMIFS('Saldos Iniciales'!$D:$D,'Saldos Iniciales'!$A:$A,"Arbor Capital Properties")+SUMIFS(Movimientos!$K$1:$K$1324,Movimientos!$C$1:$C$1324,"Arbor Capital Properties",Movimientos!$B$1:$B$1324,"&lt;="&amp;$B166)</f>
        <v>1364.08</v>
      </c>
      <c r="Q166" s="24">
        <f>SUMIFS('Saldos Iniciales'!$D:$D,'Saldos Iniciales'!$A:$A,"2515 Overbrook")+SUMIFS(Movimientos!$K$1:$K$1324,Movimientos!$C$1:$C$1324,"2515 Overbrook",Movimientos!$B$1:$B$1324,"&lt;="&amp;$B166)</f>
        <v>20171.549999999959</v>
      </c>
      <c r="R166" s="24">
        <f>SUMIFS('Saldos Iniciales'!$D:$D,'Saldos Iniciales'!$A:$A,"112 Florida Ave")+SUMIFS(Movimientos!$K$1:$K$1324,Movimientos!$C$1:$C$1324,"112 Florida Ave",Movimientos!$B$1:$B$1324,"&lt;="&amp;$B166)</f>
        <v>13576.060000000007</v>
      </c>
      <c r="S166" s="24">
        <f>SUMIFS('Saldos Iniciales'!$D:$D,'Saldos Iniciales'!$A:$A,"3628 Thomas Ave")+SUMIFS(Movimientos!$K$1:$K$1324,Movimientos!$C$1:$C$1324,"3628 Thomas Ave",Movimientos!$B$1:$B$1324,"&lt;="&amp;$B166)</f>
        <v>16893.769999999997</v>
      </c>
      <c r="T166" s="24">
        <f>SUMIFS('Saldos Iniciales'!$D:$D,'Saldos Iniciales'!$A:$A,"Green Harbor Trust")+SUMIFS(Movimientos!$K$1:$K$1324,Movimientos!$C$1:$C$1324,"Green Harbor Trust",Movimientos!$B$1:$B$1324,"&lt;="&amp;$B166)</f>
        <v>345</v>
      </c>
      <c r="U166" s="24">
        <f>SUMIFS('Saldos Iniciales'!$D:$D,'Saldos Iniciales'!$A:$A,"Go Blue")+SUMIFS(Movimientos!$K$1:$K$1324,Movimientos!$C$1:$C$1324,"Go Blue",Movimientos!$B$1:$B$1324,"&lt;="&amp;$B166)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Aparments",Movimientos!$B$1:$B$1324,"&lt;="&amp;$B166))</f>
        <v>240473.16999999998</v>
      </c>
      <c r="AD166" s="24">
        <f>IF(YEAR($B166)*100+MONTH($B166)&lt;--SUBSTITUTE(_xlfn.XLOOKUP("Don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Life",Movimientos!$B$1:$B$1324,"&lt;="&amp;$B166))</f>
        <v>351319.16</v>
      </c>
      <c r="AE166" s="25">
        <f t="shared" si="7"/>
        <v>6804994.8499999978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Group")+SUMIFS(Movimientos!$K$1:$K$1324,Movimientos!$C$1:$C$1324,"CFT Group",Movimientos!$B$1:$B$1324,"&lt;="&amp;$B167)</f>
        <v>2834671.5400000005</v>
      </c>
      <c r="D167" s="24">
        <f>SUMIFS('Saldos Iniciales'!$D:$D,'Saldos Iniciales'!$A:$A,"M1B")+SUMIFS(Movimientos!$K$1:$K$1324,Movimientos!$C$1:$C$1324,"M1B",Movimientos!$B$1:$B$1324,"&lt;="&amp;$B167)</f>
        <v>103123.59000000017</v>
      </c>
      <c r="E167" s="24">
        <f>SUMIFS('Saldos Iniciales'!$D:$D,'Saldos Iniciales'!$A:$A,"Durand")+SUMIFS(Movimientos!$K$1:$K$1324,Movimientos!$C$1:$C$1324,"Durand",Movimientos!$B$1:$B$1324,"&lt;="&amp;$B167)</f>
        <v>1669.89</v>
      </c>
      <c r="F167" s="24">
        <f>SUMIFS('Saldos Iniciales'!$D:$D,'Saldos Iniciales'!$A:$A,"A&amp;M Imports")+SUMIFS(Movimientos!$K$1:$K$1324,Movimientos!$C$1:$C$1324,"A&amp;M Imports",Movimientos!$B$1:$B$1324,"&lt;="&amp;$B167)</f>
        <v>1026832.7999999996</v>
      </c>
      <c r="G167" s="24">
        <f>SUMIFS('Saldos Iniciales'!$D:$D,'Saldos Iniciales'!$A:$A,"SSP Capital")+SUMIFS(Movimientos!$K$1:$K$1324,Movimientos!$C$1:$C$1324,"SSP Capital",Movimientos!$B$1:$B$1324,"&lt;="&amp;$B167)</f>
        <v>1340096.4199999995</v>
      </c>
      <c r="H167" s="24">
        <f>SUMIFS('Saldos Iniciales'!$D:$D,'Saldos Iniciales'!$A:$A,"Cross Family Trust")+SUMIFS(Movimientos!$K$1:$K$1324,Movimientos!$C$1:$C$1324,"Cross Family Trust",Movimientos!$B$1:$B$1324,"&lt;="&amp;$B167)</f>
        <v>181778.14</v>
      </c>
      <c r="I167" s="24">
        <f>SUMIFS('Saldos Iniciales'!$D:$D,'Saldos Iniciales'!$A:$A,"Cross Security Trust")+SUMIFS(Movimientos!$K$1:$K$1324,Movimientos!$C$1:$C$1324,"Cross Security Trust",Movimientos!$B$1:$B$1324,"&lt;="&amp;$B167)</f>
        <v>80533.579999999987</v>
      </c>
      <c r="J167" s="24">
        <f>SUMIFS('Saldos Iniciales'!$D:$D,'Saldos Iniciales'!$A:$A,"Electrama")+SUMIFS(Movimientos!$K$1:$K$1324,Movimientos!$C$1:$C$1324,"Electrama",Movimientos!$B$1:$B$1324,"&lt;="&amp;$B167)</f>
        <v>10259.18</v>
      </c>
      <c r="K167" s="24">
        <f>SUMIFS('Saldos Iniciales'!$D:$D,'Saldos Iniciales'!$A:$A,"Sacred Valley Capital")+SUMIFS(Movimientos!$K$1:$K$1324,Movimientos!$C$1:$C$1324,"Sacred Valley Capital",Movimientos!$B$1:$B$1324,"&lt;="&amp;$B167)</f>
        <v>64.55</v>
      </c>
      <c r="L167" s="24">
        <f>SUMIFS('Saldos Iniciales'!$D:$D,'Saldos Iniciales'!$A:$A,"YWC Capital")+SUMIFS(Movimientos!$K$1:$K$1324,Movimientos!$C$1:$C$1324,"YWC Capital",Movimientos!$B$1:$B$1324,"&lt;="&amp;$B167)</f>
        <v>2117.9700000000003</v>
      </c>
      <c r="M167" s="24">
        <f>SUMIFS('Saldos Iniciales'!$D:$D,'Saldos Iniciales'!$A:$A,"Soweto")+SUMIFS(Movimientos!$K$1:$K$1324,Movimientos!$C$1:$C$1324,"Soweto",Movimientos!$B$1:$B$1324,"&lt;="&amp;$B167)</f>
        <v>17895.290000000015</v>
      </c>
      <c r="N167" s="24">
        <f>SUMIFS('Saldos Iniciales'!$D:$D,'Saldos Iniciales'!$A:$A,"Green Stone Trust")+SUMIFS(Movimientos!$K$1:$K$1324,Movimientos!$C$1:$C$1324,"Green Stone Trust",Movimientos!$B$1:$B$1324,"&lt;="&amp;$B167)</f>
        <v>1968.99</v>
      </c>
      <c r="O167" s="24">
        <f>SUMIFS('Saldos Iniciales'!$D:$D,'Saldos Iniciales'!$A:$A,"EC Auto")+SUMIFS(Movimientos!$K$1:$K$1324,Movimientos!$C$1:$C$1324,"EC Auto",Movimientos!$B$1:$B$1324,"&lt;="&amp;$B167)</f>
        <v>901.34</v>
      </c>
      <c r="P167" s="24">
        <f>SUMIFS('Saldos Iniciales'!$D:$D,'Saldos Iniciales'!$A:$A,"Arbor Capital Properties")+SUMIFS(Movimientos!$K$1:$K$1324,Movimientos!$C$1:$C$1324,"Arbor Capital Properties",Movimientos!$B$1:$B$1324,"&lt;="&amp;$B167)</f>
        <v>1364.08</v>
      </c>
      <c r="Q167" s="24">
        <f>SUMIFS('Saldos Iniciales'!$D:$D,'Saldos Iniciales'!$A:$A,"2515 Overbrook")+SUMIFS(Movimientos!$K$1:$K$1324,Movimientos!$C$1:$C$1324,"2515 Overbrook",Movimientos!$B$1:$B$1324,"&lt;="&amp;$B167)</f>
        <v>20171.549999999959</v>
      </c>
      <c r="R167" s="24">
        <f>SUMIFS('Saldos Iniciales'!$D:$D,'Saldos Iniciales'!$A:$A,"112 Florida Ave")+SUMIFS(Movimientos!$K$1:$K$1324,Movimientos!$C$1:$C$1324,"112 Florida Ave",Movimientos!$B$1:$B$1324,"&lt;="&amp;$B167)</f>
        <v>13576.060000000007</v>
      </c>
      <c r="S167" s="24">
        <f>SUMIFS('Saldos Iniciales'!$D:$D,'Saldos Iniciales'!$A:$A,"3628 Thomas Ave")+SUMIFS(Movimientos!$K$1:$K$1324,Movimientos!$C$1:$C$1324,"3628 Thomas Ave",Movimientos!$B$1:$B$1324,"&lt;="&amp;$B167)</f>
        <v>16893.769999999997</v>
      </c>
      <c r="T167" s="24">
        <f>SUMIFS('Saldos Iniciales'!$D:$D,'Saldos Iniciales'!$A:$A,"Green Harbor Trust")+SUMIFS(Movimientos!$K$1:$K$1324,Movimientos!$C$1:$C$1324,"Green Harbor Trust",Movimientos!$B$1:$B$1324,"&lt;="&amp;$B167)</f>
        <v>345</v>
      </c>
      <c r="U167" s="24">
        <f>SUMIFS('Saldos Iniciales'!$D:$D,'Saldos Iniciales'!$A:$A,"Go Blue")+SUMIFS(Movimientos!$K$1:$K$1324,Movimientos!$C$1:$C$1324,"Go Blue",Movimientos!$B$1:$B$1324,"&lt;="&amp;$B167)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Aparments",Movimientos!$B$1:$B$1324,"&lt;="&amp;$B167))</f>
        <v>240473.16999999998</v>
      </c>
      <c r="AD167" s="24">
        <f>IF(YEAR($B167)*100+MONTH($B167)&lt;--SUBSTITUTE(_xlfn.XLOOKUP("Don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Life",Movimientos!$B$1:$B$1324,"&lt;="&amp;$B167))</f>
        <v>351319.16</v>
      </c>
      <c r="AE167" s="25">
        <f t="shared" si="7"/>
        <v>6804468.5099999979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Group")+SUMIFS(Movimientos!$K$1:$K$1324,Movimientos!$C$1:$C$1324,"CFT Group",Movimientos!$B$1:$B$1324,"&lt;="&amp;$B168)</f>
        <v>2393911.5800000005</v>
      </c>
      <c r="D168" s="24">
        <f>SUMIFS('Saldos Iniciales'!$D:$D,'Saldos Iniciales'!$A:$A,"M1B")+SUMIFS(Movimientos!$K$1:$K$1324,Movimientos!$C$1:$C$1324,"M1B",Movimientos!$B$1:$B$1324,"&lt;="&amp;$B168)</f>
        <v>103123.59000000017</v>
      </c>
      <c r="E168" s="24">
        <f>SUMIFS('Saldos Iniciales'!$D:$D,'Saldos Iniciales'!$A:$A,"Durand")+SUMIFS(Movimientos!$K$1:$K$1324,Movimientos!$C$1:$C$1324,"Durand",Movimientos!$B$1:$B$1324,"&lt;="&amp;$B168)</f>
        <v>1669.89</v>
      </c>
      <c r="F168" s="24">
        <f>SUMIFS('Saldos Iniciales'!$D:$D,'Saldos Iniciales'!$A:$A,"A&amp;M Imports")+SUMIFS(Movimientos!$K$1:$K$1324,Movimientos!$C$1:$C$1324,"A&amp;M Imports",Movimientos!$B$1:$B$1324,"&lt;="&amp;$B168)</f>
        <v>892379.23999999953</v>
      </c>
      <c r="G168" s="24">
        <f>SUMIFS('Saldos Iniciales'!$D:$D,'Saldos Iniciales'!$A:$A,"SSP Capital")+SUMIFS(Movimientos!$K$1:$K$1324,Movimientos!$C$1:$C$1324,"SSP Capital",Movimientos!$B$1:$B$1324,"&lt;="&amp;$B168)</f>
        <v>1574252.7299999993</v>
      </c>
      <c r="H168" s="24">
        <f>SUMIFS('Saldos Iniciales'!$D:$D,'Saldos Iniciales'!$A:$A,"Cross Family Trust")+SUMIFS(Movimientos!$K$1:$K$1324,Movimientos!$C$1:$C$1324,"Cross Family Trust",Movimientos!$B$1:$B$1324,"&lt;="&amp;$B168)</f>
        <v>181763.14</v>
      </c>
      <c r="I168" s="24">
        <f>SUMIFS('Saldos Iniciales'!$D:$D,'Saldos Iniciales'!$A:$A,"Cross Security Trust")+SUMIFS(Movimientos!$K$1:$K$1324,Movimientos!$C$1:$C$1324,"Cross Security Trust",Movimientos!$B$1:$B$1324,"&lt;="&amp;$B168)</f>
        <v>80533.579999999987</v>
      </c>
      <c r="J168" s="24">
        <f>SUMIFS('Saldos Iniciales'!$D:$D,'Saldos Iniciales'!$A:$A,"Electrama")+SUMIFS(Movimientos!$K$1:$K$1324,Movimientos!$C$1:$C$1324,"Electrama",Movimientos!$B$1:$B$1324,"&lt;="&amp;$B168)</f>
        <v>10259.18</v>
      </c>
      <c r="K168" s="24">
        <f>SUMIFS('Saldos Iniciales'!$D:$D,'Saldos Iniciales'!$A:$A,"Sacred Valley Capital")+SUMIFS(Movimientos!$K$1:$K$1324,Movimientos!$C$1:$C$1324,"Sacred Valley Capital",Movimientos!$B$1:$B$1324,"&lt;="&amp;$B168)</f>
        <v>64.55</v>
      </c>
      <c r="L168" s="24">
        <f>SUMIFS('Saldos Iniciales'!$D:$D,'Saldos Iniciales'!$A:$A,"YWC Capital")+SUMIFS(Movimientos!$K$1:$K$1324,Movimientos!$C$1:$C$1324,"YWC Capital",Movimientos!$B$1:$B$1324,"&lt;="&amp;$B168)</f>
        <v>2117.9700000000003</v>
      </c>
      <c r="M168" s="24">
        <f>SUMIFS('Saldos Iniciales'!$D:$D,'Saldos Iniciales'!$A:$A,"Soweto")+SUMIFS(Movimientos!$K$1:$K$1324,Movimientos!$C$1:$C$1324,"Soweto",Movimientos!$B$1:$B$1324,"&lt;="&amp;$B168)</f>
        <v>17895.290000000015</v>
      </c>
      <c r="N168" s="24">
        <f>SUMIFS('Saldos Iniciales'!$D:$D,'Saldos Iniciales'!$A:$A,"Green Stone Trust")+SUMIFS(Movimientos!$K$1:$K$1324,Movimientos!$C$1:$C$1324,"Green Stone Trust",Movimientos!$B$1:$B$1324,"&lt;="&amp;$B168)</f>
        <v>1968.99</v>
      </c>
      <c r="O168" s="24">
        <f>SUMIFS('Saldos Iniciales'!$D:$D,'Saldos Iniciales'!$A:$A,"EC Auto")+SUMIFS(Movimientos!$K$1:$K$1324,Movimientos!$C$1:$C$1324,"EC Auto",Movimientos!$B$1:$B$1324,"&lt;="&amp;$B168)</f>
        <v>901.34</v>
      </c>
      <c r="P168" s="24">
        <f>SUMIFS('Saldos Iniciales'!$D:$D,'Saldos Iniciales'!$A:$A,"Arbor Capital Properties")+SUMIFS(Movimientos!$K$1:$K$1324,Movimientos!$C$1:$C$1324,"Arbor Capital Properties",Movimientos!$B$1:$B$1324,"&lt;="&amp;$B168)</f>
        <v>1364.08</v>
      </c>
      <c r="Q168" s="24">
        <f>SUMIFS('Saldos Iniciales'!$D:$D,'Saldos Iniciales'!$A:$A,"2515 Overbrook")+SUMIFS(Movimientos!$K$1:$K$1324,Movimientos!$C$1:$C$1324,"2515 Overbrook",Movimientos!$B$1:$B$1324,"&lt;="&amp;$B168)</f>
        <v>20171.549999999959</v>
      </c>
      <c r="R168" s="24">
        <f>SUMIFS('Saldos Iniciales'!$D:$D,'Saldos Iniciales'!$A:$A,"112 Florida Ave")+SUMIFS(Movimientos!$K$1:$K$1324,Movimientos!$C$1:$C$1324,"112 Florida Ave",Movimientos!$B$1:$B$1324,"&lt;="&amp;$B168)</f>
        <v>13576.060000000007</v>
      </c>
      <c r="S168" s="24">
        <f>SUMIFS('Saldos Iniciales'!$D:$D,'Saldos Iniciales'!$A:$A,"3628 Thomas Ave")+SUMIFS(Movimientos!$K$1:$K$1324,Movimientos!$C$1:$C$1324,"3628 Thomas Ave",Movimientos!$B$1:$B$1324,"&lt;="&amp;$B168)</f>
        <v>16893.769999999997</v>
      </c>
      <c r="T168" s="24">
        <f>SUMIFS('Saldos Iniciales'!$D:$D,'Saldos Iniciales'!$A:$A,"Green Harbor Trust")+SUMIFS(Movimientos!$K$1:$K$1324,Movimientos!$C$1:$C$1324,"Green Harbor Trust",Movimientos!$B$1:$B$1324,"&lt;="&amp;$B168)</f>
        <v>345</v>
      </c>
      <c r="U168" s="24">
        <f>SUMIFS('Saldos Iniciales'!$D:$D,'Saldos Iniciales'!$A:$A,"Go Blue")+SUMIFS(Movimientos!$K$1:$K$1324,Movimientos!$C$1:$C$1324,"Go Blue",Movimientos!$B$1:$B$1324,"&lt;="&amp;$B168)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Aparments",Movimientos!$B$1:$B$1324,"&lt;="&amp;$B168))</f>
        <v>240473.16999999998</v>
      </c>
      <c r="AD168" s="24">
        <f>IF(YEAR($B168)*100+MONTH($B168)&lt;--SUBSTITUTE(_xlfn.XLOOKUP("Don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Life",Movimientos!$B$1:$B$1324,"&lt;="&amp;$B168))</f>
        <v>351319.16</v>
      </c>
      <c r="AE168" s="25">
        <f t="shared" si="7"/>
        <v>6522781.9699999979</v>
      </c>
    </row>
  </sheetData>
  <phoneticPr fontId="5" type="noConversion"/>
  <conditionalFormatting sqref="C2:AE168">
    <cfRule type="cellIs" dxfId="3" priority="1" operator="lessThan">
      <formula>0</formula>
    </cfRule>
  </conditionalFormatting>
  <conditionalFormatting sqref="AE2:AE168">
    <cfRule type="cellIs" dxfId="2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677"/>
  <sheetViews>
    <sheetView tabSelected="1" zoomScale="80" zoomScaleNormal="80" workbookViewId="0">
      <pane ySplit="1" topLeftCell="A70" activePane="bottomLeft" state="frozen"/>
      <selection pane="bottomLeft" activeCell="E78" sqref="E78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t="s">
        <v>17</v>
      </c>
      <c r="C2" s="16">
        <v>46143</v>
      </c>
      <c r="D2" s="82">
        <v>200763.43000000025</v>
      </c>
    </row>
    <row r="3" spans="1:10" x14ac:dyDescent="0.3">
      <c r="A3" t="s">
        <v>18</v>
      </c>
      <c r="C3" s="16">
        <v>46143</v>
      </c>
      <c r="D3" s="82">
        <v>51288.029999999948</v>
      </c>
    </row>
    <row r="4" spans="1:10" x14ac:dyDescent="0.3">
      <c r="A4" t="s">
        <v>19</v>
      </c>
      <c r="C4" s="16">
        <v>46143</v>
      </c>
      <c r="D4" s="82">
        <v>1669.89</v>
      </c>
    </row>
    <row r="5" spans="1:10" x14ac:dyDescent="0.3">
      <c r="A5" t="s">
        <v>20</v>
      </c>
      <c r="C5" s="16">
        <v>46143</v>
      </c>
      <c r="D5" s="82">
        <v>589990.30000000005</v>
      </c>
    </row>
    <row r="6" spans="1:10" x14ac:dyDescent="0.3">
      <c r="A6" t="s">
        <v>21</v>
      </c>
      <c r="C6" s="16">
        <v>46143</v>
      </c>
      <c r="D6" s="82">
        <v>990387.37999999931</v>
      </c>
    </row>
    <row r="7" spans="1:10" x14ac:dyDescent="0.3">
      <c r="A7" t="s">
        <v>22</v>
      </c>
      <c r="C7" s="16">
        <v>46143</v>
      </c>
      <c r="D7" s="82">
        <v>142511.38</v>
      </c>
    </row>
    <row r="8" spans="1:10" x14ac:dyDescent="0.3">
      <c r="A8" t="s">
        <v>23</v>
      </c>
      <c r="C8" s="16">
        <v>46143</v>
      </c>
      <c r="D8" s="82">
        <v>13088.589999999997</v>
      </c>
    </row>
    <row r="9" spans="1:10" x14ac:dyDescent="0.3">
      <c r="A9" t="s">
        <v>24</v>
      </c>
      <c r="C9" s="16">
        <v>46143</v>
      </c>
      <c r="D9" s="82">
        <v>808.82999999999993</v>
      </c>
    </row>
    <row r="10" spans="1:10" x14ac:dyDescent="0.3">
      <c r="A10" t="s">
        <v>25</v>
      </c>
      <c r="C10" s="16">
        <v>46143</v>
      </c>
      <c r="D10" s="82">
        <v>114.3</v>
      </c>
    </row>
    <row r="11" spans="1:10" x14ac:dyDescent="0.3">
      <c r="A11" t="s">
        <v>26</v>
      </c>
      <c r="C11" s="16">
        <v>46143</v>
      </c>
      <c r="D11" s="82">
        <v>2267.7200000000003</v>
      </c>
    </row>
    <row r="12" spans="1:10" x14ac:dyDescent="0.3">
      <c r="A12" t="s">
        <v>27</v>
      </c>
      <c r="C12" s="16">
        <v>46143</v>
      </c>
      <c r="D12" s="82">
        <v>3364.94</v>
      </c>
    </row>
    <row r="13" spans="1:10" x14ac:dyDescent="0.3">
      <c r="A13" t="s">
        <v>28</v>
      </c>
      <c r="C13" s="16">
        <v>46143</v>
      </c>
      <c r="D13" s="82">
        <v>1968.99</v>
      </c>
    </row>
    <row r="14" spans="1:10" x14ac:dyDescent="0.3">
      <c r="A14" t="s">
        <v>29</v>
      </c>
      <c r="C14" s="16">
        <v>46143</v>
      </c>
      <c r="D14" s="82">
        <v>901.34</v>
      </c>
    </row>
    <row r="15" spans="1:10" x14ac:dyDescent="0.3">
      <c r="A15" t="s">
        <v>30</v>
      </c>
      <c r="C15" s="16">
        <v>46143</v>
      </c>
      <c r="D15" s="82">
        <v>1444.08</v>
      </c>
    </row>
    <row r="16" spans="1:10" x14ac:dyDescent="0.3">
      <c r="A16" t="s">
        <v>31</v>
      </c>
      <c r="C16" s="16">
        <v>46143</v>
      </c>
      <c r="D16" s="82">
        <v>23262.599999999962</v>
      </c>
    </row>
    <row r="17" spans="1:4" x14ac:dyDescent="0.3">
      <c r="A17" t="s">
        <v>32</v>
      </c>
      <c r="C17" s="16">
        <v>46143</v>
      </c>
      <c r="D17" s="82">
        <v>6853.9100000000017</v>
      </c>
    </row>
    <row r="18" spans="1:4" x14ac:dyDescent="0.3">
      <c r="A18" t="s">
        <v>33</v>
      </c>
      <c r="C18" s="16">
        <v>46143</v>
      </c>
      <c r="D18" s="82">
        <v>21338.39</v>
      </c>
    </row>
    <row r="19" spans="1:4" x14ac:dyDescent="0.3">
      <c r="A19" t="s">
        <v>34</v>
      </c>
      <c r="C19" s="16">
        <v>46143</v>
      </c>
      <c r="D19" s="82">
        <v>345</v>
      </c>
    </row>
    <row r="20" spans="1:4" x14ac:dyDescent="0.3">
      <c r="A20" t="s">
        <v>35</v>
      </c>
      <c r="C20" s="16">
        <v>46143</v>
      </c>
      <c r="D20" s="82">
        <v>13491.26</v>
      </c>
    </row>
    <row r="21" spans="1:4" x14ac:dyDescent="0.3">
      <c r="A21" t="s">
        <v>193</v>
      </c>
      <c r="C21" s="16">
        <v>46143</v>
      </c>
      <c r="D21" s="82">
        <v>0</v>
      </c>
    </row>
    <row r="22" spans="1:4" x14ac:dyDescent="0.3">
      <c r="A22" t="s">
        <v>214</v>
      </c>
      <c r="C22" s="16">
        <v>46143</v>
      </c>
      <c r="D22" s="82">
        <v>0</v>
      </c>
    </row>
    <row r="23" spans="1:4" x14ac:dyDescent="0.3">
      <c r="A23" t="s">
        <v>194</v>
      </c>
      <c r="C23" s="16">
        <v>46143</v>
      </c>
      <c r="D23" s="82">
        <v>0</v>
      </c>
    </row>
    <row r="24" spans="1:4" x14ac:dyDescent="0.3">
      <c r="A24" t="s">
        <v>195</v>
      </c>
      <c r="C24" s="16">
        <v>46143</v>
      </c>
      <c r="D24" s="82">
        <v>0</v>
      </c>
    </row>
    <row r="25" spans="1:4" x14ac:dyDescent="0.3">
      <c r="A25" t="s">
        <v>196</v>
      </c>
      <c r="C25" s="16">
        <v>46143</v>
      </c>
      <c r="D25" s="82">
        <v>0</v>
      </c>
    </row>
    <row r="26" spans="1:4" x14ac:dyDescent="0.3">
      <c r="A26" t="s">
        <v>197</v>
      </c>
      <c r="C26" s="16">
        <v>46143</v>
      </c>
      <c r="D26" s="82">
        <v>0</v>
      </c>
    </row>
    <row r="27" spans="1:4" x14ac:dyDescent="0.3">
      <c r="A27" t="s">
        <v>212</v>
      </c>
      <c r="C27" s="16">
        <v>46143</v>
      </c>
      <c r="D27" s="82">
        <v>0</v>
      </c>
    </row>
    <row r="28" spans="1:4" x14ac:dyDescent="0.3">
      <c r="A28" t="s">
        <v>199</v>
      </c>
      <c r="C28" s="16">
        <v>46143</v>
      </c>
      <c r="D28" s="82">
        <v>0</v>
      </c>
    </row>
    <row r="29" spans="1:4" x14ac:dyDescent="0.3">
      <c r="A29" t="s">
        <v>216</v>
      </c>
      <c r="C29" s="16">
        <v>46143</v>
      </c>
      <c r="D29" s="82">
        <v>0</v>
      </c>
    </row>
    <row r="30" spans="1:4" x14ac:dyDescent="0.3">
      <c r="A30" t="s">
        <v>17</v>
      </c>
      <c r="C30" s="16">
        <v>46144</v>
      </c>
      <c r="D30" s="82">
        <v>200763.43000000025</v>
      </c>
    </row>
    <row r="31" spans="1:4" x14ac:dyDescent="0.3">
      <c r="A31" t="s">
        <v>18</v>
      </c>
      <c r="C31" s="16">
        <v>46144</v>
      </c>
      <c r="D31" s="82">
        <v>51288.029999999948</v>
      </c>
    </row>
    <row r="32" spans="1:4" x14ac:dyDescent="0.3">
      <c r="A32" t="s">
        <v>19</v>
      </c>
      <c r="C32" s="16">
        <v>46144</v>
      </c>
      <c r="D32" s="82">
        <v>1669.89</v>
      </c>
    </row>
    <row r="33" spans="1:4" x14ac:dyDescent="0.3">
      <c r="A33" t="s">
        <v>20</v>
      </c>
      <c r="C33" s="16">
        <v>46144</v>
      </c>
      <c r="D33" s="82">
        <v>589990.30000000005</v>
      </c>
    </row>
    <row r="34" spans="1:4" x14ac:dyDescent="0.3">
      <c r="A34" t="s">
        <v>21</v>
      </c>
      <c r="C34" s="16">
        <v>46144</v>
      </c>
      <c r="D34" s="82">
        <v>990387.37999999931</v>
      </c>
    </row>
    <row r="35" spans="1:4" x14ac:dyDescent="0.3">
      <c r="A35" t="s">
        <v>22</v>
      </c>
      <c r="C35" s="16">
        <v>46144</v>
      </c>
      <c r="D35" s="82">
        <v>142511.38</v>
      </c>
    </row>
    <row r="36" spans="1:4" x14ac:dyDescent="0.3">
      <c r="A36" t="s">
        <v>23</v>
      </c>
      <c r="C36" s="16">
        <v>46144</v>
      </c>
      <c r="D36" s="82">
        <v>13088.589999999997</v>
      </c>
    </row>
    <row r="37" spans="1:4" x14ac:dyDescent="0.3">
      <c r="A37" t="s">
        <v>24</v>
      </c>
      <c r="C37" s="16">
        <v>46144</v>
      </c>
      <c r="D37" s="82">
        <v>808.82999999999993</v>
      </c>
    </row>
    <row r="38" spans="1:4" x14ac:dyDescent="0.3">
      <c r="A38" t="s">
        <v>25</v>
      </c>
      <c r="C38" s="16">
        <v>46144</v>
      </c>
      <c r="D38" s="82">
        <v>114.3</v>
      </c>
    </row>
    <row r="39" spans="1:4" x14ac:dyDescent="0.3">
      <c r="A39" t="s">
        <v>26</v>
      </c>
      <c r="C39" s="16">
        <v>46144</v>
      </c>
      <c r="D39" s="82">
        <v>2267.7200000000003</v>
      </c>
    </row>
    <row r="40" spans="1:4" x14ac:dyDescent="0.3">
      <c r="A40" t="s">
        <v>27</v>
      </c>
      <c r="C40" s="16">
        <v>46144</v>
      </c>
      <c r="D40" s="82">
        <v>3364.94</v>
      </c>
    </row>
    <row r="41" spans="1:4" x14ac:dyDescent="0.3">
      <c r="A41" t="s">
        <v>28</v>
      </c>
      <c r="C41" s="16">
        <v>46144</v>
      </c>
      <c r="D41" s="82">
        <v>1968.99</v>
      </c>
    </row>
    <row r="42" spans="1:4" x14ac:dyDescent="0.3">
      <c r="A42" t="s">
        <v>29</v>
      </c>
      <c r="C42" s="16">
        <v>46144</v>
      </c>
      <c r="D42" s="82">
        <v>901.34</v>
      </c>
    </row>
    <row r="43" spans="1:4" x14ac:dyDescent="0.3">
      <c r="A43" t="s">
        <v>30</v>
      </c>
      <c r="C43" s="16">
        <v>46144</v>
      </c>
      <c r="D43" s="82">
        <v>1444.08</v>
      </c>
    </row>
    <row r="44" spans="1:4" x14ac:dyDescent="0.3">
      <c r="A44" t="s">
        <v>31</v>
      </c>
      <c r="C44" s="16">
        <v>46144</v>
      </c>
      <c r="D44" s="82">
        <v>23262.599999999962</v>
      </c>
    </row>
    <row r="45" spans="1:4" x14ac:dyDescent="0.3">
      <c r="A45" t="s">
        <v>32</v>
      </c>
      <c r="C45" s="16">
        <v>46144</v>
      </c>
      <c r="D45" s="82">
        <v>6853.9100000000017</v>
      </c>
    </row>
    <row r="46" spans="1:4" x14ac:dyDescent="0.3">
      <c r="A46" t="s">
        <v>33</v>
      </c>
      <c r="C46" s="16">
        <v>46144</v>
      </c>
      <c r="D46" s="82">
        <v>21338.39</v>
      </c>
    </row>
    <row r="47" spans="1:4" x14ac:dyDescent="0.3">
      <c r="A47" t="s">
        <v>34</v>
      </c>
      <c r="C47" s="16">
        <v>46144</v>
      </c>
      <c r="D47" s="82">
        <v>345</v>
      </c>
    </row>
    <row r="48" spans="1:4" x14ac:dyDescent="0.3">
      <c r="A48" t="s">
        <v>35</v>
      </c>
      <c r="C48" s="16">
        <v>46144</v>
      </c>
      <c r="D48" s="82">
        <v>13491.26</v>
      </c>
    </row>
    <row r="49" spans="1:4" x14ac:dyDescent="0.3">
      <c r="A49" t="s">
        <v>193</v>
      </c>
      <c r="C49" s="16">
        <v>46144</v>
      </c>
      <c r="D49" s="82">
        <v>0</v>
      </c>
    </row>
    <row r="50" spans="1:4" x14ac:dyDescent="0.3">
      <c r="A50" t="s">
        <v>214</v>
      </c>
      <c r="C50" s="16">
        <v>46144</v>
      </c>
      <c r="D50" s="82">
        <v>0</v>
      </c>
    </row>
    <row r="51" spans="1:4" x14ac:dyDescent="0.3">
      <c r="A51" t="s">
        <v>194</v>
      </c>
      <c r="C51" s="16">
        <v>46144</v>
      </c>
      <c r="D51" s="82">
        <v>0</v>
      </c>
    </row>
    <row r="52" spans="1:4" x14ac:dyDescent="0.3">
      <c r="A52" t="s">
        <v>195</v>
      </c>
      <c r="C52" s="16">
        <v>46144</v>
      </c>
      <c r="D52" s="82">
        <v>0</v>
      </c>
    </row>
    <row r="53" spans="1:4" x14ac:dyDescent="0.3">
      <c r="A53" t="s">
        <v>196</v>
      </c>
      <c r="C53" s="16">
        <v>46144</v>
      </c>
      <c r="D53" s="82">
        <v>0</v>
      </c>
    </row>
    <row r="54" spans="1:4" x14ac:dyDescent="0.3">
      <c r="A54" t="s">
        <v>197</v>
      </c>
      <c r="C54" s="16">
        <v>46144</v>
      </c>
      <c r="D54" s="82">
        <v>0</v>
      </c>
    </row>
    <row r="55" spans="1:4" x14ac:dyDescent="0.3">
      <c r="A55" t="s">
        <v>212</v>
      </c>
      <c r="C55" s="16">
        <v>46144</v>
      </c>
      <c r="D55" s="82">
        <v>0</v>
      </c>
    </row>
    <row r="56" spans="1:4" x14ac:dyDescent="0.3">
      <c r="A56" t="s">
        <v>199</v>
      </c>
      <c r="C56" s="16">
        <v>46144</v>
      </c>
      <c r="D56" s="82">
        <v>0</v>
      </c>
    </row>
    <row r="57" spans="1:4" x14ac:dyDescent="0.3">
      <c r="A57" t="s">
        <v>216</v>
      </c>
      <c r="C57" s="16">
        <v>46144</v>
      </c>
      <c r="D57" s="82">
        <v>0</v>
      </c>
    </row>
    <row r="58" spans="1:4" x14ac:dyDescent="0.3">
      <c r="A58" t="s">
        <v>17</v>
      </c>
      <c r="C58" s="16">
        <v>46145</v>
      </c>
      <c r="D58" s="82">
        <v>200763.43000000025</v>
      </c>
    </row>
    <row r="59" spans="1:4" x14ac:dyDescent="0.3">
      <c r="A59" t="s">
        <v>18</v>
      </c>
      <c r="C59" s="16">
        <v>46145</v>
      </c>
      <c r="D59" s="82">
        <v>51288.029999999948</v>
      </c>
    </row>
    <row r="60" spans="1:4" x14ac:dyDescent="0.3">
      <c r="A60" t="s">
        <v>19</v>
      </c>
      <c r="C60" s="16">
        <v>46145</v>
      </c>
      <c r="D60" s="82">
        <v>1669.89</v>
      </c>
    </row>
    <row r="61" spans="1:4" x14ac:dyDescent="0.3">
      <c r="A61" t="s">
        <v>20</v>
      </c>
      <c r="C61" s="16">
        <v>46145</v>
      </c>
      <c r="D61" s="82">
        <v>589990.30000000005</v>
      </c>
    </row>
    <row r="62" spans="1:4" x14ac:dyDescent="0.3">
      <c r="A62" t="s">
        <v>21</v>
      </c>
      <c r="C62" s="16">
        <v>46145</v>
      </c>
      <c r="D62" s="82">
        <v>990387.37999999931</v>
      </c>
    </row>
    <row r="63" spans="1:4" x14ac:dyDescent="0.3">
      <c r="A63" t="s">
        <v>22</v>
      </c>
      <c r="C63" s="16">
        <v>46145</v>
      </c>
      <c r="D63" s="82">
        <v>142511.38</v>
      </c>
    </row>
    <row r="64" spans="1:4" x14ac:dyDescent="0.3">
      <c r="A64" t="s">
        <v>23</v>
      </c>
      <c r="C64" s="16">
        <v>46145</v>
      </c>
      <c r="D64" s="82">
        <v>13088.589999999997</v>
      </c>
    </row>
    <row r="65" spans="1:4" x14ac:dyDescent="0.3">
      <c r="A65" t="s">
        <v>24</v>
      </c>
      <c r="C65" s="16">
        <v>46145</v>
      </c>
      <c r="D65" s="82">
        <v>808.82999999999993</v>
      </c>
    </row>
    <row r="66" spans="1:4" x14ac:dyDescent="0.3">
      <c r="A66" t="s">
        <v>25</v>
      </c>
      <c r="C66" s="16">
        <v>46145</v>
      </c>
      <c r="D66" s="82">
        <v>114.3</v>
      </c>
    </row>
    <row r="67" spans="1:4" x14ac:dyDescent="0.3">
      <c r="A67" t="s">
        <v>26</v>
      </c>
      <c r="C67" s="16">
        <v>46145</v>
      </c>
      <c r="D67" s="82">
        <v>2267.7200000000003</v>
      </c>
    </row>
    <row r="68" spans="1:4" x14ac:dyDescent="0.3">
      <c r="A68" t="s">
        <v>27</v>
      </c>
      <c r="C68" s="16">
        <v>46145</v>
      </c>
      <c r="D68" s="82">
        <v>3364.94</v>
      </c>
    </row>
    <row r="69" spans="1:4" x14ac:dyDescent="0.3">
      <c r="A69" t="s">
        <v>28</v>
      </c>
      <c r="C69" s="16">
        <v>46145</v>
      </c>
      <c r="D69" s="82">
        <v>1968.99</v>
      </c>
    </row>
    <row r="70" spans="1:4" x14ac:dyDescent="0.3">
      <c r="A70" t="s">
        <v>29</v>
      </c>
      <c r="C70" s="16">
        <v>46145</v>
      </c>
      <c r="D70" s="82">
        <v>901.34</v>
      </c>
    </row>
    <row r="71" spans="1:4" x14ac:dyDescent="0.3">
      <c r="A71" t="s">
        <v>30</v>
      </c>
      <c r="C71" s="16">
        <v>46145</v>
      </c>
      <c r="D71" s="82">
        <v>1444.08</v>
      </c>
    </row>
    <row r="72" spans="1:4" x14ac:dyDescent="0.3">
      <c r="A72" t="s">
        <v>31</v>
      </c>
      <c r="C72" s="16">
        <v>46145</v>
      </c>
      <c r="D72" s="82">
        <v>23262.599999999962</v>
      </c>
    </row>
    <row r="73" spans="1:4" x14ac:dyDescent="0.3">
      <c r="A73" t="s">
        <v>32</v>
      </c>
      <c r="C73" s="16">
        <v>46145</v>
      </c>
      <c r="D73" s="82">
        <v>6853.9100000000017</v>
      </c>
    </row>
    <row r="74" spans="1:4" x14ac:dyDescent="0.3">
      <c r="A74" t="s">
        <v>33</v>
      </c>
      <c r="C74" s="16">
        <v>46145</v>
      </c>
      <c r="D74" s="82">
        <v>21338.39</v>
      </c>
    </row>
    <row r="75" spans="1:4" x14ac:dyDescent="0.3">
      <c r="A75" t="s">
        <v>34</v>
      </c>
      <c r="C75" s="16">
        <v>46145</v>
      </c>
      <c r="D75" s="82">
        <v>345</v>
      </c>
    </row>
    <row r="76" spans="1:4" x14ac:dyDescent="0.3">
      <c r="A76" t="s">
        <v>35</v>
      </c>
      <c r="C76" s="16">
        <v>46145</v>
      </c>
      <c r="D76" s="82">
        <v>13491.26</v>
      </c>
    </row>
    <row r="77" spans="1:4" x14ac:dyDescent="0.3">
      <c r="A77" t="s">
        <v>193</v>
      </c>
      <c r="C77" s="16">
        <v>46145</v>
      </c>
      <c r="D77" s="82">
        <v>0</v>
      </c>
    </row>
    <row r="78" spans="1:4" x14ac:dyDescent="0.3">
      <c r="A78" t="s">
        <v>214</v>
      </c>
      <c r="C78" s="16">
        <v>46145</v>
      </c>
      <c r="D78" s="82">
        <v>0</v>
      </c>
    </row>
    <row r="79" spans="1:4" x14ac:dyDescent="0.3">
      <c r="A79" t="s">
        <v>194</v>
      </c>
      <c r="C79" s="16">
        <v>46145</v>
      </c>
      <c r="D79" s="82">
        <v>0</v>
      </c>
    </row>
    <row r="80" spans="1:4" x14ac:dyDescent="0.3">
      <c r="A80" t="s">
        <v>195</v>
      </c>
      <c r="C80" s="16">
        <v>46145</v>
      </c>
      <c r="D80" s="82">
        <v>0</v>
      </c>
    </row>
    <row r="81" spans="1:4" x14ac:dyDescent="0.3">
      <c r="A81" t="s">
        <v>196</v>
      </c>
      <c r="C81" s="16">
        <v>46145</v>
      </c>
      <c r="D81" s="82">
        <v>0</v>
      </c>
    </row>
    <row r="82" spans="1:4" x14ac:dyDescent="0.3">
      <c r="A82" t="s">
        <v>197</v>
      </c>
      <c r="C82" s="16">
        <v>46145</v>
      </c>
      <c r="D82" s="82">
        <v>0</v>
      </c>
    </row>
    <row r="83" spans="1:4" x14ac:dyDescent="0.3">
      <c r="A83" t="s">
        <v>212</v>
      </c>
      <c r="C83" s="16">
        <v>46145</v>
      </c>
      <c r="D83" s="82">
        <v>0</v>
      </c>
    </row>
    <row r="84" spans="1:4" x14ac:dyDescent="0.3">
      <c r="A84" t="s">
        <v>199</v>
      </c>
      <c r="C84" s="16">
        <v>46145</v>
      </c>
      <c r="D84" s="82">
        <v>0</v>
      </c>
    </row>
    <row r="85" spans="1:4" x14ac:dyDescent="0.3">
      <c r="A85" t="s">
        <v>216</v>
      </c>
      <c r="C85" s="16">
        <v>46145</v>
      </c>
      <c r="D85" s="82">
        <v>0</v>
      </c>
    </row>
    <row r="86" spans="1:4" x14ac:dyDescent="0.3">
      <c r="A86" t="s">
        <v>17</v>
      </c>
      <c r="C86" s="16">
        <v>46146</v>
      </c>
      <c r="D86" s="82">
        <v>200763.43000000025</v>
      </c>
    </row>
    <row r="87" spans="1:4" x14ac:dyDescent="0.3">
      <c r="A87" t="s">
        <v>18</v>
      </c>
      <c r="C87" s="16">
        <v>46146</v>
      </c>
      <c r="D87" s="82">
        <v>51288.029999999948</v>
      </c>
    </row>
    <row r="88" spans="1:4" x14ac:dyDescent="0.3">
      <c r="A88" t="s">
        <v>19</v>
      </c>
      <c r="C88" s="16">
        <v>46146</v>
      </c>
      <c r="D88" s="82">
        <v>1669.89</v>
      </c>
    </row>
    <row r="89" spans="1:4" x14ac:dyDescent="0.3">
      <c r="A89" t="s">
        <v>20</v>
      </c>
      <c r="C89" s="16">
        <v>46146</v>
      </c>
      <c r="D89" s="82">
        <v>589990.30000000005</v>
      </c>
    </row>
    <row r="90" spans="1:4" x14ac:dyDescent="0.3">
      <c r="A90" t="s">
        <v>21</v>
      </c>
      <c r="C90" s="16">
        <v>46146</v>
      </c>
      <c r="D90" s="82">
        <v>1790387.3799999994</v>
      </c>
    </row>
    <row r="91" spans="1:4" x14ac:dyDescent="0.3">
      <c r="A91" t="s">
        <v>22</v>
      </c>
      <c r="C91" s="16">
        <v>46146</v>
      </c>
      <c r="D91" s="82">
        <v>136511.38</v>
      </c>
    </row>
    <row r="92" spans="1:4" x14ac:dyDescent="0.3">
      <c r="A92" t="s">
        <v>23</v>
      </c>
      <c r="C92" s="16">
        <v>46146</v>
      </c>
      <c r="D92" s="82">
        <v>13088.589999999997</v>
      </c>
    </row>
    <row r="93" spans="1:4" x14ac:dyDescent="0.3">
      <c r="A93" t="s">
        <v>24</v>
      </c>
      <c r="C93" s="16">
        <v>46146</v>
      </c>
      <c r="D93" s="82">
        <v>808.82999999999993</v>
      </c>
    </row>
    <row r="94" spans="1:4" x14ac:dyDescent="0.3">
      <c r="A94" t="s">
        <v>25</v>
      </c>
      <c r="C94" s="16">
        <v>46146</v>
      </c>
      <c r="D94" s="82">
        <v>114.3</v>
      </c>
    </row>
    <row r="95" spans="1:4" x14ac:dyDescent="0.3">
      <c r="A95" t="s">
        <v>26</v>
      </c>
      <c r="C95" s="16">
        <v>46146</v>
      </c>
      <c r="D95" s="82">
        <v>2267.7200000000003</v>
      </c>
    </row>
    <row r="96" spans="1:4" x14ac:dyDescent="0.3">
      <c r="A96" t="s">
        <v>27</v>
      </c>
      <c r="C96" s="16">
        <v>46146</v>
      </c>
      <c r="D96" s="82">
        <v>3364.94</v>
      </c>
    </row>
    <row r="97" spans="1:4" x14ac:dyDescent="0.3">
      <c r="A97" t="s">
        <v>28</v>
      </c>
      <c r="C97" s="16">
        <v>46146</v>
      </c>
      <c r="D97" s="82">
        <v>1968.99</v>
      </c>
    </row>
    <row r="98" spans="1:4" x14ac:dyDescent="0.3">
      <c r="A98" t="s">
        <v>29</v>
      </c>
      <c r="C98" s="16">
        <v>46146</v>
      </c>
      <c r="D98" s="82">
        <v>901.34</v>
      </c>
    </row>
    <row r="99" spans="1:4" x14ac:dyDescent="0.3">
      <c r="A99" t="s">
        <v>30</v>
      </c>
      <c r="C99" s="16">
        <v>46146</v>
      </c>
      <c r="D99" s="82">
        <v>1444.08</v>
      </c>
    </row>
    <row r="100" spans="1:4" x14ac:dyDescent="0.3">
      <c r="A100" t="s">
        <v>31</v>
      </c>
      <c r="C100" s="16">
        <v>46146</v>
      </c>
      <c r="D100" s="82">
        <v>23247.599999999962</v>
      </c>
    </row>
    <row r="101" spans="1:4" x14ac:dyDescent="0.3">
      <c r="A101" t="s">
        <v>32</v>
      </c>
      <c r="C101" s="16">
        <v>46146</v>
      </c>
      <c r="D101" s="82">
        <v>6853.9100000000017</v>
      </c>
    </row>
    <row r="102" spans="1:4" x14ac:dyDescent="0.3">
      <c r="A102" t="s">
        <v>33</v>
      </c>
      <c r="C102" s="16">
        <v>46146</v>
      </c>
      <c r="D102" s="82">
        <v>21338.39</v>
      </c>
    </row>
    <row r="103" spans="1:4" x14ac:dyDescent="0.3">
      <c r="A103" t="s">
        <v>34</v>
      </c>
      <c r="C103" s="16">
        <v>46146</v>
      </c>
      <c r="D103" s="82">
        <v>345</v>
      </c>
    </row>
    <row r="104" spans="1:4" x14ac:dyDescent="0.3">
      <c r="A104" t="s">
        <v>35</v>
      </c>
      <c r="C104" s="16">
        <v>46146</v>
      </c>
      <c r="D104" s="82">
        <v>8782.25</v>
      </c>
    </row>
    <row r="105" spans="1:4" x14ac:dyDescent="0.3">
      <c r="A105" t="s">
        <v>193</v>
      </c>
      <c r="C105" s="16">
        <v>46146</v>
      </c>
      <c r="D105" s="82">
        <v>0</v>
      </c>
    </row>
    <row r="106" spans="1:4" x14ac:dyDescent="0.3">
      <c r="A106" t="s">
        <v>214</v>
      </c>
      <c r="C106" s="16">
        <v>46146</v>
      </c>
      <c r="D106" s="82">
        <v>0</v>
      </c>
    </row>
    <row r="107" spans="1:4" x14ac:dyDescent="0.3">
      <c r="A107" t="s">
        <v>194</v>
      </c>
      <c r="C107" s="16">
        <v>46146</v>
      </c>
      <c r="D107" s="82">
        <v>0</v>
      </c>
    </row>
    <row r="108" spans="1:4" x14ac:dyDescent="0.3">
      <c r="A108" t="s">
        <v>195</v>
      </c>
      <c r="C108" s="16">
        <v>46146</v>
      </c>
      <c r="D108" s="82">
        <v>0</v>
      </c>
    </row>
    <row r="109" spans="1:4" x14ac:dyDescent="0.3">
      <c r="A109" t="s">
        <v>196</v>
      </c>
      <c r="C109" s="16">
        <v>46146</v>
      </c>
      <c r="D109" s="82">
        <v>0</v>
      </c>
    </row>
    <row r="110" spans="1:4" x14ac:dyDescent="0.3">
      <c r="A110" t="s">
        <v>197</v>
      </c>
      <c r="C110" s="16">
        <v>46146</v>
      </c>
      <c r="D110" s="82">
        <v>0</v>
      </c>
    </row>
    <row r="111" spans="1:4" x14ac:dyDescent="0.3">
      <c r="A111" t="s">
        <v>212</v>
      </c>
      <c r="C111" s="16">
        <v>46146</v>
      </c>
      <c r="D111" s="82">
        <v>0</v>
      </c>
    </row>
    <row r="112" spans="1:4" x14ac:dyDescent="0.3">
      <c r="A112" t="s">
        <v>199</v>
      </c>
      <c r="C112" s="16">
        <v>46146</v>
      </c>
      <c r="D112" s="82">
        <v>0</v>
      </c>
    </row>
    <row r="113" spans="1:4" x14ac:dyDescent="0.3">
      <c r="A113" t="s">
        <v>216</v>
      </c>
      <c r="C113" s="16">
        <v>46146</v>
      </c>
      <c r="D113" s="82">
        <v>0</v>
      </c>
    </row>
    <row r="114" spans="1:4" x14ac:dyDescent="0.3">
      <c r="A114" t="s">
        <v>17</v>
      </c>
      <c r="C114" s="16">
        <v>46147</v>
      </c>
      <c r="D114" s="82">
        <v>197763.43000000025</v>
      </c>
    </row>
    <row r="115" spans="1:4" x14ac:dyDescent="0.3">
      <c r="A115" t="s">
        <v>18</v>
      </c>
      <c r="C115" s="16">
        <v>46147</v>
      </c>
      <c r="D115" s="82">
        <v>51288.029999999948</v>
      </c>
    </row>
    <row r="116" spans="1:4" x14ac:dyDescent="0.3">
      <c r="A116" t="s">
        <v>19</v>
      </c>
      <c r="C116" s="16">
        <v>46147</v>
      </c>
      <c r="D116" s="82">
        <v>1669.89</v>
      </c>
    </row>
    <row r="117" spans="1:4" x14ac:dyDescent="0.3">
      <c r="A117" t="s">
        <v>20</v>
      </c>
      <c r="C117" s="16">
        <v>46147</v>
      </c>
      <c r="D117" s="82">
        <v>989990.29999999993</v>
      </c>
    </row>
    <row r="118" spans="1:4" x14ac:dyDescent="0.3">
      <c r="A118" t="s">
        <v>21</v>
      </c>
      <c r="C118" s="16">
        <v>46147</v>
      </c>
      <c r="D118" s="82">
        <v>1088892.0899999994</v>
      </c>
    </row>
    <row r="119" spans="1:4" x14ac:dyDescent="0.3">
      <c r="A119" t="s">
        <v>22</v>
      </c>
      <c r="C119" s="16">
        <v>46147</v>
      </c>
      <c r="D119" s="82">
        <v>121511.38</v>
      </c>
    </row>
    <row r="120" spans="1:4" x14ac:dyDescent="0.3">
      <c r="A120" t="s">
        <v>23</v>
      </c>
      <c r="C120" s="16">
        <v>46147</v>
      </c>
      <c r="D120" s="82">
        <v>813088.59</v>
      </c>
    </row>
    <row r="121" spans="1:4" x14ac:dyDescent="0.3">
      <c r="A121" t="s">
        <v>24</v>
      </c>
      <c r="C121" s="16">
        <v>46147</v>
      </c>
      <c r="D121" s="82">
        <v>3768.83</v>
      </c>
    </row>
    <row r="122" spans="1:4" x14ac:dyDescent="0.3">
      <c r="A122" t="s">
        <v>25</v>
      </c>
      <c r="C122" s="16">
        <v>46147</v>
      </c>
      <c r="D122" s="82">
        <v>114.3</v>
      </c>
    </row>
    <row r="123" spans="1:4" x14ac:dyDescent="0.3">
      <c r="A123" t="s">
        <v>26</v>
      </c>
      <c r="C123" s="16">
        <v>46147</v>
      </c>
      <c r="D123" s="82">
        <v>2267.7200000000003</v>
      </c>
    </row>
    <row r="124" spans="1:4" x14ac:dyDescent="0.3">
      <c r="A124" t="s">
        <v>27</v>
      </c>
      <c r="C124" s="16">
        <v>46147</v>
      </c>
      <c r="D124" s="82">
        <v>3364.94</v>
      </c>
    </row>
    <row r="125" spans="1:4" x14ac:dyDescent="0.3">
      <c r="A125" t="s">
        <v>28</v>
      </c>
      <c r="C125" s="16">
        <v>46147</v>
      </c>
      <c r="D125" s="82">
        <v>1968.99</v>
      </c>
    </row>
    <row r="126" spans="1:4" x14ac:dyDescent="0.3">
      <c r="A126" t="s">
        <v>29</v>
      </c>
      <c r="C126" s="16">
        <v>46147</v>
      </c>
      <c r="D126" s="82">
        <v>901.34</v>
      </c>
    </row>
    <row r="127" spans="1:4" x14ac:dyDescent="0.3">
      <c r="A127" t="s">
        <v>30</v>
      </c>
      <c r="C127" s="16">
        <v>46147</v>
      </c>
      <c r="D127" s="82">
        <v>1444.08</v>
      </c>
    </row>
    <row r="128" spans="1:4" x14ac:dyDescent="0.3">
      <c r="A128" t="s">
        <v>31</v>
      </c>
      <c r="C128" s="16">
        <v>46147</v>
      </c>
      <c r="D128" s="82">
        <v>23247.599999999962</v>
      </c>
    </row>
    <row r="129" spans="1:4" x14ac:dyDescent="0.3">
      <c r="A129" t="s">
        <v>32</v>
      </c>
      <c r="C129" s="16">
        <v>46147</v>
      </c>
      <c r="D129" s="82">
        <v>6853.9100000000017</v>
      </c>
    </row>
    <row r="130" spans="1:4" x14ac:dyDescent="0.3">
      <c r="A130" t="s">
        <v>33</v>
      </c>
      <c r="C130" s="16">
        <v>46147</v>
      </c>
      <c r="D130" s="82">
        <v>21338.39</v>
      </c>
    </row>
    <row r="131" spans="1:4" x14ac:dyDescent="0.3">
      <c r="A131" t="s">
        <v>34</v>
      </c>
      <c r="C131" s="16">
        <v>46147</v>
      </c>
      <c r="D131" s="82">
        <v>345</v>
      </c>
    </row>
    <row r="132" spans="1:4" x14ac:dyDescent="0.3">
      <c r="A132" t="s">
        <v>35</v>
      </c>
      <c r="C132" s="16">
        <v>46147</v>
      </c>
      <c r="D132" s="82">
        <v>8782.25</v>
      </c>
    </row>
    <row r="133" spans="1:4" x14ac:dyDescent="0.3">
      <c r="A133" t="s">
        <v>193</v>
      </c>
      <c r="C133" s="16">
        <v>46147</v>
      </c>
      <c r="D133" s="82">
        <v>0</v>
      </c>
    </row>
    <row r="134" spans="1:4" x14ac:dyDescent="0.3">
      <c r="A134" t="s">
        <v>214</v>
      </c>
      <c r="C134" s="16">
        <v>46147</v>
      </c>
      <c r="D134" s="82">
        <v>0</v>
      </c>
    </row>
    <row r="135" spans="1:4" x14ac:dyDescent="0.3">
      <c r="A135" t="s">
        <v>194</v>
      </c>
      <c r="C135" s="16">
        <v>46147</v>
      </c>
      <c r="D135" s="82">
        <v>0</v>
      </c>
    </row>
    <row r="136" spans="1:4" x14ac:dyDescent="0.3">
      <c r="A136" t="s">
        <v>195</v>
      </c>
      <c r="C136" s="16">
        <v>46147</v>
      </c>
      <c r="D136" s="82">
        <v>0</v>
      </c>
    </row>
    <row r="137" spans="1:4" x14ac:dyDescent="0.3">
      <c r="A137" t="s">
        <v>196</v>
      </c>
      <c r="C137" s="16">
        <v>46147</v>
      </c>
      <c r="D137" s="82">
        <v>0</v>
      </c>
    </row>
    <row r="138" spans="1:4" x14ac:dyDescent="0.3">
      <c r="A138" t="s">
        <v>197</v>
      </c>
      <c r="C138" s="16">
        <v>46147</v>
      </c>
      <c r="D138" s="82">
        <v>0</v>
      </c>
    </row>
    <row r="139" spans="1:4" x14ac:dyDescent="0.3">
      <c r="A139" t="s">
        <v>212</v>
      </c>
      <c r="C139" s="16">
        <v>46147</v>
      </c>
      <c r="D139" s="82">
        <v>0</v>
      </c>
    </row>
    <row r="140" spans="1:4" x14ac:dyDescent="0.3">
      <c r="A140" t="s">
        <v>199</v>
      </c>
      <c r="C140" s="16">
        <v>46147</v>
      </c>
      <c r="D140" s="82">
        <v>0</v>
      </c>
    </row>
    <row r="141" spans="1:4" x14ac:dyDescent="0.3">
      <c r="A141" t="s">
        <v>216</v>
      </c>
      <c r="C141" s="16">
        <v>46147</v>
      </c>
      <c r="D141" s="82">
        <v>0</v>
      </c>
    </row>
    <row r="142" spans="1:4" x14ac:dyDescent="0.3">
      <c r="A142" t="s">
        <v>17</v>
      </c>
      <c r="C142" s="16">
        <v>46148</v>
      </c>
      <c r="D142" s="82">
        <v>197763.43000000025</v>
      </c>
    </row>
    <row r="143" spans="1:4" x14ac:dyDescent="0.3">
      <c r="A143" t="s">
        <v>18</v>
      </c>
      <c r="C143" s="16">
        <v>46148</v>
      </c>
      <c r="D143" s="82">
        <v>626288.02999999991</v>
      </c>
    </row>
    <row r="144" spans="1:4" x14ac:dyDescent="0.3">
      <c r="A144" t="s">
        <v>19</v>
      </c>
      <c r="C144" s="16">
        <v>46148</v>
      </c>
      <c r="D144" s="82">
        <v>1669.89</v>
      </c>
    </row>
    <row r="145" spans="1:4" x14ac:dyDescent="0.3">
      <c r="A145" t="s">
        <v>20</v>
      </c>
      <c r="C145" s="16">
        <v>46148</v>
      </c>
      <c r="D145" s="82">
        <v>989990.29999999993</v>
      </c>
    </row>
    <row r="146" spans="1:4" x14ac:dyDescent="0.3">
      <c r="A146" t="s">
        <v>21</v>
      </c>
      <c r="C146" s="16">
        <v>46148</v>
      </c>
      <c r="D146" s="82">
        <v>961212.30999999924</v>
      </c>
    </row>
    <row r="147" spans="1:4" x14ac:dyDescent="0.3">
      <c r="A147" t="s">
        <v>22</v>
      </c>
      <c r="C147" s="16">
        <v>46148</v>
      </c>
      <c r="D147" s="82">
        <v>121511.38</v>
      </c>
    </row>
    <row r="148" spans="1:4" x14ac:dyDescent="0.3">
      <c r="A148" t="s">
        <v>23</v>
      </c>
      <c r="C148" s="16">
        <v>46148</v>
      </c>
      <c r="D148" s="82">
        <v>813088.59</v>
      </c>
    </row>
    <row r="149" spans="1:4" x14ac:dyDescent="0.3">
      <c r="A149" t="s">
        <v>24</v>
      </c>
      <c r="C149" s="16">
        <v>46148</v>
      </c>
      <c r="D149" s="82">
        <v>3768.83</v>
      </c>
    </row>
    <row r="150" spans="1:4" x14ac:dyDescent="0.3">
      <c r="A150" t="s">
        <v>25</v>
      </c>
      <c r="C150" s="16">
        <v>46148</v>
      </c>
      <c r="D150" s="82">
        <v>114.3</v>
      </c>
    </row>
    <row r="151" spans="1:4" x14ac:dyDescent="0.3">
      <c r="A151" t="s">
        <v>26</v>
      </c>
      <c r="C151" s="16">
        <v>46148</v>
      </c>
      <c r="D151" s="82">
        <v>2267.7200000000003</v>
      </c>
    </row>
    <row r="152" spans="1:4" x14ac:dyDescent="0.3">
      <c r="A152" t="s">
        <v>27</v>
      </c>
      <c r="C152" s="16">
        <v>46148</v>
      </c>
      <c r="D152" s="82">
        <v>3364.94</v>
      </c>
    </row>
    <row r="153" spans="1:4" x14ac:dyDescent="0.3">
      <c r="A153" t="s">
        <v>28</v>
      </c>
      <c r="C153" s="16">
        <v>46148</v>
      </c>
      <c r="D153" s="82">
        <v>1968.99</v>
      </c>
    </row>
    <row r="154" spans="1:4" x14ac:dyDescent="0.3">
      <c r="A154" t="s">
        <v>29</v>
      </c>
      <c r="C154" s="16">
        <v>46148</v>
      </c>
      <c r="D154" s="82">
        <v>901.34</v>
      </c>
    </row>
    <row r="155" spans="1:4" x14ac:dyDescent="0.3">
      <c r="A155" t="s">
        <v>30</v>
      </c>
      <c r="C155" s="16">
        <v>46148</v>
      </c>
      <c r="D155" s="82">
        <v>1444.08</v>
      </c>
    </row>
    <row r="156" spans="1:4" x14ac:dyDescent="0.3">
      <c r="A156" t="s">
        <v>31</v>
      </c>
      <c r="C156" s="16">
        <v>46148</v>
      </c>
      <c r="D156" s="82">
        <v>23247.599999999962</v>
      </c>
    </row>
    <row r="157" spans="1:4" x14ac:dyDescent="0.3">
      <c r="A157" t="s">
        <v>32</v>
      </c>
      <c r="C157" s="16">
        <v>46148</v>
      </c>
      <c r="D157" s="82">
        <v>5135.0600000000013</v>
      </c>
    </row>
    <row r="158" spans="1:4" x14ac:dyDescent="0.3">
      <c r="A158" t="s">
        <v>33</v>
      </c>
      <c r="C158" s="16">
        <v>46148</v>
      </c>
      <c r="D158" s="82">
        <v>21338.39</v>
      </c>
    </row>
    <row r="159" spans="1:4" x14ac:dyDescent="0.3">
      <c r="A159" t="s">
        <v>34</v>
      </c>
      <c r="C159" s="16">
        <v>46148</v>
      </c>
      <c r="D159" s="82">
        <v>345</v>
      </c>
    </row>
    <row r="160" spans="1:4" x14ac:dyDescent="0.3">
      <c r="A160" t="s">
        <v>35</v>
      </c>
      <c r="C160" s="16">
        <v>46148</v>
      </c>
      <c r="D160" s="82">
        <v>8782.25</v>
      </c>
    </row>
    <row r="161" spans="1:4" x14ac:dyDescent="0.3">
      <c r="A161" t="s">
        <v>193</v>
      </c>
      <c r="C161" s="16">
        <v>46148</v>
      </c>
      <c r="D161" s="82">
        <v>0</v>
      </c>
    </row>
    <row r="162" spans="1:4" x14ac:dyDescent="0.3">
      <c r="A162" t="s">
        <v>214</v>
      </c>
      <c r="C162" s="16">
        <v>46148</v>
      </c>
      <c r="D162" s="82">
        <v>0</v>
      </c>
    </row>
    <row r="163" spans="1:4" x14ac:dyDescent="0.3">
      <c r="A163" t="s">
        <v>194</v>
      </c>
      <c r="C163" s="16">
        <v>46148</v>
      </c>
      <c r="D163" s="82">
        <v>0</v>
      </c>
    </row>
    <row r="164" spans="1:4" x14ac:dyDescent="0.3">
      <c r="A164" t="s">
        <v>195</v>
      </c>
      <c r="C164" s="16">
        <v>46148</v>
      </c>
      <c r="D164" s="82">
        <v>0</v>
      </c>
    </row>
    <row r="165" spans="1:4" x14ac:dyDescent="0.3">
      <c r="A165" t="s">
        <v>196</v>
      </c>
      <c r="C165" s="16">
        <v>46148</v>
      </c>
      <c r="D165" s="82">
        <v>0</v>
      </c>
    </row>
    <row r="166" spans="1:4" x14ac:dyDescent="0.3">
      <c r="A166" t="s">
        <v>197</v>
      </c>
      <c r="C166" s="16">
        <v>46148</v>
      </c>
      <c r="D166" s="82">
        <v>0</v>
      </c>
    </row>
    <row r="167" spans="1:4" x14ac:dyDescent="0.3">
      <c r="A167" t="s">
        <v>212</v>
      </c>
      <c r="C167" s="16">
        <v>46148</v>
      </c>
      <c r="D167" s="82">
        <v>0</v>
      </c>
    </row>
    <row r="168" spans="1:4" x14ac:dyDescent="0.3">
      <c r="A168" t="s">
        <v>199</v>
      </c>
      <c r="C168" s="16">
        <v>46148</v>
      </c>
      <c r="D168" s="82">
        <v>0</v>
      </c>
    </row>
    <row r="169" spans="1:4" x14ac:dyDescent="0.3">
      <c r="A169" t="s">
        <v>216</v>
      </c>
      <c r="C169" s="16">
        <v>46148</v>
      </c>
      <c r="D169" s="82">
        <v>0</v>
      </c>
    </row>
    <row r="170" spans="1:4" x14ac:dyDescent="0.3">
      <c r="A170" t="s">
        <v>17</v>
      </c>
      <c r="C170" s="16">
        <v>46149</v>
      </c>
      <c r="D170" s="82">
        <v>447763.43000000028</v>
      </c>
    </row>
    <row r="171" spans="1:4" x14ac:dyDescent="0.3">
      <c r="A171" t="s">
        <v>18</v>
      </c>
      <c r="C171" s="16">
        <v>46149</v>
      </c>
      <c r="D171" s="82">
        <v>56288.029999999941</v>
      </c>
    </row>
    <row r="172" spans="1:4" x14ac:dyDescent="0.3">
      <c r="A172" t="s">
        <v>19</v>
      </c>
      <c r="C172" s="16">
        <v>46149</v>
      </c>
      <c r="D172" s="82">
        <v>1669.89</v>
      </c>
    </row>
    <row r="173" spans="1:4" x14ac:dyDescent="0.3">
      <c r="A173" t="s">
        <v>20</v>
      </c>
      <c r="C173" s="16">
        <v>46149</v>
      </c>
      <c r="D173" s="82">
        <v>274668.55999999994</v>
      </c>
    </row>
    <row r="174" spans="1:4" x14ac:dyDescent="0.3">
      <c r="A174" t="s">
        <v>21</v>
      </c>
      <c r="C174" s="16">
        <v>46149</v>
      </c>
      <c r="D174" s="82">
        <v>926213.13999999932</v>
      </c>
    </row>
    <row r="175" spans="1:4" x14ac:dyDescent="0.3">
      <c r="A175" t="s">
        <v>22</v>
      </c>
      <c r="C175" s="16">
        <v>46149</v>
      </c>
      <c r="D175" s="82">
        <v>121511.38</v>
      </c>
    </row>
    <row r="176" spans="1:4" x14ac:dyDescent="0.3">
      <c r="A176" t="s">
        <v>23</v>
      </c>
      <c r="C176" s="16">
        <v>46149</v>
      </c>
      <c r="D176" s="82">
        <v>1513088.59</v>
      </c>
    </row>
    <row r="177" spans="1:4" x14ac:dyDescent="0.3">
      <c r="A177" t="s">
        <v>24</v>
      </c>
      <c r="C177" s="16">
        <v>46149</v>
      </c>
      <c r="D177" s="82">
        <v>3768.83</v>
      </c>
    </row>
    <row r="178" spans="1:4" x14ac:dyDescent="0.3">
      <c r="A178" t="s">
        <v>25</v>
      </c>
      <c r="C178" s="16">
        <v>46149</v>
      </c>
      <c r="D178" s="82">
        <v>114.3</v>
      </c>
    </row>
    <row r="179" spans="1:4" x14ac:dyDescent="0.3">
      <c r="A179" t="s">
        <v>26</v>
      </c>
      <c r="C179" s="16">
        <v>46149</v>
      </c>
      <c r="D179" s="82">
        <v>2267.7200000000003</v>
      </c>
    </row>
    <row r="180" spans="1:4" x14ac:dyDescent="0.3">
      <c r="A180" t="s">
        <v>27</v>
      </c>
      <c r="C180" s="16">
        <v>46149</v>
      </c>
      <c r="D180" s="82">
        <v>3364.94</v>
      </c>
    </row>
    <row r="181" spans="1:4" x14ac:dyDescent="0.3">
      <c r="A181" t="s">
        <v>28</v>
      </c>
      <c r="C181" s="16">
        <v>46149</v>
      </c>
      <c r="D181" s="82">
        <v>1968.99</v>
      </c>
    </row>
    <row r="182" spans="1:4" x14ac:dyDescent="0.3">
      <c r="A182" t="s">
        <v>29</v>
      </c>
      <c r="C182" s="16">
        <v>46149</v>
      </c>
      <c r="D182" s="82">
        <v>901.34</v>
      </c>
    </row>
    <row r="183" spans="1:4" x14ac:dyDescent="0.3">
      <c r="A183" t="s">
        <v>30</v>
      </c>
      <c r="C183" s="16">
        <v>46149</v>
      </c>
      <c r="D183" s="82">
        <v>1444.08</v>
      </c>
    </row>
    <row r="184" spans="1:4" x14ac:dyDescent="0.3">
      <c r="A184" t="s">
        <v>31</v>
      </c>
      <c r="C184" s="16">
        <v>46149</v>
      </c>
      <c r="D184" s="82">
        <v>23247.599999999962</v>
      </c>
    </row>
    <row r="185" spans="1:4" x14ac:dyDescent="0.3">
      <c r="A185" t="s">
        <v>32</v>
      </c>
      <c r="C185" s="16">
        <v>46149</v>
      </c>
      <c r="D185" s="82">
        <v>15135.060000000001</v>
      </c>
    </row>
    <row r="186" spans="1:4" x14ac:dyDescent="0.3">
      <c r="A186" t="s">
        <v>33</v>
      </c>
      <c r="C186" s="16">
        <v>46149</v>
      </c>
      <c r="D186" s="82">
        <v>31338.39</v>
      </c>
    </row>
    <row r="187" spans="1:4" x14ac:dyDescent="0.3">
      <c r="A187" t="s">
        <v>34</v>
      </c>
      <c r="C187" s="16">
        <v>46149</v>
      </c>
      <c r="D187" s="82">
        <v>345</v>
      </c>
    </row>
    <row r="188" spans="1:4" x14ac:dyDescent="0.3">
      <c r="A188" t="s">
        <v>35</v>
      </c>
      <c r="C188" s="16">
        <v>46149</v>
      </c>
      <c r="D188" s="82">
        <v>8782.25</v>
      </c>
    </row>
    <row r="189" spans="1:4" x14ac:dyDescent="0.3">
      <c r="A189" t="s">
        <v>193</v>
      </c>
      <c r="C189" s="16">
        <v>46149</v>
      </c>
      <c r="D189" s="82">
        <v>0</v>
      </c>
    </row>
    <row r="190" spans="1:4" x14ac:dyDescent="0.3">
      <c r="A190" t="s">
        <v>214</v>
      </c>
      <c r="C190" s="16">
        <v>46149</v>
      </c>
      <c r="D190" s="82">
        <v>0</v>
      </c>
    </row>
    <row r="191" spans="1:4" x14ac:dyDescent="0.3">
      <c r="A191" t="s">
        <v>194</v>
      </c>
      <c r="C191" s="16">
        <v>46149</v>
      </c>
      <c r="D191" s="82">
        <v>0</v>
      </c>
    </row>
    <row r="192" spans="1:4" x14ac:dyDescent="0.3">
      <c r="A192" t="s">
        <v>195</v>
      </c>
      <c r="C192" s="16">
        <v>46149</v>
      </c>
      <c r="D192" s="82">
        <v>0</v>
      </c>
    </row>
    <row r="193" spans="1:4" x14ac:dyDescent="0.3">
      <c r="A193" t="s">
        <v>196</v>
      </c>
      <c r="C193" s="16">
        <v>46149</v>
      </c>
      <c r="D193" s="82">
        <v>0</v>
      </c>
    </row>
    <row r="194" spans="1:4" x14ac:dyDescent="0.3">
      <c r="A194" t="s">
        <v>197</v>
      </c>
      <c r="C194" s="16">
        <v>46149</v>
      </c>
      <c r="D194" s="82">
        <v>0</v>
      </c>
    </row>
    <row r="195" spans="1:4" x14ac:dyDescent="0.3">
      <c r="A195" t="s">
        <v>212</v>
      </c>
      <c r="C195" s="16">
        <v>46149</v>
      </c>
      <c r="D195" s="82">
        <v>0</v>
      </c>
    </row>
    <row r="196" spans="1:4" x14ac:dyDescent="0.3">
      <c r="A196" t="s">
        <v>199</v>
      </c>
      <c r="C196" s="16">
        <v>46149</v>
      </c>
      <c r="D196" s="82">
        <v>0</v>
      </c>
    </row>
    <row r="197" spans="1:4" x14ac:dyDescent="0.3">
      <c r="A197" t="s">
        <v>216</v>
      </c>
      <c r="C197" s="16">
        <v>46149</v>
      </c>
      <c r="D197" s="82">
        <v>0</v>
      </c>
    </row>
    <row r="198" spans="1:4" x14ac:dyDescent="0.3">
      <c r="A198" t="s">
        <v>17</v>
      </c>
      <c r="C198" s="16">
        <v>46150</v>
      </c>
      <c r="D198" s="82">
        <v>512927.75000000023</v>
      </c>
    </row>
    <row r="199" spans="1:4" x14ac:dyDescent="0.3">
      <c r="A199" t="s">
        <v>18</v>
      </c>
      <c r="C199" s="16">
        <v>46150</v>
      </c>
      <c r="D199" s="82">
        <v>58840.089999999938</v>
      </c>
    </row>
    <row r="200" spans="1:4" x14ac:dyDescent="0.3">
      <c r="A200" t="s">
        <v>19</v>
      </c>
      <c r="C200" s="16">
        <v>46150</v>
      </c>
      <c r="D200" s="82">
        <v>1669.89</v>
      </c>
    </row>
    <row r="201" spans="1:4" x14ac:dyDescent="0.3">
      <c r="A201" t="s">
        <v>20</v>
      </c>
      <c r="C201" s="16">
        <v>46150</v>
      </c>
      <c r="D201" s="82">
        <v>792366.49999999988</v>
      </c>
    </row>
    <row r="202" spans="1:4" x14ac:dyDescent="0.3">
      <c r="A202" t="s">
        <v>21</v>
      </c>
      <c r="C202" s="16">
        <v>46150</v>
      </c>
      <c r="D202" s="82">
        <v>923830.41999999923</v>
      </c>
    </row>
    <row r="203" spans="1:4" x14ac:dyDescent="0.3">
      <c r="A203" t="s">
        <v>22</v>
      </c>
      <c r="C203" s="16">
        <v>46150</v>
      </c>
      <c r="D203" s="82">
        <v>121511.38</v>
      </c>
    </row>
    <row r="204" spans="1:4" x14ac:dyDescent="0.3">
      <c r="A204" t="s">
        <v>23</v>
      </c>
      <c r="C204" s="16">
        <v>46150</v>
      </c>
      <c r="D204" s="82">
        <v>13088.589999999997</v>
      </c>
    </row>
    <row r="205" spans="1:4" x14ac:dyDescent="0.3">
      <c r="A205" t="s">
        <v>24</v>
      </c>
      <c r="C205" s="16">
        <v>46150</v>
      </c>
      <c r="D205" s="82">
        <v>3768.83</v>
      </c>
    </row>
    <row r="206" spans="1:4" x14ac:dyDescent="0.3">
      <c r="A206" t="s">
        <v>25</v>
      </c>
      <c r="C206" s="16">
        <v>46150</v>
      </c>
      <c r="D206" s="82">
        <v>114.3</v>
      </c>
    </row>
    <row r="207" spans="1:4" x14ac:dyDescent="0.3">
      <c r="A207" t="s">
        <v>26</v>
      </c>
      <c r="C207" s="16">
        <v>46150</v>
      </c>
      <c r="D207" s="82">
        <v>2267.7200000000003</v>
      </c>
    </row>
    <row r="208" spans="1:4" x14ac:dyDescent="0.3">
      <c r="A208" t="s">
        <v>27</v>
      </c>
      <c r="C208" s="16">
        <v>46150</v>
      </c>
      <c r="D208" s="82">
        <v>3349.94</v>
      </c>
    </row>
    <row r="209" spans="1:4" x14ac:dyDescent="0.3">
      <c r="A209" t="s">
        <v>28</v>
      </c>
      <c r="C209" s="16">
        <v>46150</v>
      </c>
      <c r="D209" s="82">
        <v>1968.99</v>
      </c>
    </row>
    <row r="210" spans="1:4" x14ac:dyDescent="0.3">
      <c r="A210" t="s">
        <v>29</v>
      </c>
      <c r="C210" s="16">
        <v>46150</v>
      </c>
      <c r="D210" s="82">
        <v>901.34</v>
      </c>
    </row>
    <row r="211" spans="1:4" x14ac:dyDescent="0.3">
      <c r="A211" t="s">
        <v>30</v>
      </c>
      <c r="C211" s="16">
        <v>46150</v>
      </c>
      <c r="D211" s="82">
        <v>1444.08</v>
      </c>
    </row>
    <row r="212" spans="1:4" x14ac:dyDescent="0.3">
      <c r="A212" t="s">
        <v>31</v>
      </c>
      <c r="C212" s="16">
        <v>46150</v>
      </c>
      <c r="D212" s="82">
        <v>20592.599999999962</v>
      </c>
    </row>
    <row r="213" spans="1:4" x14ac:dyDescent="0.3">
      <c r="A213" t="s">
        <v>32</v>
      </c>
      <c r="C213" s="16">
        <v>46150</v>
      </c>
      <c r="D213" s="82">
        <v>15120.060000000001</v>
      </c>
    </row>
    <row r="214" spans="1:4" x14ac:dyDescent="0.3">
      <c r="A214" t="s">
        <v>33</v>
      </c>
      <c r="C214" s="16">
        <v>46150</v>
      </c>
      <c r="D214" s="82">
        <v>31323.39</v>
      </c>
    </row>
    <row r="215" spans="1:4" x14ac:dyDescent="0.3">
      <c r="A215" t="s">
        <v>34</v>
      </c>
      <c r="C215" s="16">
        <v>46150</v>
      </c>
      <c r="D215" s="82">
        <v>345</v>
      </c>
    </row>
    <row r="216" spans="1:4" x14ac:dyDescent="0.3">
      <c r="A216" t="s">
        <v>35</v>
      </c>
      <c r="C216" s="16">
        <v>46150</v>
      </c>
      <c r="D216" s="82">
        <v>23782.25</v>
      </c>
    </row>
    <row r="217" spans="1:4" x14ac:dyDescent="0.3">
      <c r="A217" t="s">
        <v>193</v>
      </c>
      <c r="C217" s="16">
        <v>46150</v>
      </c>
      <c r="D217" s="82">
        <v>0</v>
      </c>
    </row>
    <row r="218" spans="1:4" x14ac:dyDescent="0.3">
      <c r="A218" t="s">
        <v>214</v>
      </c>
      <c r="C218" s="16">
        <v>46150</v>
      </c>
      <c r="D218" s="82">
        <v>0</v>
      </c>
    </row>
    <row r="219" spans="1:4" x14ac:dyDescent="0.3">
      <c r="A219" t="s">
        <v>194</v>
      </c>
      <c r="C219" s="16">
        <v>46150</v>
      </c>
      <c r="D219" s="82">
        <v>0</v>
      </c>
    </row>
    <row r="220" spans="1:4" x14ac:dyDescent="0.3">
      <c r="A220" t="s">
        <v>195</v>
      </c>
      <c r="C220" s="16">
        <v>46150</v>
      </c>
      <c r="D220" s="82">
        <v>0</v>
      </c>
    </row>
    <row r="221" spans="1:4" x14ac:dyDescent="0.3">
      <c r="A221" t="s">
        <v>196</v>
      </c>
      <c r="C221" s="16">
        <v>46150</v>
      </c>
      <c r="D221" s="82">
        <v>0</v>
      </c>
    </row>
    <row r="222" spans="1:4" x14ac:dyDescent="0.3">
      <c r="A222" t="s">
        <v>197</v>
      </c>
      <c r="C222" s="16">
        <v>46150</v>
      </c>
      <c r="D222" s="82">
        <v>0</v>
      </c>
    </row>
    <row r="223" spans="1:4" x14ac:dyDescent="0.3">
      <c r="A223" t="s">
        <v>212</v>
      </c>
      <c r="C223" s="16">
        <v>46150</v>
      </c>
      <c r="D223" s="82">
        <v>0</v>
      </c>
    </row>
    <row r="224" spans="1:4" x14ac:dyDescent="0.3">
      <c r="A224" t="s">
        <v>199</v>
      </c>
      <c r="C224" s="16">
        <v>46150</v>
      </c>
      <c r="D224" s="82">
        <v>0</v>
      </c>
    </row>
    <row r="225" spans="1:4" x14ac:dyDescent="0.3">
      <c r="A225" t="s">
        <v>216</v>
      </c>
      <c r="C225" s="16">
        <v>46150</v>
      </c>
      <c r="D225" s="82">
        <v>0</v>
      </c>
    </row>
    <row r="226" spans="1:4" x14ac:dyDescent="0.3">
      <c r="A226" t="s">
        <v>17</v>
      </c>
      <c r="C226" s="16">
        <v>46151</v>
      </c>
      <c r="D226" s="82">
        <v>512927.75000000023</v>
      </c>
    </row>
    <row r="227" spans="1:4" x14ac:dyDescent="0.3">
      <c r="A227" t="s">
        <v>18</v>
      </c>
      <c r="C227" s="16">
        <v>46151</v>
      </c>
      <c r="D227" s="82">
        <v>58840.089999999938</v>
      </c>
    </row>
    <row r="228" spans="1:4" x14ac:dyDescent="0.3">
      <c r="A228" t="s">
        <v>19</v>
      </c>
      <c r="C228" s="16">
        <v>46151</v>
      </c>
      <c r="D228" s="82">
        <v>1669.89</v>
      </c>
    </row>
    <row r="229" spans="1:4" x14ac:dyDescent="0.3">
      <c r="A229" t="s">
        <v>20</v>
      </c>
      <c r="C229" s="16">
        <v>46151</v>
      </c>
      <c r="D229" s="82">
        <v>792366.49999999988</v>
      </c>
    </row>
    <row r="230" spans="1:4" x14ac:dyDescent="0.3">
      <c r="A230" t="s">
        <v>21</v>
      </c>
      <c r="C230" s="16">
        <v>46151</v>
      </c>
      <c r="D230" s="82">
        <v>923830.41999999923</v>
      </c>
    </row>
    <row r="231" spans="1:4" x14ac:dyDescent="0.3">
      <c r="A231" t="s">
        <v>22</v>
      </c>
      <c r="C231" s="16">
        <v>46151</v>
      </c>
      <c r="D231" s="82">
        <v>121511.38</v>
      </c>
    </row>
    <row r="232" spans="1:4" x14ac:dyDescent="0.3">
      <c r="A232" t="s">
        <v>23</v>
      </c>
      <c r="C232" s="16">
        <v>46151</v>
      </c>
      <c r="D232" s="82">
        <v>13088.589999999997</v>
      </c>
    </row>
    <row r="233" spans="1:4" x14ac:dyDescent="0.3">
      <c r="A233" t="s">
        <v>24</v>
      </c>
      <c r="C233" s="16">
        <v>46151</v>
      </c>
      <c r="D233" s="82">
        <v>3768.83</v>
      </c>
    </row>
    <row r="234" spans="1:4" x14ac:dyDescent="0.3">
      <c r="A234" t="s">
        <v>25</v>
      </c>
      <c r="C234" s="16">
        <v>46151</v>
      </c>
      <c r="D234" s="82">
        <v>114.3</v>
      </c>
    </row>
    <row r="235" spans="1:4" x14ac:dyDescent="0.3">
      <c r="A235" t="s">
        <v>26</v>
      </c>
      <c r="C235" s="16">
        <v>46151</v>
      </c>
      <c r="D235" s="82">
        <v>2267.7200000000003</v>
      </c>
    </row>
    <row r="236" spans="1:4" x14ac:dyDescent="0.3">
      <c r="A236" t="s">
        <v>27</v>
      </c>
      <c r="C236" s="16">
        <v>46151</v>
      </c>
      <c r="D236" s="82">
        <v>3349.94</v>
      </c>
    </row>
    <row r="237" spans="1:4" x14ac:dyDescent="0.3">
      <c r="A237" t="s">
        <v>28</v>
      </c>
      <c r="C237" s="16">
        <v>46151</v>
      </c>
      <c r="D237" s="82">
        <v>1968.99</v>
      </c>
    </row>
    <row r="238" spans="1:4" x14ac:dyDescent="0.3">
      <c r="A238" t="s">
        <v>29</v>
      </c>
      <c r="C238" s="16">
        <v>46151</v>
      </c>
      <c r="D238" s="82">
        <v>901.34</v>
      </c>
    </row>
    <row r="239" spans="1:4" x14ac:dyDescent="0.3">
      <c r="A239" t="s">
        <v>30</v>
      </c>
      <c r="C239" s="16">
        <v>46151</v>
      </c>
      <c r="D239" s="82">
        <v>1444.08</v>
      </c>
    </row>
    <row r="240" spans="1:4" x14ac:dyDescent="0.3">
      <c r="A240" t="s">
        <v>31</v>
      </c>
      <c r="C240" s="16">
        <v>46151</v>
      </c>
      <c r="D240" s="82">
        <v>20592.599999999962</v>
      </c>
    </row>
    <row r="241" spans="1:4" x14ac:dyDescent="0.3">
      <c r="A241" t="s">
        <v>32</v>
      </c>
      <c r="C241" s="16">
        <v>46151</v>
      </c>
      <c r="D241" s="82">
        <v>15120.060000000001</v>
      </c>
    </row>
    <row r="242" spans="1:4" x14ac:dyDescent="0.3">
      <c r="A242" t="s">
        <v>33</v>
      </c>
      <c r="C242" s="16">
        <v>46151</v>
      </c>
      <c r="D242" s="82">
        <v>31323.39</v>
      </c>
    </row>
    <row r="243" spans="1:4" x14ac:dyDescent="0.3">
      <c r="A243" t="s">
        <v>34</v>
      </c>
      <c r="C243" s="16">
        <v>46151</v>
      </c>
      <c r="D243" s="82">
        <v>345</v>
      </c>
    </row>
    <row r="244" spans="1:4" x14ac:dyDescent="0.3">
      <c r="A244" t="s">
        <v>35</v>
      </c>
      <c r="C244" s="16">
        <v>46151</v>
      </c>
      <c r="D244" s="82">
        <v>23782.25</v>
      </c>
    </row>
    <row r="245" spans="1:4" x14ac:dyDescent="0.3">
      <c r="A245" t="s">
        <v>193</v>
      </c>
      <c r="C245" s="16">
        <v>46151</v>
      </c>
      <c r="D245" s="82">
        <v>0</v>
      </c>
    </row>
    <row r="246" spans="1:4" x14ac:dyDescent="0.3">
      <c r="A246" t="s">
        <v>214</v>
      </c>
      <c r="C246" s="16">
        <v>46151</v>
      </c>
      <c r="D246" s="82">
        <v>0</v>
      </c>
    </row>
    <row r="247" spans="1:4" x14ac:dyDescent="0.3">
      <c r="A247" t="s">
        <v>194</v>
      </c>
      <c r="C247" s="16">
        <v>46151</v>
      </c>
      <c r="D247" s="82">
        <v>0</v>
      </c>
    </row>
    <row r="248" spans="1:4" x14ac:dyDescent="0.3">
      <c r="A248" t="s">
        <v>195</v>
      </c>
      <c r="C248" s="16">
        <v>46151</v>
      </c>
      <c r="D248" s="82">
        <v>0</v>
      </c>
    </row>
    <row r="249" spans="1:4" x14ac:dyDescent="0.3">
      <c r="A249" t="s">
        <v>196</v>
      </c>
      <c r="C249" s="16">
        <v>46151</v>
      </c>
      <c r="D249" s="82">
        <v>0</v>
      </c>
    </row>
    <row r="250" spans="1:4" x14ac:dyDescent="0.3">
      <c r="A250" t="s">
        <v>197</v>
      </c>
      <c r="C250" s="16">
        <v>46151</v>
      </c>
      <c r="D250" s="82">
        <v>0</v>
      </c>
    </row>
    <row r="251" spans="1:4" x14ac:dyDescent="0.3">
      <c r="A251" t="s">
        <v>212</v>
      </c>
      <c r="C251" s="16">
        <v>46151</v>
      </c>
      <c r="D251" s="82">
        <v>0</v>
      </c>
    </row>
    <row r="252" spans="1:4" x14ac:dyDescent="0.3">
      <c r="A252" t="s">
        <v>199</v>
      </c>
      <c r="C252" s="16">
        <v>46151</v>
      </c>
      <c r="D252" s="82">
        <v>0</v>
      </c>
    </row>
    <row r="253" spans="1:4" x14ac:dyDescent="0.3">
      <c r="A253" t="s">
        <v>216</v>
      </c>
      <c r="C253" s="16">
        <v>46151</v>
      </c>
      <c r="D253" s="82">
        <v>0</v>
      </c>
    </row>
    <row r="254" spans="1:4" x14ac:dyDescent="0.3">
      <c r="A254" t="s">
        <v>17</v>
      </c>
      <c r="C254" s="16">
        <v>46152</v>
      </c>
      <c r="D254" s="82">
        <v>512927.75000000023</v>
      </c>
    </row>
    <row r="255" spans="1:4" x14ac:dyDescent="0.3">
      <c r="A255" t="s">
        <v>18</v>
      </c>
      <c r="C255" s="16">
        <v>46152</v>
      </c>
      <c r="D255" s="82">
        <v>58840.089999999938</v>
      </c>
    </row>
    <row r="256" spans="1:4" x14ac:dyDescent="0.3">
      <c r="A256" t="s">
        <v>19</v>
      </c>
      <c r="C256" s="16">
        <v>46152</v>
      </c>
      <c r="D256" s="82">
        <v>1669.89</v>
      </c>
    </row>
    <row r="257" spans="1:4" x14ac:dyDescent="0.3">
      <c r="A257" t="s">
        <v>20</v>
      </c>
      <c r="C257" s="16">
        <v>46152</v>
      </c>
      <c r="D257" s="82">
        <v>792366.49999999988</v>
      </c>
    </row>
    <row r="258" spans="1:4" x14ac:dyDescent="0.3">
      <c r="A258" t="s">
        <v>21</v>
      </c>
      <c r="C258" s="16">
        <v>46152</v>
      </c>
      <c r="D258" s="82">
        <v>923830.41999999923</v>
      </c>
    </row>
    <row r="259" spans="1:4" x14ac:dyDescent="0.3">
      <c r="A259" t="s">
        <v>22</v>
      </c>
      <c r="C259" s="16">
        <v>46152</v>
      </c>
      <c r="D259" s="82">
        <v>121511.38</v>
      </c>
    </row>
    <row r="260" spans="1:4" x14ac:dyDescent="0.3">
      <c r="A260" t="s">
        <v>23</v>
      </c>
      <c r="C260" s="16">
        <v>46152</v>
      </c>
      <c r="D260" s="82">
        <v>13088.589999999997</v>
      </c>
    </row>
    <row r="261" spans="1:4" x14ac:dyDescent="0.3">
      <c r="A261" t="s">
        <v>24</v>
      </c>
      <c r="C261" s="16">
        <v>46152</v>
      </c>
      <c r="D261" s="82">
        <v>3768.83</v>
      </c>
    </row>
    <row r="262" spans="1:4" x14ac:dyDescent="0.3">
      <c r="A262" t="s">
        <v>25</v>
      </c>
      <c r="C262" s="16">
        <v>46152</v>
      </c>
      <c r="D262" s="82">
        <v>114.3</v>
      </c>
    </row>
    <row r="263" spans="1:4" x14ac:dyDescent="0.3">
      <c r="A263" t="s">
        <v>26</v>
      </c>
      <c r="C263" s="16">
        <v>46152</v>
      </c>
      <c r="D263" s="82">
        <v>2267.7200000000003</v>
      </c>
    </row>
    <row r="264" spans="1:4" x14ac:dyDescent="0.3">
      <c r="A264" t="s">
        <v>27</v>
      </c>
      <c r="C264" s="16">
        <v>46152</v>
      </c>
      <c r="D264" s="82">
        <v>3349.94</v>
      </c>
    </row>
    <row r="265" spans="1:4" x14ac:dyDescent="0.3">
      <c r="A265" t="s">
        <v>28</v>
      </c>
      <c r="C265" s="16">
        <v>46152</v>
      </c>
      <c r="D265" s="82">
        <v>1968.99</v>
      </c>
    </row>
    <row r="266" spans="1:4" x14ac:dyDescent="0.3">
      <c r="A266" t="s">
        <v>29</v>
      </c>
      <c r="C266" s="16">
        <v>46152</v>
      </c>
      <c r="D266" s="82">
        <v>901.34</v>
      </c>
    </row>
    <row r="267" spans="1:4" x14ac:dyDescent="0.3">
      <c r="A267" t="s">
        <v>30</v>
      </c>
      <c r="C267" s="16">
        <v>46152</v>
      </c>
      <c r="D267" s="82">
        <v>1444.08</v>
      </c>
    </row>
    <row r="268" spans="1:4" x14ac:dyDescent="0.3">
      <c r="A268" t="s">
        <v>31</v>
      </c>
      <c r="C268" s="16">
        <v>46152</v>
      </c>
      <c r="D268" s="82">
        <v>20592.599999999962</v>
      </c>
    </row>
    <row r="269" spans="1:4" x14ac:dyDescent="0.3">
      <c r="A269" t="s">
        <v>32</v>
      </c>
      <c r="C269" s="16">
        <v>46152</v>
      </c>
      <c r="D269" s="82">
        <v>15120.060000000001</v>
      </c>
    </row>
    <row r="270" spans="1:4" x14ac:dyDescent="0.3">
      <c r="A270" t="s">
        <v>33</v>
      </c>
      <c r="C270" s="16">
        <v>46152</v>
      </c>
      <c r="D270" s="82">
        <v>31323.39</v>
      </c>
    </row>
    <row r="271" spans="1:4" x14ac:dyDescent="0.3">
      <c r="A271" t="s">
        <v>34</v>
      </c>
      <c r="C271" s="16">
        <v>46152</v>
      </c>
      <c r="D271" s="82">
        <v>345</v>
      </c>
    </row>
    <row r="272" spans="1:4" x14ac:dyDescent="0.3">
      <c r="A272" t="s">
        <v>35</v>
      </c>
      <c r="C272" s="16">
        <v>46152</v>
      </c>
      <c r="D272" s="82">
        <v>23782.25</v>
      </c>
    </row>
    <row r="273" spans="1:4" x14ac:dyDescent="0.3">
      <c r="A273" t="s">
        <v>193</v>
      </c>
      <c r="C273" s="16">
        <v>46152</v>
      </c>
      <c r="D273" s="82">
        <v>0</v>
      </c>
    </row>
    <row r="274" spans="1:4" x14ac:dyDescent="0.3">
      <c r="A274" t="s">
        <v>214</v>
      </c>
      <c r="C274" s="16">
        <v>46152</v>
      </c>
      <c r="D274" s="82">
        <v>0</v>
      </c>
    </row>
    <row r="275" spans="1:4" x14ac:dyDescent="0.3">
      <c r="A275" t="s">
        <v>194</v>
      </c>
      <c r="C275" s="16">
        <v>46152</v>
      </c>
      <c r="D275" s="82">
        <v>0</v>
      </c>
    </row>
    <row r="276" spans="1:4" x14ac:dyDescent="0.3">
      <c r="A276" t="s">
        <v>195</v>
      </c>
      <c r="C276" s="16">
        <v>46152</v>
      </c>
      <c r="D276" s="82">
        <v>0</v>
      </c>
    </row>
    <row r="277" spans="1:4" x14ac:dyDescent="0.3">
      <c r="A277" t="s">
        <v>196</v>
      </c>
      <c r="C277" s="16">
        <v>46152</v>
      </c>
      <c r="D277" s="82">
        <v>0</v>
      </c>
    </row>
    <row r="278" spans="1:4" x14ac:dyDescent="0.3">
      <c r="A278" t="s">
        <v>197</v>
      </c>
      <c r="C278" s="16">
        <v>46152</v>
      </c>
      <c r="D278" s="82">
        <v>0</v>
      </c>
    </row>
    <row r="279" spans="1:4" x14ac:dyDescent="0.3">
      <c r="A279" t="s">
        <v>212</v>
      </c>
      <c r="C279" s="16">
        <v>46152</v>
      </c>
      <c r="D279" s="82">
        <v>0</v>
      </c>
    </row>
    <row r="280" spans="1:4" x14ac:dyDescent="0.3">
      <c r="A280" t="s">
        <v>199</v>
      </c>
      <c r="C280" s="16">
        <v>46152</v>
      </c>
      <c r="D280" s="82">
        <v>0</v>
      </c>
    </row>
    <row r="281" spans="1:4" x14ac:dyDescent="0.3">
      <c r="A281" t="s">
        <v>216</v>
      </c>
      <c r="C281" s="16">
        <v>46152</v>
      </c>
      <c r="D281" s="82">
        <v>0</v>
      </c>
    </row>
    <row r="282" spans="1:4" x14ac:dyDescent="0.3">
      <c r="A282" t="s">
        <v>17</v>
      </c>
      <c r="C282" s="16">
        <v>46153</v>
      </c>
      <c r="D282" s="82">
        <v>512927.75000000023</v>
      </c>
    </row>
    <row r="283" spans="1:4" x14ac:dyDescent="0.3">
      <c r="A283" t="s">
        <v>18</v>
      </c>
      <c r="C283" s="16">
        <v>46153</v>
      </c>
      <c r="D283" s="82">
        <v>58840.089999999938</v>
      </c>
    </row>
    <row r="284" spans="1:4" x14ac:dyDescent="0.3">
      <c r="A284" t="s">
        <v>19</v>
      </c>
      <c r="C284" s="16">
        <v>46153</v>
      </c>
      <c r="D284" s="82">
        <v>1669.89</v>
      </c>
    </row>
    <row r="285" spans="1:4" x14ac:dyDescent="0.3">
      <c r="A285" t="s">
        <v>20</v>
      </c>
      <c r="C285" s="16">
        <v>46153</v>
      </c>
      <c r="D285" s="82">
        <v>1368366.5</v>
      </c>
    </row>
    <row r="286" spans="1:4" x14ac:dyDescent="0.3">
      <c r="A286" t="s">
        <v>21</v>
      </c>
      <c r="C286" s="16">
        <v>46153</v>
      </c>
      <c r="D286" s="82">
        <v>1162513.7699999993</v>
      </c>
    </row>
    <row r="287" spans="1:4" x14ac:dyDescent="0.3">
      <c r="A287" t="s">
        <v>22</v>
      </c>
      <c r="C287" s="16">
        <v>46153</v>
      </c>
      <c r="D287" s="82">
        <v>121511.38</v>
      </c>
    </row>
    <row r="288" spans="1:4" x14ac:dyDescent="0.3">
      <c r="A288" t="s">
        <v>23</v>
      </c>
      <c r="C288" s="16">
        <v>46153</v>
      </c>
      <c r="D288" s="82">
        <v>13088.589999999997</v>
      </c>
    </row>
    <row r="289" spans="1:4" x14ac:dyDescent="0.3">
      <c r="A289" t="s">
        <v>24</v>
      </c>
      <c r="C289" s="16">
        <v>46153</v>
      </c>
      <c r="D289" s="82">
        <v>3768.83</v>
      </c>
    </row>
    <row r="290" spans="1:4" x14ac:dyDescent="0.3">
      <c r="A290" t="s">
        <v>25</v>
      </c>
      <c r="C290" s="16">
        <v>46153</v>
      </c>
      <c r="D290" s="82">
        <v>114.3</v>
      </c>
    </row>
    <row r="291" spans="1:4" x14ac:dyDescent="0.3">
      <c r="A291" t="s">
        <v>26</v>
      </c>
      <c r="C291" s="16">
        <v>46153</v>
      </c>
      <c r="D291" s="82">
        <v>2267.7200000000003</v>
      </c>
    </row>
    <row r="292" spans="1:4" x14ac:dyDescent="0.3">
      <c r="A292" t="s">
        <v>27</v>
      </c>
      <c r="C292" s="16">
        <v>46153</v>
      </c>
      <c r="D292" s="82">
        <v>3349.94</v>
      </c>
    </row>
    <row r="293" spans="1:4" x14ac:dyDescent="0.3">
      <c r="A293" t="s">
        <v>28</v>
      </c>
      <c r="C293" s="16">
        <v>46153</v>
      </c>
      <c r="D293" s="82">
        <v>1968.99</v>
      </c>
    </row>
    <row r="294" spans="1:4" x14ac:dyDescent="0.3">
      <c r="A294" t="s">
        <v>29</v>
      </c>
      <c r="C294" s="16">
        <v>46153</v>
      </c>
      <c r="D294" s="82">
        <v>901.34</v>
      </c>
    </row>
    <row r="295" spans="1:4" x14ac:dyDescent="0.3">
      <c r="A295" t="s">
        <v>30</v>
      </c>
      <c r="C295" s="16">
        <v>46153</v>
      </c>
      <c r="D295" s="82">
        <v>1444.08</v>
      </c>
    </row>
    <row r="296" spans="1:4" x14ac:dyDescent="0.3">
      <c r="A296" t="s">
        <v>31</v>
      </c>
      <c r="C296" s="16">
        <v>46153</v>
      </c>
      <c r="D296" s="82">
        <v>19092.599999999962</v>
      </c>
    </row>
    <row r="297" spans="1:4" x14ac:dyDescent="0.3">
      <c r="A297" t="s">
        <v>32</v>
      </c>
      <c r="C297" s="16">
        <v>46153</v>
      </c>
      <c r="D297" s="82">
        <v>15120.060000000001</v>
      </c>
    </row>
    <row r="298" spans="1:4" x14ac:dyDescent="0.3">
      <c r="A298" t="s">
        <v>33</v>
      </c>
      <c r="C298" s="16">
        <v>46153</v>
      </c>
      <c r="D298" s="82">
        <v>31323.39</v>
      </c>
    </row>
    <row r="299" spans="1:4" x14ac:dyDescent="0.3">
      <c r="A299" t="s">
        <v>34</v>
      </c>
      <c r="C299" s="16">
        <v>46153</v>
      </c>
      <c r="D299" s="82">
        <v>345</v>
      </c>
    </row>
    <row r="300" spans="1:4" x14ac:dyDescent="0.3">
      <c r="A300" t="s">
        <v>35</v>
      </c>
      <c r="C300" s="16">
        <v>46153</v>
      </c>
      <c r="D300" s="82">
        <v>16956.59</v>
      </c>
    </row>
    <row r="301" spans="1:4" x14ac:dyDescent="0.3">
      <c r="A301" t="s">
        <v>193</v>
      </c>
      <c r="C301" s="16">
        <v>46153</v>
      </c>
      <c r="D301" s="82">
        <v>0</v>
      </c>
    </row>
    <row r="302" spans="1:4" x14ac:dyDescent="0.3">
      <c r="A302" t="s">
        <v>214</v>
      </c>
      <c r="C302" s="16">
        <v>46153</v>
      </c>
      <c r="D302" s="82">
        <v>0</v>
      </c>
    </row>
    <row r="303" spans="1:4" x14ac:dyDescent="0.3">
      <c r="A303" t="s">
        <v>194</v>
      </c>
      <c r="C303" s="16">
        <v>46153</v>
      </c>
      <c r="D303" s="82">
        <v>0</v>
      </c>
    </row>
    <row r="304" spans="1:4" x14ac:dyDescent="0.3">
      <c r="A304" t="s">
        <v>195</v>
      </c>
      <c r="C304" s="16">
        <v>46153</v>
      </c>
      <c r="D304" s="82">
        <v>0</v>
      </c>
    </row>
    <row r="305" spans="1:4" x14ac:dyDescent="0.3">
      <c r="A305" t="s">
        <v>196</v>
      </c>
      <c r="C305" s="16">
        <v>46153</v>
      </c>
      <c r="D305" s="82">
        <v>0</v>
      </c>
    </row>
    <row r="306" spans="1:4" x14ac:dyDescent="0.3">
      <c r="A306" t="s">
        <v>197</v>
      </c>
      <c r="C306" s="16">
        <v>46153</v>
      </c>
      <c r="D306" s="82">
        <v>0</v>
      </c>
    </row>
    <row r="307" spans="1:4" x14ac:dyDescent="0.3">
      <c r="A307" t="s">
        <v>212</v>
      </c>
      <c r="C307" s="16">
        <v>46153</v>
      </c>
      <c r="D307" s="82">
        <v>0</v>
      </c>
    </row>
    <row r="308" spans="1:4" x14ac:dyDescent="0.3">
      <c r="A308" t="s">
        <v>199</v>
      </c>
      <c r="C308" s="16">
        <v>46153</v>
      </c>
      <c r="D308" s="82">
        <v>0</v>
      </c>
    </row>
    <row r="309" spans="1:4" x14ac:dyDescent="0.3">
      <c r="A309" t="s">
        <v>216</v>
      </c>
      <c r="C309" s="16">
        <v>46153</v>
      </c>
      <c r="D309" s="82">
        <v>0</v>
      </c>
    </row>
    <row r="310" spans="1:4" x14ac:dyDescent="0.3">
      <c r="A310" t="s">
        <v>17</v>
      </c>
      <c r="C310" s="16">
        <v>46154</v>
      </c>
      <c r="D310" s="82">
        <v>606714.4700000002</v>
      </c>
    </row>
    <row r="311" spans="1:4" x14ac:dyDescent="0.3">
      <c r="A311" t="s">
        <v>18</v>
      </c>
      <c r="C311" s="16">
        <v>46154</v>
      </c>
      <c r="D311" s="82">
        <v>58840.089999999938</v>
      </c>
    </row>
    <row r="312" spans="1:4" x14ac:dyDescent="0.3">
      <c r="A312" t="s">
        <v>19</v>
      </c>
      <c r="C312" s="16">
        <v>46154</v>
      </c>
      <c r="D312" s="82">
        <v>1669.89</v>
      </c>
    </row>
    <row r="313" spans="1:4" x14ac:dyDescent="0.3">
      <c r="A313" t="s">
        <v>20</v>
      </c>
      <c r="C313" s="16">
        <v>46154</v>
      </c>
      <c r="D313" s="82">
        <v>1226185.8999999999</v>
      </c>
    </row>
    <row r="314" spans="1:4" x14ac:dyDescent="0.3">
      <c r="A314" t="s">
        <v>21</v>
      </c>
      <c r="C314" s="16">
        <v>46154</v>
      </c>
      <c r="D314" s="82">
        <v>1162404.8599999992</v>
      </c>
    </row>
    <row r="315" spans="1:4" x14ac:dyDescent="0.3">
      <c r="A315" t="s">
        <v>22</v>
      </c>
      <c r="C315" s="16">
        <v>46154</v>
      </c>
      <c r="D315" s="82">
        <v>121511.38</v>
      </c>
    </row>
    <row r="316" spans="1:4" x14ac:dyDescent="0.3">
      <c r="A316" t="s">
        <v>23</v>
      </c>
      <c r="C316" s="16">
        <v>46154</v>
      </c>
      <c r="D316" s="82">
        <v>13088.589999999997</v>
      </c>
    </row>
    <row r="317" spans="1:4" x14ac:dyDescent="0.3">
      <c r="A317" t="s">
        <v>24</v>
      </c>
      <c r="C317" s="16">
        <v>46154</v>
      </c>
      <c r="D317" s="82">
        <v>3768.83</v>
      </c>
    </row>
    <row r="318" spans="1:4" x14ac:dyDescent="0.3">
      <c r="A318" t="s">
        <v>25</v>
      </c>
      <c r="C318" s="16">
        <v>46154</v>
      </c>
      <c r="D318" s="82">
        <v>114.3</v>
      </c>
    </row>
    <row r="319" spans="1:4" x14ac:dyDescent="0.3">
      <c r="A319" t="s">
        <v>26</v>
      </c>
      <c r="C319" s="16">
        <v>46154</v>
      </c>
      <c r="D319" s="82">
        <v>2267.7200000000003</v>
      </c>
    </row>
    <row r="320" spans="1:4" x14ac:dyDescent="0.3">
      <c r="A320" t="s">
        <v>27</v>
      </c>
      <c r="C320" s="16">
        <v>46154</v>
      </c>
      <c r="D320" s="82">
        <v>3349.94</v>
      </c>
    </row>
    <row r="321" spans="1:4" x14ac:dyDescent="0.3">
      <c r="A321" t="s">
        <v>28</v>
      </c>
      <c r="C321" s="16">
        <v>46154</v>
      </c>
      <c r="D321" s="82">
        <v>1968.99</v>
      </c>
    </row>
    <row r="322" spans="1:4" x14ac:dyDescent="0.3">
      <c r="A322" t="s">
        <v>29</v>
      </c>
      <c r="C322" s="16">
        <v>46154</v>
      </c>
      <c r="D322" s="82">
        <v>901.34</v>
      </c>
    </row>
    <row r="323" spans="1:4" x14ac:dyDescent="0.3">
      <c r="A323" t="s">
        <v>30</v>
      </c>
      <c r="C323" s="16">
        <v>46154</v>
      </c>
      <c r="D323" s="82">
        <v>1444.08</v>
      </c>
    </row>
    <row r="324" spans="1:4" x14ac:dyDescent="0.3">
      <c r="A324" t="s">
        <v>31</v>
      </c>
      <c r="C324" s="16">
        <v>46154</v>
      </c>
      <c r="D324" s="82">
        <v>19092.599999999962</v>
      </c>
    </row>
    <row r="325" spans="1:4" x14ac:dyDescent="0.3">
      <c r="A325" t="s">
        <v>32</v>
      </c>
      <c r="C325" s="16">
        <v>46154</v>
      </c>
      <c r="D325" s="82">
        <v>15120.060000000001</v>
      </c>
    </row>
    <row r="326" spans="1:4" x14ac:dyDescent="0.3">
      <c r="A326" t="s">
        <v>33</v>
      </c>
      <c r="C326" s="16">
        <v>46154</v>
      </c>
      <c r="D326" s="82">
        <v>31323.39</v>
      </c>
    </row>
    <row r="327" spans="1:4" x14ac:dyDescent="0.3">
      <c r="A327" t="s">
        <v>34</v>
      </c>
      <c r="C327" s="16">
        <v>46154</v>
      </c>
      <c r="D327" s="82">
        <v>345</v>
      </c>
    </row>
    <row r="328" spans="1:4" x14ac:dyDescent="0.3">
      <c r="A328" t="s">
        <v>35</v>
      </c>
      <c r="C328" s="16">
        <v>46154</v>
      </c>
      <c r="D328" s="82">
        <v>16741.59</v>
      </c>
    </row>
    <row r="329" spans="1:4" x14ac:dyDescent="0.3">
      <c r="A329" t="s">
        <v>193</v>
      </c>
      <c r="C329" s="16">
        <v>46154</v>
      </c>
      <c r="D329" s="82">
        <v>0</v>
      </c>
    </row>
    <row r="330" spans="1:4" x14ac:dyDescent="0.3">
      <c r="A330" t="s">
        <v>214</v>
      </c>
      <c r="C330" s="16">
        <v>46154</v>
      </c>
      <c r="D330" s="82">
        <v>0</v>
      </c>
    </row>
    <row r="331" spans="1:4" x14ac:dyDescent="0.3">
      <c r="A331" t="s">
        <v>194</v>
      </c>
      <c r="C331" s="16">
        <v>46154</v>
      </c>
      <c r="D331" s="82">
        <v>0</v>
      </c>
    </row>
    <row r="332" spans="1:4" x14ac:dyDescent="0.3">
      <c r="A332" t="s">
        <v>195</v>
      </c>
      <c r="C332" s="16">
        <v>46154</v>
      </c>
      <c r="D332" s="82">
        <v>0</v>
      </c>
    </row>
    <row r="333" spans="1:4" x14ac:dyDescent="0.3">
      <c r="A333" t="s">
        <v>196</v>
      </c>
      <c r="C333" s="16">
        <v>46154</v>
      </c>
      <c r="D333" s="82">
        <v>0</v>
      </c>
    </row>
    <row r="334" spans="1:4" x14ac:dyDescent="0.3">
      <c r="A334" t="s">
        <v>197</v>
      </c>
      <c r="C334" s="16">
        <v>46154</v>
      </c>
      <c r="D334" s="82">
        <v>0</v>
      </c>
    </row>
    <row r="335" spans="1:4" x14ac:dyDescent="0.3">
      <c r="A335" t="s">
        <v>212</v>
      </c>
      <c r="C335" s="16">
        <v>46154</v>
      </c>
      <c r="D335" s="82">
        <v>0</v>
      </c>
    </row>
    <row r="336" spans="1:4" x14ac:dyDescent="0.3">
      <c r="A336" t="s">
        <v>199</v>
      </c>
      <c r="C336" s="16">
        <v>46154</v>
      </c>
      <c r="D336" s="82">
        <v>0</v>
      </c>
    </row>
    <row r="337" spans="1:4" x14ac:dyDescent="0.3">
      <c r="A337" t="s">
        <v>216</v>
      </c>
      <c r="C337" s="16">
        <v>46154</v>
      </c>
      <c r="D337" s="82">
        <v>0</v>
      </c>
    </row>
    <row r="338" spans="1:4" x14ac:dyDescent="0.3">
      <c r="A338" t="s">
        <v>17</v>
      </c>
      <c r="C338" s="16">
        <v>46155</v>
      </c>
      <c r="D338" s="82">
        <v>606714.4700000002</v>
      </c>
    </row>
    <row r="339" spans="1:4" x14ac:dyDescent="0.3">
      <c r="A339" t="s">
        <v>18</v>
      </c>
      <c r="C339" s="16">
        <v>46155</v>
      </c>
      <c r="D339" s="82">
        <v>58840.089999999938</v>
      </c>
    </row>
    <row r="340" spans="1:4" x14ac:dyDescent="0.3">
      <c r="A340" t="s">
        <v>19</v>
      </c>
      <c r="C340" s="16">
        <v>46155</v>
      </c>
      <c r="D340" s="82">
        <v>1669.89</v>
      </c>
    </row>
    <row r="341" spans="1:4" x14ac:dyDescent="0.3">
      <c r="A341" t="s">
        <v>20</v>
      </c>
      <c r="C341" s="16">
        <v>46155</v>
      </c>
      <c r="D341" s="82">
        <v>1242679.67</v>
      </c>
    </row>
    <row r="342" spans="1:4" x14ac:dyDescent="0.3">
      <c r="A342" t="s">
        <v>21</v>
      </c>
      <c r="C342" s="16">
        <v>46155</v>
      </c>
      <c r="D342" s="82">
        <v>1162404.8599999992</v>
      </c>
    </row>
    <row r="343" spans="1:4" x14ac:dyDescent="0.3">
      <c r="A343" t="s">
        <v>22</v>
      </c>
      <c r="C343" s="16">
        <v>46155</v>
      </c>
      <c r="D343" s="82">
        <v>121511.38</v>
      </c>
    </row>
    <row r="344" spans="1:4" x14ac:dyDescent="0.3">
      <c r="A344" t="s">
        <v>23</v>
      </c>
      <c r="C344" s="16">
        <v>46155</v>
      </c>
      <c r="D344" s="82">
        <v>13090.369999999997</v>
      </c>
    </row>
    <row r="345" spans="1:4" x14ac:dyDescent="0.3">
      <c r="A345" t="s">
        <v>24</v>
      </c>
      <c r="C345" s="16">
        <v>46155</v>
      </c>
      <c r="D345" s="82">
        <v>2498.3999999999996</v>
      </c>
    </row>
    <row r="346" spans="1:4" x14ac:dyDescent="0.3">
      <c r="A346" t="s">
        <v>25</v>
      </c>
      <c r="C346" s="16">
        <v>46155</v>
      </c>
      <c r="D346" s="82">
        <v>114.3</v>
      </c>
    </row>
    <row r="347" spans="1:4" x14ac:dyDescent="0.3">
      <c r="A347" t="s">
        <v>26</v>
      </c>
      <c r="C347" s="16">
        <v>46155</v>
      </c>
      <c r="D347" s="82">
        <v>2267.7200000000003</v>
      </c>
    </row>
    <row r="348" spans="1:4" x14ac:dyDescent="0.3">
      <c r="A348" t="s">
        <v>27</v>
      </c>
      <c r="C348" s="16">
        <v>46155</v>
      </c>
      <c r="D348" s="82">
        <v>3349.94</v>
      </c>
    </row>
    <row r="349" spans="1:4" x14ac:dyDescent="0.3">
      <c r="A349" t="s">
        <v>28</v>
      </c>
      <c r="C349" s="16">
        <v>46155</v>
      </c>
      <c r="D349" s="82">
        <v>1968.99</v>
      </c>
    </row>
    <row r="350" spans="1:4" x14ac:dyDescent="0.3">
      <c r="A350" t="s">
        <v>29</v>
      </c>
      <c r="C350" s="16">
        <v>46155</v>
      </c>
      <c r="D350" s="82">
        <v>901.34</v>
      </c>
    </row>
    <row r="351" spans="1:4" x14ac:dyDescent="0.3">
      <c r="A351" t="s">
        <v>30</v>
      </c>
      <c r="C351" s="16">
        <v>46155</v>
      </c>
      <c r="D351" s="82">
        <v>1444.08</v>
      </c>
    </row>
    <row r="352" spans="1:4" x14ac:dyDescent="0.3">
      <c r="A352" t="s">
        <v>31</v>
      </c>
      <c r="C352" s="16">
        <v>46155</v>
      </c>
      <c r="D352" s="82">
        <v>18242.599999999962</v>
      </c>
    </row>
    <row r="353" spans="1:4" x14ac:dyDescent="0.3">
      <c r="A353" t="s">
        <v>32</v>
      </c>
      <c r="C353" s="16">
        <v>46155</v>
      </c>
      <c r="D353" s="82">
        <v>15120.060000000001</v>
      </c>
    </row>
    <row r="354" spans="1:4" x14ac:dyDescent="0.3">
      <c r="A354" t="s">
        <v>33</v>
      </c>
      <c r="C354" s="16">
        <v>46155</v>
      </c>
      <c r="D354" s="82">
        <v>31323.39</v>
      </c>
    </row>
    <row r="355" spans="1:4" x14ac:dyDescent="0.3">
      <c r="A355" t="s">
        <v>34</v>
      </c>
      <c r="C355" s="16">
        <v>46155</v>
      </c>
      <c r="D355" s="82">
        <v>345</v>
      </c>
    </row>
    <row r="356" spans="1:4" x14ac:dyDescent="0.3">
      <c r="A356" t="s">
        <v>35</v>
      </c>
      <c r="C356" s="16">
        <v>46155</v>
      </c>
      <c r="D356" s="82">
        <v>16741.59</v>
      </c>
    </row>
    <row r="357" spans="1:4" x14ac:dyDescent="0.3">
      <c r="A357" t="s">
        <v>193</v>
      </c>
      <c r="C357" s="16">
        <v>46155</v>
      </c>
      <c r="D357" s="82">
        <v>0</v>
      </c>
    </row>
    <row r="358" spans="1:4" x14ac:dyDescent="0.3">
      <c r="A358" t="s">
        <v>214</v>
      </c>
      <c r="C358" s="16">
        <v>46155</v>
      </c>
      <c r="D358" s="82">
        <v>0</v>
      </c>
    </row>
    <row r="359" spans="1:4" x14ac:dyDescent="0.3">
      <c r="A359" t="s">
        <v>194</v>
      </c>
      <c r="C359" s="16">
        <v>46155</v>
      </c>
      <c r="D359" s="82">
        <v>0</v>
      </c>
    </row>
    <row r="360" spans="1:4" x14ac:dyDescent="0.3">
      <c r="A360" t="s">
        <v>195</v>
      </c>
      <c r="C360" s="16">
        <v>46155</v>
      </c>
      <c r="D360" s="82">
        <v>0</v>
      </c>
    </row>
    <row r="361" spans="1:4" x14ac:dyDescent="0.3">
      <c r="A361" t="s">
        <v>196</v>
      </c>
      <c r="C361" s="16">
        <v>46155</v>
      </c>
      <c r="D361" s="82">
        <v>0</v>
      </c>
    </row>
    <row r="362" spans="1:4" x14ac:dyDescent="0.3">
      <c r="A362" t="s">
        <v>197</v>
      </c>
      <c r="C362" s="16">
        <v>46155</v>
      </c>
      <c r="D362" s="82">
        <v>0</v>
      </c>
    </row>
    <row r="363" spans="1:4" x14ac:dyDescent="0.3">
      <c r="A363" t="s">
        <v>212</v>
      </c>
      <c r="C363" s="16">
        <v>46155</v>
      </c>
      <c r="D363" s="82">
        <v>0</v>
      </c>
    </row>
    <row r="364" spans="1:4" x14ac:dyDescent="0.3">
      <c r="A364" t="s">
        <v>199</v>
      </c>
      <c r="C364" s="16">
        <v>46155</v>
      </c>
      <c r="D364" s="82">
        <v>0</v>
      </c>
    </row>
    <row r="365" spans="1:4" x14ac:dyDescent="0.3">
      <c r="A365" t="s">
        <v>216</v>
      </c>
      <c r="C365" s="16">
        <v>46155</v>
      </c>
      <c r="D365" s="82">
        <v>0</v>
      </c>
    </row>
    <row r="366" spans="1:4" x14ac:dyDescent="0.3">
      <c r="A366" t="s">
        <v>17</v>
      </c>
      <c r="C366" s="16">
        <v>46156</v>
      </c>
      <c r="D366" s="82">
        <v>165752.81000000023</v>
      </c>
    </row>
    <row r="367" spans="1:4" x14ac:dyDescent="0.3">
      <c r="A367" t="s">
        <v>18</v>
      </c>
      <c r="C367" s="16">
        <v>46156</v>
      </c>
      <c r="D367" s="82">
        <v>59760.159999999938</v>
      </c>
    </row>
    <row r="368" spans="1:4" x14ac:dyDescent="0.3">
      <c r="A368" t="s">
        <v>19</v>
      </c>
      <c r="C368" s="16">
        <v>46156</v>
      </c>
      <c r="D368" s="82">
        <v>1669.89</v>
      </c>
    </row>
    <row r="369" spans="1:4" x14ac:dyDescent="0.3">
      <c r="A369" t="s">
        <v>20</v>
      </c>
      <c r="C369" s="16">
        <v>46156</v>
      </c>
      <c r="D369" s="82">
        <v>832679.66999999981</v>
      </c>
    </row>
    <row r="370" spans="1:4" x14ac:dyDescent="0.3">
      <c r="A370" t="s">
        <v>21</v>
      </c>
      <c r="C370" s="16">
        <v>46156</v>
      </c>
      <c r="D370" s="82">
        <v>952193.18999999925</v>
      </c>
    </row>
    <row r="371" spans="1:4" x14ac:dyDescent="0.3">
      <c r="A371" t="s">
        <v>22</v>
      </c>
      <c r="C371" s="16">
        <v>46156</v>
      </c>
      <c r="D371" s="82">
        <v>121511.38</v>
      </c>
    </row>
    <row r="372" spans="1:4" x14ac:dyDescent="0.3">
      <c r="A372" t="s">
        <v>23</v>
      </c>
      <c r="C372" s="16">
        <v>46156</v>
      </c>
      <c r="D372" s="82">
        <v>13090.369999999997</v>
      </c>
    </row>
    <row r="373" spans="1:4" x14ac:dyDescent="0.3">
      <c r="A373" t="s">
        <v>24</v>
      </c>
      <c r="C373" s="16">
        <v>46156</v>
      </c>
      <c r="D373" s="82">
        <v>2498.3999999999996</v>
      </c>
    </row>
    <row r="374" spans="1:4" x14ac:dyDescent="0.3">
      <c r="A374" t="s">
        <v>25</v>
      </c>
      <c r="C374" s="16">
        <v>46156</v>
      </c>
      <c r="D374" s="82">
        <v>114.3</v>
      </c>
    </row>
    <row r="375" spans="1:4" x14ac:dyDescent="0.3">
      <c r="A375" t="s">
        <v>26</v>
      </c>
      <c r="C375" s="16">
        <v>46156</v>
      </c>
      <c r="D375" s="82">
        <v>2267.7200000000003</v>
      </c>
    </row>
    <row r="376" spans="1:4" x14ac:dyDescent="0.3">
      <c r="A376" t="s">
        <v>27</v>
      </c>
      <c r="C376" s="16">
        <v>46156</v>
      </c>
      <c r="D376" s="82">
        <v>3349.94</v>
      </c>
    </row>
    <row r="377" spans="1:4" x14ac:dyDescent="0.3">
      <c r="A377" t="s">
        <v>28</v>
      </c>
      <c r="C377" s="16">
        <v>46156</v>
      </c>
      <c r="D377" s="82">
        <v>1968.99</v>
      </c>
    </row>
    <row r="378" spans="1:4" x14ac:dyDescent="0.3">
      <c r="A378" t="s">
        <v>29</v>
      </c>
      <c r="C378" s="16">
        <v>46156</v>
      </c>
      <c r="D378" s="82">
        <v>901.34</v>
      </c>
    </row>
    <row r="379" spans="1:4" x14ac:dyDescent="0.3">
      <c r="A379" t="s">
        <v>30</v>
      </c>
      <c r="C379" s="16">
        <v>46156</v>
      </c>
      <c r="D379" s="82">
        <v>1444.08</v>
      </c>
    </row>
    <row r="380" spans="1:4" x14ac:dyDescent="0.3">
      <c r="A380" t="s">
        <v>31</v>
      </c>
      <c r="C380" s="16">
        <v>46156</v>
      </c>
      <c r="D380" s="82">
        <v>18242.599999999962</v>
      </c>
    </row>
    <row r="381" spans="1:4" x14ac:dyDescent="0.3">
      <c r="A381" t="s">
        <v>32</v>
      </c>
      <c r="C381" s="16">
        <v>46156</v>
      </c>
      <c r="D381" s="82">
        <v>15120.060000000001</v>
      </c>
    </row>
    <row r="382" spans="1:4" x14ac:dyDescent="0.3">
      <c r="A382" t="s">
        <v>33</v>
      </c>
      <c r="C382" s="16">
        <v>46156</v>
      </c>
      <c r="D382" s="82">
        <v>31323.39</v>
      </c>
    </row>
    <row r="383" spans="1:4" x14ac:dyDescent="0.3">
      <c r="A383" t="s">
        <v>34</v>
      </c>
      <c r="C383" s="16">
        <v>46156</v>
      </c>
      <c r="D383" s="82">
        <v>345</v>
      </c>
    </row>
    <row r="384" spans="1:4" x14ac:dyDescent="0.3">
      <c r="A384" t="s">
        <v>35</v>
      </c>
      <c r="C384" s="16">
        <v>46156</v>
      </c>
      <c r="D384" s="82">
        <v>14226.59</v>
      </c>
    </row>
    <row r="385" spans="1:4" x14ac:dyDescent="0.3">
      <c r="A385" t="s">
        <v>193</v>
      </c>
      <c r="C385" s="16">
        <v>46156</v>
      </c>
      <c r="D385" s="82">
        <v>0</v>
      </c>
    </row>
    <row r="386" spans="1:4" x14ac:dyDescent="0.3">
      <c r="A386" t="s">
        <v>214</v>
      </c>
      <c r="C386" s="16">
        <v>46156</v>
      </c>
      <c r="D386" s="82">
        <v>0</v>
      </c>
    </row>
    <row r="387" spans="1:4" x14ac:dyDescent="0.3">
      <c r="A387" t="s">
        <v>194</v>
      </c>
      <c r="C387" s="16">
        <v>46156</v>
      </c>
      <c r="D387" s="82">
        <v>0</v>
      </c>
    </row>
    <row r="388" spans="1:4" x14ac:dyDescent="0.3">
      <c r="A388" t="s">
        <v>195</v>
      </c>
      <c r="C388" s="16">
        <v>46156</v>
      </c>
      <c r="D388" s="82">
        <v>0</v>
      </c>
    </row>
    <row r="389" spans="1:4" x14ac:dyDescent="0.3">
      <c r="A389" t="s">
        <v>196</v>
      </c>
      <c r="C389" s="16">
        <v>46156</v>
      </c>
      <c r="D389" s="82">
        <v>0</v>
      </c>
    </row>
    <row r="390" spans="1:4" x14ac:dyDescent="0.3">
      <c r="A390" t="s">
        <v>197</v>
      </c>
      <c r="C390" s="16">
        <v>46156</v>
      </c>
      <c r="D390" s="82">
        <v>0</v>
      </c>
    </row>
    <row r="391" spans="1:4" x14ac:dyDescent="0.3">
      <c r="A391" t="s">
        <v>212</v>
      </c>
      <c r="C391" s="16">
        <v>46156</v>
      </c>
      <c r="D391" s="82">
        <v>0</v>
      </c>
    </row>
    <row r="392" spans="1:4" x14ac:dyDescent="0.3">
      <c r="A392" t="s">
        <v>199</v>
      </c>
      <c r="C392" s="16">
        <v>46156</v>
      </c>
      <c r="D392" s="82">
        <v>0</v>
      </c>
    </row>
    <row r="393" spans="1:4" x14ac:dyDescent="0.3">
      <c r="A393" t="s">
        <v>216</v>
      </c>
      <c r="C393" s="16">
        <v>46156</v>
      </c>
      <c r="D393" s="82">
        <v>0</v>
      </c>
    </row>
    <row r="394" spans="1:4" x14ac:dyDescent="0.3">
      <c r="A394" t="s">
        <v>17</v>
      </c>
      <c r="C394" s="16">
        <v>46157</v>
      </c>
      <c r="D394" s="82">
        <v>165752.81000000023</v>
      </c>
    </row>
    <row r="395" spans="1:4" x14ac:dyDescent="0.3">
      <c r="A395" t="s">
        <v>18</v>
      </c>
      <c r="C395" s="16">
        <v>46157</v>
      </c>
      <c r="D395" s="82">
        <v>59760.159999999938</v>
      </c>
    </row>
    <row r="396" spans="1:4" x14ac:dyDescent="0.3">
      <c r="A396" t="s">
        <v>19</v>
      </c>
      <c r="C396" s="16">
        <v>46157</v>
      </c>
      <c r="D396" s="82">
        <v>1669.89</v>
      </c>
    </row>
    <row r="397" spans="1:4" x14ac:dyDescent="0.3">
      <c r="A397" t="s">
        <v>20</v>
      </c>
      <c r="C397" s="16">
        <v>46157</v>
      </c>
      <c r="D397" s="82">
        <v>832076.20999999985</v>
      </c>
    </row>
    <row r="398" spans="1:4" x14ac:dyDescent="0.3">
      <c r="A398" t="s">
        <v>21</v>
      </c>
      <c r="C398" s="16">
        <v>46157</v>
      </c>
      <c r="D398" s="82">
        <v>952163.77999999933</v>
      </c>
    </row>
    <row r="399" spans="1:4" x14ac:dyDescent="0.3">
      <c r="A399" t="s">
        <v>22</v>
      </c>
      <c r="C399" s="16">
        <v>46157</v>
      </c>
      <c r="D399" s="82">
        <v>121511.38</v>
      </c>
    </row>
    <row r="400" spans="1:4" x14ac:dyDescent="0.3">
      <c r="A400" t="s">
        <v>23</v>
      </c>
      <c r="C400" s="16">
        <v>46157</v>
      </c>
      <c r="D400" s="82">
        <v>13090.369999999997</v>
      </c>
    </row>
    <row r="401" spans="1:4" x14ac:dyDescent="0.3">
      <c r="A401" t="s">
        <v>24</v>
      </c>
      <c r="C401" s="16">
        <v>46157</v>
      </c>
      <c r="D401" s="82">
        <v>2498.3999999999996</v>
      </c>
    </row>
    <row r="402" spans="1:4" x14ac:dyDescent="0.3">
      <c r="A402" t="s">
        <v>25</v>
      </c>
      <c r="C402" s="16">
        <v>46157</v>
      </c>
      <c r="D402" s="82">
        <v>114.3</v>
      </c>
    </row>
    <row r="403" spans="1:4" x14ac:dyDescent="0.3">
      <c r="A403" t="s">
        <v>26</v>
      </c>
      <c r="C403" s="16">
        <v>46157</v>
      </c>
      <c r="D403" s="82">
        <v>2267.7200000000003</v>
      </c>
    </row>
    <row r="404" spans="1:4" x14ac:dyDescent="0.3">
      <c r="A404" t="s">
        <v>27</v>
      </c>
      <c r="C404" s="16">
        <v>46157</v>
      </c>
      <c r="D404" s="82">
        <v>3349.94</v>
      </c>
    </row>
    <row r="405" spans="1:4" x14ac:dyDescent="0.3">
      <c r="A405" t="s">
        <v>28</v>
      </c>
      <c r="C405" s="16">
        <v>46157</v>
      </c>
      <c r="D405" s="82">
        <v>1968.99</v>
      </c>
    </row>
    <row r="406" spans="1:4" x14ac:dyDescent="0.3">
      <c r="A406" t="s">
        <v>29</v>
      </c>
      <c r="C406" s="16">
        <v>46157</v>
      </c>
      <c r="D406" s="82">
        <v>901.34</v>
      </c>
    </row>
    <row r="407" spans="1:4" x14ac:dyDescent="0.3">
      <c r="A407" t="s">
        <v>30</v>
      </c>
      <c r="C407" s="16">
        <v>46157</v>
      </c>
      <c r="D407" s="82">
        <v>1444.08</v>
      </c>
    </row>
    <row r="408" spans="1:4" x14ac:dyDescent="0.3">
      <c r="A408" t="s">
        <v>31</v>
      </c>
      <c r="C408" s="16">
        <v>46157</v>
      </c>
      <c r="D408" s="82">
        <v>18242.599999999962</v>
      </c>
    </row>
    <row r="409" spans="1:4" x14ac:dyDescent="0.3">
      <c r="A409" t="s">
        <v>32</v>
      </c>
      <c r="C409" s="16">
        <v>46157</v>
      </c>
      <c r="D409" s="82">
        <v>15120.060000000001</v>
      </c>
    </row>
    <row r="410" spans="1:4" x14ac:dyDescent="0.3">
      <c r="A410" t="s">
        <v>33</v>
      </c>
      <c r="C410" s="16">
        <v>46157</v>
      </c>
      <c r="D410" s="82">
        <v>27011.27</v>
      </c>
    </row>
    <row r="411" spans="1:4" x14ac:dyDescent="0.3">
      <c r="A411" t="s">
        <v>34</v>
      </c>
      <c r="C411" s="16">
        <v>46157</v>
      </c>
      <c r="D411" s="82">
        <v>345</v>
      </c>
    </row>
    <row r="412" spans="1:4" x14ac:dyDescent="0.3">
      <c r="A412" t="s">
        <v>35</v>
      </c>
      <c r="C412" s="16">
        <v>46157</v>
      </c>
      <c r="D412" s="82">
        <v>14176.59</v>
      </c>
    </row>
    <row r="413" spans="1:4" x14ac:dyDescent="0.3">
      <c r="A413" t="s">
        <v>193</v>
      </c>
      <c r="C413" s="16">
        <v>46157</v>
      </c>
      <c r="D413" s="82">
        <v>0</v>
      </c>
    </row>
    <row r="414" spans="1:4" x14ac:dyDescent="0.3">
      <c r="A414" t="s">
        <v>214</v>
      </c>
      <c r="C414" s="16">
        <v>46157</v>
      </c>
      <c r="D414" s="82">
        <v>0</v>
      </c>
    </row>
    <row r="415" spans="1:4" x14ac:dyDescent="0.3">
      <c r="A415" t="s">
        <v>194</v>
      </c>
      <c r="C415" s="16">
        <v>46157</v>
      </c>
      <c r="D415" s="82">
        <v>0</v>
      </c>
    </row>
    <row r="416" spans="1:4" x14ac:dyDescent="0.3">
      <c r="A416" t="s">
        <v>195</v>
      </c>
      <c r="C416" s="16">
        <v>46157</v>
      </c>
      <c r="D416" s="82">
        <v>0</v>
      </c>
    </row>
    <row r="417" spans="1:4" x14ac:dyDescent="0.3">
      <c r="A417" t="s">
        <v>196</v>
      </c>
      <c r="C417" s="16">
        <v>46157</v>
      </c>
      <c r="D417" s="82">
        <v>0</v>
      </c>
    </row>
    <row r="418" spans="1:4" x14ac:dyDescent="0.3">
      <c r="A418" t="s">
        <v>197</v>
      </c>
      <c r="C418" s="16">
        <v>46157</v>
      </c>
      <c r="D418" s="82">
        <v>0</v>
      </c>
    </row>
    <row r="419" spans="1:4" x14ac:dyDescent="0.3">
      <c r="A419" t="s">
        <v>212</v>
      </c>
      <c r="C419" s="16">
        <v>46157</v>
      </c>
      <c r="D419" s="82">
        <v>0</v>
      </c>
    </row>
    <row r="420" spans="1:4" x14ac:dyDescent="0.3">
      <c r="A420" t="s">
        <v>199</v>
      </c>
      <c r="C420" s="16">
        <v>46157</v>
      </c>
      <c r="D420" s="82">
        <v>0</v>
      </c>
    </row>
    <row r="421" spans="1:4" x14ac:dyDescent="0.3">
      <c r="A421" t="s">
        <v>216</v>
      </c>
      <c r="C421" s="16">
        <v>46157</v>
      </c>
      <c r="D421" s="82">
        <v>0</v>
      </c>
    </row>
    <row r="422" spans="1:4" x14ac:dyDescent="0.3">
      <c r="A422" t="s">
        <v>17</v>
      </c>
      <c r="C422" s="16">
        <v>46158</v>
      </c>
      <c r="D422" s="82">
        <v>165752.81000000023</v>
      </c>
    </row>
    <row r="423" spans="1:4" x14ac:dyDescent="0.3">
      <c r="A423" t="s">
        <v>18</v>
      </c>
      <c r="C423" s="16">
        <v>46158</v>
      </c>
      <c r="D423" s="82">
        <v>59760.159999999938</v>
      </c>
    </row>
    <row r="424" spans="1:4" x14ac:dyDescent="0.3">
      <c r="A424" t="s">
        <v>19</v>
      </c>
      <c r="C424" s="16">
        <v>46158</v>
      </c>
      <c r="D424" s="82">
        <v>1669.89</v>
      </c>
    </row>
    <row r="425" spans="1:4" x14ac:dyDescent="0.3">
      <c r="A425" t="s">
        <v>20</v>
      </c>
      <c r="C425" s="16">
        <v>46158</v>
      </c>
      <c r="D425" s="82">
        <v>832076.20999999985</v>
      </c>
    </row>
    <row r="426" spans="1:4" x14ac:dyDescent="0.3">
      <c r="A426" t="s">
        <v>21</v>
      </c>
      <c r="C426" s="16">
        <v>46158</v>
      </c>
      <c r="D426" s="82">
        <v>952163.77999999933</v>
      </c>
    </row>
    <row r="427" spans="1:4" x14ac:dyDescent="0.3">
      <c r="A427" t="s">
        <v>22</v>
      </c>
      <c r="C427" s="16">
        <v>46158</v>
      </c>
      <c r="D427" s="82">
        <v>121511.38</v>
      </c>
    </row>
    <row r="428" spans="1:4" x14ac:dyDescent="0.3">
      <c r="A428" t="s">
        <v>23</v>
      </c>
      <c r="C428" s="16">
        <v>46158</v>
      </c>
      <c r="D428" s="82">
        <v>13090.369999999997</v>
      </c>
    </row>
    <row r="429" spans="1:4" x14ac:dyDescent="0.3">
      <c r="A429" t="s">
        <v>24</v>
      </c>
      <c r="C429" s="16">
        <v>46158</v>
      </c>
      <c r="D429" s="82">
        <v>2498.3999999999996</v>
      </c>
    </row>
    <row r="430" spans="1:4" x14ac:dyDescent="0.3">
      <c r="A430" t="s">
        <v>25</v>
      </c>
      <c r="C430" s="16">
        <v>46158</v>
      </c>
      <c r="D430" s="82">
        <v>114.3</v>
      </c>
    </row>
    <row r="431" spans="1:4" x14ac:dyDescent="0.3">
      <c r="A431" t="s">
        <v>26</v>
      </c>
      <c r="C431" s="16">
        <v>46158</v>
      </c>
      <c r="D431" s="82">
        <v>2267.7200000000003</v>
      </c>
    </row>
    <row r="432" spans="1:4" x14ac:dyDescent="0.3">
      <c r="A432" t="s">
        <v>27</v>
      </c>
      <c r="C432" s="16">
        <v>46158</v>
      </c>
      <c r="D432" s="82">
        <v>3349.94</v>
      </c>
    </row>
    <row r="433" spans="1:4" x14ac:dyDescent="0.3">
      <c r="A433" t="s">
        <v>28</v>
      </c>
      <c r="C433" s="16">
        <v>46158</v>
      </c>
      <c r="D433" s="82">
        <v>1968.99</v>
      </c>
    </row>
    <row r="434" spans="1:4" x14ac:dyDescent="0.3">
      <c r="A434" t="s">
        <v>29</v>
      </c>
      <c r="C434" s="16">
        <v>46158</v>
      </c>
      <c r="D434" s="82">
        <v>901.34</v>
      </c>
    </row>
    <row r="435" spans="1:4" x14ac:dyDescent="0.3">
      <c r="A435" t="s">
        <v>30</v>
      </c>
      <c r="C435" s="16">
        <v>46158</v>
      </c>
      <c r="D435" s="82">
        <v>1444.08</v>
      </c>
    </row>
    <row r="436" spans="1:4" x14ac:dyDescent="0.3">
      <c r="A436" t="s">
        <v>31</v>
      </c>
      <c r="C436" s="16">
        <v>46158</v>
      </c>
      <c r="D436" s="82">
        <v>18242.599999999962</v>
      </c>
    </row>
    <row r="437" spans="1:4" x14ac:dyDescent="0.3">
      <c r="A437" t="s">
        <v>32</v>
      </c>
      <c r="C437" s="16">
        <v>46158</v>
      </c>
      <c r="D437" s="82">
        <v>15120.060000000001</v>
      </c>
    </row>
    <row r="438" spans="1:4" x14ac:dyDescent="0.3">
      <c r="A438" t="s">
        <v>33</v>
      </c>
      <c r="C438" s="16">
        <v>46158</v>
      </c>
      <c r="D438" s="82">
        <v>27011.27</v>
      </c>
    </row>
    <row r="439" spans="1:4" x14ac:dyDescent="0.3">
      <c r="A439" t="s">
        <v>34</v>
      </c>
      <c r="C439" s="16">
        <v>46158</v>
      </c>
      <c r="D439" s="82">
        <v>345</v>
      </c>
    </row>
    <row r="440" spans="1:4" x14ac:dyDescent="0.3">
      <c r="A440" t="s">
        <v>35</v>
      </c>
      <c r="C440" s="16">
        <v>46158</v>
      </c>
      <c r="D440" s="82">
        <v>14176.59</v>
      </c>
    </row>
    <row r="441" spans="1:4" x14ac:dyDescent="0.3">
      <c r="A441" t="s">
        <v>193</v>
      </c>
      <c r="C441" s="16">
        <v>46158</v>
      </c>
      <c r="D441" s="82">
        <v>0</v>
      </c>
    </row>
    <row r="442" spans="1:4" x14ac:dyDescent="0.3">
      <c r="A442" t="s">
        <v>214</v>
      </c>
      <c r="C442" s="16">
        <v>46158</v>
      </c>
      <c r="D442" s="82">
        <v>0</v>
      </c>
    </row>
    <row r="443" spans="1:4" x14ac:dyDescent="0.3">
      <c r="A443" t="s">
        <v>194</v>
      </c>
      <c r="C443" s="16">
        <v>46158</v>
      </c>
      <c r="D443" s="82">
        <v>0</v>
      </c>
    </row>
    <row r="444" spans="1:4" x14ac:dyDescent="0.3">
      <c r="A444" t="s">
        <v>195</v>
      </c>
      <c r="C444" s="16">
        <v>46158</v>
      </c>
      <c r="D444" s="82">
        <v>0</v>
      </c>
    </row>
    <row r="445" spans="1:4" x14ac:dyDescent="0.3">
      <c r="A445" t="s">
        <v>196</v>
      </c>
      <c r="C445" s="16">
        <v>46158</v>
      </c>
      <c r="D445" s="82">
        <v>0</v>
      </c>
    </row>
    <row r="446" spans="1:4" x14ac:dyDescent="0.3">
      <c r="A446" t="s">
        <v>197</v>
      </c>
      <c r="C446" s="16">
        <v>46158</v>
      </c>
      <c r="D446" s="82">
        <v>0</v>
      </c>
    </row>
    <row r="447" spans="1:4" x14ac:dyDescent="0.3">
      <c r="A447" t="s">
        <v>212</v>
      </c>
      <c r="C447" s="16">
        <v>46158</v>
      </c>
      <c r="D447" s="82">
        <v>0</v>
      </c>
    </row>
    <row r="448" spans="1:4" x14ac:dyDescent="0.3">
      <c r="A448" t="s">
        <v>199</v>
      </c>
      <c r="C448" s="16">
        <v>46158</v>
      </c>
      <c r="D448" s="82">
        <v>0</v>
      </c>
    </row>
    <row r="449" spans="1:4" x14ac:dyDescent="0.3">
      <c r="A449" t="s">
        <v>216</v>
      </c>
      <c r="C449" s="16">
        <v>46158</v>
      </c>
      <c r="D449" s="82">
        <v>0</v>
      </c>
    </row>
    <row r="450" spans="1:4" x14ac:dyDescent="0.3">
      <c r="A450" t="s">
        <v>17</v>
      </c>
      <c r="C450" s="16">
        <v>46159</v>
      </c>
      <c r="D450" s="82">
        <v>165752.81000000023</v>
      </c>
    </row>
    <row r="451" spans="1:4" x14ac:dyDescent="0.3">
      <c r="A451" t="s">
        <v>18</v>
      </c>
      <c r="C451" s="16">
        <v>46159</v>
      </c>
      <c r="D451" s="82">
        <v>59760.159999999938</v>
      </c>
    </row>
    <row r="452" spans="1:4" x14ac:dyDescent="0.3">
      <c r="A452" t="s">
        <v>19</v>
      </c>
      <c r="C452" s="16">
        <v>46159</v>
      </c>
      <c r="D452" s="82">
        <v>1669.89</v>
      </c>
    </row>
    <row r="453" spans="1:4" x14ac:dyDescent="0.3">
      <c r="A453" t="s">
        <v>20</v>
      </c>
      <c r="C453" s="16">
        <v>46159</v>
      </c>
      <c r="D453" s="82">
        <v>832076.20999999985</v>
      </c>
    </row>
    <row r="454" spans="1:4" x14ac:dyDescent="0.3">
      <c r="A454" t="s">
        <v>21</v>
      </c>
      <c r="C454" s="16">
        <v>46159</v>
      </c>
      <c r="D454" s="82">
        <v>952163.77999999933</v>
      </c>
    </row>
    <row r="455" spans="1:4" x14ac:dyDescent="0.3">
      <c r="A455" t="s">
        <v>22</v>
      </c>
      <c r="C455" s="16">
        <v>46159</v>
      </c>
      <c r="D455" s="82">
        <v>121511.38</v>
      </c>
    </row>
    <row r="456" spans="1:4" x14ac:dyDescent="0.3">
      <c r="A456" t="s">
        <v>23</v>
      </c>
      <c r="C456" s="16">
        <v>46159</v>
      </c>
      <c r="D456" s="82">
        <v>13090.369999999997</v>
      </c>
    </row>
    <row r="457" spans="1:4" x14ac:dyDescent="0.3">
      <c r="A457" t="s">
        <v>24</v>
      </c>
      <c r="C457" s="16">
        <v>46159</v>
      </c>
      <c r="D457" s="82">
        <v>2498.3999999999996</v>
      </c>
    </row>
    <row r="458" spans="1:4" x14ac:dyDescent="0.3">
      <c r="A458" t="s">
        <v>25</v>
      </c>
      <c r="C458" s="16">
        <v>46159</v>
      </c>
      <c r="D458" s="82">
        <v>114.3</v>
      </c>
    </row>
    <row r="459" spans="1:4" x14ac:dyDescent="0.3">
      <c r="A459" t="s">
        <v>26</v>
      </c>
      <c r="C459" s="16">
        <v>46159</v>
      </c>
      <c r="D459" s="82">
        <v>2267.7200000000003</v>
      </c>
    </row>
    <row r="460" spans="1:4" x14ac:dyDescent="0.3">
      <c r="A460" t="s">
        <v>27</v>
      </c>
      <c r="C460" s="16">
        <v>46159</v>
      </c>
      <c r="D460" s="82">
        <v>3349.94</v>
      </c>
    </row>
    <row r="461" spans="1:4" x14ac:dyDescent="0.3">
      <c r="A461" t="s">
        <v>28</v>
      </c>
      <c r="C461" s="16">
        <v>46159</v>
      </c>
      <c r="D461" s="82">
        <v>1968.99</v>
      </c>
    </row>
    <row r="462" spans="1:4" x14ac:dyDescent="0.3">
      <c r="A462" t="s">
        <v>29</v>
      </c>
      <c r="C462" s="16">
        <v>46159</v>
      </c>
      <c r="D462" s="82">
        <v>901.34</v>
      </c>
    </row>
    <row r="463" spans="1:4" x14ac:dyDescent="0.3">
      <c r="A463" t="s">
        <v>30</v>
      </c>
      <c r="C463" s="16">
        <v>46159</v>
      </c>
      <c r="D463" s="82">
        <v>1444.08</v>
      </c>
    </row>
    <row r="464" spans="1:4" x14ac:dyDescent="0.3">
      <c r="A464" t="s">
        <v>31</v>
      </c>
      <c r="C464" s="16">
        <v>46159</v>
      </c>
      <c r="D464" s="82">
        <v>18242.599999999962</v>
      </c>
    </row>
    <row r="465" spans="1:4" x14ac:dyDescent="0.3">
      <c r="A465" t="s">
        <v>32</v>
      </c>
      <c r="C465" s="16">
        <v>46159</v>
      </c>
      <c r="D465" s="82">
        <v>15120.060000000001</v>
      </c>
    </row>
    <row r="466" spans="1:4" x14ac:dyDescent="0.3">
      <c r="A466" t="s">
        <v>33</v>
      </c>
      <c r="C466" s="16">
        <v>46159</v>
      </c>
      <c r="D466" s="82">
        <v>27011.27</v>
      </c>
    </row>
    <row r="467" spans="1:4" x14ac:dyDescent="0.3">
      <c r="A467" t="s">
        <v>34</v>
      </c>
      <c r="C467" s="16">
        <v>46159</v>
      </c>
      <c r="D467" s="82">
        <v>345</v>
      </c>
    </row>
    <row r="468" spans="1:4" x14ac:dyDescent="0.3">
      <c r="A468" t="s">
        <v>35</v>
      </c>
      <c r="C468" s="16">
        <v>46159</v>
      </c>
      <c r="D468" s="82">
        <v>14176.59</v>
      </c>
    </row>
    <row r="469" spans="1:4" x14ac:dyDescent="0.3">
      <c r="A469" t="s">
        <v>193</v>
      </c>
      <c r="C469" s="16">
        <v>46159</v>
      </c>
      <c r="D469" s="82">
        <v>0</v>
      </c>
    </row>
    <row r="470" spans="1:4" x14ac:dyDescent="0.3">
      <c r="A470" t="s">
        <v>214</v>
      </c>
      <c r="C470" s="16">
        <v>46159</v>
      </c>
      <c r="D470" s="82">
        <v>0</v>
      </c>
    </row>
    <row r="471" spans="1:4" x14ac:dyDescent="0.3">
      <c r="A471" t="s">
        <v>194</v>
      </c>
      <c r="C471" s="16">
        <v>46159</v>
      </c>
      <c r="D471" s="82">
        <v>0</v>
      </c>
    </row>
    <row r="472" spans="1:4" x14ac:dyDescent="0.3">
      <c r="A472" t="s">
        <v>195</v>
      </c>
      <c r="C472" s="16">
        <v>46159</v>
      </c>
      <c r="D472" s="82">
        <v>0</v>
      </c>
    </row>
    <row r="473" spans="1:4" x14ac:dyDescent="0.3">
      <c r="A473" t="s">
        <v>196</v>
      </c>
      <c r="C473" s="16">
        <v>46159</v>
      </c>
      <c r="D473" s="82">
        <v>0</v>
      </c>
    </row>
    <row r="474" spans="1:4" x14ac:dyDescent="0.3">
      <c r="A474" t="s">
        <v>197</v>
      </c>
      <c r="C474" s="16">
        <v>46159</v>
      </c>
      <c r="D474" s="82">
        <v>0</v>
      </c>
    </row>
    <row r="475" spans="1:4" x14ac:dyDescent="0.3">
      <c r="A475" t="s">
        <v>212</v>
      </c>
      <c r="C475" s="16">
        <v>46159</v>
      </c>
      <c r="D475" s="82">
        <v>0</v>
      </c>
    </row>
    <row r="476" spans="1:4" x14ac:dyDescent="0.3">
      <c r="A476" t="s">
        <v>199</v>
      </c>
      <c r="C476" s="16">
        <v>46159</v>
      </c>
      <c r="D476" s="82">
        <v>0</v>
      </c>
    </row>
    <row r="477" spans="1:4" x14ac:dyDescent="0.3">
      <c r="A477" t="s">
        <v>216</v>
      </c>
      <c r="C477" s="16">
        <v>46159</v>
      </c>
      <c r="D477" s="82">
        <v>0</v>
      </c>
    </row>
    <row r="478" spans="1:4" x14ac:dyDescent="0.3">
      <c r="A478" t="s">
        <v>17</v>
      </c>
      <c r="C478" s="16">
        <v>46160</v>
      </c>
      <c r="D478" s="82">
        <v>165752.81000000023</v>
      </c>
    </row>
    <row r="479" spans="1:4" x14ac:dyDescent="0.3">
      <c r="A479" t="s">
        <v>18</v>
      </c>
      <c r="C479" s="16">
        <v>46160</v>
      </c>
      <c r="D479" s="82">
        <v>59760.159999999938</v>
      </c>
    </row>
    <row r="480" spans="1:4" x14ac:dyDescent="0.3">
      <c r="A480" t="s">
        <v>19</v>
      </c>
      <c r="C480" s="16">
        <v>46160</v>
      </c>
      <c r="D480" s="82">
        <v>1669.89</v>
      </c>
    </row>
    <row r="481" spans="1:4" x14ac:dyDescent="0.3">
      <c r="A481" t="s">
        <v>20</v>
      </c>
      <c r="C481" s="16">
        <v>46160</v>
      </c>
      <c r="D481" s="82">
        <v>832076.20999999985</v>
      </c>
    </row>
    <row r="482" spans="1:4" x14ac:dyDescent="0.3">
      <c r="A482" t="s">
        <v>21</v>
      </c>
      <c r="C482" s="16">
        <v>46160</v>
      </c>
      <c r="D482" s="82">
        <v>928713.30999999924</v>
      </c>
    </row>
    <row r="483" spans="1:4" x14ac:dyDescent="0.3">
      <c r="A483" t="s">
        <v>22</v>
      </c>
      <c r="C483" s="16">
        <v>46160</v>
      </c>
      <c r="D483" s="82">
        <v>121511.38</v>
      </c>
    </row>
    <row r="484" spans="1:4" x14ac:dyDescent="0.3">
      <c r="A484" t="s">
        <v>23</v>
      </c>
      <c r="C484" s="16">
        <v>46160</v>
      </c>
      <c r="D484" s="82">
        <v>13090.369999999997</v>
      </c>
    </row>
    <row r="485" spans="1:4" x14ac:dyDescent="0.3">
      <c r="A485" t="s">
        <v>24</v>
      </c>
      <c r="C485" s="16">
        <v>46160</v>
      </c>
      <c r="D485" s="82">
        <v>2498.3999999999996</v>
      </c>
    </row>
    <row r="486" spans="1:4" x14ac:dyDescent="0.3">
      <c r="A486" t="s">
        <v>25</v>
      </c>
      <c r="C486" s="16">
        <v>46160</v>
      </c>
      <c r="D486" s="82">
        <v>114.3</v>
      </c>
    </row>
    <row r="487" spans="1:4" x14ac:dyDescent="0.3">
      <c r="A487" t="s">
        <v>26</v>
      </c>
      <c r="C487" s="16">
        <v>46160</v>
      </c>
      <c r="D487" s="82">
        <v>2267.7200000000003</v>
      </c>
    </row>
    <row r="488" spans="1:4" x14ac:dyDescent="0.3">
      <c r="A488" t="s">
        <v>27</v>
      </c>
      <c r="C488" s="16">
        <v>46160</v>
      </c>
      <c r="D488" s="82">
        <v>3349.94</v>
      </c>
    </row>
    <row r="489" spans="1:4" x14ac:dyDescent="0.3">
      <c r="A489" t="s">
        <v>28</v>
      </c>
      <c r="C489" s="16">
        <v>46160</v>
      </c>
      <c r="D489" s="82">
        <v>1968.99</v>
      </c>
    </row>
    <row r="490" spans="1:4" x14ac:dyDescent="0.3">
      <c r="A490" t="s">
        <v>29</v>
      </c>
      <c r="C490" s="16">
        <v>46160</v>
      </c>
      <c r="D490" s="82">
        <v>901.34</v>
      </c>
    </row>
    <row r="491" spans="1:4" x14ac:dyDescent="0.3">
      <c r="A491" t="s">
        <v>30</v>
      </c>
      <c r="C491" s="16">
        <v>46160</v>
      </c>
      <c r="D491" s="82">
        <v>1444.08</v>
      </c>
    </row>
    <row r="492" spans="1:4" x14ac:dyDescent="0.3">
      <c r="A492" t="s">
        <v>31</v>
      </c>
      <c r="C492" s="16">
        <v>46160</v>
      </c>
      <c r="D492" s="82">
        <v>15463.59999999996</v>
      </c>
    </row>
    <row r="493" spans="1:4" x14ac:dyDescent="0.3">
      <c r="A493" t="s">
        <v>32</v>
      </c>
      <c r="C493" s="16">
        <v>46160</v>
      </c>
      <c r="D493" s="82">
        <v>15120.060000000001</v>
      </c>
    </row>
    <row r="494" spans="1:4" x14ac:dyDescent="0.3">
      <c r="A494" t="s">
        <v>33</v>
      </c>
      <c r="C494" s="16">
        <v>46160</v>
      </c>
      <c r="D494" s="82">
        <v>27006.27</v>
      </c>
    </row>
    <row r="495" spans="1:4" x14ac:dyDescent="0.3">
      <c r="A495" t="s">
        <v>34</v>
      </c>
      <c r="C495" s="16">
        <v>46160</v>
      </c>
      <c r="D495" s="82">
        <v>345</v>
      </c>
    </row>
    <row r="496" spans="1:4" x14ac:dyDescent="0.3">
      <c r="A496" t="s">
        <v>35</v>
      </c>
      <c r="C496" s="16">
        <v>46160</v>
      </c>
      <c r="D496" s="82">
        <v>13941.210000000001</v>
      </c>
    </row>
    <row r="497" spans="1:4" x14ac:dyDescent="0.3">
      <c r="A497" t="s">
        <v>193</v>
      </c>
      <c r="C497" s="16">
        <v>46160</v>
      </c>
      <c r="D497" s="82">
        <v>0</v>
      </c>
    </row>
    <row r="498" spans="1:4" x14ac:dyDescent="0.3">
      <c r="A498" t="s">
        <v>214</v>
      </c>
      <c r="C498" s="16">
        <v>46160</v>
      </c>
      <c r="D498" s="82">
        <v>0</v>
      </c>
    </row>
    <row r="499" spans="1:4" x14ac:dyDescent="0.3">
      <c r="A499" t="s">
        <v>194</v>
      </c>
      <c r="C499" s="16">
        <v>46160</v>
      </c>
      <c r="D499" s="82">
        <v>0</v>
      </c>
    </row>
    <row r="500" spans="1:4" x14ac:dyDescent="0.3">
      <c r="A500" t="s">
        <v>195</v>
      </c>
      <c r="C500" s="16">
        <v>46160</v>
      </c>
      <c r="D500" s="82">
        <v>0</v>
      </c>
    </row>
    <row r="501" spans="1:4" x14ac:dyDescent="0.3">
      <c r="A501" t="s">
        <v>196</v>
      </c>
      <c r="C501" s="16">
        <v>46160</v>
      </c>
      <c r="D501" s="82">
        <v>0</v>
      </c>
    </row>
    <row r="502" spans="1:4" x14ac:dyDescent="0.3">
      <c r="A502" t="s">
        <v>197</v>
      </c>
      <c r="C502" s="16">
        <v>46160</v>
      </c>
      <c r="D502" s="82">
        <v>0</v>
      </c>
    </row>
    <row r="503" spans="1:4" x14ac:dyDescent="0.3">
      <c r="A503" t="s">
        <v>212</v>
      </c>
      <c r="C503" s="16">
        <v>46160</v>
      </c>
      <c r="D503" s="82">
        <v>0</v>
      </c>
    </row>
    <row r="504" spans="1:4" x14ac:dyDescent="0.3">
      <c r="A504" t="s">
        <v>199</v>
      </c>
      <c r="C504" s="16">
        <v>46160</v>
      </c>
      <c r="D504" s="82">
        <v>0</v>
      </c>
    </row>
    <row r="505" spans="1:4" x14ac:dyDescent="0.3">
      <c r="A505" t="s">
        <v>216</v>
      </c>
      <c r="C505" s="16">
        <v>46160</v>
      </c>
      <c r="D505" s="82">
        <v>0</v>
      </c>
    </row>
    <row r="506" spans="1:4" x14ac:dyDescent="0.3">
      <c r="A506" t="s">
        <v>17</v>
      </c>
      <c r="C506" s="16">
        <v>46161</v>
      </c>
      <c r="D506" s="82">
        <v>815752.81000000029</v>
      </c>
    </row>
    <row r="507" spans="1:4" x14ac:dyDescent="0.3">
      <c r="A507" t="s">
        <v>18</v>
      </c>
      <c r="C507" s="16">
        <v>46161</v>
      </c>
      <c r="D507" s="82">
        <v>59760.159999999938</v>
      </c>
    </row>
    <row r="508" spans="1:4" x14ac:dyDescent="0.3">
      <c r="A508" t="s">
        <v>19</v>
      </c>
      <c r="C508" s="16">
        <v>46161</v>
      </c>
      <c r="D508" s="82">
        <v>1669.89</v>
      </c>
    </row>
    <row r="509" spans="1:4" x14ac:dyDescent="0.3">
      <c r="A509" t="s">
        <v>20</v>
      </c>
      <c r="C509" s="16">
        <v>46161</v>
      </c>
      <c r="D509" s="82">
        <v>832076.20999999985</v>
      </c>
    </row>
    <row r="510" spans="1:4" x14ac:dyDescent="0.3">
      <c r="A510" t="s">
        <v>21</v>
      </c>
      <c r="C510" s="16">
        <v>46161</v>
      </c>
      <c r="D510" s="82">
        <v>925592.77999999933</v>
      </c>
    </row>
    <row r="511" spans="1:4" x14ac:dyDescent="0.3">
      <c r="A511" t="s">
        <v>22</v>
      </c>
      <c r="C511" s="16">
        <v>46161</v>
      </c>
      <c r="D511" s="82">
        <v>91511.38</v>
      </c>
    </row>
    <row r="512" spans="1:4" x14ac:dyDescent="0.3">
      <c r="A512" t="s">
        <v>23</v>
      </c>
      <c r="C512" s="16">
        <v>46161</v>
      </c>
      <c r="D512" s="82">
        <v>13090.369999999997</v>
      </c>
    </row>
    <row r="513" spans="1:4" x14ac:dyDescent="0.3">
      <c r="A513" t="s">
        <v>24</v>
      </c>
      <c r="C513" s="16">
        <v>46161</v>
      </c>
      <c r="D513" s="82">
        <v>2498.3999999999996</v>
      </c>
    </row>
    <row r="514" spans="1:4" x14ac:dyDescent="0.3">
      <c r="A514" t="s">
        <v>25</v>
      </c>
      <c r="C514" s="16">
        <v>46161</v>
      </c>
      <c r="D514" s="82">
        <v>114.3</v>
      </c>
    </row>
    <row r="515" spans="1:4" x14ac:dyDescent="0.3">
      <c r="A515" t="s">
        <v>26</v>
      </c>
      <c r="C515" s="16">
        <v>46161</v>
      </c>
      <c r="D515" s="82">
        <v>2267.7200000000003</v>
      </c>
    </row>
    <row r="516" spans="1:4" x14ac:dyDescent="0.3">
      <c r="A516" t="s">
        <v>27</v>
      </c>
      <c r="C516" s="16">
        <v>46161</v>
      </c>
      <c r="D516" s="82">
        <v>3349.94</v>
      </c>
    </row>
    <row r="517" spans="1:4" x14ac:dyDescent="0.3">
      <c r="A517" t="s">
        <v>28</v>
      </c>
      <c r="C517" s="16">
        <v>46161</v>
      </c>
      <c r="D517" s="82">
        <v>1968.99</v>
      </c>
    </row>
    <row r="518" spans="1:4" x14ac:dyDescent="0.3">
      <c r="A518" t="s">
        <v>29</v>
      </c>
      <c r="C518" s="16">
        <v>46161</v>
      </c>
      <c r="D518" s="82">
        <v>901.34</v>
      </c>
    </row>
    <row r="519" spans="1:4" x14ac:dyDescent="0.3">
      <c r="A519" t="s">
        <v>30</v>
      </c>
      <c r="C519" s="16">
        <v>46161</v>
      </c>
      <c r="D519" s="82">
        <v>1444.08</v>
      </c>
    </row>
    <row r="520" spans="1:4" x14ac:dyDescent="0.3">
      <c r="A520" t="s">
        <v>31</v>
      </c>
      <c r="C520" s="16">
        <v>46161</v>
      </c>
      <c r="D520" s="82">
        <v>15463.59999999996</v>
      </c>
    </row>
    <row r="521" spans="1:4" x14ac:dyDescent="0.3">
      <c r="A521" t="s">
        <v>32</v>
      </c>
      <c r="C521" s="16">
        <v>46161</v>
      </c>
      <c r="D521" s="82">
        <v>15120.060000000001</v>
      </c>
    </row>
    <row r="522" spans="1:4" x14ac:dyDescent="0.3">
      <c r="A522" t="s">
        <v>33</v>
      </c>
      <c r="C522" s="16">
        <v>46161</v>
      </c>
      <c r="D522" s="82">
        <v>27006.27</v>
      </c>
    </row>
    <row r="523" spans="1:4" x14ac:dyDescent="0.3">
      <c r="A523" t="s">
        <v>34</v>
      </c>
      <c r="C523" s="16">
        <v>46161</v>
      </c>
      <c r="D523" s="82">
        <v>345</v>
      </c>
    </row>
    <row r="524" spans="1:4" x14ac:dyDescent="0.3">
      <c r="A524" t="s">
        <v>35</v>
      </c>
      <c r="C524" s="16">
        <v>46161</v>
      </c>
      <c r="D524" s="82">
        <v>18941.21</v>
      </c>
    </row>
    <row r="525" spans="1:4" x14ac:dyDescent="0.3">
      <c r="A525" t="s">
        <v>193</v>
      </c>
      <c r="C525" s="16">
        <v>46161</v>
      </c>
      <c r="D525" s="82">
        <v>0</v>
      </c>
    </row>
    <row r="526" spans="1:4" x14ac:dyDescent="0.3">
      <c r="A526" t="s">
        <v>214</v>
      </c>
      <c r="C526" s="16">
        <v>46161</v>
      </c>
      <c r="D526" s="82">
        <v>0</v>
      </c>
    </row>
    <row r="527" spans="1:4" x14ac:dyDescent="0.3">
      <c r="A527" t="s">
        <v>194</v>
      </c>
      <c r="C527" s="16">
        <v>46161</v>
      </c>
      <c r="D527" s="82">
        <v>0</v>
      </c>
    </row>
    <row r="528" spans="1:4" x14ac:dyDescent="0.3">
      <c r="A528" t="s">
        <v>195</v>
      </c>
      <c r="C528" s="16">
        <v>46161</v>
      </c>
      <c r="D528" s="82">
        <v>0</v>
      </c>
    </row>
    <row r="529" spans="1:4" x14ac:dyDescent="0.3">
      <c r="A529" t="s">
        <v>196</v>
      </c>
      <c r="C529" s="16">
        <v>46161</v>
      </c>
      <c r="D529" s="82">
        <v>0</v>
      </c>
    </row>
    <row r="530" spans="1:4" x14ac:dyDescent="0.3">
      <c r="A530" t="s">
        <v>197</v>
      </c>
      <c r="C530" s="16">
        <v>46161</v>
      </c>
      <c r="D530" s="82">
        <v>0</v>
      </c>
    </row>
    <row r="531" spans="1:4" x14ac:dyDescent="0.3">
      <c r="A531" t="s">
        <v>212</v>
      </c>
      <c r="C531" s="16">
        <v>46161</v>
      </c>
      <c r="D531" s="82">
        <v>0</v>
      </c>
    </row>
    <row r="532" spans="1:4" x14ac:dyDescent="0.3">
      <c r="A532" t="s">
        <v>199</v>
      </c>
      <c r="C532" s="16">
        <v>46161</v>
      </c>
      <c r="D532" s="82">
        <v>0</v>
      </c>
    </row>
    <row r="533" spans="1:4" x14ac:dyDescent="0.3">
      <c r="A533" t="s">
        <v>216</v>
      </c>
      <c r="C533" s="16">
        <v>46161</v>
      </c>
      <c r="D533" s="82">
        <v>0</v>
      </c>
    </row>
    <row r="534" spans="1:4" x14ac:dyDescent="0.3">
      <c r="A534" t="s">
        <v>17</v>
      </c>
      <c r="C534" s="16">
        <v>46162</v>
      </c>
      <c r="D534" s="82">
        <v>142321.80000000013</v>
      </c>
    </row>
    <row r="535" spans="1:4" x14ac:dyDescent="0.3">
      <c r="A535" t="s">
        <v>18</v>
      </c>
      <c r="C535" s="16">
        <v>46162</v>
      </c>
      <c r="D535" s="82">
        <v>59760.159999999938</v>
      </c>
    </row>
    <row r="536" spans="1:4" x14ac:dyDescent="0.3">
      <c r="A536" t="s">
        <v>19</v>
      </c>
      <c r="C536" s="16">
        <v>46162</v>
      </c>
      <c r="D536" s="82">
        <v>1669.89</v>
      </c>
    </row>
    <row r="537" spans="1:4" x14ac:dyDescent="0.3">
      <c r="A537" t="s">
        <v>20</v>
      </c>
      <c r="C537" s="16">
        <v>46162</v>
      </c>
      <c r="D537" s="82">
        <v>832076.20999999985</v>
      </c>
    </row>
    <row r="538" spans="1:4" x14ac:dyDescent="0.3">
      <c r="A538" t="s">
        <v>21</v>
      </c>
      <c r="C538" s="16">
        <v>46162</v>
      </c>
      <c r="D538" s="82">
        <v>981189.87999999931</v>
      </c>
    </row>
    <row r="539" spans="1:4" x14ac:dyDescent="0.3">
      <c r="A539" t="s">
        <v>22</v>
      </c>
      <c r="C539" s="16">
        <v>46162</v>
      </c>
      <c r="D539" s="82">
        <v>141496.38</v>
      </c>
    </row>
    <row r="540" spans="1:4" x14ac:dyDescent="0.3">
      <c r="A540" t="s">
        <v>23</v>
      </c>
      <c r="C540" s="16">
        <v>46162</v>
      </c>
      <c r="D540" s="82">
        <v>13090.369999999997</v>
      </c>
    </row>
    <row r="541" spans="1:4" x14ac:dyDescent="0.3">
      <c r="A541" t="s">
        <v>24</v>
      </c>
      <c r="C541" s="16">
        <v>46162</v>
      </c>
      <c r="D541" s="82">
        <v>2498.3999999999996</v>
      </c>
    </row>
    <row r="542" spans="1:4" x14ac:dyDescent="0.3">
      <c r="A542" t="s">
        <v>25</v>
      </c>
      <c r="C542" s="16">
        <v>46162</v>
      </c>
      <c r="D542" s="82">
        <v>114.3</v>
      </c>
    </row>
    <row r="543" spans="1:4" x14ac:dyDescent="0.3">
      <c r="A543" t="s">
        <v>26</v>
      </c>
      <c r="C543" s="16">
        <v>46162</v>
      </c>
      <c r="D543" s="82">
        <v>2267.7200000000003</v>
      </c>
    </row>
    <row r="544" spans="1:4" x14ac:dyDescent="0.3">
      <c r="A544" t="s">
        <v>27</v>
      </c>
      <c r="C544" s="16">
        <v>46162</v>
      </c>
      <c r="D544" s="82">
        <v>3349.94</v>
      </c>
    </row>
    <row r="545" spans="1:4" x14ac:dyDescent="0.3">
      <c r="A545" t="s">
        <v>28</v>
      </c>
      <c r="C545" s="16">
        <v>46162</v>
      </c>
      <c r="D545" s="82">
        <v>1968.99</v>
      </c>
    </row>
    <row r="546" spans="1:4" x14ac:dyDescent="0.3">
      <c r="A546" t="s">
        <v>29</v>
      </c>
      <c r="C546" s="16">
        <v>46162</v>
      </c>
      <c r="D546" s="82">
        <v>901.34</v>
      </c>
    </row>
    <row r="547" spans="1:4" x14ac:dyDescent="0.3">
      <c r="A547" t="s">
        <v>30</v>
      </c>
      <c r="C547" s="16">
        <v>46162</v>
      </c>
      <c r="D547" s="82">
        <v>1444.08</v>
      </c>
    </row>
    <row r="548" spans="1:4" x14ac:dyDescent="0.3">
      <c r="A548" t="s">
        <v>31</v>
      </c>
      <c r="C548" s="16">
        <v>46162</v>
      </c>
      <c r="D548" s="82">
        <v>15463.59999999996</v>
      </c>
    </row>
    <row r="549" spans="1:4" x14ac:dyDescent="0.3">
      <c r="A549" t="s">
        <v>32</v>
      </c>
      <c r="C549" s="16">
        <v>46162</v>
      </c>
      <c r="D549" s="82">
        <v>15120.060000000001</v>
      </c>
    </row>
    <row r="550" spans="1:4" x14ac:dyDescent="0.3">
      <c r="A550" t="s">
        <v>33</v>
      </c>
      <c r="C550" s="16">
        <v>46162</v>
      </c>
      <c r="D550" s="82">
        <v>29206.27</v>
      </c>
    </row>
    <row r="551" spans="1:4" x14ac:dyDescent="0.3">
      <c r="A551" t="s">
        <v>34</v>
      </c>
      <c r="C551" s="16">
        <v>46162</v>
      </c>
      <c r="D551" s="82">
        <v>345</v>
      </c>
    </row>
    <row r="552" spans="1:4" x14ac:dyDescent="0.3">
      <c r="A552" t="s">
        <v>35</v>
      </c>
      <c r="C552" s="16">
        <v>46162</v>
      </c>
      <c r="D552" s="82">
        <v>8168.0700000000006</v>
      </c>
    </row>
    <row r="553" spans="1:4" x14ac:dyDescent="0.3">
      <c r="A553" t="s">
        <v>193</v>
      </c>
      <c r="C553" s="16">
        <v>46162</v>
      </c>
      <c r="D553" s="82">
        <v>0</v>
      </c>
    </row>
    <row r="554" spans="1:4" x14ac:dyDescent="0.3">
      <c r="A554" t="s">
        <v>214</v>
      </c>
      <c r="C554" s="16">
        <v>46162</v>
      </c>
      <c r="D554" s="82">
        <v>0</v>
      </c>
    </row>
    <row r="555" spans="1:4" x14ac:dyDescent="0.3">
      <c r="A555" t="s">
        <v>194</v>
      </c>
      <c r="C555" s="16">
        <v>46162</v>
      </c>
      <c r="D555" s="82">
        <v>0</v>
      </c>
    </row>
    <row r="556" spans="1:4" x14ac:dyDescent="0.3">
      <c r="A556" t="s">
        <v>195</v>
      </c>
      <c r="C556" s="16">
        <v>46162</v>
      </c>
      <c r="D556" s="82">
        <v>0</v>
      </c>
    </row>
    <row r="557" spans="1:4" x14ac:dyDescent="0.3">
      <c r="A557" t="s">
        <v>196</v>
      </c>
      <c r="C557" s="16">
        <v>46162</v>
      </c>
      <c r="D557" s="82">
        <v>0</v>
      </c>
    </row>
    <row r="558" spans="1:4" x14ac:dyDescent="0.3">
      <c r="A558" t="s">
        <v>197</v>
      </c>
      <c r="C558" s="16">
        <v>46162</v>
      </c>
      <c r="D558" s="82">
        <v>0</v>
      </c>
    </row>
    <row r="559" spans="1:4" x14ac:dyDescent="0.3">
      <c r="A559" t="s">
        <v>212</v>
      </c>
      <c r="C559" s="16">
        <v>46162</v>
      </c>
      <c r="D559" s="82">
        <v>0</v>
      </c>
    </row>
    <row r="560" spans="1:4" x14ac:dyDescent="0.3">
      <c r="A560" t="s">
        <v>199</v>
      </c>
      <c r="C560" s="16">
        <v>46162</v>
      </c>
      <c r="D560" s="82">
        <v>0</v>
      </c>
    </row>
    <row r="561" spans="1:4" x14ac:dyDescent="0.3">
      <c r="A561" t="s">
        <v>216</v>
      </c>
      <c r="C561" s="16">
        <v>46162</v>
      </c>
      <c r="D561" s="82">
        <v>0</v>
      </c>
    </row>
    <row r="562" spans="1:4" x14ac:dyDescent="0.3">
      <c r="A562" t="s">
        <v>17</v>
      </c>
      <c r="C562" s="16">
        <v>46163</v>
      </c>
      <c r="D562" s="82">
        <v>142321.80000000013</v>
      </c>
    </row>
    <row r="563" spans="1:4" x14ac:dyDescent="0.3">
      <c r="A563" t="s">
        <v>18</v>
      </c>
      <c r="C563" s="16">
        <v>46163</v>
      </c>
      <c r="D563" s="82">
        <v>659760.15999999992</v>
      </c>
    </row>
    <row r="564" spans="1:4" x14ac:dyDescent="0.3">
      <c r="A564" t="s">
        <v>19</v>
      </c>
      <c r="C564" s="16">
        <v>46163</v>
      </c>
      <c r="D564" s="82">
        <v>1669.89</v>
      </c>
    </row>
    <row r="565" spans="1:4" x14ac:dyDescent="0.3">
      <c r="A565" t="s">
        <v>20</v>
      </c>
      <c r="C565" s="16">
        <v>46163</v>
      </c>
      <c r="D565" s="82">
        <v>497076.20999999985</v>
      </c>
    </row>
    <row r="566" spans="1:4" x14ac:dyDescent="0.3">
      <c r="A566" t="s">
        <v>21</v>
      </c>
      <c r="C566" s="16">
        <v>46163</v>
      </c>
      <c r="D566" s="82">
        <v>981189.87999999931</v>
      </c>
    </row>
    <row r="567" spans="1:4" x14ac:dyDescent="0.3">
      <c r="A567" t="s">
        <v>22</v>
      </c>
      <c r="C567" s="16">
        <v>46163</v>
      </c>
      <c r="D567" s="82">
        <v>141496.38</v>
      </c>
    </row>
    <row r="568" spans="1:4" x14ac:dyDescent="0.3">
      <c r="A568" t="s">
        <v>23</v>
      </c>
      <c r="C568" s="16">
        <v>46163</v>
      </c>
      <c r="D568" s="82">
        <v>88090.37</v>
      </c>
    </row>
    <row r="569" spans="1:4" x14ac:dyDescent="0.3">
      <c r="A569" t="s">
        <v>24</v>
      </c>
      <c r="C569" s="16">
        <v>46163</v>
      </c>
      <c r="D569" s="82">
        <v>2498.3999999999996</v>
      </c>
    </row>
    <row r="570" spans="1:4" x14ac:dyDescent="0.3">
      <c r="A570" t="s">
        <v>25</v>
      </c>
      <c r="C570" s="16">
        <v>46163</v>
      </c>
      <c r="D570" s="82">
        <v>114.3</v>
      </c>
    </row>
    <row r="571" spans="1:4" x14ac:dyDescent="0.3">
      <c r="A571" t="s">
        <v>26</v>
      </c>
      <c r="C571" s="16">
        <v>46163</v>
      </c>
      <c r="D571" s="82">
        <v>2267.7200000000003</v>
      </c>
    </row>
    <row r="572" spans="1:4" x14ac:dyDescent="0.3">
      <c r="A572" t="s">
        <v>27</v>
      </c>
      <c r="C572" s="16">
        <v>46163</v>
      </c>
      <c r="D572" s="82">
        <v>3349.94</v>
      </c>
    </row>
    <row r="573" spans="1:4" x14ac:dyDescent="0.3">
      <c r="A573" t="s">
        <v>28</v>
      </c>
      <c r="C573" s="16">
        <v>46163</v>
      </c>
      <c r="D573" s="82">
        <v>1968.99</v>
      </c>
    </row>
    <row r="574" spans="1:4" x14ac:dyDescent="0.3">
      <c r="A574" t="s">
        <v>29</v>
      </c>
      <c r="C574" s="16">
        <v>46163</v>
      </c>
      <c r="D574" s="82">
        <v>901.34</v>
      </c>
    </row>
    <row r="575" spans="1:4" x14ac:dyDescent="0.3">
      <c r="A575" t="s">
        <v>30</v>
      </c>
      <c r="C575" s="16">
        <v>46163</v>
      </c>
      <c r="D575" s="82">
        <v>1444.08</v>
      </c>
    </row>
    <row r="576" spans="1:4" x14ac:dyDescent="0.3">
      <c r="A576" t="s">
        <v>31</v>
      </c>
      <c r="C576" s="16">
        <v>46163</v>
      </c>
      <c r="D576" s="82">
        <v>15463.59999999996</v>
      </c>
    </row>
    <row r="577" spans="1:4" x14ac:dyDescent="0.3">
      <c r="A577" t="s">
        <v>32</v>
      </c>
      <c r="C577" s="16">
        <v>46163</v>
      </c>
      <c r="D577" s="82">
        <v>15120.060000000001</v>
      </c>
    </row>
    <row r="578" spans="1:4" x14ac:dyDescent="0.3">
      <c r="A578" t="s">
        <v>33</v>
      </c>
      <c r="C578" s="16">
        <v>46163</v>
      </c>
      <c r="D578" s="82">
        <v>29206.27</v>
      </c>
    </row>
    <row r="579" spans="1:4" x14ac:dyDescent="0.3">
      <c r="A579" t="s">
        <v>34</v>
      </c>
      <c r="C579" s="16">
        <v>46163</v>
      </c>
      <c r="D579" s="82">
        <v>345</v>
      </c>
    </row>
    <row r="580" spans="1:4" x14ac:dyDescent="0.3">
      <c r="A580" t="s">
        <v>35</v>
      </c>
      <c r="C580" s="16">
        <v>46163</v>
      </c>
      <c r="D580" s="82">
        <v>8168.0700000000006</v>
      </c>
    </row>
    <row r="581" spans="1:4" x14ac:dyDescent="0.3">
      <c r="A581" t="s">
        <v>193</v>
      </c>
      <c r="C581" s="16">
        <v>46163</v>
      </c>
      <c r="D581" s="82">
        <v>0</v>
      </c>
    </row>
    <row r="582" spans="1:4" x14ac:dyDescent="0.3">
      <c r="A582" t="s">
        <v>214</v>
      </c>
      <c r="C582" s="16">
        <v>46163</v>
      </c>
      <c r="D582" s="82">
        <v>0</v>
      </c>
    </row>
    <row r="583" spans="1:4" x14ac:dyDescent="0.3">
      <c r="A583" t="s">
        <v>194</v>
      </c>
      <c r="C583" s="16">
        <v>46163</v>
      </c>
      <c r="D583" s="82">
        <v>0</v>
      </c>
    </row>
    <row r="584" spans="1:4" x14ac:dyDescent="0.3">
      <c r="A584" t="s">
        <v>195</v>
      </c>
      <c r="C584" s="16">
        <v>46163</v>
      </c>
      <c r="D584" s="82">
        <v>0</v>
      </c>
    </row>
    <row r="585" spans="1:4" x14ac:dyDescent="0.3">
      <c r="A585" t="s">
        <v>196</v>
      </c>
      <c r="C585" s="16">
        <v>46163</v>
      </c>
      <c r="D585" s="82">
        <v>0</v>
      </c>
    </row>
    <row r="586" spans="1:4" x14ac:dyDescent="0.3">
      <c r="A586" t="s">
        <v>197</v>
      </c>
      <c r="C586" s="16">
        <v>46163</v>
      </c>
      <c r="D586" s="82">
        <v>0</v>
      </c>
    </row>
    <row r="587" spans="1:4" x14ac:dyDescent="0.3">
      <c r="A587" t="s">
        <v>212</v>
      </c>
      <c r="C587" s="16">
        <v>46163</v>
      </c>
      <c r="D587" s="82">
        <v>0</v>
      </c>
    </row>
    <row r="588" spans="1:4" x14ac:dyDescent="0.3">
      <c r="A588" t="s">
        <v>199</v>
      </c>
      <c r="C588" s="16">
        <v>46163</v>
      </c>
      <c r="D588" s="82">
        <v>0</v>
      </c>
    </row>
    <row r="589" spans="1:4" x14ac:dyDescent="0.3">
      <c r="A589" t="s">
        <v>216</v>
      </c>
      <c r="C589" s="16">
        <v>46163</v>
      </c>
      <c r="D589" s="82">
        <v>0</v>
      </c>
    </row>
    <row r="590" spans="1:4" x14ac:dyDescent="0.3">
      <c r="A590" t="s">
        <v>17</v>
      </c>
      <c r="C590" s="16">
        <v>46164</v>
      </c>
      <c r="D590" s="82">
        <v>142321.80000000013</v>
      </c>
    </row>
    <row r="591" spans="1:4" x14ac:dyDescent="0.3">
      <c r="A591" t="s">
        <v>18</v>
      </c>
      <c r="C591" s="16">
        <v>46164</v>
      </c>
      <c r="D591" s="82">
        <v>659760.15999999992</v>
      </c>
    </row>
    <row r="592" spans="1:4" x14ac:dyDescent="0.3">
      <c r="A592" t="s">
        <v>19</v>
      </c>
      <c r="C592" s="16">
        <v>46164</v>
      </c>
      <c r="D592" s="82">
        <v>1669.89</v>
      </c>
    </row>
    <row r="593" spans="1:4" x14ac:dyDescent="0.3">
      <c r="A593" t="s">
        <v>20</v>
      </c>
      <c r="C593" s="16">
        <v>46164</v>
      </c>
      <c r="D593" s="82">
        <v>497076.20999999985</v>
      </c>
    </row>
    <row r="594" spans="1:4" x14ac:dyDescent="0.3">
      <c r="A594" t="s">
        <v>21</v>
      </c>
      <c r="C594" s="16">
        <v>46164</v>
      </c>
      <c r="D594" s="82">
        <v>980426.88999999932</v>
      </c>
    </row>
    <row r="595" spans="1:4" x14ac:dyDescent="0.3">
      <c r="A595" t="s">
        <v>22</v>
      </c>
      <c r="C595" s="16">
        <v>46164</v>
      </c>
      <c r="D595" s="82">
        <v>141496.38</v>
      </c>
    </row>
    <row r="596" spans="1:4" x14ac:dyDescent="0.3">
      <c r="A596" t="s">
        <v>23</v>
      </c>
      <c r="C596" s="16">
        <v>46164</v>
      </c>
      <c r="D596" s="82">
        <v>88090.37</v>
      </c>
    </row>
    <row r="597" spans="1:4" x14ac:dyDescent="0.3">
      <c r="A597" t="s">
        <v>24</v>
      </c>
      <c r="C597" s="16">
        <v>46164</v>
      </c>
      <c r="D597" s="82">
        <v>2498.3999999999996</v>
      </c>
    </row>
    <row r="598" spans="1:4" x14ac:dyDescent="0.3">
      <c r="A598" t="s">
        <v>25</v>
      </c>
      <c r="C598" s="16">
        <v>46164</v>
      </c>
      <c r="D598" s="82">
        <v>114.3</v>
      </c>
    </row>
    <row r="599" spans="1:4" x14ac:dyDescent="0.3">
      <c r="A599" t="s">
        <v>26</v>
      </c>
      <c r="C599" s="16">
        <v>46164</v>
      </c>
      <c r="D599" s="82">
        <v>2267.7200000000003</v>
      </c>
    </row>
    <row r="600" spans="1:4" x14ac:dyDescent="0.3">
      <c r="A600" t="s">
        <v>27</v>
      </c>
      <c r="C600" s="16">
        <v>46164</v>
      </c>
      <c r="D600" s="82">
        <v>3349.94</v>
      </c>
    </row>
    <row r="601" spans="1:4" x14ac:dyDescent="0.3">
      <c r="A601" t="s">
        <v>28</v>
      </c>
      <c r="C601" s="16">
        <v>46164</v>
      </c>
      <c r="D601" s="82">
        <v>1968.99</v>
      </c>
    </row>
    <row r="602" spans="1:4" x14ac:dyDescent="0.3">
      <c r="A602" t="s">
        <v>29</v>
      </c>
      <c r="C602" s="16">
        <v>46164</v>
      </c>
      <c r="D602" s="82">
        <v>901.34</v>
      </c>
    </row>
    <row r="603" spans="1:4" x14ac:dyDescent="0.3">
      <c r="A603" t="s">
        <v>30</v>
      </c>
      <c r="C603" s="16">
        <v>46164</v>
      </c>
      <c r="D603" s="82">
        <v>1444.08</v>
      </c>
    </row>
    <row r="604" spans="1:4" x14ac:dyDescent="0.3">
      <c r="A604" t="s">
        <v>31</v>
      </c>
      <c r="C604" s="16">
        <v>46164</v>
      </c>
      <c r="D604" s="82">
        <v>15463.59999999996</v>
      </c>
    </row>
    <row r="605" spans="1:4" x14ac:dyDescent="0.3">
      <c r="A605" t="s">
        <v>32</v>
      </c>
      <c r="C605" s="16">
        <v>46164</v>
      </c>
      <c r="D605" s="82">
        <v>15120.060000000001</v>
      </c>
    </row>
    <row r="606" spans="1:4" x14ac:dyDescent="0.3">
      <c r="A606" t="s">
        <v>33</v>
      </c>
      <c r="C606" s="16">
        <v>46164</v>
      </c>
      <c r="D606" s="82">
        <v>29206.27</v>
      </c>
    </row>
    <row r="607" spans="1:4" x14ac:dyDescent="0.3">
      <c r="A607" t="s">
        <v>34</v>
      </c>
      <c r="C607" s="16">
        <v>46164</v>
      </c>
      <c r="D607" s="82">
        <v>345</v>
      </c>
    </row>
    <row r="608" spans="1:4" x14ac:dyDescent="0.3">
      <c r="A608" t="s">
        <v>35</v>
      </c>
      <c r="C608" s="16">
        <v>46164</v>
      </c>
      <c r="D608" s="82">
        <v>8168.0700000000006</v>
      </c>
    </row>
    <row r="609" spans="1:4" x14ac:dyDescent="0.3">
      <c r="A609" t="s">
        <v>193</v>
      </c>
      <c r="C609" s="16">
        <v>46164</v>
      </c>
      <c r="D609" s="82">
        <v>0</v>
      </c>
    </row>
    <row r="610" spans="1:4" x14ac:dyDescent="0.3">
      <c r="A610" t="s">
        <v>214</v>
      </c>
      <c r="C610" s="16">
        <v>46164</v>
      </c>
      <c r="D610" s="82">
        <v>0</v>
      </c>
    </row>
    <row r="611" spans="1:4" x14ac:dyDescent="0.3">
      <c r="A611" t="s">
        <v>194</v>
      </c>
      <c r="C611" s="16">
        <v>46164</v>
      </c>
      <c r="D611" s="82">
        <v>0</v>
      </c>
    </row>
    <row r="612" spans="1:4" x14ac:dyDescent="0.3">
      <c r="A612" t="s">
        <v>195</v>
      </c>
      <c r="C612" s="16">
        <v>46164</v>
      </c>
      <c r="D612" s="82">
        <v>0</v>
      </c>
    </row>
    <row r="613" spans="1:4" x14ac:dyDescent="0.3">
      <c r="A613" t="s">
        <v>196</v>
      </c>
      <c r="C613" s="16">
        <v>46164</v>
      </c>
      <c r="D613" s="82">
        <v>0</v>
      </c>
    </row>
    <row r="614" spans="1:4" x14ac:dyDescent="0.3">
      <c r="A614" t="s">
        <v>197</v>
      </c>
      <c r="C614" s="16">
        <v>46164</v>
      </c>
      <c r="D614" s="82">
        <v>0</v>
      </c>
    </row>
    <row r="615" spans="1:4" x14ac:dyDescent="0.3">
      <c r="A615" t="s">
        <v>212</v>
      </c>
      <c r="C615" s="16">
        <v>46164</v>
      </c>
      <c r="D615" s="82">
        <v>0</v>
      </c>
    </row>
    <row r="616" spans="1:4" x14ac:dyDescent="0.3">
      <c r="A616" t="s">
        <v>199</v>
      </c>
      <c r="C616" s="16">
        <v>46164</v>
      </c>
      <c r="D616" s="82">
        <v>0</v>
      </c>
    </row>
    <row r="617" spans="1:4" x14ac:dyDescent="0.3">
      <c r="A617" t="s">
        <v>216</v>
      </c>
      <c r="C617" s="16">
        <v>46164</v>
      </c>
      <c r="D617" s="82">
        <v>0</v>
      </c>
    </row>
    <row r="618" spans="1:4" x14ac:dyDescent="0.3">
      <c r="A618" t="s">
        <v>17</v>
      </c>
      <c r="C618" s="16">
        <v>46165</v>
      </c>
      <c r="D618" s="82">
        <v>142321.80000000013</v>
      </c>
    </row>
    <row r="619" spans="1:4" x14ac:dyDescent="0.3">
      <c r="A619" t="s">
        <v>18</v>
      </c>
      <c r="C619" s="16">
        <v>46165</v>
      </c>
      <c r="D619" s="82">
        <v>659760.15999999992</v>
      </c>
    </row>
    <row r="620" spans="1:4" x14ac:dyDescent="0.3">
      <c r="A620" t="s">
        <v>19</v>
      </c>
      <c r="C620" s="16">
        <v>46165</v>
      </c>
      <c r="D620" s="82">
        <v>1669.89</v>
      </c>
    </row>
    <row r="621" spans="1:4" x14ac:dyDescent="0.3">
      <c r="A621" t="s">
        <v>20</v>
      </c>
      <c r="C621" s="16">
        <v>46165</v>
      </c>
      <c r="D621" s="82">
        <v>497076.20999999985</v>
      </c>
    </row>
    <row r="622" spans="1:4" x14ac:dyDescent="0.3">
      <c r="A622" t="s">
        <v>21</v>
      </c>
      <c r="C622" s="16">
        <v>46165</v>
      </c>
      <c r="D622" s="82">
        <v>980426.88999999932</v>
      </c>
    </row>
    <row r="623" spans="1:4" x14ac:dyDescent="0.3">
      <c r="A623" t="s">
        <v>22</v>
      </c>
      <c r="C623" s="16">
        <v>46165</v>
      </c>
      <c r="D623" s="82">
        <v>141496.38</v>
      </c>
    </row>
    <row r="624" spans="1:4" x14ac:dyDescent="0.3">
      <c r="A624" t="s">
        <v>23</v>
      </c>
      <c r="C624" s="16">
        <v>46165</v>
      </c>
      <c r="D624" s="82">
        <v>88090.37</v>
      </c>
    </row>
    <row r="625" spans="1:4" x14ac:dyDescent="0.3">
      <c r="A625" t="s">
        <v>24</v>
      </c>
      <c r="C625" s="16">
        <v>46165</v>
      </c>
      <c r="D625" s="82">
        <v>2498.3999999999996</v>
      </c>
    </row>
    <row r="626" spans="1:4" x14ac:dyDescent="0.3">
      <c r="A626" t="s">
        <v>25</v>
      </c>
      <c r="C626" s="16">
        <v>46165</v>
      </c>
      <c r="D626" s="82">
        <v>114.3</v>
      </c>
    </row>
    <row r="627" spans="1:4" x14ac:dyDescent="0.3">
      <c r="A627" t="s">
        <v>26</v>
      </c>
      <c r="C627" s="16">
        <v>46165</v>
      </c>
      <c r="D627" s="82">
        <v>2267.7200000000003</v>
      </c>
    </row>
    <row r="628" spans="1:4" x14ac:dyDescent="0.3">
      <c r="A628" t="s">
        <v>27</v>
      </c>
      <c r="C628" s="16">
        <v>46165</v>
      </c>
      <c r="D628" s="82">
        <v>3349.94</v>
      </c>
    </row>
    <row r="629" spans="1:4" x14ac:dyDescent="0.3">
      <c r="A629" t="s">
        <v>28</v>
      </c>
      <c r="C629" s="16">
        <v>46165</v>
      </c>
      <c r="D629" s="82">
        <v>1968.99</v>
      </c>
    </row>
    <row r="630" spans="1:4" x14ac:dyDescent="0.3">
      <c r="A630" t="s">
        <v>29</v>
      </c>
      <c r="C630" s="16">
        <v>46165</v>
      </c>
      <c r="D630" s="82">
        <v>901.34</v>
      </c>
    </row>
    <row r="631" spans="1:4" x14ac:dyDescent="0.3">
      <c r="A631" t="s">
        <v>30</v>
      </c>
      <c r="C631" s="16">
        <v>46165</v>
      </c>
      <c r="D631" s="82">
        <v>1444.08</v>
      </c>
    </row>
    <row r="632" spans="1:4" x14ac:dyDescent="0.3">
      <c r="A632" t="s">
        <v>31</v>
      </c>
      <c r="C632" s="16">
        <v>46165</v>
      </c>
      <c r="D632" s="82">
        <v>15463.59999999996</v>
      </c>
    </row>
    <row r="633" spans="1:4" x14ac:dyDescent="0.3">
      <c r="A633" t="s">
        <v>32</v>
      </c>
      <c r="C633" s="16">
        <v>46165</v>
      </c>
      <c r="D633" s="82">
        <v>15120.060000000001</v>
      </c>
    </row>
    <row r="634" spans="1:4" x14ac:dyDescent="0.3">
      <c r="A634" t="s">
        <v>33</v>
      </c>
      <c r="C634" s="16">
        <v>46165</v>
      </c>
      <c r="D634" s="82">
        <v>29206.27</v>
      </c>
    </row>
    <row r="635" spans="1:4" x14ac:dyDescent="0.3">
      <c r="A635" t="s">
        <v>34</v>
      </c>
      <c r="C635" s="16">
        <v>46165</v>
      </c>
      <c r="D635" s="82">
        <v>345</v>
      </c>
    </row>
    <row r="636" spans="1:4" x14ac:dyDescent="0.3">
      <c r="A636" t="s">
        <v>35</v>
      </c>
      <c r="C636" s="16">
        <v>46165</v>
      </c>
      <c r="D636" s="82">
        <v>8168.0700000000006</v>
      </c>
    </row>
    <row r="637" spans="1:4" x14ac:dyDescent="0.3">
      <c r="A637" t="s">
        <v>193</v>
      </c>
      <c r="C637" s="16">
        <v>46165</v>
      </c>
      <c r="D637" s="82">
        <v>0</v>
      </c>
    </row>
    <row r="638" spans="1:4" x14ac:dyDescent="0.3">
      <c r="A638" t="s">
        <v>214</v>
      </c>
      <c r="C638" s="16">
        <v>46165</v>
      </c>
      <c r="D638" s="82">
        <v>0</v>
      </c>
    </row>
    <row r="639" spans="1:4" x14ac:dyDescent="0.3">
      <c r="A639" t="s">
        <v>194</v>
      </c>
      <c r="C639" s="16">
        <v>46165</v>
      </c>
      <c r="D639" s="82">
        <v>0</v>
      </c>
    </row>
    <row r="640" spans="1:4" x14ac:dyDescent="0.3">
      <c r="A640" t="s">
        <v>195</v>
      </c>
      <c r="C640" s="16">
        <v>46165</v>
      </c>
      <c r="D640" s="82">
        <v>0</v>
      </c>
    </row>
    <row r="641" spans="1:4" x14ac:dyDescent="0.3">
      <c r="A641" t="s">
        <v>196</v>
      </c>
      <c r="C641" s="16">
        <v>46165</v>
      </c>
      <c r="D641" s="82">
        <v>0</v>
      </c>
    </row>
    <row r="642" spans="1:4" x14ac:dyDescent="0.3">
      <c r="A642" t="s">
        <v>197</v>
      </c>
      <c r="C642" s="16">
        <v>46165</v>
      </c>
      <c r="D642" s="82">
        <v>0</v>
      </c>
    </row>
    <row r="643" spans="1:4" x14ac:dyDescent="0.3">
      <c r="A643" t="s">
        <v>212</v>
      </c>
      <c r="C643" s="16">
        <v>46165</v>
      </c>
      <c r="D643" s="82">
        <v>0</v>
      </c>
    </row>
    <row r="644" spans="1:4" x14ac:dyDescent="0.3">
      <c r="A644" t="s">
        <v>199</v>
      </c>
      <c r="C644" s="16">
        <v>46165</v>
      </c>
      <c r="D644" s="82">
        <v>0</v>
      </c>
    </row>
    <row r="645" spans="1:4" x14ac:dyDescent="0.3">
      <c r="A645" t="s">
        <v>216</v>
      </c>
      <c r="C645" s="16">
        <v>46165</v>
      </c>
      <c r="D645" s="82">
        <v>0</v>
      </c>
    </row>
    <row r="646" spans="1:4" x14ac:dyDescent="0.3">
      <c r="A646" t="s">
        <v>17</v>
      </c>
      <c r="C646" s="16">
        <v>46166</v>
      </c>
      <c r="D646" s="82">
        <v>142321.80000000013</v>
      </c>
    </row>
    <row r="647" spans="1:4" x14ac:dyDescent="0.3">
      <c r="A647" t="s">
        <v>18</v>
      </c>
      <c r="C647" s="16">
        <v>46166</v>
      </c>
      <c r="D647" s="82">
        <v>659760.15999999992</v>
      </c>
    </row>
    <row r="648" spans="1:4" x14ac:dyDescent="0.3">
      <c r="A648" t="s">
        <v>19</v>
      </c>
      <c r="C648" s="16">
        <v>46166</v>
      </c>
      <c r="D648" s="82">
        <v>1669.89</v>
      </c>
    </row>
    <row r="649" spans="1:4" x14ac:dyDescent="0.3">
      <c r="A649" t="s">
        <v>20</v>
      </c>
      <c r="C649" s="16">
        <v>46166</v>
      </c>
      <c r="D649" s="82">
        <v>497076.20999999985</v>
      </c>
    </row>
    <row r="650" spans="1:4" x14ac:dyDescent="0.3">
      <c r="A650" t="s">
        <v>21</v>
      </c>
      <c r="C650" s="16">
        <v>46166</v>
      </c>
      <c r="D650" s="82">
        <v>980426.88999999932</v>
      </c>
    </row>
    <row r="651" spans="1:4" x14ac:dyDescent="0.3">
      <c r="A651" t="s">
        <v>22</v>
      </c>
      <c r="C651" s="16">
        <v>46166</v>
      </c>
      <c r="D651" s="82">
        <v>141496.38</v>
      </c>
    </row>
    <row r="652" spans="1:4" x14ac:dyDescent="0.3">
      <c r="A652" t="s">
        <v>23</v>
      </c>
      <c r="C652" s="16">
        <v>46166</v>
      </c>
      <c r="D652" s="82">
        <v>88090.37</v>
      </c>
    </row>
    <row r="653" spans="1:4" x14ac:dyDescent="0.3">
      <c r="A653" t="s">
        <v>24</v>
      </c>
      <c r="C653" s="16">
        <v>46166</v>
      </c>
      <c r="D653" s="82">
        <v>2498.3999999999996</v>
      </c>
    </row>
    <row r="654" spans="1:4" x14ac:dyDescent="0.3">
      <c r="A654" t="s">
        <v>25</v>
      </c>
      <c r="C654" s="16">
        <v>46166</v>
      </c>
      <c r="D654" s="82">
        <v>114.3</v>
      </c>
    </row>
    <row r="655" spans="1:4" x14ac:dyDescent="0.3">
      <c r="A655" t="s">
        <v>26</v>
      </c>
      <c r="C655" s="16">
        <v>46166</v>
      </c>
      <c r="D655" s="82">
        <v>2267.7200000000003</v>
      </c>
    </row>
    <row r="656" spans="1:4" x14ac:dyDescent="0.3">
      <c r="A656" t="s">
        <v>27</v>
      </c>
      <c r="C656" s="16">
        <v>46166</v>
      </c>
      <c r="D656" s="82">
        <v>3349.94</v>
      </c>
    </row>
    <row r="657" spans="1:4" x14ac:dyDescent="0.3">
      <c r="A657" t="s">
        <v>28</v>
      </c>
      <c r="C657" s="16">
        <v>46166</v>
      </c>
      <c r="D657" s="82">
        <v>1968.99</v>
      </c>
    </row>
    <row r="658" spans="1:4" x14ac:dyDescent="0.3">
      <c r="A658" t="s">
        <v>29</v>
      </c>
      <c r="C658" s="16">
        <v>46166</v>
      </c>
      <c r="D658" s="82">
        <v>901.34</v>
      </c>
    </row>
    <row r="659" spans="1:4" x14ac:dyDescent="0.3">
      <c r="A659" t="s">
        <v>30</v>
      </c>
      <c r="C659" s="16">
        <v>46166</v>
      </c>
      <c r="D659" s="82">
        <v>1444.08</v>
      </c>
    </row>
    <row r="660" spans="1:4" x14ac:dyDescent="0.3">
      <c r="A660" t="s">
        <v>31</v>
      </c>
      <c r="C660" s="16">
        <v>46166</v>
      </c>
      <c r="D660" s="82">
        <v>15463.59999999996</v>
      </c>
    </row>
    <row r="661" spans="1:4" x14ac:dyDescent="0.3">
      <c r="A661" t="s">
        <v>32</v>
      </c>
      <c r="C661" s="16">
        <v>46166</v>
      </c>
      <c r="D661" s="82">
        <v>15120.060000000001</v>
      </c>
    </row>
    <row r="662" spans="1:4" x14ac:dyDescent="0.3">
      <c r="A662" t="s">
        <v>33</v>
      </c>
      <c r="C662" s="16">
        <v>46166</v>
      </c>
      <c r="D662" s="82">
        <v>29206.27</v>
      </c>
    </row>
    <row r="663" spans="1:4" x14ac:dyDescent="0.3">
      <c r="A663" t="s">
        <v>34</v>
      </c>
      <c r="C663" s="16">
        <v>46166</v>
      </c>
      <c r="D663" s="82">
        <v>345</v>
      </c>
    </row>
    <row r="664" spans="1:4" x14ac:dyDescent="0.3">
      <c r="A664" t="s">
        <v>35</v>
      </c>
      <c r="C664" s="16">
        <v>46166</v>
      </c>
      <c r="D664" s="82">
        <v>8168.0700000000006</v>
      </c>
    </row>
    <row r="665" spans="1:4" x14ac:dyDescent="0.3">
      <c r="A665" t="s">
        <v>193</v>
      </c>
      <c r="C665" s="16">
        <v>46166</v>
      </c>
      <c r="D665" s="82">
        <v>0</v>
      </c>
    </row>
    <row r="666" spans="1:4" x14ac:dyDescent="0.3">
      <c r="A666" t="s">
        <v>214</v>
      </c>
      <c r="C666" s="16">
        <v>46166</v>
      </c>
      <c r="D666" s="82">
        <v>0</v>
      </c>
    </row>
    <row r="667" spans="1:4" x14ac:dyDescent="0.3">
      <c r="A667" t="s">
        <v>194</v>
      </c>
      <c r="C667" s="16">
        <v>46166</v>
      </c>
      <c r="D667" s="82">
        <v>0</v>
      </c>
    </row>
    <row r="668" spans="1:4" x14ac:dyDescent="0.3">
      <c r="A668" t="s">
        <v>195</v>
      </c>
      <c r="C668" s="16">
        <v>46166</v>
      </c>
      <c r="D668" s="82">
        <v>0</v>
      </c>
    </row>
    <row r="669" spans="1:4" x14ac:dyDescent="0.3">
      <c r="A669" t="s">
        <v>196</v>
      </c>
      <c r="C669" s="16">
        <v>46166</v>
      </c>
      <c r="D669" s="82">
        <v>0</v>
      </c>
    </row>
    <row r="670" spans="1:4" x14ac:dyDescent="0.3">
      <c r="A670" t="s">
        <v>197</v>
      </c>
      <c r="C670" s="16">
        <v>46166</v>
      </c>
      <c r="D670" s="82">
        <v>0</v>
      </c>
    </row>
    <row r="671" spans="1:4" x14ac:dyDescent="0.3">
      <c r="A671" t="s">
        <v>212</v>
      </c>
      <c r="C671" s="16">
        <v>46166</v>
      </c>
      <c r="D671" s="82">
        <v>0</v>
      </c>
    </row>
    <row r="672" spans="1:4" x14ac:dyDescent="0.3">
      <c r="A672" t="s">
        <v>199</v>
      </c>
      <c r="C672" s="16">
        <v>46166</v>
      </c>
      <c r="D672" s="82">
        <v>0</v>
      </c>
    </row>
    <row r="673" spans="1:4" x14ac:dyDescent="0.3">
      <c r="A673" t="s">
        <v>216</v>
      </c>
      <c r="C673" s="16">
        <v>46166</v>
      </c>
      <c r="D673" s="82">
        <v>0</v>
      </c>
    </row>
    <row r="674" spans="1:4" x14ac:dyDescent="0.3">
      <c r="A674" t="s">
        <v>17</v>
      </c>
      <c r="C674" s="16">
        <v>46167</v>
      </c>
      <c r="D674" s="82">
        <v>142321.80000000013</v>
      </c>
    </row>
    <row r="675" spans="1:4" x14ac:dyDescent="0.3">
      <c r="A675" t="s">
        <v>18</v>
      </c>
      <c r="C675" s="16">
        <v>46167</v>
      </c>
      <c r="D675" s="82">
        <v>659760.15999999992</v>
      </c>
    </row>
    <row r="676" spans="1:4" x14ac:dyDescent="0.3">
      <c r="A676" t="s">
        <v>19</v>
      </c>
      <c r="C676" s="16">
        <v>46167</v>
      </c>
      <c r="D676" s="82">
        <v>1669.89</v>
      </c>
    </row>
    <row r="677" spans="1:4" x14ac:dyDescent="0.3">
      <c r="A677" t="s">
        <v>20</v>
      </c>
      <c r="C677" s="16">
        <v>46167</v>
      </c>
      <c r="D677" s="82">
        <v>497076.20999999985</v>
      </c>
    </row>
    <row r="678" spans="1:4" x14ac:dyDescent="0.3">
      <c r="A678" t="s">
        <v>21</v>
      </c>
      <c r="C678" s="16">
        <v>46167</v>
      </c>
      <c r="D678" s="82">
        <v>980426.88999999932</v>
      </c>
    </row>
    <row r="679" spans="1:4" x14ac:dyDescent="0.3">
      <c r="A679" t="s">
        <v>22</v>
      </c>
      <c r="C679" s="16">
        <v>46167</v>
      </c>
      <c r="D679" s="82">
        <v>141496.38</v>
      </c>
    </row>
    <row r="680" spans="1:4" x14ac:dyDescent="0.3">
      <c r="A680" t="s">
        <v>23</v>
      </c>
      <c r="C680" s="16">
        <v>46167</v>
      </c>
      <c r="D680" s="82">
        <v>88090.37</v>
      </c>
    </row>
    <row r="681" spans="1:4" x14ac:dyDescent="0.3">
      <c r="A681" t="s">
        <v>24</v>
      </c>
      <c r="C681" s="16">
        <v>46167</v>
      </c>
      <c r="D681" s="82">
        <v>2498.3999999999996</v>
      </c>
    </row>
    <row r="682" spans="1:4" x14ac:dyDescent="0.3">
      <c r="A682" t="s">
        <v>25</v>
      </c>
      <c r="C682" s="16">
        <v>46167</v>
      </c>
      <c r="D682" s="82">
        <v>114.3</v>
      </c>
    </row>
    <row r="683" spans="1:4" x14ac:dyDescent="0.3">
      <c r="A683" t="s">
        <v>26</v>
      </c>
      <c r="C683" s="16">
        <v>46167</v>
      </c>
      <c r="D683" s="82">
        <v>2267.7200000000003</v>
      </c>
    </row>
    <row r="684" spans="1:4" x14ac:dyDescent="0.3">
      <c r="A684" t="s">
        <v>27</v>
      </c>
      <c r="C684" s="16">
        <v>46167</v>
      </c>
      <c r="D684" s="82">
        <v>3349.94</v>
      </c>
    </row>
    <row r="685" spans="1:4" x14ac:dyDescent="0.3">
      <c r="A685" t="s">
        <v>28</v>
      </c>
      <c r="C685" s="16">
        <v>46167</v>
      </c>
      <c r="D685" s="82">
        <v>1968.99</v>
      </c>
    </row>
    <row r="686" spans="1:4" x14ac:dyDescent="0.3">
      <c r="A686" t="s">
        <v>29</v>
      </c>
      <c r="C686" s="16">
        <v>46167</v>
      </c>
      <c r="D686" s="82">
        <v>901.34</v>
      </c>
    </row>
    <row r="687" spans="1:4" x14ac:dyDescent="0.3">
      <c r="A687" t="s">
        <v>30</v>
      </c>
      <c r="C687" s="16">
        <v>46167</v>
      </c>
      <c r="D687" s="82">
        <v>1444.08</v>
      </c>
    </row>
    <row r="688" spans="1:4" x14ac:dyDescent="0.3">
      <c r="A688" t="s">
        <v>31</v>
      </c>
      <c r="C688" s="16">
        <v>46167</v>
      </c>
      <c r="D688" s="82">
        <v>15463.59999999996</v>
      </c>
    </row>
    <row r="689" spans="1:4" x14ac:dyDescent="0.3">
      <c r="A689" t="s">
        <v>32</v>
      </c>
      <c r="C689" s="16">
        <v>46167</v>
      </c>
      <c r="D689" s="82">
        <v>15120.060000000001</v>
      </c>
    </row>
    <row r="690" spans="1:4" x14ac:dyDescent="0.3">
      <c r="A690" t="s">
        <v>33</v>
      </c>
      <c r="C690" s="16">
        <v>46167</v>
      </c>
      <c r="D690" s="82">
        <v>29206.27</v>
      </c>
    </row>
    <row r="691" spans="1:4" x14ac:dyDescent="0.3">
      <c r="A691" t="s">
        <v>34</v>
      </c>
      <c r="C691" s="16">
        <v>46167</v>
      </c>
      <c r="D691" s="82">
        <v>345</v>
      </c>
    </row>
    <row r="692" spans="1:4" x14ac:dyDescent="0.3">
      <c r="A692" t="s">
        <v>35</v>
      </c>
      <c r="C692" s="16">
        <v>46167</v>
      </c>
      <c r="D692" s="82">
        <v>8168.0700000000006</v>
      </c>
    </row>
    <row r="693" spans="1:4" x14ac:dyDescent="0.3">
      <c r="A693" t="s">
        <v>193</v>
      </c>
      <c r="C693" s="16">
        <v>46167</v>
      </c>
      <c r="D693" s="82">
        <v>0</v>
      </c>
    </row>
    <row r="694" spans="1:4" x14ac:dyDescent="0.3">
      <c r="A694" t="s">
        <v>214</v>
      </c>
      <c r="C694" s="16">
        <v>46167</v>
      </c>
      <c r="D694" s="82">
        <v>0</v>
      </c>
    </row>
    <row r="695" spans="1:4" x14ac:dyDescent="0.3">
      <c r="A695" t="s">
        <v>194</v>
      </c>
      <c r="C695" s="16">
        <v>46167</v>
      </c>
      <c r="D695" s="82">
        <v>0</v>
      </c>
    </row>
    <row r="696" spans="1:4" x14ac:dyDescent="0.3">
      <c r="A696" t="s">
        <v>195</v>
      </c>
      <c r="C696" s="16">
        <v>46167</v>
      </c>
      <c r="D696" s="82">
        <v>0</v>
      </c>
    </row>
    <row r="697" spans="1:4" x14ac:dyDescent="0.3">
      <c r="A697" t="s">
        <v>196</v>
      </c>
      <c r="C697" s="16">
        <v>46167</v>
      </c>
      <c r="D697" s="82">
        <v>0</v>
      </c>
    </row>
    <row r="698" spans="1:4" x14ac:dyDescent="0.3">
      <c r="A698" t="s">
        <v>197</v>
      </c>
      <c r="C698" s="16">
        <v>46167</v>
      </c>
      <c r="D698" s="82">
        <v>0</v>
      </c>
    </row>
    <row r="699" spans="1:4" x14ac:dyDescent="0.3">
      <c r="A699" t="s">
        <v>212</v>
      </c>
      <c r="C699" s="16">
        <v>46167</v>
      </c>
      <c r="D699" s="82">
        <v>0</v>
      </c>
    </row>
    <row r="700" spans="1:4" x14ac:dyDescent="0.3">
      <c r="A700" t="s">
        <v>199</v>
      </c>
      <c r="C700" s="16">
        <v>46167</v>
      </c>
      <c r="D700" s="82">
        <v>0</v>
      </c>
    </row>
    <row r="701" spans="1:4" x14ac:dyDescent="0.3">
      <c r="A701" t="s">
        <v>216</v>
      </c>
      <c r="C701" s="16">
        <v>46167</v>
      </c>
      <c r="D701" s="82">
        <v>0</v>
      </c>
    </row>
    <row r="702" spans="1:4" x14ac:dyDescent="0.3">
      <c r="A702" t="s">
        <v>17</v>
      </c>
      <c r="C702" s="16">
        <v>46168</v>
      </c>
      <c r="D702" s="82">
        <v>253154.33000000013</v>
      </c>
    </row>
    <row r="703" spans="1:4" x14ac:dyDescent="0.3">
      <c r="A703" t="s">
        <v>18</v>
      </c>
      <c r="C703" s="16">
        <v>46168</v>
      </c>
      <c r="D703" s="82">
        <v>1259760.1600000001</v>
      </c>
    </row>
    <row r="704" spans="1:4" x14ac:dyDescent="0.3">
      <c r="A704" t="s">
        <v>19</v>
      </c>
      <c r="C704" s="16">
        <v>46168</v>
      </c>
      <c r="D704" s="82">
        <v>1669.89</v>
      </c>
    </row>
    <row r="705" spans="1:4" x14ac:dyDescent="0.3">
      <c r="A705" t="s">
        <v>20</v>
      </c>
      <c r="C705" s="16">
        <v>46168</v>
      </c>
      <c r="D705" s="82">
        <v>497076.20999999985</v>
      </c>
    </row>
    <row r="706" spans="1:4" x14ac:dyDescent="0.3">
      <c r="A706" t="s">
        <v>21</v>
      </c>
      <c r="C706" s="16">
        <v>46168</v>
      </c>
      <c r="D706" s="82">
        <v>980426.88999999932</v>
      </c>
    </row>
    <row r="707" spans="1:4" x14ac:dyDescent="0.3">
      <c r="A707" t="s">
        <v>22</v>
      </c>
      <c r="C707" s="16">
        <v>46168</v>
      </c>
      <c r="D707" s="82">
        <v>141496.38</v>
      </c>
    </row>
    <row r="708" spans="1:4" x14ac:dyDescent="0.3">
      <c r="A708" t="s">
        <v>23</v>
      </c>
      <c r="C708" s="16">
        <v>46168</v>
      </c>
      <c r="D708" s="82">
        <v>88090.37</v>
      </c>
    </row>
    <row r="709" spans="1:4" x14ac:dyDescent="0.3">
      <c r="A709" t="s">
        <v>24</v>
      </c>
      <c r="C709" s="16">
        <v>46168</v>
      </c>
      <c r="D709" s="82">
        <v>2498.3999999999996</v>
      </c>
    </row>
    <row r="710" spans="1:4" x14ac:dyDescent="0.3">
      <c r="A710" t="s">
        <v>25</v>
      </c>
      <c r="C710" s="16">
        <v>46168</v>
      </c>
      <c r="D710" s="82">
        <v>114.3</v>
      </c>
    </row>
    <row r="711" spans="1:4" x14ac:dyDescent="0.3">
      <c r="A711" t="s">
        <v>26</v>
      </c>
      <c r="C711" s="16">
        <v>46168</v>
      </c>
      <c r="D711" s="82">
        <v>2267.7200000000003</v>
      </c>
    </row>
    <row r="712" spans="1:4" x14ac:dyDescent="0.3">
      <c r="A712" t="s">
        <v>27</v>
      </c>
      <c r="C712" s="16">
        <v>46168</v>
      </c>
      <c r="D712" s="82">
        <v>3349.94</v>
      </c>
    </row>
    <row r="713" spans="1:4" x14ac:dyDescent="0.3">
      <c r="A713" t="s">
        <v>28</v>
      </c>
      <c r="C713" s="16">
        <v>46168</v>
      </c>
      <c r="D713" s="82">
        <v>1968.99</v>
      </c>
    </row>
    <row r="714" spans="1:4" x14ac:dyDescent="0.3">
      <c r="A714" t="s">
        <v>29</v>
      </c>
      <c r="C714" s="16">
        <v>46168</v>
      </c>
      <c r="D714" s="82">
        <v>901.34</v>
      </c>
    </row>
    <row r="715" spans="1:4" x14ac:dyDescent="0.3">
      <c r="A715" t="s">
        <v>30</v>
      </c>
      <c r="C715" s="16">
        <v>46168</v>
      </c>
      <c r="D715" s="82">
        <v>1444.08</v>
      </c>
    </row>
    <row r="716" spans="1:4" x14ac:dyDescent="0.3">
      <c r="A716" t="s">
        <v>31</v>
      </c>
      <c r="C716" s="16">
        <v>46168</v>
      </c>
      <c r="D716" s="82">
        <v>15463.59999999996</v>
      </c>
    </row>
    <row r="717" spans="1:4" x14ac:dyDescent="0.3">
      <c r="A717" t="s">
        <v>32</v>
      </c>
      <c r="C717" s="16">
        <v>46168</v>
      </c>
      <c r="D717" s="82">
        <v>15120.060000000001</v>
      </c>
    </row>
    <row r="718" spans="1:4" x14ac:dyDescent="0.3">
      <c r="A718" t="s">
        <v>33</v>
      </c>
      <c r="C718" s="16">
        <v>46168</v>
      </c>
      <c r="D718" s="82">
        <v>29206.27</v>
      </c>
    </row>
    <row r="719" spans="1:4" x14ac:dyDescent="0.3">
      <c r="A719" t="s">
        <v>34</v>
      </c>
      <c r="C719" s="16">
        <v>46168</v>
      </c>
      <c r="D719" s="82">
        <v>345</v>
      </c>
    </row>
    <row r="720" spans="1:4" x14ac:dyDescent="0.3">
      <c r="A720" t="s">
        <v>35</v>
      </c>
      <c r="C720" s="16">
        <v>46168</v>
      </c>
      <c r="D720" s="82">
        <v>8168.0700000000006</v>
      </c>
    </row>
    <row r="721" spans="1:4" x14ac:dyDescent="0.3">
      <c r="A721" t="s">
        <v>193</v>
      </c>
      <c r="C721" s="16">
        <v>46168</v>
      </c>
      <c r="D721" s="82">
        <v>0</v>
      </c>
    </row>
    <row r="722" spans="1:4" x14ac:dyDescent="0.3">
      <c r="A722" t="s">
        <v>214</v>
      </c>
      <c r="C722" s="16">
        <v>46168</v>
      </c>
      <c r="D722" s="82">
        <v>0</v>
      </c>
    </row>
    <row r="723" spans="1:4" x14ac:dyDescent="0.3">
      <c r="A723" t="s">
        <v>194</v>
      </c>
      <c r="C723" s="16">
        <v>46168</v>
      </c>
      <c r="D723" s="82">
        <v>0</v>
      </c>
    </row>
    <row r="724" spans="1:4" x14ac:dyDescent="0.3">
      <c r="A724" t="s">
        <v>195</v>
      </c>
      <c r="C724" s="16">
        <v>46168</v>
      </c>
      <c r="D724" s="82">
        <v>0</v>
      </c>
    </row>
    <row r="725" spans="1:4" x14ac:dyDescent="0.3">
      <c r="A725" t="s">
        <v>196</v>
      </c>
      <c r="C725" s="16">
        <v>46168</v>
      </c>
      <c r="D725" s="82">
        <v>0</v>
      </c>
    </row>
    <row r="726" spans="1:4" x14ac:dyDescent="0.3">
      <c r="A726" t="s">
        <v>197</v>
      </c>
      <c r="C726" s="16">
        <v>46168</v>
      </c>
      <c r="D726" s="82">
        <v>0</v>
      </c>
    </row>
    <row r="727" spans="1:4" x14ac:dyDescent="0.3">
      <c r="A727" t="s">
        <v>212</v>
      </c>
      <c r="C727" s="16">
        <v>46168</v>
      </c>
      <c r="D727" s="82">
        <v>0</v>
      </c>
    </row>
    <row r="728" spans="1:4" x14ac:dyDescent="0.3">
      <c r="A728" t="s">
        <v>199</v>
      </c>
      <c r="C728" s="16">
        <v>46168</v>
      </c>
      <c r="D728" s="82">
        <v>0</v>
      </c>
    </row>
    <row r="729" spans="1:4" x14ac:dyDescent="0.3">
      <c r="A729" t="s">
        <v>216</v>
      </c>
      <c r="C729" s="16">
        <v>46168</v>
      </c>
      <c r="D729" s="82">
        <v>0</v>
      </c>
    </row>
    <row r="730" spans="1:4" x14ac:dyDescent="0.3">
      <c r="A730" t="s">
        <v>17</v>
      </c>
      <c r="C730" s="16">
        <v>46169</v>
      </c>
      <c r="D730" s="82">
        <v>259371.70000000013</v>
      </c>
    </row>
    <row r="731" spans="1:4" x14ac:dyDescent="0.3">
      <c r="A731" t="s">
        <v>18</v>
      </c>
      <c r="C731" s="16">
        <v>46169</v>
      </c>
      <c r="D731" s="82">
        <v>1259760.1600000001</v>
      </c>
    </row>
    <row r="732" spans="1:4" x14ac:dyDescent="0.3">
      <c r="A732" t="s">
        <v>19</v>
      </c>
      <c r="C732" s="16">
        <v>46169</v>
      </c>
      <c r="D732" s="82">
        <v>1669.89</v>
      </c>
    </row>
    <row r="733" spans="1:4" x14ac:dyDescent="0.3">
      <c r="A733" t="s">
        <v>20</v>
      </c>
      <c r="C733" s="16">
        <v>46169</v>
      </c>
      <c r="D733" s="82">
        <v>514616.73999999987</v>
      </c>
    </row>
    <row r="734" spans="1:4" x14ac:dyDescent="0.3">
      <c r="A734" t="s">
        <v>21</v>
      </c>
      <c r="C734" s="16">
        <v>46169</v>
      </c>
      <c r="D734" s="82">
        <v>980426.88999999932</v>
      </c>
    </row>
    <row r="735" spans="1:4" x14ac:dyDescent="0.3">
      <c r="A735" t="s">
        <v>22</v>
      </c>
      <c r="C735" s="16">
        <v>46169</v>
      </c>
      <c r="D735" s="82">
        <v>131496.38</v>
      </c>
    </row>
    <row r="736" spans="1:4" x14ac:dyDescent="0.3">
      <c r="A736" t="s">
        <v>23</v>
      </c>
      <c r="C736" s="16">
        <v>46169</v>
      </c>
      <c r="D736" s="82">
        <v>88090.37</v>
      </c>
    </row>
    <row r="737" spans="1:4" x14ac:dyDescent="0.3">
      <c r="A737" t="s">
        <v>24</v>
      </c>
      <c r="C737" s="16">
        <v>46169</v>
      </c>
      <c r="D737" s="82">
        <v>2498.3999999999996</v>
      </c>
    </row>
    <row r="738" spans="1:4" x14ac:dyDescent="0.3">
      <c r="A738" t="s">
        <v>25</v>
      </c>
      <c r="C738" s="16">
        <v>46169</v>
      </c>
      <c r="D738" s="82">
        <v>114.3</v>
      </c>
    </row>
    <row r="739" spans="1:4" x14ac:dyDescent="0.3">
      <c r="A739" t="s">
        <v>26</v>
      </c>
      <c r="C739" s="16">
        <v>46169</v>
      </c>
      <c r="D739" s="82">
        <v>2267.7200000000003</v>
      </c>
    </row>
    <row r="740" spans="1:4" x14ac:dyDescent="0.3">
      <c r="A740" t="s">
        <v>27</v>
      </c>
      <c r="C740" s="16">
        <v>46169</v>
      </c>
      <c r="D740" s="82">
        <v>3349.94</v>
      </c>
    </row>
    <row r="741" spans="1:4" x14ac:dyDescent="0.3">
      <c r="A741" t="s">
        <v>28</v>
      </c>
      <c r="C741" s="16">
        <v>46169</v>
      </c>
      <c r="D741" s="82">
        <v>1968.99</v>
      </c>
    </row>
    <row r="742" spans="1:4" x14ac:dyDescent="0.3">
      <c r="A742" t="s">
        <v>29</v>
      </c>
      <c r="C742" s="16">
        <v>46169</v>
      </c>
      <c r="D742" s="82">
        <v>901.34</v>
      </c>
    </row>
    <row r="743" spans="1:4" x14ac:dyDescent="0.3">
      <c r="A743" t="s">
        <v>30</v>
      </c>
      <c r="C743" s="16">
        <v>46169</v>
      </c>
      <c r="D743" s="82">
        <v>1444.08</v>
      </c>
    </row>
    <row r="744" spans="1:4" x14ac:dyDescent="0.3">
      <c r="A744" t="s">
        <v>31</v>
      </c>
      <c r="C744" s="16">
        <v>46169</v>
      </c>
      <c r="D744" s="82">
        <v>15463.59999999996</v>
      </c>
    </row>
    <row r="745" spans="1:4" x14ac:dyDescent="0.3">
      <c r="A745" t="s">
        <v>32</v>
      </c>
      <c r="C745" s="16">
        <v>46169</v>
      </c>
      <c r="D745" s="82">
        <v>15120.060000000001</v>
      </c>
    </row>
    <row r="746" spans="1:4" x14ac:dyDescent="0.3">
      <c r="A746" t="s">
        <v>33</v>
      </c>
      <c r="C746" s="16">
        <v>46169</v>
      </c>
      <c r="D746" s="82">
        <v>33606.270000000004</v>
      </c>
    </row>
    <row r="747" spans="1:4" x14ac:dyDescent="0.3">
      <c r="A747" t="s">
        <v>34</v>
      </c>
      <c r="C747" s="16">
        <v>46169</v>
      </c>
      <c r="D747" s="82">
        <v>345</v>
      </c>
    </row>
    <row r="748" spans="1:4" x14ac:dyDescent="0.3">
      <c r="A748" t="s">
        <v>35</v>
      </c>
      <c r="C748" s="16">
        <v>46169</v>
      </c>
      <c r="D748" s="82">
        <v>17588.03</v>
      </c>
    </row>
    <row r="749" spans="1:4" x14ac:dyDescent="0.3">
      <c r="A749" t="s">
        <v>193</v>
      </c>
      <c r="C749" s="16">
        <v>46169</v>
      </c>
      <c r="D749" s="82">
        <v>0</v>
      </c>
    </row>
    <row r="750" spans="1:4" x14ac:dyDescent="0.3">
      <c r="A750" t="s">
        <v>214</v>
      </c>
      <c r="C750" s="16">
        <v>46169</v>
      </c>
      <c r="D750" s="82">
        <v>0</v>
      </c>
    </row>
    <row r="751" spans="1:4" x14ac:dyDescent="0.3">
      <c r="A751" t="s">
        <v>194</v>
      </c>
      <c r="C751" s="16">
        <v>46169</v>
      </c>
      <c r="D751" s="82">
        <v>0</v>
      </c>
    </row>
    <row r="752" spans="1:4" x14ac:dyDescent="0.3">
      <c r="A752" t="s">
        <v>195</v>
      </c>
      <c r="C752" s="16">
        <v>46169</v>
      </c>
      <c r="D752" s="82">
        <v>0</v>
      </c>
    </row>
    <row r="753" spans="1:4" x14ac:dyDescent="0.3">
      <c r="A753" t="s">
        <v>196</v>
      </c>
      <c r="C753" s="16">
        <v>46169</v>
      </c>
      <c r="D753" s="82">
        <v>0</v>
      </c>
    </row>
    <row r="754" spans="1:4" x14ac:dyDescent="0.3">
      <c r="A754" t="s">
        <v>197</v>
      </c>
      <c r="C754" s="16">
        <v>46169</v>
      </c>
      <c r="D754" s="82">
        <v>0</v>
      </c>
    </row>
    <row r="755" spans="1:4" x14ac:dyDescent="0.3">
      <c r="A755" t="s">
        <v>212</v>
      </c>
      <c r="C755" s="16">
        <v>46169</v>
      </c>
      <c r="D755" s="82">
        <v>0</v>
      </c>
    </row>
    <row r="756" spans="1:4" x14ac:dyDescent="0.3">
      <c r="A756" t="s">
        <v>199</v>
      </c>
      <c r="C756" s="16">
        <v>46169</v>
      </c>
      <c r="D756" s="82">
        <v>0</v>
      </c>
    </row>
    <row r="757" spans="1:4" x14ac:dyDescent="0.3">
      <c r="A757" t="s">
        <v>216</v>
      </c>
      <c r="C757" s="16">
        <v>46169</v>
      </c>
      <c r="D757" s="82">
        <v>0</v>
      </c>
    </row>
    <row r="758" spans="1:4" x14ac:dyDescent="0.3">
      <c r="A758" t="s">
        <v>17</v>
      </c>
      <c r="C758" s="16">
        <v>46170</v>
      </c>
      <c r="D758" s="82">
        <v>986983.19000000006</v>
      </c>
    </row>
    <row r="759" spans="1:4" x14ac:dyDescent="0.3">
      <c r="A759" t="s">
        <v>18</v>
      </c>
      <c r="C759" s="16">
        <v>46170</v>
      </c>
      <c r="D759" s="82">
        <v>62397.280000000173</v>
      </c>
    </row>
    <row r="760" spans="1:4" x14ac:dyDescent="0.3">
      <c r="A760" t="s">
        <v>19</v>
      </c>
      <c r="C760" s="16">
        <v>46170</v>
      </c>
      <c r="D760" s="82">
        <v>1669.89</v>
      </c>
    </row>
    <row r="761" spans="1:4" x14ac:dyDescent="0.3">
      <c r="A761" t="s">
        <v>20</v>
      </c>
      <c r="C761" s="16">
        <v>46170</v>
      </c>
      <c r="D761" s="82">
        <v>376595.84999999986</v>
      </c>
    </row>
    <row r="762" spans="1:4" x14ac:dyDescent="0.3">
      <c r="A762" t="s">
        <v>21</v>
      </c>
      <c r="C762" s="16">
        <v>46170</v>
      </c>
      <c r="D762" s="82">
        <v>1090396.4799999993</v>
      </c>
    </row>
    <row r="763" spans="1:4" x14ac:dyDescent="0.3">
      <c r="A763" t="s">
        <v>22</v>
      </c>
      <c r="C763" s="16">
        <v>46170</v>
      </c>
      <c r="D763" s="82">
        <v>131496.38</v>
      </c>
    </row>
    <row r="764" spans="1:4" x14ac:dyDescent="0.3">
      <c r="A764" t="s">
        <v>23</v>
      </c>
      <c r="C764" s="16">
        <v>46170</v>
      </c>
      <c r="D764" s="82">
        <v>88090.37</v>
      </c>
    </row>
    <row r="765" spans="1:4" x14ac:dyDescent="0.3">
      <c r="A765" t="s">
        <v>24</v>
      </c>
      <c r="C765" s="16">
        <v>46170</v>
      </c>
      <c r="D765" s="82">
        <v>2498.3999999999996</v>
      </c>
    </row>
    <row r="766" spans="1:4" x14ac:dyDescent="0.3">
      <c r="A766" t="s">
        <v>25</v>
      </c>
      <c r="C766" s="16">
        <v>46170</v>
      </c>
      <c r="D766" s="82">
        <v>114.3</v>
      </c>
    </row>
    <row r="767" spans="1:4" x14ac:dyDescent="0.3">
      <c r="A767" t="s">
        <v>26</v>
      </c>
      <c r="C767" s="16">
        <v>46170</v>
      </c>
      <c r="D767" s="82">
        <v>2267.7200000000003</v>
      </c>
    </row>
    <row r="768" spans="1:4" x14ac:dyDescent="0.3">
      <c r="A768" t="s">
        <v>27</v>
      </c>
      <c r="C768" s="16">
        <v>46170</v>
      </c>
      <c r="D768" s="82">
        <v>3349.94</v>
      </c>
    </row>
    <row r="769" spans="1:4" x14ac:dyDescent="0.3">
      <c r="A769" t="s">
        <v>28</v>
      </c>
      <c r="C769" s="16">
        <v>46170</v>
      </c>
      <c r="D769" s="82">
        <v>1968.99</v>
      </c>
    </row>
    <row r="770" spans="1:4" x14ac:dyDescent="0.3">
      <c r="A770" t="s">
        <v>29</v>
      </c>
      <c r="C770" s="16">
        <v>46170</v>
      </c>
      <c r="D770" s="82">
        <v>901.34</v>
      </c>
    </row>
    <row r="771" spans="1:4" x14ac:dyDescent="0.3">
      <c r="A771" t="s">
        <v>30</v>
      </c>
      <c r="C771" s="16">
        <v>46170</v>
      </c>
      <c r="D771" s="82">
        <v>1444.08</v>
      </c>
    </row>
    <row r="772" spans="1:4" x14ac:dyDescent="0.3">
      <c r="A772" t="s">
        <v>31</v>
      </c>
      <c r="C772" s="16">
        <v>46170</v>
      </c>
      <c r="D772" s="82">
        <v>35463.599999999962</v>
      </c>
    </row>
    <row r="773" spans="1:4" x14ac:dyDescent="0.3">
      <c r="A773" t="s">
        <v>32</v>
      </c>
      <c r="C773" s="16">
        <v>46170</v>
      </c>
      <c r="D773" s="82">
        <v>15120.060000000001</v>
      </c>
    </row>
    <row r="774" spans="1:4" x14ac:dyDescent="0.3">
      <c r="A774" t="s">
        <v>33</v>
      </c>
      <c r="C774" s="16">
        <v>46170</v>
      </c>
      <c r="D774" s="82">
        <v>33606.270000000004</v>
      </c>
    </row>
    <row r="775" spans="1:4" x14ac:dyDescent="0.3">
      <c r="A775" t="s">
        <v>34</v>
      </c>
      <c r="C775" s="16">
        <v>46170</v>
      </c>
      <c r="D775" s="82">
        <v>345</v>
      </c>
    </row>
    <row r="776" spans="1:4" x14ac:dyDescent="0.3">
      <c r="A776" t="s">
        <v>35</v>
      </c>
      <c r="C776" s="16">
        <v>46170</v>
      </c>
      <c r="D776" s="82">
        <v>9076.2400000000016</v>
      </c>
    </row>
    <row r="777" spans="1:4" x14ac:dyDescent="0.3">
      <c r="A777" t="s">
        <v>193</v>
      </c>
      <c r="C777" s="16">
        <v>46170</v>
      </c>
      <c r="D777" s="82">
        <v>0</v>
      </c>
    </row>
    <row r="778" spans="1:4" x14ac:dyDescent="0.3">
      <c r="A778" t="s">
        <v>214</v>
      </c>
      <c r="C778" s="16">
        <v>46170</v>
      </c>
      <c r="D778" s="82">
        <v>0</v>
      </c>
    </row>
    <row r="779" spans="1:4" x14ac:dyDescent="0.3">
      <c r="A779" t="s">
        <v>194</v>
      </c>
      <c r="C779" s="16">
        <v>46170</v>
      </c>
      <c r="D779" s="82">
        <v>0</v>
      </c>
    </row>
    <row r="780" spans="1:4" x14ac:dyDescent="0.3">
      <c r="A780" t="s">
        <v>195</v>
      </c>
      <c r="C780" s="16">
        <v>46170</v>
      </c>
      <c r="D780" s="82">
        <v>0</v>
      </c>
    </row>
    <row r="781" spans="1:4" x14ac:dyDescent="0.3">
      <c r="A781" t="s">
        <v>196</v>
      </c>
      <c r="C781" s="16">
        <v>46170</v>
      </c>
      <c r="D781" s="82">
        <v>0</v>
      </c>
    </row>
    <row r="782" spans="1:4" x14ac:dyDescent="0.3">
      <c r="A782" t="s">
        <v>197</v>
      </c>
      <c r="C782" s="16">
        <v>46170</v>
      </c>
      <c r="D782" s="82">
        <v>0</v>
      </c>
    </row>
    <row r="783" spans="1:4" x14ac:dyDescent="0.3">
      <c r="A783" t="s">
        <v>212</v>
      </c>
      <c r="C783" s="16">
        <v>46170</v>
      </c>
      <c r="D783" s="82">
        <v>0</v>
      </c>
    </row>
    <row r="784" spans="1:4" x14ac:dyDescent="0.3">
      <c r="A784" t="s">
        <v>199</v>
      </c>
      <c r="C784" s="16">
        <v>46170</v>
      </c>
      <c r="D784" s="82">
        <v>0</v>
      </c>
    </row>
    <row r="785" spans="1:4" x14ac:dyDescent="0.3">
      <c r="A785" t="s">
        <v>216</v>
      </c>
      <c r="C785" s="16">
        <v>46170</v>
      </c>
      <c r="D785" s="82">
        <v>0</v>
      </c>
    </row>
    <row r="786" spans="1:4" x14ac:dyDescent="0.3">
      <c r="A786" t="s">
        <v>17</v>
      </c>
      <c r="C786" s="16">
        <v>46171</v>
      </c>
      <c r="D786" s="82">
        <v>983394.14000000013</v>
      </c>
    </row>
    <row r="787" spans="1:4" x14ac:dyDescent="0.3">
      <c r="A787" t="s">
        <v>18</v>
      </c>
      <c r="C787" s="16">
        <v>46171</v>
      </c>
      <c r="D787" s="82">
        <v>62397.280000000173</v>
      </c>
    </row>
    <row r="788" spans="1:4" x14ac:dyDescent="0.3">
      <c r="A788" t="s">
        <v>19</v>
      </c>
      <c r="C788" s="16">
        <v>46171</v>
      </c>
      <c r="D788" s="82">
        <v>1669.89</v>
      </c>
    </row>
    <row r="789" spans="1:4" x14ac:dyDescent="0.3">
      <c r="A789" t="s">
        <v>20</v>
      </c>
      <c r="C789" s="16">
        <v>46171</v>
      </c>
      <c r="D789" s="82">
        <v>424853.11999999988</v>
      </c>
    </row>
    <row r="790" spans="1:4" x14ac:dyDescent="0.3">
      <c r="A790" t="s">
        <v>21</v>
      </c>
      <c r="C790" s="16">
        <v>46171</v>
      </c>
      <c r="D790" s="82">
        <v>1015901.6699999992</v>
      </c>
    </row>
    <row r="791" spans="1:4" x14ac:dyDescent="0.3">
      <c r="A791" t="s">
        <v>22</v>
      </c>
      <c r="C791" s="16">
        <v>46171</v>
      </c>
      <c r="D791" s="82">
        <v>131496.38</v>
      </c>
    </row>
    <row r="792" spans="1:4" x14ac:dyDescent="0.3">
      <c r="A792" t="s">
        <v>23</v>
      </c>
      <c r="C792" s="16">
        <v>46171</v>
      </c>
      <c r="D792" s="82">
        <v>88090.37</v>
      </c>
    </row>
    <row r="793" spans="1:4" x14ac:dyDescent="0.3">
      <c r="A793" t="s">
        <v>24</v>
      </c>
      <c r="C793" s="16">
        <v>46171</v>
      </c>
      <c r="D793" s="82">
        <v>1227.9699999999998</v>
      </c>
    </row>
    <row r="794" spans="1:4" x14ac:dyDescent="0.3">
      <c r="A794" t="s">
        <v>25</v>
      </c>
      <c r="C794" s="16">
        <v>46171</v>
      </c>
      <c r="D794" s="82">
        <v>114.3</v>
      </c>
    </row>
    <row r="795" spans="1:4" x14ac:dyDescent="0.3">
      <c r="A795" t="s">
        <v>26</v>
      </c>
      <c r="C795" s="16">
        <v>46171</v>
      </c>
      <c r="D795" s="82">
        <v>2267.7200000000003</v>
      </c>
    </row>
    <row r="796" spans="1:4" x14ac:dyDescent="0.3">
      <c r="A796" t="s">
        <v>27</v>
      </c>
      <c r="C796" s="16">
        <v>46171</v>
      </c>
      <c r="D796" s="82">
        <v>3349.94</v>
      </c>
    </row>
    <row r="797" spans="1:4" x14ac:dyDescent="0.3">
      <c r="A797" t="s">
        <v>28</v>
      </c>
      <c r="C797" s="16">
        <v>46171</v>
      </c>
      <c r="D797" s="82">
        <v>1968.99</v>
      </c>
    </row>
    <row r="798" spans="1:4" x14ac:dyDescent="0.3">
      <c r="A798" t="s">
        <v>29</v>
      </c>
      <c r="C798" s="16">
        <v>46171</v>
      </c>
      <c r="D798" s="82">
        <v>901.34</v>
      </c>
    </row>
    <row r="799" spans="1:4" x14ac:dyDescent="0.3">
      <c r="A799" t="s">
        <v>30</v>
      </c>
      <c r="C799" s="16">
        <v>46171</v>
      </c>
      <c r="D799" s="82">
        <v>1444.08</v>
      </c>
    </row>
    <row r="800" spans="1:4" x14ac:dyDescent="0.3">
      <c r="A800" t="s">
        <v>31</v>
      </c>
      <c r="C800" s="16">
        <v>46171</v>
      </c>
      <c r="D800" s="82">
        <v>35448.599999999962</v>
      </c>
    </row>
    <row r="801" spans="1:4" x14ac:dyDescent="0.3">
      <c r="A801" t="s">
        <v>32</v>
      </c>
      <c r="C801" s="16">
        <v>46171</v>
      </c>
      <c r="D801" s="82">
        <v>15120.060000000001</v>
      </c>
    </row>
    <row r="802" spans="1:4" x14ac:dyDescent="0.3">
      <c r="A802" t="s">
        <v>33</v>
      </c>
      <c r="C802" s="16">
        <v>46171</v>
      </c>
      <c r="D802" s="82">
        <v>33606.270000000004</v>
      </c>
    </row>
    <row r="803" spans="1:4" x14ac:dyDescent="0.3">
      <c r="A803" t="s">
        <v>34</v>
      </c>
      <c r="C803" s="16">
        <v>46171</v>
      </c>
      <c r="D803" s="82">
        <v>345</v>
      </c>
    </row>
    <row r="804" spans="1:4" x14ac:dyDescent="0.3">
      <c r="A804" t="s">
        <v>35</v>
      </c>
      <c r="C804" s="16">
        <v>46171</v>
      </c>
      <c r="D804" s="82">
        <v>9076.2400000000016</v>
      </c>
    </row>
    <row r="805" spans="1:4" x14ac:dyDescent="0.3">
      <c r="A805" t="s">
        <v>193</v>
      </c>
      <c r="C805" s="16">
        <v>46171</v>
      </c>
      <c r="D805" s="82">
        <v>0</v>
      </c>
    </row>
    <row r="806" spans="1:4" x14ac:dyDescent="0.3">
      <c r="A806" t="s">
        <v>214</v>
      </c>
      <c r="C806" s="16">
        <v>46171</v>
      </c>
      <c r="D806" s="82">
        <v>0</v>
      </c>
    </row>
    <row r="807" spans="1:4" x14ac:dyDescent="0.3">
      <c r="A807" t="s">
        <v>194</v>
      </c>
      <c r="C807" s="16">
        <v>46171</v>
      </c>
      <c r="D807" s="82">
        <v>0</v>
      </c>
    </row>
    <row r="808" spans="1:4" x14ac:dyDescent="0.3">
      <c r="A808" t="s">
        <v>195</v>
      </c>
      <c r="C808" s="16">
        <v>46171</v>
      </c>
      <c r="D808" s="82">
        <v>0</v>
      </c>
    </row>
    <row r="809" spans="1:4" x14ac:dyDescent="0.3">
      <c r="A809" t="s">
        <v>196</v>
      </c>
      <c r="C809" s="16">
        <v>46171</v>
      </c>
      <c r="D809" s="82">
        <v>0</v>
      </c>
    </row>
    <row r="810" spans="1:4" x14ac:dyDescent="0.3">
      <c r="A810" t="s">
        <v>197</v>
      </c>
      <c r="C810" s="16">
        <v>46171</v>
      </c>
      <c r="D810" s="82">
        <v>0</v>
      </c>
    </row>
    <row r="811" spans="1:4" x14ac:dyDescent="0.3">
      <c r="A811" t="s">
        <v>212</v>
      </c>
      <c r="C811" s="16">
        <v>46171</v>
      </c>
      <c r="D811" s="82">
        <v>0</v>
      </c>
    </row>
    <row r="812" spans="1:4" x14ac:dyDescent="0.3">
      <c r="A812" t="s">
        <v>199</v>
      </c>
      <c r="C812" s="16">
        <v>46171</v>
      </c>
      <c r="D812" s="82">
        <v>0</v>
      </c>
    </row>
    <row r="813" spans="1:4" x14ac:dyDescent="0.3">
      <c r="A813" t="s">
        <v>216</v>
      </c>
      <c r="C813" s="16">
        <v>46171</v>
      </c>
      <c r="D813" s="82">
        <v>0</v>
      </c>
    </row>
    <row r="814" spans="1:4" x14ac:dyDescent="0.3">
      <c r="A814" t="s">
        <v>17</v>
      </c>
      <c r="C814" s="16">
        <v>46172</v>
      </c>
      <c r="D814" s="82">
        <v>983394.14000000013</v>
      </c>
    </row>
    <row r="815" spans="1:4" x14ac:dyDescent="0.3">
      <c r="A815" t="s">
        <v>18</v>
      </c>
      <c r="C815" s="16">
        <v>46172</v>
      </c>
      <c r="D815" s="82">
        <v>62397.280000000173</v>
      </c>
    </row>
    <row r="816" spans="1:4" x14ac:dyDescent="0.3">
      <c r="A816" t="s">
        <v>19</v>
      </c>
      <c r="C816" s="16">
        <v>46172</v>
      </c>
      <c r="D816" s="82">
        <v>1669.89</v>
      </c>
    </row>
    <row r="817" spans="1:4" x14ac:dyDescent="0.3">
      <c r="A817" t="s">
        <v>20</v>
      </c>
      <c r="C817" s="16">
        <v>46172</v>
      </c>
      <c r="D817" s="82">
        <v>424853.11999999988</v>
      </c>
    </row>
    <row r="818" spans="1:4" x14ac:dyDescent="0.3">
      <c r="A818" t="s">
        <v>21</v>
      </c>
      <c r="C818" s="16">
        <v>46172</v>
      </c>
      <c r="D818" s="82">
        <v>1015901.6699999992</v>
      </c>
    </row>
    <row r="819" spans="1:4" x14ac:dyDescent="0.3">
      <c r="A819" t="s">
        <v>22</v>
      </c>
      <c r="C819" s="16">
        <v>46172</v>
      </c>
      <c r="D819" s="82">
        <v>131496.38</v>
      </c>
    </row>
    <row r="820" spans="1:4" x14ac:dyDescent="0.3">
      <c r="A820" t="s">
        <v>23</v>
      </c>
      <c r="C820" s="16">
        <v>46172</v>
      </c>
      <c r="D820" s="82">
        <v>88090.37</v>
      </c>
    </row>
    <row r="821" spans="1:4" x14ac:dyDescent="0.3">
      <c r="A821" t="s">
        <v>24</v>
      </c>
      <c r="C821" s="16">
        <v>46172</v>
      </c>
      <c r="D821" s="82">
        <v>1227.9699999999998</v>
      </c>
    </row>
    <row r="822" spans="1:4" x14ac:dyDescent="0.3">
      <c r="A822" t="s">
        <v>25</v>
      </c>
      <c r="C822" s="16">
        <v>46172</v>
      </c>
      <c r="D822" s="82">
        <v>114.3</v>
      </c>
    </row>
    <row r="823" spans="1:4" x14ac:dyDescent="0.3">
      <c r="A823" t="s">
        <v>26</v>
      </c>
      <c r="C823" s="16">
        <v>46172</v>
      </c>
      <c r="D823" s="82">
        <v>2267.7200000000003</v>
      </c>
    </row>
    <row r="824" spans="1:4" x14ac:dyDescent="0.3">
      <c r="A824" t="s">
        <v>27</v>
      </c>
      <c r="C824" s="16">
        <v>46172</v>
      </c>
      <c r="D824" s="82">
        <v>3349.94</v>
      </c>
    </row>
    <row r="825" spans="1:4" x14ac:dyDescent="0.3">
      <c r="A825" t="s">
        <v>28</v>
      </c>
      <c r="C825" s="16">
        <v>46172</v>
      </c>
      <c r="D825" s="82">
        <v>1968.99</v>
      </c>
    </row>
    <row r="826" spans="1:4" x14ac:dyDescent="0.3">
      <c r="A826" t="s">
        <v>29</v>
      </c>
      <c r="C826" s="16">
        <v>46172</v>
      </c>
      <c r="D826" s="82">
        <v>901.34</v>
      </c>
    </row>
    <row r="827" spans="1:4" x14ac:dyDescent="0.3">
      <c r="A827" t="s">
        <v>30</v>
      </c>
      <c r="C827" s="16">
        <v>46172</v>
      </c>
      <c r="D827" s="82">
        <v>1444.08</v>
      </c>
    </row>
    <row r="828" spans="1:4" x14ac:dyDescent="0.3">
      <c r="A828" t="s">
        <v>31</v>
      </c>
      <c r="C828" s="16">
        <v>46172</v>
      </c>
      <c r="D828" s="82">
        <v>35448.599999999962</v>
      </c>
    </row>
    <row r="829" spans="1:4" x14ac:dyDescent="0.3">
      <c r="A829" t="s">
        <v>32</v>
      </c>
      <c r="C829" s="16">
        <v>46172</v>
      </c>
      <c r="D829" s="82">
        <v>15120.060000000001</v>
      </c>
    </row>
    <row r="830" spans="1:4" x14ac:dyDescent="0.3">
      <c r="A830" t="s">
        <v>33</v>
      </c>
      <c r="C830" s="16">
        <v>46172</v>
      </c>
      <c r="D830" s="82">
        <v>33606.270000000004</v>
      </c>
    </row>
    <row r="831" spans="1:4" x14ac:dyDescent="0.3">
      <c r="A831" t="s">
        <v>34</v>
      </c>
      <c r="C831" s="16">
        <v>46172</v>
      </c>
      <c r="D831" s="82">
        <v>345</v>
      </c>
    </row>
    <row r="832" spans="1:4" x14ac:dyDescent="0.3">
      <c r="A832" t="s">
        <v>35</v>
      </c>
      <c r="C832" s="16">
        <v>46172</v>
      </c>
      <c r="D832" s="82">
        <v>9076.2400000000016</v>
      </c>
    </row>
    <row r="833" spans="1:4" x14ac:dyDescent="0.3">
      <c r="A833" t="s">
        <v>193</v>
      </c>
      <c r="C833" s="16">
        <v>46172</v>
      </c>
      <c r="D833" s="82">
        <v>0</v>
      </c>
    </row>
    <row r="834" spans="1:4" x14ac:dyDescent="0.3">
      <c r="A834" t="s">
        <v>214</v>
      </c>
      <c r="C834" s="16">
        <v>46172</v>
      </c>
      <c r="D834" s="82">
        <v>0</v>
      </c>
    </row>
    <row r="835" spans="1:4" x14ac:dyDescent="0.3">
      <c r="A835" t="s">
        <v>194</v>
      </c>
      <c r="C835" s="16">
        <v>46172</v>
      </c>
      <c r="D835" s="82">
        <v>0</v>
      </c>
    </row>
    <row r="836" spans="1:4" x14ac:dyDescent="0.3">
      <c r="A836" t="s">
        <v>195</v>
      </c>
      <c r="C836" s="16">
        <v>46172</v>
      </c>
      <c r="D836" s="82">
        <v>0</v>
      </c>
    </row>
    <row r="837" spans="1:4" x14ac:dyDescent="0.3">
      <c r="A837" t="s">
        <v>196</v>
      </c>
      <c r="C837" s="16">
        <v>46172</v>
      </c>
      <c r="D837" s="82">
        <v>0</v>
      </c>
    </row>
    <row r="838" spans="1:4" x14ac:dyDescent="0.3">
      <c r="A838" t="s">
        <v>197</v>
      </c>
      <c r="C838" s="16">
        <v>46172</v>
      </c>
      <c r="D838" s="82">
        <v>0</v>
      </c>
    </row>
    <row r="839" spans="1:4" x14ac:dyDescent="0.3">
      <c r="A839" t="s">
        <v>212</v>
      </c>
      <c r="C839" s="16">
        <v>46172</v>
      </c>
      <c r="D839" s="82">
        <v>0</v>
      </c>
    </row>
    <row r="840" spans="1:4" x14ac:dyDescent="0.3">
      <c r="A840" t="s">
        <v>199</v>
      </c>
      <c r="C840" s="16">
        <v>46172</v>
      </c>
      <c r="D840" s="82">
        <v>0</v>
      </c>
    </row>
    <row r="841" spans="1:4" x14ac:dyDescent="0.3">
      <c r="A841" t="s">
        <v>216</v>
      </c>
      <c r="C841" s="16">
        <v>46172</v>
      </c>
      <c r="D841" s="82">
        <v>0</v>
      </c>
    </row>
    <row r="842" spans="1:4" x14ac:dyDescent="0.3">
      <c r="A842" t="s">
        <v>17</v>
      </c>
      <c r="C842" s="16">
        <v>46173</v>
      </c>
      <c r="D842" s="82">
        <v>983394.14000000013</v>
      </c>
    </row>
    <row r="843" spans="1:4" x14ac:dyDescent="0.3">
      <c r="A843" t="s">
        <v>18</v>
      </c>
      <c r="C843" s="16">
        <v>46173</v>
      </c>
      <c r="D843" s="82">
        <v>62397.280000000173</v>
      </c>
    </row>
    <row r="844" spans="1:4" x14ac:dyDescent="0.3">
      <c r="A844" t="s">
        <v>19</v>
      </c>
      <c r="C844" s="16">
        <v>46173</v>
      </c>
      <c r="D844" s="82">
        <v>1669.89</v>
      </c>
    </row>
    <row r="845" spans="1:4" x14ac:dyDescent="0.3">
      <c r="A845" t="s">
        <v>20</v>
      </c>
      <c r="C845" s="16">
        <v>46173</v>
      </c>
      <c r="D845" s="82">
        <v>424853.11999999988</v>
      </c>
    </row>
    <row r="846" spans="1:4" x14ac:dyDescent="0.3">
      <c r="A846" t="s">
        <v>21</v>
      </c>
      <c r="C846" s="16">
        <v>46173</v>
      </c>
      <c r="D846" s="82">
        <v>1015901.6699999992</v>
      </c>
    </row>
    <row r="847" spans="1:4" x14ac:dyDescent="0.3">
      <c r="A847" t="s">
        <v>22</v>
      </c>
      <c r="C847" s="16">
        <v>46173</v>
      </c>
      <c r="D847" s="82">
        <v>131496.38</v>
      </c>
    </row>
    <row r="848" spans="1:4" x14ac:dyDescent="0.3">
      <c r="A848" t="s">
        <v>23</v>
      </c>
      <c r="C848" s="16">
        <v>46173</v>
      </c>
      <c r="D848" s="82">
        <v>88090.37</v>
      </c>
    </row>
    <row r="849" spans="1:4" x14ac:dyDescent="0.3">
      <c r="A849" t="s">
        <v>24</v>
      </c>
      <c r="C849" s="16">
        <v>46173</v>
      </c>
      <c r="D849" s="82">
        <v>1227.9699999999998</v>
      </c>
    </row>
    <row r="850" spans="1:4" x14ac:dyDescent="0.3">
      <c r="A850" t="s">
        <v>25</v>
      </c>
      <c r="C850" s="16">
        <v>46173</v>
      </c>
      <c r="D850" s="82">
        <v>114.3</v>
      </c>
    </row>
    <row r="851" spans="1:4" x14ac:dyDescent="0.3">
      <c r="A851" t="s">
        <v>26</v>
      </c>
      <c r="C851" s="16">
        <v>46173</v>
      </c>
      <c r="D851" s="82">
        <v>2267.7200000000003</v>
      </c>
    </row>
    <row r="852" spans="1:4" x14ac:dyDescent="0.3">
      <c r="A852" t="s">
        <v>27</v>
      </c>
      <c r="C852" s="16">
        <v>46173</v>
      </c>
      <c r="D852" s="82">
        <v>3349.94</v>
      </c>
    </row>
    <row r="853" spans="1:4" x14ac:dyDescent="0.3">
      <c r="A853" t="s">
        <v>28</v>
      </c>
      <c r="C853" s="16">
        <v>46173</v>
      </c>
      <c r="D853" s="82">
        <v>1968.99</v>
      </c>
    </row>
    <row r="854" spans="1:4" x14ac:dyDescent="0.3">
      <c r="A854" t="s">
        <v>29</v>
      </c>
      <c r="C854" s="16">
        <v>46173</v>
      </c>
      <c r="D854" s="82">
        <v>901.34</v>
      </c>
    </row>
    <row r="855" spans="1:4" x14ac:dyDescent="0.3">
      <c r="A855" t="s">
        <v>30</v>
      </c>
      <c r="C855" s="16">
        <v>46173</v>
      </c>
      <c r="D855" s="82">
        <v>1444.08</v>
      </c>
    </row>
    <row r="856" spans="1:4" x14ac:dyDescent="0.3">
      <c r="A856" t="s">
        <v>31</v>
      </c>
      <c r="C856" s="16">
        <v>46173</v>
      </c>
      <c r="D856" s="82">
        <v>35448.599999999962</v>
      </c>
    </row>
    <row r="857" spans="1:4" x14ac:dyDescent="0.3">
      <c r="A857" t="s">
        <v>32</v>
      </c>
      <c r="C857" s="16">
        <v>46173</v>
      </c>
      <c r="D857" s="82">
        <v>15120.060000000001</v>
      </c>
    </row>
    <row r="858" spans="1:4" x14ac:dyDescent="0.3">
      <c r="A858" t="s">
        <v>33</v>
      </c>
      <c r="C858" s="16">
        <v>46173</v>
      </c>
      <c r="D858" s="82">
        <v>33606.270000000004</v>
      </c>
    </row>
    <row r="859" spans="1:4" x14ac:dyDescent="0.3">
      <c r="A859" t="s">
        <v>34</v>
      </c>
      <c r="C859" s="16">
        <v>46173</v>
      </c>
      <c r="D859" s="82">
        <v>345</v>
      </c>
    </row>
    <row r="860" spans="1:4" x14ac:dyDescent="0.3">
      <c r="A860" t="s">
        <v>35</v>
      </c>
      <c r="C860" s="16">
        <v>46173</v>
      </c>
      <c r="D860" s="82">
        <v>9076.2400000000016</v>
      </c>
    </row>
    <row r="861" spans="1:4" x14ac:dyDescent="0.3">
      <c r="A861" t="s">
        <v>193</v>
      </c>
      <c r="C861" s="16">
        <v>46173</v>
      </c>
      <c r="D861" s="82">
        <v>0</v>
      </c>
    </row>
    <row r="862" spans="1:4" x14ac:dyDescent="0.3">
      <c r="A862" t="s">
        <v>214</v>
      </c>
      <c r="C862" s="16">
        <v>46173</v>
      </c>
      <c r="D862" s="82">
        <v>0</v>
      </c>
    </row>
    <row r="863" spans="1:4" x14ac:dyDescent="0.3">
      <c r="A863" t="s">
        <v>194</v>
      </c>
      <c r="C863" s="16">
        <v>46173</v>
      </c>
      <c r="D863" s="82">
        <v>0</v>
      </c>
    </row>
    <row r="864" spans="1:4" x14ac:dyDescent="0.3">
      <c r="A864" t="s">
        <v>195</v>
      </c>
      <c r="C864" s="16">
        <v>46173</v>
      </c>
      <c r="D864" s="82">
        <v>0</v>
      </c>
    </row>
    <row r="865" spans="1:4" x14ac:dyDescent="0.3">
      <c r="A865" t="s">
        <v>196</v>
      </c>
      <c r="C865" s="16">
        <v>46173</v>
      </c>
      <c r="D865" s="82">
        <v>0</v>
      </c>
    </row>
    <row r="866" spans="1:4" x14ac:dyDescent="0.3">
      <c r="A866" t="s">
        <v>197</v>
      </c>
      <c r="C866" s="16">
        <v>46173</v>
      </c>
      <c r="D866" s="82">
        <v>0</v>
      </c>
    </row>
    <row r="867" spans="1:4" x14ac:dyDescent="0.3">
      <c r="A867" t="s">
        <v>212</v>
      </c>
      <c r="C867" s="16">
        <v>46173</v>
      </c>
      <c r="D867" s="82">
        <v>0</v>
      </c>
    </row>
    <row r="868" spans="1:4" x14ac:dyDescent="0.3">
      <c r="A868" t="s">
        <v>199</v>
      </c>
      <c r="C868" s="16">
        <v>46173</v>
      </c>
      <c r="D868" s="82">
        <v>0</v>
      </c>
    </row>
    <row r="869" spans="1:4" x14ac:dyDescent="0.3">
      <c r="A869" t="s">
        <v>216</v>
      </c>
      <c r="C869" s="16">
        <v>46173</v>
      </c>
      <c r="D869" s="82">
        <v>0</v>
      </c>
    </row>
    <row r="870" spans="1:4" x14ac:dyDescent="0.3">
      <c r="A870" t="s">
        <v>17</v>
      </c>
      <c r="C870" s="16">
        <v>46174</v>
      </c>
      <c r="D870" s="82">
        <v>983394.14000000013</v>
      </c>
    </row>
    <row r="871" spans="1:4" x14ac:dyDescent="0.3">
      <c r="A871" t="s">
        <v>18</v>
      </c>
      <c r="C871" s="16">
        <v>46174</v>
      </c>
      <c r="D871" s="82">
        <v>69376.390000000174</v>
      </c>
    </row>
    <row r="872" spans="1:4" x14ac:dyDescent="0.3">
      <c r="A872" t="s">
        <v>19</v>
      </c>
      <c r="C872" s="16">
        <v>46174</v>
      </c>
      <c r="D872" s="82">
        <v>1669.89</v>
      </c>
    </row>
    <row r="873" spans="1:4" x14ac:dyDescent="0.3">
      <c r="A873" t="s">
        <v>20</v>
      </c>
      <c r="C873" s="16">
        <v>46174</v>
      </c>
      <c r="D873" s="82">
        <v>804853.11999999988</v>
      </c>
    </row>
    <row r="874" spans="1:4" x14ac:dyDescent="0.3">
      <c r="A874" t="s">
        <v>21</v>
      </c>
      <c r="C874" s="16">
        <v>46174</v>
      </c>
      <c r="D874" s="82">
        <v>1015901.6699999992</v>
      </c>
    </row>
    <row r="875" spans="1:4" x14ac:dyDescent="0.3">
      <c r="A875" t="s">
        <v>22</v>
      </c>
      <c r="C875" s="16">
        <v>46174</v>
      </c>
      <c r="D875" s="82">
        <v>131496.38</v>
      </c>
    </row>
    <row r="876" spans="1:4" x14ac:dyDescent="0.3">
      <c r="A876" t="s">
        <v>23</v>
      </c>
      <c r="C876" s="16">
        <v>46174</v>
      </c>
      <c r="D876" s="82">
        <v>20375.37</v>
      </c>
    </row>
    <row r="877" spans="1:4" x14ac:dyDescent="0.3">
      <c r="A877" t="s">
        <v>24</v>
      </c>
      <c r="C877" s="16">
        <v>46174</v>
      </c>
      <c r="D877" s="82">
        <v>511.15999999999985</v>
      </c>
    </row>
    <row r="878" spans="1:4" x14ac:dyDescent="0.3">
      <c r="A878" t="s">
        <v>25</v>
      </c>
      <c r="C878" s="16">
        <v>46174</v>
      </c>
      <c r="D878" s="82">
        <v>84.35</v>
      </c>
    </row>
    <row r="879" spans="1:4" x14ac:dyDescent="0.3">
      <c r="A879" t="s">
        <v>26</v>
      </c>
      <c r="C879" s="16">
        <v>46174</v>
      </c>
      <c r="D879" s="82">
        <v>2237.77</v>
      </c>
    </row>
    <row r="880" spans="1:4" x14ac:dyDescent="0.3">
      <c r="A880" t="s">
        <v>27</v>
      </c>
      <c r="C880" s="16">
        <v>46174</v>
      </c>
      <c r="D880" s="82">
        <v>3349.94</v>
      </c>
    </row>
    <row r="881" spans="1:4" x14ac:dyDescent="0.3">
      <c r="A881" t="s">
        <v>28</v>
      </c>
      <c r="C881" s="16">
        <v>46174</v>
      </c>
      <c r="D881" s="82">
        <v>1968.99</v>
      </c>
    </row>
    <row r="882" spans="1:4" x14ac:dyDescent="0.3">
      <c r="A882" t="s">
        <v>29</v>
      </c>
      <c r="C882" s="16">
        <v>46174</v>
      </c>
      <c r="D882" s="82">
        <v>901.34</v>
      </c>
    </row>
    <row r="883" spans="1:4" x14ac:dyDescent="0.3">
      <c r="A883" t="s">
        <v>30</v>
      </c>
      <c r="C883" s="16">
        <v>46174</v>
      </c>
      <c r="D883" s="82">
        <v>1428.08</v>
      </c>
    </row>
    <row r="884" spans="1:4" x14ac:dyDescent="0.3">
      <c r="A884" t="s">
        <v>31</v>
      </c>
      <c r="C884" s="16">
        <v>46174</v>
      </c>
      <c r="D884" s="82">
        <v>26416.26999999996</v>
      </c>
    </row>
    <row r="885" spans="1:4" x14ac:dyDescent="0.3">
      <c r="A885" t="s">
        <v>32</v>
      </c>
      <c r="C885" s="16">
        <v>46174</v>
      </c>
      <c r="D885" s="82">
        <v>5321.4300000000021</v>
      </c>
    </row>
    <row r="886" spans="1:4" x14ac:dyDescent="0.3">
      <c r="A886" t="s">
        <v>33</v>
      </c>
      <c r="C886" s="16">
        <v>46174</v>
      </c>
      <c r="D886" s="82">
        <v>24833.23</v>
      </c>
    </row>
    <row r="887" spans="1:4" x14ac:dyDescent="0.3">
      <c r="A887" t="s">
        <v>34</v>
      </c>
      <c r="C887" s="16">
        <v>46174</v>
      </c>
      <c r="D887" s="82">
        <v>345</v>
      </c>
    </row>
    <row r="888" spans="1:4" x14ac:dyDescent="0.3">
      <c r="A888" t="s">
        <v>35</v>
      </c>
      <c r="C888" s="16">
        <v>46174</v>
      </c>
      <c r="D888" s="82">
        <v>12117.82</v>
      </c>
    </row>
    <row r="889" spans="1:4" x14ac:dyDescent="0.3">
      <c r="A889" t="s">
        <v>193</v>
      </c>
      <c r="C889" s="16">
        <v>46174</v>
      </c>
      <c r="D889" s="82">
        <v>0</v>
      </c>
    </row>
    <row r="890" spans="1:4" x14ac:dyDescent="0.3">
      <c r="A890" t="s">
        <v>214</v>
      </c>
      <c r="C890" s="16">
        <v>46174</v>
      </c>
      <c r="D890" s="82">
        <v>0</v>
      </c>
    </row>
    <row r="891" spans="1:4" x14ac:dyDescent="0.3">
      <c r="A891" t="s">
        <v>194</v>
      </c>
      <c r="C891" s="16">
        <v>46174</v>
      </c>
      <c r="D891" s="82">
        <v>0</v>
      </c>
    </row>
    <row r="892" spans="1:4" x14ac:dyDescent="0.3">
      <c r="A892" t="s">
        <v>195</v>
      </c>
      <c r="C892" s="16">
        <v>46174</v>
      </c>
      <c r="D892" s="82">
        <v>0</v>
      </c>
    </row>
    <row r="893" spans="1:4" x14ac:dyDescent="0.3">
      <c r="A893" t="s">
        <v>196</v>
      </c>
      <c r="C893" s="16">
        <v>46174</v>
      </c>
      <c r="D893" s="82">
        <v>0</v>
      </c>
    </row>
    <row r="894" spans="1:4" x14ac:dyDescent="0.3">
      <c r="A894" t="s">
        <v>197</v>
      </c>
      <c r="C894" s="16">
        <v>46174</v>
      </c>
      <c r="D894" s="82">
        <v>0</v>
      </c>
    </row>
    <row r="895" spans="1:4" x14ac:dyDescent="0.3">
      <c r="A895" t="s">
        <v>212</v>
      </c>
      <c r="C895" s="16">
        <v>46174</v>
      </c>
      <c r="D895" s="82">
        <v>0</v>
      </c>
    </row>
    <row r="896" spans="1:4" x14ac:dyDescent="0.3">
      <c r="A896" t="s">
        <v>199</v>
      </c>
      <c r="C896" s="16">
        <v>46174</v>
      </c>
      <c r="D896" s="82">
        <v>0</v>
      </c>
    </row>
    <row r="897" spans="1:4" x14ac:dyDescent="0.3">
      <c r="A897" t="s">
        <v>216</v>
      </c>
      <c r="C897" s="16">
        <v>46174</v>
      </c>
      <c r="D897" s="82">
        <v>0</v>
      </c>
    </row>
    <row r="898" spans="1:4" x14ac:dyDescent="0.3">
      <c r="A898" t="s">
        <v>17</v>
      </c>
      <c r="C898" s="16">
        <v>46175</v>
      </c>
      <c r="D898" s="82">
        <v>983394.14000000013</v>
      </c>
    </row>
    <row r="899" spans="1:4" x14ac:dyDescent="0.3">
      <c r="A899" t="s">
        <v>18</v>
      </c>
      <c r="C899" s="16">
        <v>46175</v>
      </c>
      <c r="D899" s="82">
        <v>69376.390000000174</v>
      </c>
    </row>
    <row r="900" spans="1:4" x14ac:dyDescent="0.3">
      <c r="A900" t="s">
        <v>19</v>
      </c>
      <c r="C900" s="16">
        <v>46175</v>
      </c>
      <c r="D900" s="82">
        <v>1669.89</v>
      </c>
    </row>
    <row r="901" spans="1:4" x14ac:dyDescent="0.3">
      <c r="A901" t="s">
        <v>20</v>
      </c>
      <c r="C901" s="16">
        <v>46175</v>
      </c>
      <c r="D901" s="82">
        <v>804853.11999999988</v>
      </c>
    </row>
    <row r="902" spans="1:4" x14ac:dyDescent="0.3">
      <c r="A902" t="s">
        <v>21</v>
      </c>
      <c r="C902" s="16">
        <v>46175</v>
      </c>
      <c r="D902" s="82">
        <v>1015901.6699999992</v>
      </c>
    </row>
    <row r="903" spans="1:4" x14ac:dyDescent="0.3">
      <c r="A903" t="s">
        <v>22</v>
      </c>
      <c r="C903" s="16">
        <v>46175</v>
      </c>
      <c r="D903" s="82">
        <v>131496.38</v>
      </c>
    </row>
    <row r="904" spans="1:4" x14ac:dyDescent="0.3">
      <c r="A904" t="s">
        <v>23</v>
      </c>
      <c r="C904" s="16">
        <v>46175</v>
      </c>
      <c r="D904" s="82">
        <v>20375.37</v>
      </c>
    </row>
    <row r="905" spans="1:4" x14ac:dyDescent="0.3">
      <c r="A905" t="s">
        <v>24</v>
      </c>
      <c r="C905" s="16">
        <v>46175</v>
      </c>
      <c r="D905" s="82">
        <v>511.15999999999985</v>
      </c>
    </row>
    <row r="906" spans="1:4" x14ac:dyDescent="0.3">
      <c r="A906" t="s">
        <v>25</v>
      </c>
      <c r="C906" s="16">
        <v>46175</v>
      </c>
      <c r="D906" s="82">
        <v>84.35</v>
      </c>
    </row>
    <row r="907" spans="1:4" x14ac:dyDescent="0.3">
      <c r="A907" t="s">
        <v>26</v>
      </c>
      <c r="C907" s="16">
        <v>46175</v>
      </c>
      <c r="D907" s="82">
        <v>2237.77</v>
      </c>
    </row>
    <row r="908" spans="1:4" x14ac:dyDescent="0.3">
      <c r="A908" t="s">
        <v>27</v>
      </c>
      <c r="C908" s="16">
        <v>46175</v>
      </c>
      <c r="D908" s="82">
        <v>3349.94</v>
      </c>
    </row>
    <row r="909" spans="1:4" x14ac:dyDescent="0.3">
      <c r="A909" t="s">
        <v>28</v>
      </c>
      <c r="C909" s="16">
        <v>46175</v>
      </c>
      <c r="D909" s="82">
        <v>1968.99</v>
      </c>
    </row>
    <row r="910" spans="1:4" x14ac:dyDescent="0.3">
      <c r="A910" t="s">
        <v>29</v>
      </c>
      <c r="C910" s="16">
        <v>46175</v>
      </c>
      <c r="D910" s="82">
        <v>901.34</v>
      </c>
    </row>
    <row r="911" spans="1:4" x14ac:dyDescent="0.3">
      <c r="A911" t="s">
        <v>30</v>
      </c>
      <c r="C911" s="16">
        <v>46175</v>
      </c>
      <c r="D911" s="82">
        <v>1428.08</v>
      </c>
    </row>
    <row r="912" spans="1:4" x14ac:dyDescent="0.3">
      <c r="A912" t="s">
        <v>31</v>
      </c>
      <c r="C912" s="16">
        <v>46175</v>
      </c>
      <c r="D912" s="82">
        <v>25789.969999999961</v>
      </c>
    </row>
    <row r="913" spans="1:4" x14ac:dyDescent="0.3">
      <c r="A913" t="s">
        <v>32</v>
      </c>
      <c r="C913" s="16">
        <v>46175</v>
      </c>
      <c r="D913" s="82">
        <v>5321.4300000000021</v>
      </c>
    </row>
    <row r="914" spans="1:4" x14ac:dyDescent="0.3">
      <c r="A914" t="s">
        <v>33</v>
      </c>
      <c r="C914" s="16">
        <v>46175</v>
      </c>
      <c r="D914" s="82">
        <v>24833.23</v>
      </c>
    </row>
    <row r="915" spans="1:4" x14ac:dyDescent="0.3">
      <c r="A915" t="s">
        <v>34</v>
      </c>
      <c r="C915" s="16">
        <v>46175</v>
      </c>
      <c r="D915" s="82">
        <v>345</v>
      </c>
    </row>
    <row r="916" spans="1:4" x14ac:dyDescent="0.3">
      <c r="A916" t="s">
        <v>35</v>
      </c>
      <c r="C916" s="16">
        <v>46175</v>
      </c>
      <c r="D916" s="82">
        <v>8808.2400000000016</v>
      </c>
    </row>
    <row r="917" spans="1:4" x14ac:dyDescent="0.3">
      <c r="A917" t="s">
        <v>193</v>
      </c>
      <c r="C917" s="16">
        <v>46175</v>
      </c>
      <c r="D917" s="82">
        <v>0</v>
      </c>
    </row>
    <row r="918" spans="1:4" x14ac:dyDescent="0.3">
      <c r="A918" t="s">
        <v>214</v>
      </c>
      <c r="C918" s="16">
        <v>46175</v>
      </c>
      <c r="D918" s="82">
        <v>0</v>
      </c>
    </row>
    <row r="919" spans="1:4" x14ac:dyDescent="0.3">
      <c r="A919" t="s">
        <v>194</v>
      </c>
      <c r="C919" s="16">
        <v>46175</v>
      </c>
      <c r="D919" s="82">
        <v>0</v>
      </c>
    </row>
    <row r="920" spans="1:4" x14ac:dyDescent="0.3">
      <c r="A920" t="s">
        <v>195</v>
      </c>
      <c r="C920" s="16">
        <v>46175</v>
      </c>
      <c r="D920" s="82">
        <v>0</v>
      </c>
    </row>
    <row r="921" spans="1:4" x14ac:dyDescent="0.3">
      <c r="A921" t="s">
        <v>196</v>
      </c>
      <c r="C921" s="16">
        <v>46175</v>
      </c>
      <c r="D921" s="82">
        <v>0</v>
      </c>
    </row>
    <row r="922" spans="1:4" x14ac:dyDescent="0.3">
      <c r="A922" t="s">
        <v>197</v>
      </c>
      <c r="C922" s="16">
        <v>46175</v>
      </c>
      <c r="D922" s="82">
        <v>0</v>
      </c>
    </row>
    <row r="923" spans="1:4" x14ac:dyDescent="0.3">
      <c r="A923" t="s">
        <v>212</v>
      </c>
      <c r="C923" s="16">
        <v>46175</v>
      </c>
      <c r="D923" s="82">
        <v>0</v>
      </c>
    </row>
    <row r="924" spans="1:4" x14ac:dyDescent="0.3">
      <c r="A924" t="s">
        <v>199</v>
      </c>
      <c r="C924" s="16">
        <v>46175</v>
      </c>
      <c r="D924" s="82">
        <v>0</v>
      </c>
    </row>
    <row r="925" spans="1:4" x14ac:dyDescent="0.3">
      <c r="A925" t="s">
        <v>216</v>
      </c>
      <c r="C925" s="16">
        <v>46175</v>
      </c>
      <c r="D925" s="82">
        <v>0</v>
      </c>
    </row>
    <row r="926" spans="1:4" x14ac:dyDescent="0.3">
      <c r="A926" t="s">
        <v>17</v>
      </c>
      <c r="C926" s="16">
        <v>46176</v>
      </c>
      <c r="D926" s="82">
        <v>983394.14000000013</v>
      </c>
    </row>
    <row r="927" spans="1:4" x14ac:dyDescent="0.3">
      <c r="A927" t="s">
        <v>18</v>
      </c>
      <c r="C927" s="16">
        <v>46176</v>
      </c>
      <c r="D927" s="82">
        <v>69376.390000000174</v>
      </c>
    </row>
    <row r="928" spans="1:4" x14ac:dyDescent="0.3">
      <c r="A928" t="s">
        <v>19</v>
      </c>
      <c r="C928" s="16">
        <v>46176</v>
      </c>
      <c r="D928" s="82">
        <v>1669.89</v>
      </c>
    </row>
    <row r="929" spans="1:4" x14ac:dyDescent="0.3">
      <c r="A929" t="s">
        <v>20</v>
      </c>
      <c r="C929" s="16">
        <v>46176</v>
      </c>
      <c r="D929" s="82">
        <v>804853.11999999988</v>
      </c>
    </row>
    <row r="930" spans="1:4" x14ac:dyDescent="0.3">
      <c r="A930" t="s">
        <v>21</v>
      </c>
      <c r="C930" s="16">
        <v>46176</v>
      </c>
      <c r="D930" s="82">
        <v>1015611.6599999993</v>
      </c>
    </row>
    <row r="931" spans="1:4" x14ac:dyDescent="0.3">
      <c r="A931" t="s">
        <v>22</v>
      </c>
      <c r="C931" s="16">
        <v>46176</v>
      </c>
      <c r="D931" s="82">
        <v>125496.38</v>
      </c>
    </row>
    <row r="932" spans="1:4" x14ac:dyDescent="0.3">
      <c r="A932" t="s">
        <v>23</v>
      </c>
      <c r="C932" s="16">
        <v>46176</v>
      </c>
      <c r="D932" s="82">
        <v>20375.37</v>
      </c>
    </row>
    <row r="933" spans="1:4" x14ac:dyDescent="0.3">
      <c r="A933" t="s">
        <v>24</v>
      </c>
      <c r="C933" s="16">
        <v>46176</v>
      </c>
      <c r="D933" s="82">
        <v>511.15999999999985</v>
      </c>
    </row>
    <row r="934" spans="1:4" x14ac:dyDescent="0.3">
      <c r="A934" t="s">
        <v>25</v>
      </c>
      <c r="C934" s="16">
        <v>46176</v>
      </c>
      <c r="D934" s="82">
        <v>84.35</v>
      </c>
    </row>
    <row r="935" spans="1:4" x14ac:dyDescent="0.3">
      <c r="A935" t="s">
        <v>26</v>
      </c>
      <c r="C935" s="16">
        <v>46176</v>
      </c>
      <c r="D935" s="82">
        <v>2237.77</v>
      </c>
    </row>
    <row r="936" spans="1:4" x14ac:dyDescent="0.3">
      <c r="A936" t="s">
        <v>27</v>
      </c>
      <c r="C936" s="16">
        <v>46176</v>
      </c>
      <c r="D936" s="82">
        <v>3349.94</v>
      </c>
    </row>
    <row r="937" spans="1:4" x14ac:dyDescent="0.3">
      <c r="A937" t="s">
        <v>28</v>
      </c>
      <c r="C937" s="16">
        <v>46176</v>
      </c>
      <c r="D937" s="82">
        <v>1968.99</v>
      </c>
    </row>
    <row r="938" spans="1:4" x14ac:dyDescent="0.3">
      <c r="A938" t="s">
        <v>29</v>
      </c>
      <c r="C938" s="16">
        <v>46176</v>
      </c>
      <c r="D938" s="82">
        <v>901.34</v>
      </c>
    </row>
    <row r="939" spans="1:4" x14ac:dyDescent="0.3">
      <c r="A939" t="s">
        <v>30</v>
      </c>
      <c r="C939" s="16">
        <v>46176</v>
      </c>
      <c r="D939" s="82">
        <v>1428.08</v>
      </c>
    </row>
    <row r="940" spans="1:4" x14ac:dyDescent="0.3">
      <c r="A940" t="s">
        <v>31</v>
      </c>
      <c r="C940" s="16">
        <v>46176</v>
      </c>
      <c r="D940" s="82">
        <v>25789.969999999961</v>
      </c>
    </row>
    <row r="941" spans="1:4" x14ac:dyDescent="0.3">
      <c r="A941" t="s">
        <v>32</v>
      </c>
      <c r="C941" s="16">
        <v>46176</v>
      </c>
      <c r="D941" s="82">
        <v>5321.4300000000021</v>
      </c>
    </row>
    <row r="942" spans="1:4" x14ac:dyDescent="0.3">
      <c r="A942" t="s">
        <v>33</v>
      </c>
      <c r="C942" s="16">
        <v>46176</v>
      </c>
      <c r="D942" s="82">
        <v>24833.23</v>
      </c>
    </row>
    <row r="943" spans="1:4" x14ac:dyDescent="0.3">
      <c r="A943" t="s">
        <v>34</v>
      </c>
      <c r="C943" s="16">
        <v>46176</v>
      </c>
      <c r="D943" s="82">
        <v>345</v>
      </c>
    </row>
    <row r="944" spans="1:4" x14ac:dyDescent="0.3">
      <c r="A944" t="s">
        <v>35</v>
      </c>
      <c r="C944" s="16">
        <v>46176</v>
      </c>
      <c r="D944" s="82">
        <v>8808.2400000000016</v>
      </c>
    </row>
    <row r="945" spans="1:4" x14ac:dyDescent="0.3">
      <c r="A945" t="s">
        <v>193</v>
      </c>
      <c r="C945" s="16">
        <v>46176</v>
      </c>
      <c r="D945" s="82">
        <v>0</v>
      </c>
    </row>
    <row r="946" spans="1:4" x14ac:dyDescent="0.3">
      <c r="A946" t="s">
        <v>214</v>
      </c>
      <c r="C946" s="16">
        <v>46176</v>
      </c>
      <c r="D946" s="82">
        <v>0</v>
      </c>
    </row>
    <row r="947" spans="1:4" x14ac:dyDescent="0.3">
      <c r="A947" t="s">
        <v>194</v>
      </c>
      <c r="C947" s="16">
        <v>46176</v>
      </c>
      <c r="D947" s="82">
        <v>0</v>
      </c>
    </row>
    <row r="948" spans="1:4" x14ac:dyDescent="0.3">
      <c r="A948" t="s">
        <v>195</v>
      </c>
      <c r="C948" s="16">
        <v>46176</v>
      </c>
      <c r="D948" s="82">
        <v>0</v>
      </c>
    </row>
    <row r="949" spans="1:4" x14ac:dyDescent="0.3">
      <c r="A949" t="s">
        <v>196</v>
      </c>
      <c r="C949" s="16">
        <v>46176</v>
      </c>
      <c r="D949" s="82">
        <v>0</v>
      </c>
    </row>
    <row r="950" spans="1:4" x14ac:dyDescent="0.3">
      <c r="A950" t="s">
        <v>197</v>
      </c>
      <c r="C950" s="16">
        <v>46176</v>
      </c>
      <c r="D950" s="82">
        <v>0</v>
      </c>
    </row>
    <row r="951" spans="1:4" x14ac:dyDescent="0.3">
      <c r="A951" t="s">
        <v>212</v>
      </c>
      <c r="C951" s="16">
        <v>46176</v>
      </c>
      <c r="D951" s="82">
        <v>0</v>
      </c>
    </row>
    <row r="952" spans="1:4" x14ac:dyDescent="0.3">
      <c r="A952" t="s">
        <v>199</v>
      </c>
      <c r="C952" s="16">
        <v>46176</v>
      </c>
      <c r="D952" s="82">
        <v>0</v>
      </c>
    </row>
    <row r="953" spans="1:4" x14ac:dyDescent="0.3">
      <c r="A953" t="s">
        <v>216</v>
      </c>
      <c r="C953" s="16">
        <v>46176</v>
      </c>
      <c r="D953" s="82">
        <v>0</v>
      </c>
    </row>
    <row r="954" spans="1:4" x14ac:dyDescent="0.3">
      <c r="A954" t="s">
        <v>17</v>
      </c>
      <c r="C954" s="16">
        <v>46177</v>
      </c>
      <c r="D954" s="82">
        <v>733394.14000000013</v>
      </c>
    </row>
    <row r="955" spans="1:4" x14ac:dyDescent="0.3">
      <c r="A955" t="s">
        <v>18</v>
      </c>
      <c r="C955" s="16">
        <v>46177</v>
      </c>
      <c r="D955" s="82">
        <v>69376.390000000174</v>
      </c>
    </row>
    <row r="956" spans="1:4" x14ac:dyDescent="0.3">
      <c r="A956" t="s">
        <v>19</v>
      </c>
      <c r="C956" s="16">
        <v>46177</v>
      </c>
      <c r="D956" s="82">
        <v>1669.89</v>
      </c>
    </row>
    <row r="957" spans="1:4" x14ac:dyDescent="0.3">
      <c r="A957" t="s">
        <v>20</v>
      </c>
      <c r="C957" s="16">
        <v>46177</v>
      </c>
      <c r="D957" s="82">
        <v>729545.23999999987</v>
      </c>
    </row>
    <row r="958" spans="1:4" x14ac:dyDescent="0.3">
      <c r="A958" t="s">
        <v>21</v>
      </c>
      <c r="C958" s="16">
        <v>46177</v>
      </c>
      <c r="D958" s="82">
        <v>1171714.4499999993</v>
      </c>
    </row>
    <row r="959" spans="1:4" x14ac:dyDescent="0.3">
      <c r="A959" t="s">
        <v>22</v>
      </c>
      <c r="C959" s="16">
        <v>46177</v>
      </c>
      <c r="D959" s="82">
        <v>116496.38</v>
      </c>
    </row>
    <row r="960" spans="1:4" x14ac:dyDescent="0.3">
      <c r="A960" t="s">
        <v>23</v>
      </c>
      <c r="C960" s="16">
        <v>46177</v>
      </c>
      <c r="D960" s="82">
        <v>20375.37</v>
      </c>
    </row>
    <row r="961" spans="1:4" x14ac:dyDescent="0.3">
      <c r="A961" t="s">
        <v>24</v>
      </c>
      <c r="C961" s="16">
        <v>46177</v>
      </c>
      <c r="D961" s="82">
        <v>511.15999999999985</v>
      </c>
    </row>
    <row r="962" spans="1:4" x14ac:dyDescent="0.3">
      <c r="A962" t="s">
        <v>25</v>
      </c>
      <c r="C962" s="16">
        <v>46177</v>
      </c>
      <c r="D962" s="82">
        <v>84.35</v>
      </c>
    </row>
    <row r="963" spans="1:4" x14ac:dyDescent="0.3">
      <c r="A963" t="s">
        <v>26</v>
      </c>
      <c r="C963" s="16">
        <v>46177</v>
      </c>
      <c r="D963" s="82">
        <v>2237.77</v>
      </c>
    </row>
    <row r="964" spans="1:4" x14ac:dyDescent="0.3">
      <c r="A964" t="s">
        <v>27</v>
      </c>
      <c r="C964" s="16">
        <v>46177</v>
      </c>
      <c r="D964" s="82">
        <v>3349.94</v>
      </c>
    </row>
    <row r="965" spans="1:4" x14ac:dyDescent="0.3">
      <c r="A965" t="s">
        <v>28</v>
      </c>
      <c r="C965" s="16">
        <v>46177</v>
      </c>
      <c r="D965" s="82">
        <v>1968.99</v>
      </c>
    </row>
    <row r="966" spans="1:4" x14ac:dyDescent="0.3">
      <c r="A966" t="s">
        <v>29</v>
      </c>
      <c r="C966" s="16">
        <v>46177</v>
      </c>
      <c r="D966" s="82">
        <v>382.69000000000005</v>
      </c>
    </row>
    <row r="967" spans="1:4" x14ac:dyDescent="0.3">
      <c r="A967" t="s">
        <v>30</v>
      </c>
      <c r="C967" s="16">
        <v>46177</v>
      </c>
      <c r="D967" s="82">
        <v>1428.08</v>
      </c>
    </row>
    <row r="968" spans="1:4" x14ac:dyDescent="0.3">
      <c r="A968" t="s">
        <v>31</v>
      </c>
      <c r="C968" s="16">
        <v>46177</v>
      </c>
      <c r="D968" s="82">
        <v>25789.969999999961</v>
      </c>
    </row>
    <row r="969" spans="1:4" x14ac:dyDescent="0.3">
      <c r="A969" t="s">
        <v>32</v>
      </c>
      <c r="C969" s="16">
        <v>46177</v>
      </c>
      <c r="D969" s="82">
        <v>5321.4300000000021</v>
      </c>
    </row>
    <row r="970" spans="1:4" x14ac:dyDescent="0.3">
      <c r="A970" t="s">
        <v>33</v>
      </c>
      <c r="C970" s="16">
        <v>46177</v>
      </c>
      <c r="D970" s="82">
        <v>24833.23</v>
      </c>
    </row>
    <row r="971" spans="1:4" x14ac:dyDescent="0.3">
      <c r="A971" t="s">
        <v>34</v>
      </c>
      <c r="C971" s="16">
        <v>46177</v>
      </c>
      <c r="D971" s="82">
        <v>345</v>
      </c>
    </row>
    <row r="972" spans="1:4" x14ac:dyDescent="0.3">
      <c r="A972" t="s">
        <v>35</v>
      </c>
      <c r="C972" s="16">
        <v>46177</v>
      </c>
      <c r="D972" s="82">
        <v>7716.0900000000038</v>
      </c>
    </row>
    <row r="973" spans="1:4" x14ac:dyDescent="0.3">
      <c r="A973" t="s">
        <v>193</v>
      </c>
      <c r="C973" s="16">
        <v>46177</v>
      </c>
      <c r="D973" s="82">
        <v>0</v>
      </c>
    </row>
    <row r="974" spans="1:4" x14ac:dyDescent="0.3">
      <c r="A974" t="s">
        <v>214</v>
      </c>
      <c r="C974" s="16">
        <v>46177</v>
      </c>
      <c r="D974" s="82">
        <v>0</v>
      </c>
    </row>
    <row r="975" spans="1:4" x14ac:dyDescent="0.3">
      <c r="A975" t="s">
        <v>194</v>
      </c>
      <c r="C975" s="16">
        <v>46177</v>
      </c>
      <c r="D975" s="82">
        <v>0</v>
      </c>
    </row>
    <row r="976" spans="1:4" x14ac:dyDescent="0.3">
      <c r="A976" t="s">
        <v>195</v>
      </c>
      <c r="C976" s="16">
        <v>46177</v>
      </c>
      <c r="D976" s="82">
        <v>0</v>
      </c>
    </row>
    <row r="977" spans="1:4" x14ac:dyDescent="0.3">
      <c r="A977" t="s">
        <v>196</v>
      </c>
      <c r="C977" s="16">
        <v>46177</v>
      </c>
      <c r="D977" s="82">
        <v>0</v>
      </c>
    </row>
    <row r="978" spans="1:4" x14ac:dyDescent="0.3">
      <c r="A978" t="s">
        <v>197</v>
      </c>
      <c r="C978" s="16">
        <v>46177</v>
      </c>
      <c r="D978" s="82">
        <v>0</v>
      </c>
    </row>
    <row r="979" spans="1:4" x14ac:dyDescent="0.3">
      <c r="A979" t="s">
        <v>212</v>
      </c>
      <c r="C979" s="16">
        <v>46177</v>
      </c>
      <c r="D979" s="82">
        <v>0</v>
      </c>
    </row>
    <row r="980" spans="1:4" x14ac:dyDescent="0.3">
      <c r="A980" t="s">
        <v>199</v>
      </c>
      <c r="C980" s="16">
        <v>46177</v>
      </c>
      <c r="D980" s="82">
        <v>0</v>
      </c>
    </row>
    <row r="981" spans="1:4" x14ac:dyDescent="0.3">
      <c r="A981" t="s">
        <v>216</v>
      </c>
      <c r="C981" s="16">
        <v>46177</v>
      </c>
      <c r="D981" s="82">
        <v>0</v>
      </c>
    </row>
    <row r="982" spans="1:4" x14ac:dyDescent="0.3">
      <c r="A982" t="s">
        <v>17</v>
      </c>
      <c r="C982" s="16">
        <v>46178</v>
      </c>
      <c r="D982" s="82">
        <v>733394.14000000013</v>
      </c>
    </row>
    <row r="983" spans="1:4" x14ac:dyDescent="0.3">
      <c r="A983" t="s">
        <v>18</v>
      </c>
      <c r="C983" s="16">
        <v>46178</v>
      </c>
      <c r="D983" s="82">
        <v>69376.390000000174</v>
      </c>
    </row>
    <row r="984" spans="1:4" x14ac:dyDescent="0.3">
      <c r="A984" t="s">
        <v>19</v>
      </c>
      <c r="C984" s="16">
        <v>46178</v>
      </c>
      <c r="D984" s="82">
        <v>1669.89</v>
      </c>
    </row>
    <row r="985" spans="1:4" x14ac:dyDescent="0.3">
      <c r="A985" t="s">
        <v>20</v>
      </c>
      <c r="C985" s="16">
        <v>46178</v>
      </c>
      <c r="D985" s="82">
        <v>729545.23999999987</v>
      </c>
    </row>
    <row r="986" spans="1:4" x14ac:dyDescent="0.3">
      <c r="A986" t="s">
        <v>21</v>
      </c>
      <c r="C986" s="16">
        <v>46178</v>
      </c>
      <c r="D986" s="82">
        <v>1164028.3199999994</v>
      </c>
    </row>
    <row r="987" spans="1:4" x14ac:dyDescent="0.3">
      <c r="A987" t="s">
        <v>22</v>
      </c>
      <c r="C987" s="16">
        <v>46178</v>
      </c>
      <c r="D987" s="82">
        <v>116496.38</v>
      </c>
    </row>
    <row r="988" spans="1:4" x14ac:dyDescent="0.3">
      <c r="A988" t="s">
        <v>23</v>
      </c>
      <c r="C988" s="16">
        <v>46178</v>
      </c>
      <c r="D988" s="82">
        <v>20375.37</v>
      </c>
    </row>
    <row r="989" spans="1:4" x14ac:dyDescent="0.3">
      <c r="A989" t="s">
        <v>24</v>
      </c>
      <c r="C989" s="16">
        <v>46178</v>
      </c>
      <c r="D989" s="82">
        <v>511.15999999999985</v>
      </c>
    </row>
    <row r="990" spans="1:4" x14ac:dyDescent="0.3">
      <c r="A990" t="s">
        <v>25</v>
      </c>
      <c r="C990" s="16">
        <v>46178</v>
      </c>
      <c r="D990" s="82">
        <v>84.35</v>
      </c>
    </row>
    <row r="991" spans="1:4" x14ac:dyDescent="0.3">
      <c r="A991" t="s">
        <v>26</v>
      </c>
      <c r="C991" s="16">
        <v>46178</v>
      </c>
      <c r="D991" s="82">
        <v>2237.77</v>
      </c>
    </row>
    <row r="992" spans="1:4" x14ac:dyDescent="0.3">
      <c r="A992" t="s">
        <v>27</v>
      </c>
      <c r="C992" s="16">
        <v>46178</v>
      </c>
      <c r="D992" s="82">
        <v>3349.94</v>
      </c>
    </row>
    <row r="993" spans="1:4" x14ac:dyDescent="0.3">
      <c r="A993" t="s">
        <v>28</v>
      </c>
      <c r="C993" s="16">
        <v>46178</v>
      </c>
      <c r="D993" s="82">
        <v>1968.99</v>
      </c>
    </row>
    <row r="994" spans="1:4" x14ac:dyDescent="0.3">
      <c r="A994" t="s">
        <v>29</v>
      </c>
      <c r="C994" s="16">
        <v>46178</v>
      </c>
      <c r="D994" s="82">
        <v>382.69000000000005</v>
      </c>
    </row>
    <row r="995" spans="1:4" x14ac:dyDescent="0.3">
      <c r="A995" t="s">
        <v>30</v>
      </c>
      <c r="C995" s="16">
        <v>46178</v>
      </c>
      <c r="D995" s="82">
        <v>1428.08</v>
      </c>
    </row>
    <row r="996" spans="1:4" x14ac:dyDescent="0.3">
      <c r="A996" t="s">
        <v>31</v>
      </c>
      <c r="C996" s="16">
        <v>46178</v>
      </c>
      <c r="D996" s="82">
        <v>25789.969999999961</v>
      </c>
    </row>
    <row r="997" spans="1:4" x14ac:dyDescent="0.3">
      <c r="A997" t="s">
        <v>32</v>
      </c>
      <c r="C997" s="16">
        <v>46178</v>
      </c>
      <c r="D997" s="82">
        <v>5321.4300000000021</v>
      </c>
    </row>
    <row r="998" spans="1:4" x14ac:dyDescent="0.3">
      <c r="A998" t="s">
        <v>33</v>
      </c>
      <c r="C998" s="16">
        <v>46178</v>
      </c>
      <c r="D998" s="82">
        <v>24833.23</v>
      </c>
    </row>
    <row r="999" spans="1:4" x14ac:dyDescent="0.3">
      <c r="A999" t="s">
        <v>34</v>
      </c>
      <c r="C999" s="16">
        <v>46178</v>
      </c>
      <c r="D999" s="82">
        <v>345</v>
      </c>
    </row>
    <row r="1000" spans="1:4" x14ac:dyDescent="0.3">
      <c r="A1000" t="s">
        <v>35</v>
      </c>
      <c r="C1000" s="16">
        <v>46178</v>
      </c>
      <c r="D1000" s="82">
        <v>7716.0900000000038</v>
      </c>
    </row>
    <row r="1001" spans="1:4" x14ac:dyDescent="0.3">
      <c r="A1001" t="s">
        <v>193</v>
      </c>
      <c r="C1001" s="16">
        <v>46178</v>
      </c>
      <c r="D1001" s="82">
        <v>0</v>
      </c>
    </row>
    <row r="1002" spans="1:4" x14ac:dyDescent="0.3">
      <c r="A1002" t="s">
        <v>214</v>
      </c>
      <c r="C1002" s="16">
        <v>46178</v>
      </c>
      <c r="D1002" s="82">
        <v>0</v>
      </c>
    </row>
    <row r="1003" spans="1:4" x14ac:dyDescent="0.3">
      <c r="A1003" t="s">
        <v>194</v>
      </c>
      <c r="C1003" s="16">
        <v>46178</v>
      </c>
      <c r="D1003" s="82">
        <v>0</v>
      </c>
    </row>
    <row r="1004" spans="1:4" x14ac:dyDescent="0.3">
      <c r="A1004" t="s">
        <v>195</v>
      </c>
      <c r="C1004" s="16">
        <v>46178</v>
      </c>
      <c r="D1004" s="82">
        <v>0</v>
      </c>
    </row>
    <row r="1005" spans="1:4" x14ac:dyDescent="0.3">
      <c r="A1005" t="s">
        <v>196</v>
      </c>
      <c r="C1005" s="16">
        <v>46178</v>
      </c>
      <c r="D1005" s="82">
        <v>0</v>
      </c>
    </row>
    <row r="1006" spans="1:4" x14ac:dyDescent="0.3">
      <c r="A1006" t="s">
        <v>197</v>
      </c>
      <c r="C1006" s="16">
        <v>46178</v>
      </c>
      <c r="D1006" s="82">
        <v>0</v>
      </c>
    </row>
    <row r="1007" spans="1:4" x14ac:dyDescent="0.3">
      <c r="A1007" t="s">
        <v>212</v>
      </c>
      <c r="C1007" s="16">
        <v>46178</v>
      </c>
      <c r="D1007" s="82">
        <v>0</v>
      </c>
    </row>
    <row r="1008" spans="1:4" x14ac:dyDescent="0.3">
      <c r="A1008" t="s">
        <v>199</v>
      </c>
      <c r="C1008" s="16">
        <v>46178</v>
      </c>
      <c r="D1008" s="82">
        <v>0</v>
      </c>
    </row>
    <row r="1009" spans="1:4" x14ac:dyDescent="0.3">
      <c r="A1009" t="s">
        <v>216</v>
      </c>
      <c r="C1009" s="16">
        <v>46178</v>
      </c>
      <c r="D1009" s="82">
        <v>0</v>
      </c>
    </row>
    <row r="1010" spans="1:4" x14ac:dyDescent="0.3">
      <c r="A1010" t="s">
        <v>17</v>
      </c>
      <c r="C1010" s="16">
        <v>46179</v>
      </c>
      <c r="D1010" s="82">
        <v>733394.14000000013</v>
      </c>
    </row>
    <row r="1011" spans="1:4" x14ac:dyDescent="0.3">
      <c r="A1011" t="s">
        <v>18</v>
      </c>
      <c r="C1011" s="16">
        <v>46179</v>
      </c>
      <c r="D1011" s="82">
        <v>69376.390000000174</v>
      </c>
    </row>
    <row r="1012" spans="1:4" x14ac:dyDescent="0.3">
      <c r="A1012" t="s">
        <v>19</v>
      </c>
      <c r="C1012" s="16">
        <v>46179</v>
      </c>
      <c r="D1012" s="82">
        <v>1669.89</v>
      </c>
    </row>
    <row r="1013" spans="1:4" x14ac:dyDescent="0.3">
      <c r="A1013" t="s">
        <v>20</v>
      </c>
      <c r="C1013" s="16">
        <v>46179</v>
      </c>
      <c r="D1013" s="82">
        <v>729545.23999999987</v>
      </c>
    </row>
    <row r="1014" spans="1:4" x14ac:dyDescent="0.3">
      <c r="A1014" t="s">
        <v>21</v>
      </c>
      <c r="C1014" s="16">
        <v>46179</v>
      </c>
      <c r="D1014" s="82">
        <v>1164028.3199999994</v>
      </c>
    </row>
    <row r="1015" spans="1:4" x14ac:dyDescent="0.3">
      <c r="A1015" t="s">
        <v>22</v>
      </c>
      <c r="C1015" s="16">
        <v>46179</v>
      </c>
      <c r="D1015" s="82">
        <v>116496.38</v>
      </c>
    </row>
    <row r="1016" spans="1:4" x14ac:dyDescent="0.3">
      <c r="A1016" t="s">
        <v>23</v>
      </c>
      <c r="C1016" s="16">
        <v>46179</v>
      </c>
      <c r="D1016" s="82">
        <v>20375.37</v>
      </c>
    </row>
    <row r="1017" spans="1:4" x14ac:dyDescent="0.3">
      <c r="A1017" t="s">
        <v>24</v>
      </c>
      <c r="C1017" s="16">
        <v>46179</v>
      </c>
      <c r="D1017" s="82">
        <v>511.15999999999985</v>
      </c>
    </row>
    <row r="1018" spans="1:4" x14ac:dyDescent="0.3">
      <c r="A1018" t="s">
        <v>25</v>
      </c>
      <c r="C1018" s="16">
        <v>46179</v>
      </c>
      <c r="D1018" s="82">
        <v>84.35</v>
      </c>
    </row>
    <row r="1019" spans="1:4" x14ac:dyDescent="0.3">
      <c r="A1019" t="s">
        <v>26</v>
      </c>
      <c r="C1019" s="16">
        <v>46179</v>
      </c>
      <c r="D1019" s="82">
        <v>2237.77</v>
      </c>
    </row>
    <row r="1020" spans="1:4" x14ac:dyDescent="0.3">
      <c r="A1020" t="s">
        <v>27</v>
      </c>
      <c r="C1020" s="16">
        <v>46179</v>
      </c>
      <c r="D1020" s="82">
        <v>3349.94</v>
      </c>
    </row>
    <row r="1021" spans="1:4" x14ac:dyDescent="0.3">
      <c r="A1021" t="s">
        <v>28</v>
      </c>
      <c r="C1021" s="16">
        <v>46179</v>
      </c>
      <c r="D1021" s="82">
        <v>1968.99</v>
      </c>
    </row>
    <row r="1022" spans="1:4" x14ac:dyDescent="0.3">
      <c r="A1022" t="s">
        <v>29</v>
      </c>
      <c r="C1022" s="16">
        <v>46179</v>
      </c>
      <c r="D1022" s="82">
        <v>382.69000000000005</v>
      </c>
    </row>
    <row r="1023" spans="1:4" x14ac:dyDescent="0.3">
      <c r="A1023" t="s">
        <v>30</v>
      </c>
      <c r="C1023" s="16">
        <v>46179</v>
      </c>
      <c r="D1023" s="82">
        <v>1428.08</v>
      </c>
    </row>
    <row r="1024" spans="1:4" x14ac:dyDescent="0.3">
      <c r="A1024" t="s">
        <v>31</v>
      </c>
      <c r="C1024" s="16">
        <v>46179</v>
      </c>
      <c r="D1024" s="82">
        <v>25789.969999999961</v>
      </c>
    </row>
    <row r="1025" spans="1:4" x14ac:dyDescent="0.3">
      <c r="A1025" t="s">
        <v>32</v>
      </c>
      <c r="C1025" s="16">
        <v>46179</v>
      </c>
      <c r="D1025" s="82">
        <v>5321.4300000000021</v>
      </c>
    </row>
    <row r="1026" spans="1:4" x14ac:dyDescent="0.3">
      <c r="A1026" t="s">
        <v>33</v>
      </c>
      <c r="C1026" s="16">
        <v>46179</v>
      </c>
      <c r="D1026" s="82">
        <v>24833.23</v>
      </c>
    </row>
    <row r="1027" spans="1:4" x14ac:dyDescent="0.3">
      <c r="A1027" t="s">
        <v>34</v>
      </c>
      <c r="C1027" s="16">
        <v>46179</v>
      </c>
      <c r="D1027" s="82">
        <v>345</v>
      </c>
    </row>
    <row r="1028" spans="1:4" x14ac:dyDescent="0.3">
      <c r="A1028" t="s">
        <v>35</v>
      </c>
      <c r="C1028" s="16">
        <v>46179</v>
      </c>
      <c r="D1028" s="82">
        <v>7716.0900000000038</v>
      </c>
    </row>
    <row r="1029" spans="1:4" x14ac:dyDescent="0.3">
      <c r="A1029" t="s">
        <v>193</v>
      </c>
      <c r="C1029" s="16">
        <v>46179</v>
      </c>
      <c r="D1029" s="82">
        <v>0</v>
      </c>
    </row>
    <row r="1030" spans="1:4" x14ac:dyDescent="0.3">
      <c r="A1030" t="s">
        <v>214</v>
      </c>
      <c r="C1030" s="16">
        <v>46179</v>
      </c>
      <c r="D1030" s="82">
        <v>0</v>
      </c>
    </row>
    <row r="1031" spans="1:4" x14ac:dyDescent="0.3">
      <c r="A1031" t="s">
        <v>194</v>
      </c>
      <c r="C1031" s="16">
        <v>46179</v>
      </c>
      <c r="D1031" s="82">
        <v>0</v>
      </c>
    </row>
    <row r="1032" spans="1:4" x14ac:dyDescent="0.3">
      <c r="A1032" t="s">
        <v>195</v>
      </c>
      <c r="C1032" s="16">
        <v>46179</v>
      </c>
      <c r="D1032" s="82">
        <v>0</v>
      </c>
    </row>
    <row r="1033" spans="1:4" x14ac:dyDescent="0.3">
      <c r="A1033" t="s">
        <v>196</v>
      </c>
      <c r="C1033" s="16">
        <v>46179</v>
      </c>
      <c r="D1033" s="82">
        <v>0</v>
      </c>
    </row>
    <row r="1034" spans="1:4" x14ac:dyDescent="0.3">
      <c r="A1034" t="s">
        <v>197</v>
      </c>
      <c r="C1034" s="16">
        <v>46179</v>
      </c>
      <c r="D1034" s="82">
        <v>0</v>
      </c>
    </row>
    <row r="1035" spans="1:4" x14ac:dyDescent="0.3">
      <c r="A1035" t="s">
        <v>212</v>
      </c>
      <c r="C1035" s="16">
        <v>46179</v>
      </c>
      <c r="D1035" s="82">
        <v>0</v>
      </c>
    </row>
    <row r="1036" spans="1:4" x14ac:dyDescent="0.3">
      <c r="A1036" t="s">
        <v>199</v>
      </c>
      <c r="C1036" s="16">
        <v>46179</v>
      </c>
      <c r="D1036" s="82">
        <v>0</v>
      </c>
    </row>
    <row r="1037" spans="1:4" x14ac:dyDescent="0.3">
      <c r="A1037" t="s">
        <v>216</v>
      </c>
      <c r="C1037" s="16">
        <v>46179</v>
      </c>
      <c r="D1037" s="82">
        <v>0</v>
      </c>
    </row>
    <row r="1038" spans="1:4" x14ac:dyDescent="0.3">
      <c r="A1038" t="s">
        <v>17</v>
      </c>
      <c r="C1038" s="16">
        <v>46180</v>
      </c>
      <c r="D1038" s="82">
        <v>733394.14000000013</v>
      </c>
    </row>
    <row r="1039" spans="1:4" x14ac:dyDescent="0.3">
      <c r="A1039" t="s">
        <v>18</v>
      </c>
      <c r="C1039" s="16">
        <v>46180</v>
      </c>
      <c r="D1039" s="82">
        <v>69376.390000000174</v>
      </c>
    </row>
    <row r="1040" spans="1:4" x14ac:dyDescent="0.3">
      <c r="A1040" t="s">
        <v>19</v>
      </c>
      <c r="C1040" s="16">
        <v>46180</v>
      </c>
      <c r="D1040" s="82">
        <v>1669.89</v>
      </c>
    </row>
    <row r="1041" spans="1:4" x14ac:dyDescent="0.3">
      <c r="A1041" t="s">
        <v>20</v>
      </c>
      <c r="C1041" s="16">
        <v>46180</v>
      </c>
      <c r="D1041" s="82">
        <v>729545.23999999987</v>
      </c>
    </row>
    <row r="1042" spans="1:4" x14ac:dyDescent="0.3">
      <c r="A1042" t="s">
        <v>21</v>
      </c>
      <c r="C1042" s="16">
        <v>46180</v>
      </c>
      <c r="D1042" s="82">
        <v>1164028.3199999994</v>
      </c>
    </row>
    <row r="1043" spans="1:4" x14ac:dyDescent="0.3">
      <c r="A1043" t="s">
        <v>22</v>
      </c>
      <c r="C1043" s="16">
        <v>46180</v>
      </c>
      <c r="D1043" s="82">
        <v>116496.38</v>
      </c>
    </row>
    <row r="1044" spans="1:4" x14ac:dyDescent="0.3">
      <c r="A1044" t="s">
        <v>23</v>
      </c>
      <c r="C1044" s="16">
        <v>46180</v>
      </c>
      <c r="D1044" s="82">
        <v>20375.37</v>
      </c>
    </row>
    <row r="1045" spans="1:4" x14ac:dyDescent="0.3">
      <c r="A1045" t="s">
        <v>24</v>
      </c>
      <c r="C1045" s="16">
        <v>46180</v>
      </c>
      <c r="D1045" s="82">
        <v>511.15999999999985</v>
      </c>
    </row>
    <row r="1046" spans="1:4" x14ac:dyDescent="0.3">
      <c r="A1046" t="s">
        <v>25</v>
      </c>
      <c r="C1046" s="16">
        <v>46180</v>
      </c>
      <c r="D1046" s="82">
        <v>84.35</v>
      </c>
    </row>
    <row r="1047" spans="1:4" x14ac:dyDescent="0.3">
      <c r="A1047" t="s">
        <v>26</v>
      </c>
      <c r="C1047" s="16">
        <v>46180</v>
      </c>
      <c r="D1047" s="82">
        <v>2237.77</v>
      </c>
    </row>
    <row r="1048" spans="1:4" x14ac:dyDescent="0.3">
      <c r="A1048" t="s">
        <v>27</v>
      </c>
      <c r="C1048" s="16">
        <v>46180</v>
      </c>
      <c r="D1048" s="82">
        <v>3349.94</v>
      </c>
    </row>
    <row r="1049" spans="1:4" x14ac:dyDescent="0.3">
      <c r="A1049" t="s">
        <v>28</v>
      </c>
      <c r="C1049" s="16">
        <v>46180</v>
      </c>
      <c r="D1049" s="82">
        <v>1968.99</v>
      </c>
    </row>
    <row r="1050" spans="1:4" x14ac:dyDescent="0.3">
      <c r="A1050" t="s">
        <v>29</v>
      </c>
      <c r="C1050" s="16">
        <v>46180</v>
      </c>
      <c r="D1050" s="82">
        <v>382.69000000000005</v>
      </c>
    </row>
    <row r="1051" spans="1:4" x14ac:dyDescent="0.3">
      <c r="A1051" t="s">
        <v>30</v>
      </c>
      <c r="C1051" s="16">
        <v>46180</v>
      </c>
      <c r="D1051" s="82">
        <v>1428.08</v>
      </c>
    </row>
    <row r="1052" spans="1:4" x14ac:dyDescent="0.3">
      <c r="A1052" t="s">
        <v>31</v>
      </c>
      <c r="C1052" s="16">
        <v>46180</v>
      </c>
      <c r="D1052" s="82">
        <v>25789.969999999961</v>
      </c>
    </row>
    <row r="1053" spans="1:4" x14ac:dyDescent="0.3">
      <c r="A1053" t="s">
        <v>32</v>
      </c>
      <c r="C1053" s="16">
        <v>46180</v>
      </c>
      <c r="D1053" s="82">
        <v>5321.4300000000021</v>
      </c>
    </row>
    <row r="1054" spans="1:4" x14ac:dyDescent="0.3">
      <c r="A1054" t="s">
        <v>33</v>
      </c>
      <c r="C1054" s="16">
        <v>46180</v>
      </c>
      <c r="D1054" s="82">
        <v>24833.23</v>
      </c>
    </row>
    <row r="1055" spans="1:4" x14ac:dyDescent="0.3">
      <c r="A1055" t="s">
        <v>34</v>
      </c>
      <c r="C1055" s="16">
        <v>46180</v>
      </c>
      <c r="D1055" s="82">
        <v>345</v>
      </c>
    </row>
    <row r="1056" spans="1:4" x14ac:dyDescent="0.3">
      <c r="A1056" t="s">
        <v>35</v>
      </c>
      <c r="C1056" s="16">
        <v>46180</v>
      </c>
      <c r="D1056" s="82">
        <v>7716.0900000000038</v>
      </c>
    </row>
    <row r="1057" spans="1:4" x14ac:dyDescent="0.3">
      <c r="A1057" t="s">
        <v>193</v>
      </c>
      <c r="C1057" s="16">
        <v>46180</v>
      </c>
      <c r="D1057" s="82">
        <v>0</v>
      </c>
    </row>
    <row r="1058" spans="1:4" x14ac:dyDescent="0.3">
      <c r="A1058" t="s">
        <v>214</v>
      </c>
      <c r="C1058" s="16">
        <v>46180</v>
      </c>
      <c r="D1058" s="82">
        <v>0</v>
      </c>
    </row>
    <row r="1059" spans="1:4" x14ac:dyDescent="0.3">
      <c r="A1059" t="s">
        <v>194</v>
      </c>
      <c r="C1059" s="16">
        <v>46180</v>
      </c>
      <c r="D1059" s="82">
        <v>0</v>
      </c>
    </row>
    <row r="1060" spans="1:4" x14ac:dyDescent="0.3">
      <c r="A1060" t="s">
        <v>195</v>
      </c>
      <c r="C1060" s="16">
        <v>46180</v>
      </c>
      <c r="D1060" s="82">
        <v>0</v>
      </c>
    </row>
    <row r="1061" spans="1:4" x14ac:dyDescent="0.3">
      <c r="A1061" t="s">
        <v>196</v>
      </c>
      <c r="C1061" s="16">
        <v>46180</v>
      </c>
      <c r="D1061" s="82">
        <v>0</v>
      </c>
    </row>
    <row r="1062" spans="1:4" x14ac:dyDescent="0.3">
      <c r="A1062" t="s">
        <v>197</v>
      </c>
      <c r="C1062" s="16">
        <v>46180</v>
      </c>
      <c r="D1062" s="82">
        <v>0</v>
      </c>
    </row>
    <row r="1063" spans="1:4" x14ac:dyDescent="0.3">
      <c r="A1063" t="s">
        <v>212</v>
      </c>
      <c r="C1063" s="16">
        <v>46180</v>
      </c>
      <c r="D1063" s="82">
        <v>0</v>
      </c>
    </row>
    <row r="1064" spans="1:4" x14ac:dyDescent="0.3">
      <c r="A1064" t="s">
        <v>199</v>
      </c>
      <c r="C1064" s="16">
        <v>46180</v>
      </c>
      <c r="D1064" s="82">
        <v>0</v>
      </c>
    </row>
    <row r="1065" spans="1:4" x14ac:dyDescent="0.3">
      <c r="A1065" t="s">
        <v>216</v>
      </c>
      <c r="C1065" s="16">
        <v>46180</v>
      </c>
      <c r="D1065" s="82">
        <v>0</v>
      </c>
    </row>
    <row r="1066" spans="1:4" x14ac:dyDescent="0.3">
      <c r="A1066" t="s">
        <v>17</v>
      </c>
      <c r="C1066" s="16">
        <v>46181</v>
      </c>
      <c r="D1066" s="82">
        <v>733394.14000000013</v>
      </c>
    </row>
    <row r="1067" spans="1:4" x14ac:dyDescent="0.3">
      <c r="A1067" t="s">
        <v>18</v>
      </c>
      <c r="C1067" s="16">
        <v>46181</v>
      </c>
      <c r="D1067" s="82">
        <v>69376.390000000174</v>
      </c>
    </row>
    <row r="1068" spans="1:4" x14ac:dyDescent="0.3">
      <c r="A1068" t="s">
        <v>19</v>
      </c>
      <c r="C1068" s="16">
        <v>46181</v>
      </c>
      <c r="D1068" s="82">
        <v>1669.89</v>
      </c>
    </row>
    <row r="1069" spans="1:4" x14ac:dyDescent="0.3">
      <c r="A1069" t="s">
        <v>20</v>
      </c>
      <c r="C1069" s="16">
        <v>46181</v>
      </c>
      <c r="D1069" s="82">
        <v>729545.23999999987</v>
      </c>
    </row>
    <row r="1070" spans="1:4" x14ac:dyDescent="0.3">
      <c r="A1070" t="s">
        <v>21</v>
      </c>
      <c r="C1070" s="16">
        <v>46181</v>
      </c>
      <c r="D1070" s="82">
        <v>1164028.3199999994</v>
      </c>
    </row>
    <row r="1071" spans="1:4" x14ac:dyDescent="0.3">
      <c r="A1071" t="s">
        <v>22</v>
      </c>
      <c r="C1071" s="16">
        <v>46181</v>
      </c>
      <c r="D1071" s="82">
        <v>116496.38</v>
      </c>
    </row>
    <row r="1072" spans="1:4" x14ac:dyDescent="0.3">
      <c r="A1072" t="s">
        <v>23</v>
      </c>
      <c r="C1072" s="16">
        <v>46181</v>
      </c>
      <c r="D1072" s="82">
        <v>20375.37</v>
      </c>
    </row>
    <row r="1073" spans="1:4" x14ac:dyDescent="0.3">
      <c r="A1073" t="s">
        <v>24</v>
      </c>
      <c r="C1073" s="16">
        <v>46181</v>
      </c>
      <c r="D1073" s="82">
        <v>511.15999999999985</v>
      </c>
    </row>
    <row r="1074" spans="1:4" x14ac:dyDescent="0.3">
      <c r="A1074" t="s">
        <v>25</v>
      </c>
      <c r="C1074" s="16">
        <v>46181</v>
      </c>
      <c r="D1074" s="82">
        <v>84.35</v>
      </c>
    </row>
    <row r="1075" spans="1:4" x14ac:dyDescent="0.3">
      <c r="A1075" t="s">
        <v>26</v>
      </c>
      <c r="C1075" s="16">
        <v>46181</v>
      </c>
      <c r="D1075" s="82">
        <v>2237.77</v>
      </c>
    </row>
    <row r="1076" spans="1:4" x14ac:dyDescent="0.3">
      <c r="A1076" t="s">
        <v>27</v>
      </c>
      <c r="C1076" s="16">
        <v>46181</v>
      </c>
      <c r="D1076" s="82">
        <v>3349.94</v>
      </c>
    </row>
    <row r="1077" spans="1:4" x14ac:dyDescent="0.3">
      <c r="A1077" t="s">
        <v>28</v>
      </c>
      <c r="C1077" s="16">
        <v>46181</v>
      </c>
      <c r="D1077" s="82">
        <v>1968.99</v>
      </c>
    </row>
    <row r="1078" spans="1:4" x14ac:dyDescent="0.3">
      <c r="A1078" t="s">
        <v>29</v>
      </c>
      <c r="C1078" s="16">
        <v>46181</v>
      </c>
      <c r="D1078" s="82">
        <v>382.69000000000005</v>
      </c>
    </row>
    <row r="1079" spans="1:4" x14ac:dyDescent="0.3">
      <c r="A1079" t="s">
        <v>30</v>
      </c>
      <c r="C1079" s="16">
        <v>46181</v>
      </c>
      <c r="D1079" s="82">
        <v>1428.08</v>
      </c>
    </row>
    <row r="1080" spans="1:4" x14ac:dyDescent="0.3">
      <c r="A1080" t="s">
        <v>31</v>
      </c>
      <c r="C1080" s="16">
        <v>46181</v>
      </c>
      <c r="D1080" s="82">
        <v>25789.969999999961</v>
      </c>
    </row>
    <row r="1081" spans="1:4" x14ac:dyDescent="0.3">
      <c r="A1081" t="s">
        <v>32</v>
      </c>
      <c r="C1081" s="16">
        <v>46181</v>
      </c>
      <c r="D1081" s="82">
        <v>5321.4300000000021</v>
      </c>
    </row>
    <row r="1082" spans="1:4" x14ac:dyDescent="0.3">
      <c r="A1082" t="s">
        <v>33</v>
      </c>
      <c r="C1082" s="16">
        <v>46181</v>
      </c>
      <c r="D1082" s="82">
        <v>24833.23</v>
      </c>
    </row>
    <row r="1083" spans="1:4" x14ac:dyDescent="0.3">
      <c r="A1083" t="s">
        <v>34</v>
      </c>
      <c r="C1083" s="16">
        <v>46181</v>
      </c>
      <c r="D1083" s="82">
        <v>345</v>
      </c>
    </row>
    <row r="1084" spans="1:4" x14ac:dyDescent="0.3">
      <c r="A1084" t="s">
        <v>35</v>
      </c>
      <c r="C1084" s="16">
        <v>46181</v>
      </c>
      <c r="D1084" s="82">
        <v>6744.5000000000036</v>
      </c>
    </row>
    <row r="1085" spans="1:4" x14ac:dyDescent="0.3">
      <c r="A1085" t="s">
        <v>193</v>
      </c>
      <c r="C1085" s="16">
        <v>46181</v>
      </c>
      <c r="D1085" s="82">
        <v>0</v>
      </c>
    </row>
    <row r="1086" spans="1:4" x14ac:dyDescent="0.3">
      <c r="A1086" t="s">
        <v>214</v>
      </c>
      <c r="C1086" s="16">
        <v>46181</v>
      </c>
      <c r="D1086" s="82">
        <v>0</v>
      </c>
    </row>
    <row r="1087" spans="1:4" x14ac:dyDescent="0.3">
      <c r="A1087" t="s">
        <v>194</v>
      </c>
      <c r="C1087" s="16">
        <v>46181</v>
      </c>
      <c r="D1087" s="82">
        <v>0</v>
      </c>
    </row>
    <row r="1088" spans="1:4" x14ac:dyDescent="0.3">
      <c r="A1088" t="s">
        <v>195</v>
      </c>
      <c r="C1088" s="16">
        <v>46181</v>
      </c>
      <c r="D1088" s="82">
        <v>0</v>
      </c>
    </row>
    <row r="1089" spans="1:4" x14ac:dyDescent="0.3">
      <c r="A1089" t="s">
        <v>196</v>
      </c>
      <c r="C1089" s="16">
        <v>46181</v>
      </c>
      <c r="D1089" s="82">
        <v>0</v>
      </c>
    </row>
    <row r="1090" spans="1:4" x14ac:dyDescent="0.3">
      <c r="A1090" t="s">
        <v>197</v>
      </c>
      <c r="C1090" s="16">
        <v>46181</v>
      </c>
      <c r="D1090" s="82">
        <v>0</v>
      </c>
    </row>
    <row r="1091" spans="1:4" x14ac:dyDescent="0.3">
      <c r="A1091" t="s">
        <v>212</v>
      </c>
      <c r="C1091" s="16">
        <v>46181</v>
      </c>
      <c r="D1091" s="82">
        <v>0</v>
      </c>
    </row>
    <row r="1092" spans="1:4" x14ac:dyDescent="0.3">
      <c r="A1092" t="s">
        <v>199</v>
      </c>
      <c r="C1092" s="16">
        <v>46181</v>
      </c>
      <c r="D1092" s="82">
        <v>0</v>
      </c>
    </row>
    <row r="1093" spans="1:4" x14ac:dyDescent="0.3">
      <c r="A1093" t="s">
        <v>216</v>
      </c>
      <c r="C1093" s="16">
        <v>46181</v>
      </c>
      <c r="D1093" s="82">
        <v>0</v>
      </c>
    </row>
    <row r="1094" spans="1:4" x14ac:dyDescent="0.3">
      <c r="A1094" t="s">
        <v>17</v>
      </c>
      <c r="C1094" s="16">
        <v>46182</v>
      </c>
      <c r="D1094" s="82">
        <v>847381.29000000015</v>
      </c>
    </row>
    <row r="1095" spans="1:4" x14ac:dyDescent="0.3">
      <c r="A1095" t="s">
        <v>18</v>
      </c>
      <c r="C1095" s="16">
        <v>46182</v>
      </c>
      <c r="D1095" s="82">
        <v>69376.390000000174</v>
      </c>
    </row>
    <row r="1096" spans="1:4" x14ac:dyDescent="0.3">
      <c r="A1096" t="s">
        <v>19</v>
      </c>
      <c r="C1096" s="16">
        <v>46182</v>
      </c>
      <c r="D1096" s="82">
        <v>1669.89</v>
      </c>
    </row>
    <row r="1097" spans="1:4" x14ac:dyDescent="0.3">
      <c r="A1097" t="s">
        <v>20</v>
      </c>
      <c r="C1097" s="16">
        <v>46182</v>
      </c>
      <c r="D1097" s="82">
        <v>729545.23999999987</v>
      </c>
    </row>
    <row r="1098" spans="1:4" x14ac:dyDescent="0.3">
      <c r="A1098" t="s">
        <v>21</v>
      </c>
      <c r="C1098" s="16">
        <v>46182</v>
      </c>
      <c r="D1098" s="82">
        <v>1160274.0499999993</v>
      </c>
    </row>
    <row r="1099" spans="1:4" x14ac:dyDescent="0.3">
      <c r="A1099" t="s">
        <v>22</v>
      </c>
      <c r="C1099" s="16">
        <v>46182</v>
      </c>
      <c r="D1099" s="82">
        <v>116496.38</v>
      </c>
    </row>
    <row r="1100" spans="1:4" x14ac:dyDescent="0.3">
      <c r="A1100" t="s">
        <v>23</v>
      </c>
      <c r="C1100" s="16">
        <v>46182</v>
      </c>
      <c r="D1100" s="82">
        <v>20375.37</v>
      </c>
    </row>
    <row r="1101" spans="1:4" x14ac:dyDescent="0.3">
      <c r="A1101" t="s">
        <v>24</v>
      </c>
      <c r="C1101" s="16">
        <v>46182</v>
      </c>
      <c r="D1101" s="82">
        <v>511.15999999999985</v>
      </c>
    </row>
    <row r="1102" spans="1:4" x14ac:dyDescent="0.3">
      <c r="A1102" t="s">
        <v>25</v>
      </c>
      <c r="C1102" s="16">
        <v>46182</v>
      </c>
      <c r="D1102" s="82">
        <v>84.35</v>
      </c>
    </row>
    <row r="1103" spans="1:4" x14ac:dyDescent="0.3">
      <c r="A1103" t="s">
        <v>26</v>
      </c>
      <c r="C1103" s="16">
        <v>46182</v>
      </c>
      <c r="D1103" s="82">
        <v>2237.77</v>
      </c>
    </row>
    <row r="1104" spans="1:4" x14ac:dyDescent="0.3">
      <c r="A1104" t="s">
        <v>27</v>
      </c>
      <c r="C1104" s="16">
        <v>46182</v>
      </c>
      <c r="D1104" s="82">
        <v>3349.94</v>
      </c>
    </row>
    <row r="1105" spans="1:4" x14ac:dyDescent="0.3">
      <c r="A1105" t="s">
        <v>28</v>
      </c>
      <c r="C1105" s="16">
        <v>46182</v>
      </c>
      <c r="D1105" s="82">
        <v>1968.99</v>
      </c>
    </row>
    <row r="1106" spans="1:4" x14ac:dyDescent="0.3">
      <c r="A1106" t="s">
        <v>29</v>
      </c>
      <c r="C1106" s="16">
        <v>46182</v>
      </c>
      <c r="D1106" s="82">
        <v>382.69000000000005</v>
      </c>
    </row>
    <row r="1107" spans="1:4" x14ac:dyDescent="0.3">
      <c r="A1107" t="s">
        <v>30</v>
      </c>
      <c r="C1107" s="16">
        <v>46182</v>
      </c>
      <c r="D1107" s="82">
        <v>1428.08</v>
      </c>
    </row>
    <row r="1108" spans="1:4" x14ac:dyDescent="0.3">
      <c r="A1108" t="s">
        <v>31</v>
      </c>
      <c r="C1108" s="16">
        <v>46182</v>
      </c>
      <c r="D1108" s="82">
        <v>25789.969999999961</v>
      </c>
    </row>
    <row r="1109" spans="1:4" x14ac:dyDescent="0.3">
      <c r="A1109" t="s">
        <v>32</v>
      </c>
      <c r="C1109" s="16">
        <v>46182</v>
      </c>
      <c r="D1109" s="82">
        <v>5321.4300000000021</v>
      </c>
    </row>
    <row r="1110" spans="1:4" x14ac:dyDescent="0.3">
      <c r="A1110" t="s">
        <v>33</v>
      </c>
      <c r="C1110" s="16">
        <v>46182</v>
      </c>
      <c r="D1110" s="82">
        <v>24833.23</v>
      </c>
    </row>
    <row r="1111" spans="1:4" x14ac:dyDescent="0.3">
      <c r="A1111" t="s">
        <v>34</v>
      </c>
      <c r="C1111" s="16">
        <v>46182</v>
      </c>
      <c r="D1111" s="82">
        <v>345</v>
      </c>
    </row>
    <row r="1112" spans="1:4" x14ac:dyDescent="0.3">
      <c r="A1112" t="s">
        <v>35</v>
      </c>
      <c r="C1112" s="16">
        <v>46182</v>
      </c>
      <c r="D1112" s="82">
        <v>6583.0800000000036</v>
      </c>
    </row>
    <row r="1113" spans="1:4" x14ac:dyDescent="0.3">
      <c r="A1113" t="s">
        <v>193</v>
      </c>
      <c r="C1113" s="16">
        <v>46182</v>
      </c>
      <c r="D1113" s="82">
        <v>0</v>
      </c>
    </row>
    <row r="1114" spans="1:4" x14ac:dyDescent="0.3">
      <c r="A1114" t="s">
        <v>214</v>
      </c>
      <c r="C1114" s="16">
        <v>46182</v>
      </c>
      <c r="D1114" s="82">
        <v>0</v>
      </c>
    </row>
    <row r="1115" spans="1:4" x14ac:dyDescent="0.3">
      <c r="A1115" t="s">
        <v>194</v>
      </c>
      <c r="C1115" s="16">
        <v>46182</v>
      </c>
      <c r="D1115" s="82">
        <v>0</v>
      </c>
    </row>
    <row r="1116" spans="1:4" x14ac:dyDescent="0.3">
      <c r="A1116" t="s">
        <v>195</v>
      </c>
      <c r="C1116" s="16">
        <v>46182</v>
      </c>
      <c r="D1116" s="82">
        <v>0</v>
      </c>
    </row>
    <row r="1117" spans="1:4" x14ac:dyDescent="0.3">
      <c r="A1117" t="s">
        <v>196</v>
      </c>
      <c r="C1117" s="16">
        <v>46182</v>
      </c>
      <c r="D1117" s="82">
        <v>0</v>
      </c>
    </row>
    <row r="1118" spans="1:4" x14ac:dyDescent="0.3">
      <c r="A1118" t="s">
        <v>197</v>
      </c>
      <c r="C1118" s="16">
        <v>46182</v>
      </c>
      <c r="D1118" s="82">
        <v>0</v>
      </c>
    </row>
    <row r="1119" spans="1:4" x14ac:dyDescent="0.3">
      <c r="A1119" t="s">
        <v>212</v>
      </c>
      <c r="C1119" s="16">
        <v>46182</v>
      </c>
      <c r="D1119" s="82">
        <v>0</v>
      </c>
    </row>
    <row r="1120" spans="1:4" x14ac:dyDescent="0.3">
      <c r="A1120" t="s">
        <v>199</v>
      </c>
      <c r="C1120" s="16">
        <v>46182</v>
      </c>
      <c r="D1120" s="82">
        <v>0</v>
      </c>
    </row>
    <row r="1121" spans="1:4" x14ac:dyDescent="0.3">
      <c r="A1121" t="s">
        <v>216</v>
      </c>
      <c r="C1121" s="16">
        <v>46182</v>
      </c>
      <c r="D1121" s="82">
        <v>0</v>
      </c>
    </row>
    <row r="1122" spans="1:4" x14ac:dyDescent="0.3">
      <c r="A1122" t="s">
        <v>17</v>
      </c>
      <c r="C1122" s="16">
        <v>46183</v>
      </c>
      <c r="D1122" s="82">
        <v>2288745.9500000002</v>
      </c>
    </row>
    <row r="1123" spans="1:4" x14ac:dyDescent="0.3">
      <c r="A1123" t="s">
        <v>18</v>
      </c>
      <c r="C1123" s="16">
        <v>46183</v>
      </c>
      <c r="D1123" s="82">
        <v>69376.390000000174</v>
      </c>
    </row>
    <row r="1124" spans="1:4" x14ac:dyDescent="0.3">
      <c r="A1124" t="s">
        <v>19</v>
      </c>
      <c r="C1124" s="16">
        <v>46183</v>
      </c>
      <c r="D1124" s="82">
        <v>1669.89</v>
      </c>
    </row>
    <row r="1125" spans="1:4" x14ac:dyDescent="0.3">
      <c r="A1125" t="s">
        <v>20</v>
      </c>
      <c r="C1125" s="16">
        <v>46183</v>
      </c>
      <c r="D1125" s="82">
        <v>744306.80999999982</v>
      </c>
    </row>
    <row r="1126" spans="1:4" x14ac:dyDescent="0.3">
      <c r="A1126" t="s">
        <v>21</v>
      </c>
      <c r="C1126" s="16">
        <v>46183</v>
      </c>
      <c r="D1126" s="82">
        <v>1160274.0499999993</v>
      </c>
    </row>
    <row r="1127" spans="1:4" x14ac:dyDescent="0.3">
      <c r="A1127" t="s">
        <v>22</v>
      </c>
      <c r="C1127" s="16">
        <v>46183</v>
      </c>
      <c r="D1127" s="82">
        <v>116496.38</v>
      </c>
    </row>
    <row r="1128" spans="1:4" x14ac:dyDescent="0.3">
      <c r="A1128" t="s">
        <v>23</v>
      </c>
      <c r="C1128" s="16">
        <v>46183</v>
      </c>
      <c r="D1128" s="82">
        <v>20375.37</v>
      </c>
    </row>
    <row r="1129" spans="1:4" x14ac:dyDescent="0.3">
      <c r="A1129" t="s">
        <v>24</v>
      </c>
      <c r="C1129" s="16">
        <v>46183</v>
      </c>
      <c r="D1129" s="82">
        <v>511.15999999999985</v>
      </c>
    </row>
    <row r="1130" spans="1:4" x14ac:dyDescent="0.3">
      <c r="A1130" t="s">
        <v>25</v>
      </c>
      <c r="C1130" s="16">
        <v>46183</v>
      </c>
      <c r="D1130" s="82">
        <v>84.35</v>
      </c>
    </row>
    <row r="1131" spans="1:4" x14ac:dyDescent="0.3">
      <c r="A1131" t="s">
        <v>26</v>
      </c>
      <c r="C1131" s="16">
        <v>46183</v>
      </c>
      <c r="D1131" s="82">
        <v>2237.77</v>
      </c>
    </row>
    <row r="1132" spans="1:4" x14ac:dyDescent="0.3">
      <c r="A1132" t="s">
        <v>27</v>
      </c>
      <c r="C1132" s="16">
        <v>46183</v>
      </c>
      <c r="D1132" s="82">
        <v>3349.94</v>
      </c>
    </row>
    <row r="1133" spans="1:4" x14ac:dyDescent="0.3">
      <c r="A1133" t="s">
        <v>28</v>
      </c>
      <c r="C1133" s="16">
        <v>46183</v>
      </c>
      <c r="D1133" s="82">
        <v>1968.99</v>
      </c>
    </row>
    <row r="1134" spans="1:4" x14ac:dyDescent="0.3">
      <c r="A1134" t="s">
        <v>29</v>
      </c>
      <c r="C1134" s="16">
        <v>46183</v>
      </c>
      <c r="D1134" s="82">
        <v>382.69000000000005</v>
      </c>
    </row>
    <row r="1135" spans="1:4" x14ac:dyDescent="0.3">
      <c r="A1135" t="s">
        <v>30</v>
      </c>
      <c r="C1135" s="16">
        <v>46183</v>
      </c>
      <c r="D1135" s="82">
        <v>1428.08</v>
      </c>
    </row>
    <row r="1136" spans="1:4" x14ac:dyDescent="0.3">
      <c r="A1136" t="s">
        <v>31</v>
      </c>
      <c r="C1136" s="16">
        <v>46183</v>
      </c>
      <c r="D1136" s="82">
        <v>25789.969999999961</v>
      </c>
    </row>
    <row r="1137" spans="1:4" x14ac:dyDescent="0.3">
      <c r="A1137" t="s">
        <v>32</v>
      </c>
      <c r="C1137" s="16">
        <v>46183</v>
      </c>
      <c r="D1137" s="82">
        <v>5321.4300000000021</v>
      </c>
    </row>
    <row r="1138" spans="1:4" x14ac:dyDescent="0.3">
      <c r="A1138" t="s">
        <v>33</v>
      </c>
      <c r="C1138" s="16">
        <v>46183</v>
      </c>
      <c r="D1138" s="82">
        <v>24743.98</v>
      </c>
    </row>
    <row r="1139" spans="1:4" x14ac:dyDescent="0.3">
      <c r="A1139" t="s">
        <v>34</v>
      </c>
      <c r="C1139" s="16">
        <v>46183</v>
      </c>
      <c r="D1139" s="82">
        <v>345</v>
      </c>
    </row>
    <row r="1140" spans="1:4" x14ac:dyDescent="0.3">
      <c r="A1140" t="s">
        <v>35</v>
      </c>
      <c r="C1140" s="16">
        <v>46183</v>
      </c>
      <c r="D1140" s="82">
        <v>6583.0800000000036</v>
      </c>
    </row>
    <row r="1141" spans="1:4" x14ac:dyDescent="0.3">
      <c r="A1141" t="s">
        <v>193</v>
      </c>
      <c r="C1141" s="16">
        <v>46183</v>
      </c>
      <c r="D1141" s="82">
        <v>0</v>
      </c>
    </row>
    <row r="1142" spans="1:4" x14ac:dyDescent="0.3">
      <c r="A1142" t="s">
        <v>214</v>
      </c>
      <c r="C1142" s="16">
        <v>46183</v>
      </c>
      <c r="D1142" s="82">
        <v>0</v>
      </c>
    </row>
    <row r="1143" spans="1:4" x14ac:dyDescent="0.3">
      <c r="A1143" t="s">
        <v>194</v>
      </c>
      <c r="C1143" s="16">
        <v>46183</v>
      </c>
      <c r="D1143" s="82">
        <v>0</v>
      </c>
    </row>
    <row r="1144" spans="1:4" x14ac:dyDescent="0.3">
      <c r="A1144" t="s">
        <v>195</v>
      </c>
      <c r="C1144" s="16">
        <v>46183</v>
      </c>
      <c r="D1144" s="82">
        <v>0</v>
      </c>
    </row>
    <row r="1145" spans="1:4" x14ac:dyDescent="0.3">
      <c r="A1145" t="s">
        <v>196</v>
      </c>
      <c r="C1145" s="16">
        <v>46183</v>
      </c>
      <c r="D1145" s="82">
        <v>0</v>
      </c>
    </row>
    <row r="1146" spans="1:4" x14ac:dyDescent="0.3">
      <c r="A1146" t="s">
        <v>197</v>
      </c>
      <c r="C1146" s="16">
        <v>46183</v>
      </c>
      <c r="D1146" s="82">
        <v>0</v>
      </c>
    </row>
    <row r="1147" spans="1:4" x14ac:dyDescent="0.3">
      <c r="A1147" t="s">
        <v>212</v>
      </c>
      <c r="C1147" s="16">
        <v>46183</v>
      </c>
      <c r="D1147" s="82">
        <v>0</v>
      </c>
    </row>
    <row r="1148" spans="1:4" x14ac:dyDescent="0.3">
      <c r="A1148" t="s">
        <v>199</v>
      </c>
      <c r="C1148" s="16">
        <v>46183</v>
      </c>
      <c r="D1148" s="82">
        <v>0</v>
      </c>
    </row>
    <row r="1149" spans="1:4" x14ac:dyDescent="0.3">
      <c r="A1149" t="s">
        <v>216</v>
      </c>
      <c r="C1149" s="16">
        <v>46183</v>
      </c>
      <c r="D1149" s="82">
        <v>0</v>
      </c>
    </row>
    <row r="1150" spans="1:4" x14ac:dyDescent="0.3">
      <c r="A1150" t="s">
        <v>17</v>
      </c>
      <c r="C1150" s="16">
        <v>46184</v>
      </c>
      <c r="D1150" s="82">
        <v>1837784.84</v>
      </c>
    </row>
    <row r="1151" spans="1:4" x14ac:dyDescent="0.3">
      <c r="A1151" t="s">
        <v>18</v>
      </c>
      <c r="C1151" s="16">
        <v>46184</v>
      </c>
      <c r="D1151" s="82">
        <v>69376.390000000174</v>
      </c>
    </row>
    <row r="1152" spans="1:4" x14ac:dyDescent="0.3">
      <c r="A1152" t="s">
        <v>19</v>
      </c>
      <c r="C1152" s="16">
        <v>46184</v>
      </c>
      <c r="D1152" s="82">
        <v>1669.89</v>
      </c>
    </row>
    <row r="1153" spans="1:4" x14ac:dyDescent="0.3">
      <c r="A1153" t="s">
        <v>20</v>
      </c>
      <c r="C1153" s="16">
        <v>46184</v>
      </c>
      <c r="D1153" s="82">
        <v>564626.20999999985</v>
      </c>
    </row>
    <row r="1154" spans="1:4" x14ac:dyDescent="0.3">
      <c r="A1154" t="s">
        <v>21</v>
      </c>
      <c r="C1154" s="16">
        <v>46184</v>
      </c>
      <c r="D1154" s="82">
        <v>794731.82999999926</v>
      </c>
    </row>
    <row r="1155" spans="1:4" x14ac:dyDescent="0.3">
      <c r="A1155" t="s">
        <v>22</v>
      </c>
      <c r="C1155" s="16">
        <v>46184</v>
      </c>
      <c r="D1155" s="82">
        <v>116496.38</v>
      </c>
    </row>
    <row r="1156" spans="1:4" x14ac:dyDescent="0.3">
      <c r="A1156" t="s">
        <v>23</v>
      </c>
      <c r="C1156" s="16">
        <v>46184</v>
      </c>
      <c r="D1156" s="82">
        <v>20375.37</v>
      </c>
    </row>
    <row r="1157" spans="1:4" x14ac:dyDescent="0.3">
      <c r="A1157" t="s">
        <v>24</v>
      </c>
      <c r="C1157" s="16">
        <v>46184</v>
      </c>
      <c r="D1157" s="82">
        <v>511.15999999999985</v>
      </c>
    </row>
    <row r="1158" spans="1:4" x14ac:dyDescent="0.3">
      <c r="A1158" t="s">
        <v>25</v>
      </c>
      <c r="C1158" s="16">
        <v>46184</v>
      </c>
      <c r="D1158" s="82">
        <v>84.35</v>
      </c>
    </row>
    <row r="1159" spans="1:4" x14ac:dyDescent="0.3">
      <c r="A1159" t="s">
        <v>26</v>
      </c>
      <c r="C1159" s="16">
        <v>46184</v>
      </c>
      <c r="D1159" s="82">
        <v>2237.77</v>
      </c>
    </row>
    <row r="1160" spans="1:4" x14ac:dyDescent="0.3">
      <c r="A1160" t="s">
        <v>27</v>
      </c>
      <c r="C1160" s="16">
        <v>46184</v>
      </c>
      <c r="D1160" s="82">
        <v>3349.94</v>
      </c>
    </row>
    <row r="1161" spans="1:4" x14ac:dyDescent="0.3">
      <c r="A1161" t="s">
        <v>28</v>
      </c>
      <c r="C1161" s="16">
        <v>46184</v>
      </c>
      <c r="D1161" s="82">
        <v>1968.99</v>
      </c>
    </row>
    <row r="1162" spans="1:4" x14ac:dyDescent="0.3">
      <c r="A1162" t="s">
        <v>29</v>
      </c>
      <c r="C1162" s="16">
        <v>46184</v>
      </c>
      <c r="D1162" s="82">
        <v>382.69000000000005</v>
      </c>
    </row>
    <row r="1163" spans="1:4" x14ac:dyDescent="0.3">
      <c r="A1163" t="s">
        <v>30</v>
      </c>
      <c r="C1163" s="16">
        <v>46184</v>
      </c>
      <c r="D1163" s="82">
        <v>1428.08</v>
      </c>
    </row>
    <row r="1164" spans="1:4" x14ac:dyDescent="0.3">
      <c r="A1164" t="s">
        <v>31</v>
      </c>
      <c r="C1164" s="16">
        <v>46184</v>
      </c>
      <c r="D1164" s="82">
        <v>25789.969999999961</v>
      </c>
    </row>
    <row r="1165" spans="1:4" x14ac:dyDescent="0.3">
      <c r="A1165" t="s">
        <v>32</v>
      </c>
      <c r="C1165" s="16">
        <v>46184</v>
      </c>
      <c r="D1165" s="82">
        <v>5321.4300000000021</v>
      </c>
    </row>
    <row r="1166" spans="1:4" x14ac:dyDescent="0.3">
      <c r="A1166" t="s">
        <v>33</v>
      </c>
      <c r="C1166" s="16">
        <v>46184</v>
      </c>
      <c r="D1166" s="82">
        <v>24743.98</v>
      </c>
    </row>
    <row r="1167" spans="1:4" x14ac:dyDescent="0.3">
      <c r="A1167" t="s">
        <v>34</v>
      </c>
      <c r="C1167" s="16">
        <v>46184</v>
      </c>
      <c r="D1167" s="82">
        <v>345</v>
      </c>
    </row>
    <row r="1168" spans="1:4" x14ac:dyDescent="0.3">
      <c r="A1168" t="s">
        <v>35</v>
      </c>
      <c r="C1168" s="16">
        <v>46184</v>
      </c>
      <c r="D1168" s="82">
        <v>54068.08</v>
      </c>
    </row>
    <row r="1169" spans="1:4" x14ac:dyDescent="0.3">
      <c r="A1169" t="s">
        <v>193</v>
      </c>
      <c r="C1169" s="16">
        <v>46184</v>
      </c>
      <c r="D1169" s="82">
        <v>0</v>
      </c>
    </row>
    <row r="1170" spans="1:4" x14ac:dyDescent="0.3">
      <c r="A1170" t="s">
        <v>214</v>
      </c>
      <c r="C1170" s="16">
        <v>46184</v>
      </c>
      <c r="D1170" s="82">
        <v>0</v>
      </c>
    </row>
    <row r="1171" spans="1:4" x14ac:dyDescent="0.3">
      <c r="A1171" t="s">
        <v>194</v>
      </c>
      <c r="C1171" s="16">
        <v>46184</v>
      </c>
      <c r="D1171" s="82">
        <v>0</v>
      </c>
    </row>
    <row r="1172" spans="1:4" x14ac:dyDescent="0.3">
      <c r="A1172" t="s">
        <v>195</v>
      </c>
      <c r="C1172" s="16">
        <v>46184</v>
      </c>
      <c r="D1172" s="82">
        <v>0</v>
      </c>
    </row>
    <row r="1173" spans="1:4" x14ac:dyDescent="0.3">
      <c r="A1173" t="s">
        <v>196</v>
      </c>
      <c r="C1173" s="16">
        <v>46184</v>
      </c>
      <c r="D1173" s="82">
        <v>0</v>
      </c>
    </row>
    <row r="1174" spans="1:4" x14ac:dyDescent="0.3">
      <c r="A1174" t="s">
        <v>197</v>
      </c>
      <c r="C1174" s="16">
        <v>46184</v>
      </c>
      <c r="D1174" s="82">
        <v>0</v>
      </c>
    </row>
    <row r="1175" spans="1:4" x14ac:dyDescent="0.3">
      <c r="A1175" t="s">
        <v>212</v>
      </c>
      <c r="C1175" s="16">
        <v>46184</v>
      </c>
      <c r="D1175" s="82">
        <v>0</v>
      </c>
    </row>
    <row r="1176" spans="1:4" x14ac:dyDescent="0.3">
      <c r="A1176" t="s">
        <v>199</v>
      </c>
      <c r="C1176" s="16">
        <v>46184</v>
      </c>
      <c r="D1176" s="82">
        <v>0</v>
      </c>
    </row>
    <row r="1177" spans="1:4" x14ac:dyDescent="0.3">
      <c r="A1177" t="s">
        <v>216</v>
      </c>
      <c r="C1177" s="16">
        <v>46184</v>
      </c>
      <c r="D1177" s="82">
        <v>0</v>
      </c>
    </row>
    <row r="1178" spans="1:4" x14ac:dyDescent="0.3">
      <c r="A1178" t="s">
        <v>17</v>
      </c>
      <c r="C1178" s="16">
        <v>46185</v>
      </c>
      <c r="D1178" s="82">
        <v>1837784.84</v>
      </c>
    </row>
    <row r="1179" spans="1:4" x14ac:dyDescent="0.3">
      <c r="A1179" t="s">
        <v>18</v>
      </c>
      <c r="C1179" s="16">
        <v>46185</v>
      </c>
      <c r="D1179" s="82">
        <v>69376.390000000174</v>
      </c>
    </row>
    <row r="1180" spans="1:4" x14ac:dyDescent="0.3">
      <c r="A1180" t="s">
        <v>19</v>
      </c>
      <c r="C1180" s="16">
        <v>46185</v>
      </c>
      <c r="D1180" s="82">
        <v>1669.89</v>
      </c>
    </row>
    <row r="1181" spans="1:4" x14ac:dyDescent="0.3">
      <c r="A1181" t="s">
        <v>20</v>
      </c>
      <c r="C1181" s="16">
        <v>46185</v>
      </c>
      <c r="D1181" s="82">
        <v>564626.20999999985</v>
      </c>
    </row>
    <row r="1182" spans="1:4" x14ac:dyDescent="0.3">
      <c r="A1182" t="s">
        <v>21</v>
      </c>
      <c r="C1182" s="16">
        <v>46185</v>
      </c>
      <c r="D1182" s="82">
        <v>3763348.8299999996</v>
      </c>
    </row>
    <row r="1183" spans="1:4" x14ac:dyDescent="0.3">
      <c r="A1183" t="s">
        <v>22</v>
      </c>
      <c r="C1183" s="16">
        <v>46185</v>
      </c>
      <c r="D1183" s="82">
        <v>116496.38</v>
      </c>
    </row>
    <row r="1184" spans="1:4" x14ac:dyDescent="0.3">
      <c r="A1184" t="s">
        <v>23</v>
      </c>
      <c r="C1184" s="16">
        <v>46185</v>
      </c>
      <c r="D1184" s="82">
        <v>20375.989999999998</v>
      </c>
    </row>
    <row r="1185" spans="1:4" x14ac:dyDescent="0.3">
      <c r="A1185" t="s">
        <v>24</v>
      </c>
      <c r="C1185" s="16">
        <v>46185</v>
      </c>
      <c r="D1185" s="82">
        <v>511.15999999999985</v>
      </c>
    </row>
    <row r="1186" spans="1:4" x14ac:dyDescent="0.3">
      <c r="A1186" t="s">
        <v>25</v>
      </c>
      <c r="C1186" s="16">
        <v>46185</v>
      </c>
      <c r="D1186" s="82">
        <v>84.35</v>
      </c>
    </row>
    <row r="1187" spans="1:4" x14ac:dyDescent="0.3">
      <c r="A1187" t="s">
        <v>26</v>
      </c>
      <c r="C1187" s="16">
        <v>46185</v>
      </c>
      <c r="D1187" s="82">
        <v>2237.77</v>
      </c>
    </row>
    <row r="1188" spans="1:4" x14ac:dyDescent="0.3">
      <c r="A1188" t="s">
        <v>27</v>
      </c>
      <c r="C1188" s="16">
        <v>46185</v>
      </c>
      <c r="D1188" s="82">
        <v>3349.94</v>
      </c>
    </row>
    <row r="1189" spans="1:4" x14ac:dyDescent="0.3">
      <c r="A1189" t="s">
        <v>28</v>
      </c>
      <c r="C1189" s="16">
        <v>46185</v>
      </c>
      <c r="D1189" s="82">
        <v>1968.99</v>
      </c>
    </row>
    <row r="1190" spans="1:4" x14ac:dyDescent="0.3">
      <c r="A1190" t="s">
        <v>29</v>
      </c>
      <c r="C1190" s="16">
        <v>46185</v>
      </c>
      <c r="D1190" s="82">
        <v>382.69000000000005</v>
      </c>
    </row>
    <row r="1191" spans="1:4" x14ac:dyDescent="0.3">
      <c r="A1191" t="s">
        <v>30</v>
      </c>
      <c r="C1191" s="16">
        <v>46185</v>
      </c>
      <c r="D1191" s="82">
        <v>1428.08</v>
      </c>
    </row>
    <row r="1192" spans="1:4" x14ac:dyDescent="0.3">
      <c r="A1192" t="s">
        <v>31</v>
      </c>
      <c r="C1192" s="16">
        <v>46185</v>
      </c>
      <c r="D1192" s="82">
        <v>27789.969999999961</v>
      </c>
    </row>
    <row r="1193" spans="1:4" x14ac:dyDescent="0.3">
      <c r="A1193" t="s">
        <v>32</v>
      </c>
      <c r="C1193" s="16">
        <v>46185</v>
      </c>
      <c r="D1193" s="82">
        <v>5321.4300000000021</v>
      </c>
    </row>
    <row r="1194" spans="1:4" x14ac:dyDescent="0.3">
      <c r="A1194" t="s">
        <v>33</v>
      </c>
      <c r="C1194" s="16">
        <v>46185</v>
      </c>
      <c r="D1194" s="82">
        <v>24484.85</v>
      </c>
    </row>
    <row r="1195" spans="1:4" x14ac:dyDescent="0.3">
      <c r="A1195" t="s">
        <v>34</v>
      </c>
      <c r="C1195" s="16">
        <v>46185</v>
      </c>
      <c r="D1195" s="82">
        <v>345</v>
      </c>
    </row>
    <row r="1196" spans="1:4" x14ac:dyDescent="0.3">
      <c r="A1196" t="s">
        <v>35</v>
      </c>
      <c r="C1196" s="16">
        <v>46185</v>
      </c>
      <c r="D1196" s="82">
        <v>54068.08</v>
      </c>
    </row>
    <row r="1197" spans="1:4" x14ac:dyDescent="0.3">
      <c r="A1197" t="s">
        <v>193</v>
      </c>
      <c r="C1197" s="16">
        <v>46185</v>
      </c>
      <c r="D1197" s="82">
        <v>0</v>
      </c>
    </row>
    <row r="1198" spans="1:4" x14ac:dyDescent="0.3">
      <c r="A1198" t="s">
        <v>214</v>
      </c>
      <c r="C1198" s="16">
        <v>46185</v>
      </c>
      <c r="D1198" s="82">
        <v>0</v>
      </c>
    </row>
    <row r="1199" spans="1:4" x14ac:dyDescent="0.3">
      <c r="A1199" t="s">
        <v>194</v>
      </c>
      <c r="C1199" s="16">
        <v>46185</v>
      </c>
      <c r="D1199" s="82">
        <v>0</v>
      </c>
    </row>
    <row r="1200" spans="1:4" x14ac:dyDescent="0.3">
      <c r="A1200" t="s">
        <v>195</v>
      </c>
      <c r="C1200" s="16">
        <v>46185</v>
      </c>
      <c r="D1200" s="82">
        <v>0</v>
      </c>
    </row>
    <row r="1201" spans="1:4" x14ac:dyDescent="0.3">
      <c r="A1201" t="s">
        <v>196</v>
      </c>
      <c r="C1201" s="16">
        <v>46185</v>
      </c>
      <c r="D1201" s="82">
        <v>0</v>
      </c>
    </row>
    <row r="1202" spans="1:4" x14ac:dyDescent="0.3">
      <c r="A1202" t="s">
        <v>197</v>
      </c>
      <c r="C1202" s="16">
        <v>46185</v>
      </c>
      <c r="D1202" s="82">
        <v>0</v>
      </c>
    </row>
    <row r="1203" spans="1:4" x14ac:dyDescent="0.3">
      <c r="A1203" t="s">
        <v>212</v>
      </c>
      <c r="C1203" s="16">
        <v>46185</v>
      </c>
      <c r="D1203" s="82">
        <v>0</v>
      </c>
    </row>
    <row r="1204" spans="1:4" x14ac:dyDescent="0.3">
      <c r="A1204" t="s">
        <v>199</v>
      </c>
      <c r="C1204" s="16">
        <v>46185</v>
      </c>
      <c r="D1204" s="82">
        <v>0</v>
      </c>
    </row>
    <row r="1205" spans="1:4" x14ac:dyDescent="0.3">
      <c r="A1205" t="s">
        <v>216</v>
      </c>
      <c r="C1205" s="16">
        <v>46185</v>
      </c>
      <c r="D1205" s="82">
        <v>0</v>
      </c>
    </row>
    <row r="1206" spans="1:4" x14ac:dyDescent="0.3">
      <c r="A1206" t="s">
        <v>17</v>
      </c>
      <c r="C1206" s="16">
        <v>46186</v>
      </c>
      <c r="D1206" s="82">
        <v>1837784.84</v>
      </c>
    </row>
    <row r="1207" spans="1:4" x14ac:dyDescent="0.3">
      <c r="A1207" t="s">
        <v>18</v>
      </c>
      <c r="C1207" s="16">
        <v>46186</v>
      </c>
      <c r="D1207" s="82">
        <v>69376.390000000174</v>
      </c>
    </row>
    <row r="1208" spans="1:4" x14ac:dyDescent="0.3">
      <c r="A1208" t="s">
        <v>19</v>
      </c>
      <c r="C1208" s="16">
        <v>46186</v>
      </c>
      <c r="D1208" s="82">
        <v>1669.89</v>
      </c>
    </row>
    <row r="1209" spans="1:4" x14ac:dyDescent="0.3">
      <c r="A1209" t="s">
        <v>20</v>
      </c>
      <c r="C1209" s="16">
        <v>46186</v>
      </c>
      <c r="D1209" s="82">
        <v>564626.20999999985</v>
      </c>
    </row>
    <row r="1210" spans="1:4" x14ac:dyDescent="0.3">
      <c r="A1210" t="s">
        <v>21</v>
      </c>
      <c r="C1210" s="16">
        <v>46186</v>
      </c>
      <c r="D1210" s="82">
        <v>3763348.8299999996</v>
      </c>
    </row>
    <row r="1211" spans="1:4" x14ac:dyDescent="0.3">
      <c r="A1211" t="s">
        <v>22</v>
      </c>
      <c r="C1211" s="16">
        <v>46186</v>
      </c>
      <c r="D1211" s="82">
        <v>116496.38</v>
      </c>
    </row>
    <row r="1212" spans="1:4" x14ac:dyDescent="0.3">
      <c r="A1212" t="s">
        <v>23</v>
      </c>
      <c r="C1212" s="16">
        <v>46186</v>
      </c>
      <c r="D1212" s="82">
        <v>20375.989999999998</v>
      </c>
    </row>
    <row r="1213" spans="1:4" x14ac:dyDescent="0.3">
      <c r="A1213" t="s">
        <v>24</v>
      </c>
      <c r="C1213" s="16">
        <v>46186</v>
      </c>
      <c r="D1213" s="82">
        <v>511.15999999999985</v>
      </c>
    </row>
    <row r="1214" spans="1:4" x14ac:dyDescent="0.3">
      <c r="A1214" t="s">
        <v>25</v>
      </c>
      <c r="C1214" s="16">
        <v>46186</v>
      </c>
      <c r="D1214" s="82">
        <v>84.35</v>
      </c>
    </row>
    <row r="1215" spans="1:4" x14ac:dyDescent="0.3">
      <c r="A1215" t="s">
        <v>26</v>
      </c>
      <c r="C1215" s="16">
        <v>46186</v>
      </c>
      <c r="D1215" s="82">
        <v>2237.77</v>
      </c>
    </row>
    <row r="1216" spans="1:4" x14ac:dyDescent="0.3">
      <c r="A1216" t="s">
        <v>27</v>
      </c>
      <c r="C1216" s="16">
        <v>46186</v>
      </c>
      <c r="D1216" s="82">
        <v>3349.94</v>
      </c>
    </row>
    <row r="1217" spans="1:4" x14ac:dyDescent="0.3">
      <c r="A1217" t="s">
        <v>28</v>
      </c>
      <c r="C1217" s="16">
        <v>46186</v>
      </c>
      <c r="D1217" s="82">
        <v>1968.99</v>
      </c>
    </row>
    <row r="1218" spans="1:4" x14ac:dyDescent="0.3">
      <c r="A1218" t="s">
        <v>29</v>
      </c>
      <c r="C1218" s="16">
        <v>46186</v>
      </c>
      <c r="D1218" s="82">
        <v>382.69000000000005</v>
      </c>
    </row>
    <row r="1219" spans="1:4" x14ac:dyDescent="0.3">
      <c r="A1219" t="s">
        <v>30</v>
      </c>
      <c r="C1219" s="16">
        <v>46186</v>
      </c>
      <c r="D1219" s="82">
        <v>1428.08</v>
      </c>
    </row>
    <row r="1220" spans="1:4" x14ac:dyDescent="0.3">
      <c r="A1220" t="s">
        <v>31</v>
      </c>
      <c r="C1220" s="16">
        <v>46186</v>
      </c>
      <c r="D1220" s="82">
        <v>27789.969999999961</v>
      </c>
    </row>
    <row r="1221" spans="1:4" x14ac:dyDescent="0.3">
      <c r="A1221" t="s">
        <v>32</v>
      </c>
      <c r="C1221" s="16">
        <v>46186</v>
      </c>
      <c r="D1221" s="82">
        <v>5321.4300000000021</v>
      </c>
    </row>
    <row r="1222" spans="1:4" x14ac:dyDescent="0.3">
      <c r="A1222" t="s">
        <v>33</v>
      </c>
      <c r="C1222" s="16">
        <v>46186</v>
      </c>
      <c r="D1222" s="82">
        <v>24484.85</v>
      </c>
    </row>
    <row r="1223" spans="1:4" x14ac:dyDescent="0.3">
      <c r="A1223" t="s">
        <v>34</v>
      </c>
      <c r="C1223" s="16">
        <v>46186</v>
      </c>
      <c r="D1223" s="82">
        <v>345</v>
      </c>
    </row>
    <row r="1224" spans="1:4" x14ac:dyDescent="0.3">
      <c r="A1224" t="s">
        <v>35</v>
      </c>
      <c r="C1224" s="16">
        <v>46186</v>
      </c>
      <c r="D1224" s="82">
        <v>54068.08</v>
      </c>
    </row>
    <row r="1225" spans="1:4" x14ac:dyDescent="0.3">
      <c r="A1225" t="s">
        <v>193</v>
      </c>
      <c r="C1225" s="16">
        <v>46186</v>
      </c>
      <c r="D1225" s="82">
        <v>0</v>
      </c>
    </row>
    <row r="1226" spans="1:4" x14ac:dyDescent="0.3">
      <c r="A1226" t="s">
        <v>214</v>
      </c>
      <c r="C1226" s="16">
        <v>46186</v>
      </c>
      <c r="D1226" s="82">
        <v>0</v>
      </c>
    </row>
    <row r="1227" spans="1:4" x14ac:dyDescent="0.3">
      <c r="A1227" t="s">
        <v>194</v>
      </c>
      <c r="C1227" s="16">
        <v>46186</v>
      </c>
      <c r="D1227" s="82">
        <v>0</v>
      </c>
    </row>
    <row r="1228" spans="1:4" x14ac:dyDescent="0.3">
      <c r="A1228" t="s">
        <v>195</v>
      </c>
      <c r="C1228" s="16">
        <v>46186</v>
      </c>
      <c r="D1228" s="82">
        <v>0</v>
      </c>
    </row>
    <row r="1229" spans="1:4" x14ac:dyDescent="0.3">
      <c r="A1229" t="s">
        <v>196</v>
      </c>
      <c r="C1229" s="16">
        <v>46186</v>
      </c>
      <c r="D1229" s="82">
        <v>0</v>
      </c>
    </row>
    <row r="1230" spans="1:4" x14ac:dyDescent="0.3">
      <c r="A1230" t="s">
        <v>197</v>
      </c>
      <c r="C1230" s="16">
        <v>46186</v>
      </c>
      <c r="D1230" s="82">
        <v>0</v>
      </c>
    </row>
    <row r="1231" spans="1:4" x14ac:dyDescent="0.3">
      <c r="A1231" t="s">
        <v>212</v>
      </c>
      <c r="C1231" s="16">
        <v>46186</v>
      </c>
      <c r="D1231" s="82">
        <v>0</v>
      </c>
    </row>
    <row r="1232" spans="1:4" x14ac:dyDescent="0.3">
      <c r="A1232" t="s">
        <v>199</v>
      </c>
      <c r="C1232" s="16">
        <v>46186</v>
      </c>
      <c r="D1232" s="82">
        <v>0</v>
      </c>
    </row>
    <row r="1233" spans="1:4" x14ac:dyDescent="0.3">
      <c r="A1233" t="s">
        <v>216</v>
      </c>
      <c r="C1233" s="16">
        <v>46186</v>
      </c>
      <c r="D1233" s="82">
        <v>0</v>
      </c>
    </row>
    <row r="1234" spans="1:4" x14ac:dyDescent="0.3">
      <c r="A1234" t="s">
        <v>17</v>
      </c>
      <c r="C1234" s="16">
        <v>46187</v>
      </c>
      <c r="D1234" s="82">
        <v>1837784.84</v>
      </c>
    </row>
    <row r="1235" spans="1:4" x14ac:dyDescent="0.3">
      <c r="A1235" t="s">
        <v>18</v>
      </c>
      <c r="C1235" s="16">
        <v>46187</v>
      </c>
      <c r="D1235" s="82">
        <v>69376.390000000174</v>
      </c>
    </row>
    <row r="1236" spans="1:4" x14ac:dyDescent="0.3">
      <c r="A1236" t="s">
        <v>19</v>
      </c>
      <c r="C1236" s="16">
        <v>46187</v>
      </c>
      <c r="D1236" s="82">
        <v>1669.89</v>
      </c>
    </row>
    <row r="1237" spans="1:4" x14ac:dyDescent="0.3">
      <c r="A1237" t="s">
        <v>20</v>
      </c>
      <c r="C1237" s="16">
        <v>46187</v>
      </c>
      <c r="D1237" s="82">
        <v>564626.20999999985</v>
      </c>
    </row>
    <row r="1238" spans="1:4" x14ac:dyDescent="0.3">
      <c r="A1238" t="s">
        <v>21</v>
      </c>
      <c r="C1238" s="16">
        <v>46187</v>
      </c>
      <c r="D1238" s="82">
        <v>3763348.8299999996</v>
      </c>
    </row>
    <row r="1239" spans="1:4" x14ac:dyDescent="0.3">
      <c r="A1239" t="s">
        <v>22</v>
      </c>
      <c r="C1239" s="16">
        <v>46187</v>
      </c>
      <c r="D1239" s="82">
        <v>116496.38</v>
      </c>
    </row>
    <row r="1240" spans="1:4" x14ac:dyDescent="0.3">
      <c r="A1240" t="s">
        <v>23</v>
      </c>
      <c r="C1240" s="16">
        <v>46187</v>
      </c>
      <c r="D1240" s="82">
        <v>20375.989999999998</v>
      </c>
    </row>
    <row r="1241" spans="1:4" x14ac:dyDescent="0.3">
      <c r="A1241" t="s">
        <v>24</v>
      </c>
      <c r="C1241" s="16">
        <v>46187</v>
      </c>
      <c r="D1241" s="82">
        <v>511.15999999999985</v>
      </c>
    </row>
    <row r="1242" spans="1:4" x14ac:dyDescent="0.3">
      <c r="A1242" t="s">
        <v>25</v>
      </c>
      <c r="C1242" s="16">
        <v>46187</v>
      </c>
      <c r="D1242" s="82">
        <v>84.35</v>
      </c>
    </row>
    <row r="1243" spans="1:4" x14ac:dyDescent="0.3">
      <c r="A1243" t="s">
        <v>26</v>
      </c>
      <c r="C1243" s="16">
        <v>46187</v>
      </c>
      <c r="D1243" s="82">
        <v>2237.77</v>
      </c>
    </row>
    <row r="1244" spans="1:4" x14ac:dyDescent="0.3">
      <c r="A1244" t="s">
        <v>27</v>
      </c>
      <c r="C1244" s="16">
        <v>46187</v>
      </c>
      <c r="D1244" s="82">
        <v>3349.94</v>
      </c>
    </row>
    <row r="1245" spans="1:4" x14ac:dyDescent="0.3">
      <c r="A1245" t="s">
        <v>28</v>
      </c>
      <c r="C1245" s="16">
        <v>46187</v>
      </c>
      <c r="D1245" s="82">
        <v>1968.99</v>
      </c>
    </row>
    <row r="1246" spans="1:4" x14ac:dyDescent="0.3">
      <c r="A1246" t="s">
        <v>29</v>
      </c>
      <c r="C1246" s="16">
        <v>46187</v>
      </c>
      <c r="D1246" s="82">
        <v>382.69000000000005</v>
      </c>
    </row>
    <row r="1247" spans="1:4" x14ac:dyDescent="0.3">
      <c r="A1247" t="s">
        <v>30</v>
      </c>
      <c r="C1247" s="16">
        <v>46187</v>
      </c>
      <c r="D1247" s="82">
        <v>1428.08</v>
      </c>
    </row>
    <row r="1248" spans="1:4" x14ac:dyDescent="0.3">
      <c r="A1248" t="s">
        <v>31</v>
      </c>
      <c r="C1248" s="16">
        <v>46187</v>
      </c>
      <c r="D1248" s="82">
        <v>27789.969999999961</v>
      </c>
    </row>
    <row r="1249" spans="1:4" x14ac:dyDescent="0.3">
      <c r="A1249" t="s">
        <v>32</v>
      </c>
      <c r="C1249" s="16">
        <v>46187</v>
      </c>
      <c r="D1249" s="82">
        <v>5321.4300000000021</v>
      </c>
    </row>
    <row r="1250" spans="1:4" x14ac:dyDescent="0.3">
      <c r="A1250" t="s">
        <v>33</v>
      </c>
      <c r="C1250" s="16">
        <v>46187</v>
      </c>
      <c r="D1250" s="82">
        <v>24484.85</v>
      </c>
    </row>
    <row r="1251" spans="1:4" x14ac:dyDescent="0.3">
      <c r="A1251" t="s">
        <v>34</v>
      </c>
      <c r="C1251" s="16">
        <v>46187</v>
      </c>
      <c r="D1251" s="82">
        <v>345</v>
      </c>
    </row>
    <row r="1252" spans="1:4" x14ac:dyDescent="0.3">
      <c r="A1252" t="s">
        <v>35</v>
      </c>
      <c r="C1252" s="16">
        <v>46187</v>
      </c>
      <c r="D1252" s="82">
        <v>54068.08</v>
      </c>
    </row>
    <row r="1253" spans="1:4" x14ac:dyDescent="0.3">
      <c r="A1253" t="s">
        <v>193</v>
      </c>
      <c r="C1253" s="16">
        <v>46187</v>
      </c>
      <c r="D1253" s="82">
        <v>0</v>
      </c>
    </row>
    <row r="1254" spans="1:4" x14ac:dyDescent="0.3">
      <c r="A1254" t="s">
        <v>214</v>
      </c>
      <c r="C1254" s="16">
        <v>46187</v>
      </c>
      <c r="D1254" s="82">
        <v>0</v>
      </c>
    </row>
    <row r="1255" spans="1:4" x14ac:dyDescent="0.3">
      <c r="A1255" t="s">
        <v>194</v>
      </c>
      <c r="C1255" s="16">
        <v>46187</v>
      </c>
      <c r="D1255" s="82">
        <v>0</v>
      </c>
    </row>
    <row r="1256" spans="1:4" x14ac:dyDescent="0.3">
      <c r="A1256" t="s">
        <v>195</v>
      </c>
      <c r="C1256" s="16">
        <v>46187</v>
      </c>
      <c r="D1256" s="82">
        <v>0</v>
      </c>
    </row>
    <row r="1257" spans="1:4" x14ac:dyDescent="0.3">
      <c r="A1257" t="s">
        <v>196</v>
      </c>
      <c r="C1257" s="16">
        <v>46187</v>
      </c>
      <c r="D1257" s="82">
        <v>0</v>
      </c>
    </row>
    <row r="1258" spans="1:4" x14ac:dyDescent="0.3">
      <c r="A1258" t="s">
        <v>197</v>
      </c>
      <c r="C1258" s="16">
        <v>46187</v>
      </c>
      <c r="D1258" s="82">
        <v>0</v>
      </c>
    </row>
    <row r="1259" spans="1:4" x14ac:dyDescent="0.3">
      <c r="A1259" t="s">
        <v>212</v>
      </c>
      <c r="C1259" s="16">
        <v>46187</v>
      </c>
      <c r="D1259" s="82">
        <v>0</v>
      </c>
    </row>
    <row r="1260" spans="1:4" x14ac:dyDescent="0.3">
      <c r="A1260" t="s">
        <v>199</v>
      </c>
      <c r="C1260" s="16">
        <v>46187</v>
      </c>
      <c r="D1260" s="82">
        <v>0</v>
      </c>
    </row>
    <row r="1261" spans="1:4" x14ac:dyDescent="0.3">
      <c r="A1261" t="s">
        <v>216</v>
      </c>
      <c r="C1261" s="16">
        <v>46187</v>
      </c>
      <c r="D1261" s="82">
        <v>0</v>
      </c>
    </row>
    <row r="1262" spans="1:4" x14ac:dyDescent="0.3">
      <c r="A1262" t="s">
        <v>17</v>
      </c>
      <c r="C1262" s="16">
        <v>46188</v>
      </c>
      <c r="D1262" s="82">
        <v>985975.94000000029</v>
      </c>
    </row>
    <row r="1263" spans="1:4" x14ac:dyDescent="0.3">
      <c r="A1263" t="s">
        <v>18</v>
      </c>
      <c r="C1263" s="16">
        <v>46188</v>
      </c>
      <c r="D1263" s="82">
        <v>69376.390000000174</v>
      </c>
    </row>
    <row r="1264" spans="1:4" x14ac:dyDescent="0.3">
      <c r="A1264" t="s">
        <v>19</v>
      </c>
      <c r="C1264" s="16">
        <v>46188</v>
      </c>
      <c r="D1264" s="82">
        <v>1669.89</v>
      </c>
    </row>
    <row r="1265" spans="1:4" x14ac:dyDescent="0.3">
      <c r="A1265" t="s">
        <v>20</v>
      </c>
      <c r="C1265" s="16">
        <v>46188</v>
      </c>
      <c r="D1265" s="82">
        <v>503904.80999999982</v>
      </c>
    </row>
    <row r="1266" spans="1:4" x14ac:dyDescent="0.3">
      <c r="A1266" t="s">
        <v>21</v>
      </c>
      <c r="C1266" s="16">
        <v>46188</v>
      </c>
      <c r="D1266" s="82">
        <v>3331737.2399999998</v>
      </c>
    </row>
    <row r="1267" spans="1:4" x14ac:dyDescent="0.3">
      <c r="A1267" t="s">
        <v>22</v>
      </c>
      <c r="C1267" s="16">
        <v>46188</v>
      </c>
      <c r="D1267" s="82">
        <v>116496.38</v>
      </c>
    </row>
    <row r="1268" spans="1:4" x14ac:dyDescent="0.3">
      <c r="A1268" t="s">
        <v>23</v>
      </c>
      <c r="C1268" s="16">
        <v>46188</v>
      </c>
      <c r="D1268" s="82">
        <v>20375.989999999998</v>
      </c>
    </row>
    <row r="1269" spans="1:4" x14ac:dyDescent="0.3">
      <c r="A1269" t="s">
        <v>24</v>
      </c>
      <c r="C1269" s="16">
        <v>46188</v>
      </c>
      <c r="D1269" s="82">
        <v>511.15999999999985</v>
      </c>
    </row>
    <row r="1270" spans="1:4" x14ac:dyDescent="0.3">
      <c r="A1270" t="s">
        <v>25</v>
      </c>
      <c r="C1270" s="16">
        <v>46188</v>
      </c>
      <c r="D1270" s="82">
        <v>84.35</v>
      </c>
    </row>
    <row r="1271" spans="1:4" x14ac:dyDescent="0.3">
      <c r="A1271" t="s">
        <v>26</v>
      </c>
      <c r="C1271" s="16">
        <v>46188</v>
      </c>
      <c r="D1271" s="82">
        <v>2237.77</v>
      </c>
    </row>
    <row r="1272" spans="1:4" x14ac:dyDescent="0.3">
      <c r="A1272" t="s">
        <v>27</v>
      </c>
      <c r="C1272" s="16">
        <v>46188</v>
      </c>
      <c r="D1272" s="82">
        <v>3349.94</v>
      </c>
    </row>
    <row r="1273" spans="1:4" x14ac:dyDescent="0.3">
      <c r="A1273" t="s">
        <v>28</v>
      </c>
      <c r="C1273" s="16">
        <v>46188</v>
      </c>
      <c r="D1273" s="82">
        <v>1968.99</v>
      </c>
    </row>
    <row r="1274" spans="1:4" x14ac:dyDescent="0.3">
      <c r="A1274" t="s">
        <v>29</v>
      </c>
      <c r="C1274" s="16">
        <v>46188</v>
      </c>
      <c r="D1274" s="82">
        <v>382.69000000000005</v>
      </c>
    </row>
    <row r="1275" spans="1:4" x14ac:dyDescent="0.3">
      <c r="A1275" t="s">
        <v>30</v>
      </c>
      <c r="C1275" s="16">
        <v>46188</v>
      </c>
      <c r="D1275" s="82">
        <v>1428.08</v>
      </c>
    </row>
    <row r="1276" spans="1:4" x14ac:dyDescent="0.3">
      <c r="A1276" t="s">
        <v>31</v>
      </c>
      <c r="C1276" s="16">
        <v>46188</v>
      </c>
      <c r="D1276" s="82">
        <v>29789.969999999961</v>
      </c>
    </row>
    <row r="1277" spans="1:4" x14ac:dyDescent="0.3">
      <c r="A1277" t="s">
        <v>32</v>
      </c>
      <c r="C1277" s="16">
        <v>46188</v>
      </c>
      <c r="D1277" s="82">
        <v>5321.4300000000021</v>
      </c>
    </row>
    <row r="1278" spans="1:4" x14ac:dyDescent="0.3">
      <c r="A1278" t="s">
        <v>33</v>
      </c>
      <c r="C1278" s="16">
        <v>46188</v>
      </c>
      <c r="D1278" s="82">
        <v>20484.849999999999</v>
      </c>
    </row>
    <row r="1279" spans="1:4" x14ac:dyDescent="0.3">
      <c r="A1279" t="s">
        <v>34</v>
      </c>
      <c r="C1279" s="16">
        <v>46188</v>
      </c>
      <c r="D1279" s="82">
        <v>345</v>
      </c>
    </row>
    <row r="1280" spans="1:4" x14ac:dyDescent="0.3">
      <c r="A1280" t="s">
        <v>35</v>
      </c>
      <c r="C1280" s="16">
        <v>46188</v>
      </c>
      <c r="D1280" s="82">
        <v>54018.080000000002</v>
      </c>
    </row>
    <row r="1281" spans="1:4" x14ac:dyDescent="0.3">
      <c r="A1281" t="s">
        <v>193</v>
      </c>
      <c r="C1281" s="16">
        <v>46188</v>
      </c>
      <c r="D1281" s="82">
        <v>0</v>
      </c>
    </row>
    <row r="1282" spans="1:4" x14ac:dyDescent="0.3">
      <c r="A1282" t="s">
        <v>214</v>
      </c>
      <c r="C1282" s="16">
        <v>46188</v>
      </c>
      <c r="D1282" s="82">
        <v>0</v>
      </c>
    </row>
    <row r="1283" spans="1:4" x14ac:dyDescent="0.3">
      <c r="A1283" t="s">
        <v>194</v>
      </c>
      <c r="C1283" s="16">
        <v>46188</v>
      </c>
      <c r="D1283" s="82">
        <v>0</v>
      </c>
    </row>
    <row r="1284" spans="1:4" x14ac:dyDescent="0.3">
      <c r="A1284" t="s">
        <v>195</v>
      </c>
      <c r="C1284" s="16">
        <v>46188</v>
      </c>
      <c r="D1284" s="82">
        <v>0</v>
      </c>
    </row>
    <row r="1285" spans="1:4" x14ac:dyDescent="0.3">
      <c r="A1285" t="s">
        <v>196</v>
      </c>
      <c r="C1285" s="16">
        <v>46188</v>
      </c>
      <c r="D1285" s="82">
        <v>0</v>
      </c>
    </row>
    <row r="1286" spans="1:4" x14ac:dyDescent="0.3">
      <c r="A1286" t="s">
        <v>197</v>
      </c>
      <c r="C1286" s="16">
        <v>46188</v>
      </c>
      <c r="D1286" s="82">
        <v>0</v>
      </c>
    </row>
    <row r="1287" spans="1:4" x14ac:dyDescent="0.3">
      <c r="A1287" t="s">
        <v>212</v>
      </c>
      <c r="C1287" s="16">
        <v>46188</v>
      </c>
      <c r="D1287" s="82">
        <v>0</v>
      </c>
    </row>
    <row r="1288" spans="1:4" x14ac:dyDescent="0.3">
      <c r="A1288" t="s">
        <v>199</v>
      </c>
      <c r="C1288" s="16">
        <v>46188</v>
      </c>
      <c r="D1288" s="82">
        <v>0</v>
      </c>
    </row>
    <row r="1289" spans="1:4" x14ac:dyDescent="0.3">
      <c r="A1289" t="s">
        <v>216</v>
      </c>
      <c r="C1289" s="16">
        <v>46188</v>
      </c>
      <c r="D1289" s="82">
        <v>0</v>
      </c>
    </row>
    <row r="1290" spans="1:4" x14ac:dyDescent="0.3">
      <c r="A1290" t="s">
        <v>17</v>
      </c>
      <c r="C1290" s="16">
        <v>46189</v>
      </c>
      <c r="D1290" s="82">
        <v>1086358.7500000002</v>
      </c>
    </row>
    <row r="1291" spans="1:4" x14ac:dyDescent="0.3">
      <c r="A1291" t="s">
        <v>18</v>
      </c>
      <c r="C1291" s="16">
        <v>46189</v>
      </c>
      <c r="D1291" s="82">
        <v>69376.390000000174</v>
      </c>
    </row>
    <row r="1292" spans="1:4" x14ac:dyDescent="0.3">
      <c r="A1292" t="s">
        <v>19</v>
      </c>
      <c r="C1292" s="16">
        <v>46189</v>
      </c>
      <c r="D1292" s="82">
        <v>1669.89</v>
      </c>
    </row>
    <row r="1293" spans="1:4" x14ac:dyDescent="0.3">
      <c r="A1293" t="s">
        <v>20</v>
      </c>
      <c r="C1293" s="16">
        <v>46189</v>
      </c>
      <c r="D1293" s="82">
        <v>503904.80999999982</v>
      </c>
    </row>
    <row r="1294" spans="1:4" x14ac:dyDescent="0.3">
      <c r="A1294" t="s">
        <v>21</v>
      </c>
      <c r="C1294" s="16">
        <v>46189</v>
      </c>
      <c r="D1294" s="82">
        <v>3329246.88</v>
      </c>
    </row>
    <row r="1295" spans="1:4" x14ac:dyDescent="0.3">
      <c r="A1295" t="s">
        <v>22</v>
      </c>
      <c r="C1295" s="16">
        <v>46189</v>
      </c>
      <c r="D1295" s="82">
        <v>116496.38</v>
      </c>
    </row>
    <row r="1296" spans="1:4" x14ac:dyDescent="0.3">
      <c r="A1296" t="s">
        <v>23</v>
      </c>
      <c r="C1296" s="16">
        <v>46189</v>
      </c>
      <c r="D1296" s="82">
        <v>20375.989999999998</v>
      </c>
    </row>
    <row r="1297" spans="1:4" x14ac:dyDescent="0.3">
      <c r="A1297" t="s">
        <v>24</v>
      </c>
      <c r="C1297" s="16">
        <v>46189</v>
      </c>
      <c r="D1297" s="82">
        <v>511.15999999999985</v>
      </c>
    </row>
    <row r="1298" spans="1:4" x14ac:dyDescent="0.3">
      <c r="A1298" t="s">
        <v>25</v>
      </c>
      <c r="C1298" s="16">
        <v>46189</v>
      </c>
      <c r="D1298" s="82">
        <v>84.35</v>
      </c>
    </row>
    <row r="1299" spans="1:4" x14ac:dyDescent="0.3">
      <c r="A1299" t="s">
        <v>26</v>
      </c>
      <c r="C1299" s="16">
        <v>46189</v>
      </c>
      <c r="D1299" s="82">
        <v>2237.77</v>
      </c>
    </row>
    <row r="1300" spans="1:4" x14ac:dyDescent="0.3">
      <c r="A1300" t="s">
        <v>27</v>
      </c>
      <c r="C1300" s="16">
        <v>46189</v>
      </c>
      <c r="D1300" s="82">
        <v>3349.94</v>
      </c>
    </row>
    <row r="1301" spans="1:4" x14ac:dyDescent="0.3">
      <c r="A1301" t="s">
        <v>28</v>
      </c>
      <c r="C1301" s="16">
        <v>46189</v>
      </c>
      <c r="D1301" s="82">
        <v>1968.99</v>
      </c>
    </row>
    <row r="1302" spans="1:4" x14ac:dyDescent="0.3">
      <c r="A1302" t="s">
        <v>29</v>
      </c>
      <c r="C1302" s="16">
        <v>46189</v>
      </c>
      <c r="D1302" s="82">
        <v>382.69000000000005</v>
      </c>
    </row>
    <row r="1303" spans="1:4" x14ac:dyDescent="0.3">
      <c r="A1303" t="s">
        <v>30</v>
      </c>
      <c r="C1303" s="16">
        <v>46189</v>
      </c>
      <c r="D1303" s="82">
        <v>1428.08</v>
      </c>
    </row>
    <row r="1304" spans="1:4" x14ac:dyDescent="0.3">
      <c r="A1304" t="s">
        <v>31</v>
      </c>
      <c r="C1304" s="16">
        <v>46189</v>
      </c>
      <c r="D1304" s="82">
        <v>29789.969999999961</v>
      </c>
    </row>
    <row r="1305" spans="1:4" x14ac:dyDescent="0.3">
      <c r="A1305" t="s">
        <v>32</v>
      </c>
      <c r="C1305" s="16">
        <v>46189</v>
      </c>
      <c r="D1305" s="82">
        <v>20321.43</v>
      </c>
    </row>
    <row r="1306" spans="1:4" x14ac:dyDescent="0.3">
      <c r="A1306" t="s">
        <v>33</v>
      </c>
      <c r="C1306" s="16">
        <v>46189</v>
      </c>
      <c r="D1306" s="82">
        <v>19811.349999999999</v>
      </c>
    </row>
    <row r="1307" spans="1:4" x14ac:dyDescent="0.3">
      <c r="A1307" t="s">
        <v>34</v>
      </c>
      <c r="C1307" s="16">
        <v>46189</v>
      </c>
      <c r="D1307" s="82">
        <v>345</v>
      </c>
    </row>
    <row r="1308" spans="1:4" x14ac:dyDescent="0.3">
      <c r="A1308" t="s">
        <v>35</v>
      </c>
      <c r="C1308" s="16">
        <v>46189</v>
      </c>
      <c r="D1308" s="82">
        <v>51334.36</v>
      </c>
    </row>
    <row r="1309" spans="1:4" x14ac:dyDescent="0.3">
      <c r="A1309" t="s">
        <v>193</v>
      </c>
      <c r="C1309" s="16">
        <v>46189</v>
      </c>
      <c r="D1309" s="82">
        <v>0</v>
      </c>
    </row>
    <row r="1310" spans="1:4" x14ac:dyDescent="0.3">
      <c r="A1310" t="s">
        <v>214</v>
      </c>
      <c r="C1310" s="16">
        <v>46189</v>
      </c>
      <c r="D1310" s="82">
        <v>0</v>
      </c>
    </row>
    <row r="1311" spans="1:4" x14ac:dyDescent="0.3">
      <c r="A1311" t="s">
        <v>194</v>
      </c>
      <c r="C1311" s="16">
        <v>46189</v>
      </c>
      <c r="D1311" s="82">
        <v>0</v>
      </c>
    </row>
    <row r="1312" spans="1:4" x14ac:dyDescent="0.3">
      <c r="A1312" t="s">
        <v>195</v>
      </c>
      <c r="C1312" s="16">
        <v>46189</v>
      </c>
      <c r="D1312" s="82">
        <v>0</v>
      </c>
    </row>
    <row r="1313" spans="1:4" x14ac:dyDescent="0.3">
      <c r="A1313" t="s">
        <v>196</v>
      </c>
      <c r="C1313" s="16">
        <v>46189</v>
      </c>
      <c r="D1313" s="82">
        <v>0</v>
      </c>
    </row>
    <row r="1314" spans="1:4" x14ac:dyDescent="0.3">
      <c r="A1314" t="s">
        <v>197</v>
      </c>
      <c r="C1314" s="16">
        <v>46189</v>
      </c>
      <c r="D1314" s="82">
        <v>0</v>
      </c>
    </row>
    <row r="1315" spans="1:4" x14ac:dyDescent="0.3">
      <c r="A1315" t="s">
        <v>212</v>
      </c>
      <c r="C1315" s="16">
        <v>46189</v>
      </c>
      <c r="D1315" s="82">
        <v>0</v>
      </c>
    </row>
    <row r="1316" spans="1:4" x14ac:dyDescent="0.3">
      <c r="A1316" t="s">
        <v>199</v>
      </c>
      <c r="C1316" s="16">
        <v>46189</v>
      </c>
      <c r="D1316" s="82">
        <v>0</v>
      </c>
    </row>
    <row r="1317" spans="1:4" x14ac:dyDescent="0.3">
      <c r="A1317" t="s">
        <v>216</v>
      </c>
      <c r="C1317" s="16">
        <v>46189</v>
      </c>
      <c r="D1317" s="82">
        <v>0</v>
      </c>
    </row>
    <row r="1318" spans="1:4" x14ac:dyDescent="0.3">
      <c r="A1318" t="s">
        <v>17</v>
      </c>
      <c r="C1318" s="16">
        <v>46190</v>
      </c>
      <c r="D1318" s="82">
        <v>1098358.7500000002</v>
      </c>
    </row>
    <row r="1319" spans="1:4" x14ac:dyDescent="0.3">
      <c r="A1319" t="s">
        <v>18</v>
      </c>
      <c r="C1319" s="16">
        <v>46190</v>
      </c>
      <c r="D1319" s="82">
        <v>69376.390000000174</v>
      </c>
    </row>
    <row r="1320" spans="1:4" x14ac:dyDescent="0.3">
      <c r="A1320" t="s">
        <v>19</v>
      </c>
      <c r="C1320" s="16">
        <v>46190</v>
      </c>
      <c r="D1320" s="82">
        <v>1669.89</v>
      </c>
    </row>
    <row r="1321" spans="1:4" x14ac:dyDescent="0.3">
      <c r="A1321" t="s">
        <v>20</v>
      </c>
      <c r="C1321" s="16">
        <v>46190</v>
      </c>
      <c r="D1321" s="82">
        <v>503904.80999999982</v>
      </c>
    </row>
    <row r="1322" spans="1:4" x14ac:dyDescent="0.3">
      <c r="A1322" t="s">
        <v>21</v>
      </c>
      <c r="C1322" s="16">
        <v>46190</v>
      </c>
      <c r="D1322" s="82">
        <v>3326863.3899999997</v>
      </c>
    </row>
    <row r="1323" spans="1:4" x14ac:dyDescent="0.3">
      <c r="A1323" t="s">
        <v>22</v>
      </c>
      <c r="C1323" s="16">
        <v>46190</v>
      </c>
      <c r="D1323" s="82">
        <v>116496.38</v>
      </c>
    </row>
    <row r="1324" spans="1:4" x14ac:dyDescent="0.3">
      <c r="A1324" t="s">
        <v>23</v>
      </c>
      <c r="C1324" s="16">
        <v>46190</v>
      </c>
      <c r="D1324" s="82">
        <v>20375.989999999998</v>
      </c>
    </row>
    <row r="1325" spans="1:4" x14ac:dyDescent="0.3">
      <c r="A1325" t="s">
        <v>24</v>
      </c>
      <c r="C1325" s="16">
        <v>46190</v>
      </c>
      <c r="D1325" s="82">
        <v>511.15999999999985</v>
      </c>
    </row>
    <row r="1326" spans="1:4" x14ac:dyDescent="0.3">
      <c r="A1326" t="s">
        <v>25</v>
      </c>
      <c r="C1326" s="16">
        <v>46190</v>
      </c>
      <c r="D1326" s="82">
        <v>84.35</v>
      </c>
    </row>
    <row r="1327" spans="1:4" x14ac:dyDescent="0.3">
      <c r="A1327" t="s">
        <v>26</v>
      </c>
      <c r="C1327" s="16">
        <v>46190</v>
      </c>
      <c r="D1327" s="82">
        <v>2237.77</v>
      </c>
    </row>
    <row r="1328" spans="1:4" x14ac:dyDescent="0.3">
      <c r="A1328" t="s">
        <v>27</v>
      </c>
      <c r="C1328" s="16">
        <v>46190</v>
      </c>
      <c r="D1328" s="82">
        <v>3349.94</v>
      </c>
    </row>
    <row r="1329" spans="1:4" x14ac:dyDescent="0.3">
      <c r="A1329" t="s">
        <v>28</v>
      </c>
      <c r="C1329" s="16">
        <v>46190</v>
      </c>
      <c r="D1329" s="82">
        <v>1968.99</v>
      </c>
    </row>
    <row r="1330" spans="1:4" x14ac:dyDescent="0.3">
      <c r="A1330" t="s">
        <v>29</v>
      </c>
      <c r="C1330" s="16">
        <v>46190</v>
      </c>
      <c r="D1330" s="82">
        <v>382.69000000000005</v>
      </c>
    </row>
    <row r="1331" spans="1:4" x14ac:dyDescent="0.3">
      <c r="A1331" t="s">
        <v>30</v>
      </c>
      <c r="C1331" s="16">
        <v>46190</v>
      </c>
      <c r="D1331" s="82">
        <v>1428.08</v>
      </c>
    </row>
    <row r="1332" spans="1:4" x14ac:dyDescent="0.3">
      <c r="A1332" t="s">
        <v>31</v>
      </c>
      <c r="C1332" s="16">
        <v>46190</v>
      </c>
      <c r="D1332" s="82">
        <v>29789.969999999961</v>
      </c>
    </row>
    <row r="1333" spans="1:4" x14ac:dyDescent="0.3">
      <c r="A1333" t="s">
        <v>32</v>
      </c>
      <c r="C1333" s="16">
        <v>46190</v>
      </c>
      <c r="D1333" s="82">
        <v>20321.43</v>
      </c>
    </row>
    <row r="1334" spans="1:4" x14ac:dyDescent="0.3">
      <c r="A1334" t="s">
        <v>33</v>
      </c>
      <c r="C1334" s="16">
        <v>46190</v>
      </c>
      <c r="D1334" s="82">
        <v>16681.349999999999</v>
      </c>
    </row>
    <row r="1335" spans="1:4" x14ac:dyDescent="0.3">
      <c r="A1335" t="s">
        <v>34</v>
      </c>
      <c r="C1335" s="16">
        <v>46190</v>
      </c>
      <c r="D1335" s="82">
        <v>345</v>
      </c>
    </row>
    <row r="1336" spans="1:4" x14ac:dyDescent="0.3">
      <c r="A1336" t="s">
        <v>35</v>
      </c>
      <c r="C1336" s="16">
        <v>46190</v>
      </c>
      <c r="D1336" s="82">
        <v>50334.36</v>
      </c>
    </row>
    <row r="1337" spans="1:4" x14ac:dyDescent="0.3">
      <c r="A1337" t="s">
        <v>193</v>
      </c>
      <c r="C1337" s="16">
        <v>46190</v>
      </c>
      <c r="D1337" s="82">
        <v>0</v>
      </c>
    </row>
    <row r="1338" spans="1:4" x14ac:dyDescent="0.3">
      <c r="A1338" t="s">
        <v>214</v>
      </c>
      <c r="C1338" s="16">
        <v>46190</v>
      </c>
      <c r="D1338" s="82">
        <v>0</v>
      </c>
    </row>
    <row r="1339" spans="1:4" x14ac:dyDescent="0.3">
      <c r="A1339" t="s">
        <v>194</v>
      </c>
      <c r="C1339" s="16">
        <v>46190</v>
      </c>
      <c r="D1339" s="82">
        <v>0</v>
      </c>
    </row>
    <row r="1340" spans="1:4" x14ac:dyDescent="0.3">
      <c r="A1340" t="s">
        <v>195</v>
      </c>
      <c r="C1340" s="16">
        <v>46190</v>
      </c>
      <c r="D1340" s="82">
        <v>0</v>
      </c>
    </row>
    <row r="1341" spans="1:4" x14ac:dyDescent="0.3">
      <c r="A1341" t="s">
        <v>196</v>
      </c>
      <c r="C1341" s="16">
        <v>46190</v>
      </c>
      <c r="D1341" s="82">
        <v>0</v>
      </c>
    </row>
    <row r="1342" spans="1:4" x14ac:dyDescent="0.3">
      <c r="A1342" t="s">
        <v>197</v>
      </c>
      <c r="C1342" s="16">
        <v>46190</v>
      </c>
      <c r="D1342" s="82">
        <v>0</v>
      </c>
    </row>
    <row r="1343" spans="1:4" x14ac:dyDescent="0.3">
      <c r="A1343" t="s">
        <v>212</v>
      </c>
      <c r="C1343" s="16">
        <v>46190</v>
      </c>
      <c r="D1343" s="82">
        <v>0</v>
      </c>
    </row>
    <row r="1344" spans="1:4" x14ac:dyDescent="0.3">
      <c r="A1344" t="s">
        <v>199</v>
      </c>
      <c r="C1344" s="16">
        <v>46190</v>
      </c>
      <c r="D1344" s="82">
        <v>0</v>
      </c>
    </row>
    <row r="1345" spans="1:4" x14ac:dyDescent="0.3">
      <c r="A1345" t="s">
        <v>216</v>
      </c>
      <c r="C1345" s="16">
        <v>46190</v>
      </c>
      <c r="D1345" s="82">
        <v>0</v>
      </c>
    </row>
    <row r="1346" spans="1:4" x14ac:dyDescent="0.3">
      <c r="A1346" t="s">
        <v>17</v>
      </c>
      <c r="C1346" s="16">
        <v>46191</v>
      </c>
      <c r="D1346" s="82">
        <v>1098358.7500000002</v>
      </c>
    </row>
    <row r="1347" spans="1:4" x14ac:dyDescent="0.3">
      <c r="A1347" t="s">
        <v>18</v>
      </c>
      <c r="C1347" s="16">
        <v>46191</v>
      </c>
      <c r="D1347" s="82">
        <v>69376.390000000174</v>
      </c>
    </row>
    <row r="1348" spans="1:4" x14ac:dyDescent="0.3">
      <c r="A1348" t="s">
        <v>19</v>
      </c>
      <c r="C1348" s="16">
        <v>46191</v>
      </c>
      <c r="D1348" s="82">
        <v>1669.89</v>
      </c>
    </row>
    <row r="1349" spans="1:4" x14ac:dyDescent="0.3">
      <c r="A1349" t="s">
        <v>20</v>
      </c>
      <c r="C1349" s="16">
        <v>46191</v>
      </c>
      <c r="D1349" s="82">
        <v>503904.80999999982</v>
      </c>
    </row>
    <row r="1350" spans="1:4" x14ac:dyDescent="0.3">
      <c r="A1350" t="s">
        <v>21</v>
      </c>
      <c r="C1350" s="16">
        <v>46191</v>
      </c>
      <c r="D1350" s="82">
        <v>3326696.7299999995</v>
      </c>
    </row>
    <row r="1351" spans="1:4" x14ac:dyDescent="0.3">
      <c r="A1351" t="s">
        <v>22</v>
      </c>
      <c r="C1351" s="16">
        <v>46191</v>
      </c>
      <c r="D1351" s="82">
        <v>116496.38</v>
      </c>
    </row>
    <row r="1352" spans="1:4" x14ac:dyDescent="0.3">
      <c r="A1352" t="s">
        <v>23</v>
      </c>
      <c r="C1352" s="16">
        <v>46191</v>
      </c>
      <c r="D1352" s="82">
        <v>20375.989999999998</v>
      </c>
    </row>
    <row r="1353" spans="1:4" x14ac:dyDescent="0.3">
      <c r="A1353" t="s">
        <v>24</v>
      </c>
      <c r="C1353" s="16">
        <v>46191</v>
      </c>
      <c r="D1353" s="82">
        <v>511.15999999999985</v>
      </c>
    </row>
    <row r="1354" spans="1:4" x14ac:dyDescent="0.3">
      <c r="A1354" t="s">
        <v>25</v>
      </c>
      <c r="C1354" s="16">
        <v>46191</v>
      </c>
      <c r="D1354" s="82">
        <v>84.35</v>
      </c>
    </row>
    <row r="1355" spans="1:4" x14ac:dyDescent="0.3">
      <c r="A1355" t="s">
        <v>26</v>
      </c>
      <c r="C1355" s="16">
        <v>46191</v>
      </c>
      <c r="D1355" s="82">
        <v>2237.77</v>
      </c>
    </row>
    <row r="1356" spans="1:4" x14ac:dyDescent="0.3">
      <c r="A1356" t="s">
        <v>27</v>
      </c>
      <c r="C1356" s="16">
        <v>46191</v>
      </c>
      <c r="D1356" s="82">
        <v>3349.94</v>
      </c>
    </row>
    <row r="1357" spans="1:4" x14ac:dyDescent="0.3">
      <c r="A1357" t="s">
        <v>28</v>
      </c>
      <c r="C1357" s="16">
        <v>46191</v>
      </c>
      <c r="D1357" s="82">
        <v>1968.99</v>
      </c>
    </row>
    <row r="1358" spans="1:4" x14ac:dyDescent="0.3">
      <c r="A1358" t="s">
        <v>29</v>
      </c>
      <c r="C1358" s="16">
        <v>46191</v>
      </c>
      <c r="D1358" s="82">
        <v>382.69000000000005</v>
      </c>
    </row>
    <row r="1359" spans="1:4" x14ac:dyDescent="0.3">
      <c r="A1359" t="s">
        <v>30</v>
      </c>
      <c r="C1359" s="16">
        <v>46191</v>
      </c>
      <c r="D1359" s="82">
        <v>1428.08</v>
      </c>
    </row>
    <row r="1360" spans="1:4" x14ac:dyDescent="0.3">
      <c r="A1360" t="s">
        <v>31</v>
      </c>
      <c r="C1360" s="16">
        <v>46191</v>
      </c>
      <c r="D1360" s="82">
        <v>29789.969999999961</v>
      </c>
    </row>
    <row r="1361" spans="1:4" x14ac:dyDescent="0.3">
      <c r="A1361" t="s">
        <v>32</v>
      </c>
      <c r="C1361" s="16">
        <v>46191</v>
      </c>
      <c r="D1361" s="82">
        <v>20321.43</v>
      </c>
    </row>
    <row r="1362" spans="1:4" x14ac:dyDescent="0.3">
      <c r="A1362" t="s">
        <v>33</v>
      </c>
      <c r="C1362" s="16">
        <v>46191</v>
      </c>
      <c r="D1362" s="82">
        <v>16681.349999999999</v>
      </c>
    </row>
    <row r="1363" spans="1:4" x14ac:dyDescent="0.3">
      <c r="A1363" t="s">
        <v>34</v>
      </c>
      <c r="C1363" s="16">
        <v>46191</v>
      </c>
      <c r="D1363" s="82">
        <v>345</v>
      </c>
    </row>
    <row r="1364" spans="1:4" x14ac:dyDescent="0.3">
      <c r="A1364" t="s">
        <v>35</v>
      </c>
      <c r="C1364" s="16">
        <v>46191</v>
      </c>
      <c r="D1364" s="82">
        <v>50334.36</v>
      </c>
    </row>
    <row r="1365" spans="1:4" x14ac:dyDescent="0.3">
      <c r="A1365" t="s">
        <v>193</v>
      </c>
      <c r="C1365" s="16">
        <v>46191</v>
      </c>
      <c r="D1365" s="82">
        <v>0</v>
      </c>
    </row>
    <row r="1366" spans="1:4" x14ac:dyDescent="0.3">
      <c r="A1366" t="s">
        <v>214</v>
      </c>
      <c r="C1366" s="16">
        <v>46191</v>
      </c>
      <c r="D1366" s="82">
        <v>0</v>
      </c>
    </row>
    <row r="1367" spans="1:4" x14ac:dyDescent="0.3">
      <c r="A1367" t="s">
        <v>194</v>
      </c>
      <c r="C1367" s="16">
        <v>46191</v>
      </c>
      <c r="D1367" s="82">
        <v>0</v>
      </c>
    </row>
    <row r="1368" spans="1:4" x14ac:dyDescent="0.3">
      <c r="A1368" t="s">
        <v>195</v>
      </c>
      <c r="C1368" s="16">
        <v>46191</v>
      </c>
      <c r="D1368" s="82">
        <v>0</v>
      </c>
    </row>
    <row r="1369" spans="1:4" x14ac:dyDescent="0.3">
      <c r="A1369" t="s">
        <v>196</v>
      </c>
      <c r="C1369" s="16">
        <v>46191</v>
      </c>
      <c r="D1369" s="82">
        <v>0</v>
      </c>
    </row>
    <row r="1370" spans="1:4" x14ac:dyDescent="0.3">
      <c r="A1370" t="s">
        <v>197</v>
      </c>
      <c r="C1370" s="16">
        <v>46191</v>
      </c>
      <c r="D1370" s="82">
        <v>0</v>
      </c>
    </row>
    <row r="1371" spans="1:4" x14ac:dyDescent="0.3">
      <c r="A1371" t="s">
        <v>212</v>
      </c>
      <c r="C1371" s="16">
        <v>46191</v>
      </c>
      <c r="D1371" s="82">
        <v>0</v>
      </c>
    </row>
    <row r="1372" spans="1:4" x14ac:dyDescent="0.3">
      <c r="A1372" t="s">
        <v>199</v>
      </c>
      <c r="C1372" s="16">
        <v>46191</v>
      </c>
      <c r="D1372" s="82">
        <v>0</v>
      </c>
    </row>
    <row r="1373" spans="1:4" x14ac:dyDescent="0.3">
      <c r="A1373" t="s">
        <v>216</v>
      </c>
      <c r="C1373" s="16">
        <v>46191</v>
      </c>
      <c r="D1373" s="82">
        <v>0</v>
      </c>
    </row>
    <row r="1374" spans="1:4" x14ac:dyDescent="0.3">
      <c r="A1374" t="s">
        <v>17</v>
      </c>
      <c r="C1374" s="16">
        <v>46192</v>
      </c>
      <c r="D1374" s="82">
        <v>1098358.7500000002</v>
      </c>
    </row>
    <row r="1375" spans="1:4" x14ac:dyDescent="0.3">
      <c r="A1375" t="s">
        <v>18</v>
      </c>
      <c r="C1375" s="16">
        <v>46192</v>
      </c>
      <c r="D1375" s="82">
        <v>69376.390000000174</v>
      </c>
    </row>
    <row r="1376" spans="1:4" x14ac:dyDescent="0.3">
      <c r="A1376" t="s">
        <v>19</v>
      </c>
      <c r="C1376" s="16">
        <v>46192</v>
      </c>
      <c r="D1376" s="82">
        <v>1669.89</v>
      </c>
    </row>
    <row r="1377" spans="1:4" x14ac:dyDescent="0.3">
      <c r="A1377" t="s">
        <v>20</v>
      </c>
      <c r="C1377" s="16">
        <v>46192</v>
      </c>
      <c r="D1377" s="82">
        <v>503904.80999999982</v>
      </c>
    </row>
    <row r="1378" spans="1:4" x14ac:dyDescent="0.3">
      <c r="A1378" t="s">
        <v>21</v>
      </c>
      <c r="C1378" s="16">
        <v>46192</v>
      </c>
      <c r="D1378" s="82">
        <v>3326696.7299999995</v>
      </c>
    </row>
    <row r="1379" spans="1:4" x14ac:dyDescent="0.3">
      <c r="A1379" t="s">
        <v>22</v>
      </c>
      <c r="C1379" s="16">
        <v>46192</v>
      </c>
      <c r="D1379" s="82">
        <v>116496.38</v>
      </c>
    </row>
    <row r="1380" spans="1:4" x14ac:dyDescent="0.3">
      <c r="A1380" t="s">
        <v>23</v>
      </c>
      <c r="C1380" s="16">
        <v>46192</v>
      </c>
      <c r="D1380" s="82">
        <v>20375.989999999998</v>
      </c>
    </row>
    <row r="1381" spans="1:4" x14ac:dyDescent="0.3">
      <c r="A1381" t="s">
        <v>24</v>
      </c>
      <c r="C1381" s="16">
        <v>46192</v>
      </c>
      <c r="D1381" s="82">
        <v>511.15999999999985</v>
      </c>
    </row>
    <row r="1382" spans="1:4" x14ac:dyDescent="0.3">
      <c r="A1382" t="s">
        <v>25</v>
      </c>
      <c r="C1382" s="16">
        <v>46192</v>
      </c>
      <c r="D1382" s="82">
        <v>84.35</v>
      </c>
    </row>
    <row r="1383" spans="1:4" x14ac:dyDescent="0.3">
      <c r="A1383" t="s">
        <v>26</v>
      </c>
      <c r="C1383" s="16">
        <v>46192</v>
      </c>
      <c r="D1383" s="82">
        <v>2237.77</v>
      </c>
    </row>
    <row r="1384" spans="1:4" x14ac:dyDescent="0.3">
      <c r="A1384" t="s">
        <v>27</v>
      </c>
      <c r="C1384" s="16">
        <v>46192</v>
      </c>
      <c r="D1384" s="82">
        <v>3349.94</v>
      </c>
    </row>
    <row r="1385" spans="1:4" x14ac:dyDescent="0.3">
      <c r="A1385" t="s">
        <v>28</v>
      </c>
      <c r="C1385" s="16">
        <v>46192</v>
      </c>
      <c r="D1385" s="82">
        <v>1968.99</v>
      </c>
    </row>
    <row r="1386" spans="1:4" x14ac:dyDescent="0.3">
      <c r="A1386" t="s">
        <v>29</v>
      </c>
      <c r="C1386" s="16">
        <v>46192</v>
      </c>
      <c r="D1386" s="82">
        <v>382.69000000000005</v>
      </c>
    </row>
    <row r="1387" spans="1:4" x14ac:dyDescent="0.3">
      <c r="A1387" t="s">
        <v>30</v>
      </c>
      <c r="C1387" s="16">
        <v>46192</v>
      </c>
      <c r="D1387" s="82">
        <v>1428.08</v>
      </c>
    </row>
    <row r="1388" spans="1:4" x14ac:dyDescent="0.3">
      <c r="A1388" t="s">
        <v>31</v>
      </c>
      <c r="C1388" s="16">
        <v>46192</v>
      </c>
      <c r="D1388" s="82">
        <v>29789.969999999961</v>
      </c>
    </row>
    <row r="1389" spans="1:4" x14ac:dyDescent="0.3">
      <c r="A1389" t="s">
        <v>32</v>
      </c>
      <c r="C1389" s="16">
        <v>46192</v>
      </c>
      <c r="D1389" s="82">
        <v>20321.43</v>
      </c>
    </row>
    <row r="1390" spans="1:4" x14ac:dyDescent="0.3">
      <c r="A1390" t="s">
        <v>33</v>
      </c>
      <c r="C1390" s="16">
        <v>46192</v>
      </c>
      <c r="D1390" s="82">
        <v>16681.349999999999</v>
      </c>
    </row>
    <row r="1391" spans="1:4" x14ac:dyDescent="0.3">
      <c r="A1391" t="s">
        <v>34</v>
      </c>
      <c r="C1391" s="16">
        <v>46192</v>
      </c>
      <c r="D1391" s="82">
        <v>345</v>
      </c>
    </row>
    <row r="1392" spans="1:4" x14ac:dyDescent="0.3">
      <c r="A1392" t="s">
        <v>35</v>
      </c>
      <c r="C1392" s="16">
        <v>46192</v>
      </c>
      <c r="D1392" s="82">
        <v>50334.36</v>
      </c>
    </row>
    <row r="1393" spans="1:4" x14ac:dyDescent="0.3">
      <c r="A1393" t="s">
        <v>193</v>
      </c>
      <c r="C1393" s="16">
        <v>46192</v>
      </c>
      <c r="D1393" s="82">
        <v>0</v>
      </c>
    </row>
    <row r="1394" spans="1:4" x14ac:dyDescent="0.3">
      <c r="A1394" t="s">
        <v>214</v>
      </c>
      <c r="C1394" s="16">
        <v>46192</v>
      </c>
      <c r="D1394" s="82">
        <v>0</v>
      </c>
    </row>
    <row r="1395" spans="1:4" x14ac:dyDescent="0.3">
      <c r="A1395" t="s">
        <v>194</v>
      </c>
      <c r="C1395" s="16">
        <v>46192</v>
      </c>
      <c r="D1395" s="82">
        <v>0</v>
      </c>
    </row>
    <row r="1396" spans="1:4" x14ac:dyDescent="0.3">
      <c r="A1396" t="s">
        <v>195</v>
      </c>
      <c r="C1396" s="16">
        <v>46192</v>
      </c>
      <c r="D1396" s="82">
        <v>0</v>
      </c>
    </row>
    <row r="1397" spans="1:4" x14ac:dyDescent="0.3">
      <c r="A1397" t="s">
        <v>196</v>
      </c>
      <c r="C1397" s="16">
        <v>46192</v>
      </c>
      <c r="D1397" s="82">
        <v>0</v>
      </c>
    </row>
    <row r="1398" spans="1:4" x14ac:dyDescent="0.3">
      <c r="A1398" t="s">
        <v>197</v>
      </c>
      <c r="C1398" s="16">
        <v>46192</v>
      </c>
      <c r="D1398" s="82">
        <v>0</v>
      </c>
    </row>
    <row r="1399" spans="1:4" x14ac:dyDescent="0.3">
      <c r="A1399" t="s">
        <v>212</v>
      </c>
      <c r="C1399" s="16">
        <v>46192</v>
      </c>
      <c r="D1399" s="82">
        <v>0</v>
      </c>
    </row>
    <row r="1400" spans="1:4" x14ac:dyDescent="0.3">
      <c r="A1400" t="s">
        <v>199</v>
      </c>
      <c r="C1400" s="16">
        <v>46192</v>
      </c>
      <c r="D1400" s="82">
        <v>0</v>
      </c>
    </row>
    <row r="1401" spans="1:4" x14ac:dyDescent="0.3">
      <c r="A1401" t="s">
        <v>216</v>
      </c>
      <c r="C1401" s="16">
        <v>46192</v>
      </c>
      <c r="D1401" s="82">
        <v>0</v>
      </c>
    </row>
    <row r="1402" spans="1:4" x14ac:dyDescent="0.3">
      <c r="A1402" t="s">
        <v>17</v>
      </c>
      <c r="C1402" s="16">
        <v>46193</v>
      </c>
      <c r="D1402" s="82">
        <v>1098358.7500000002</v>
      </c>
    </row>
    <row r="1403" spans="1:4" x14ac:dyDescent="0.3">
      <c r="A1403" t="s">
        <v>18</v>
      </c>
      <c r="C1403" s="16">
        <v>46193</v>
      </c>
      <c r="D1403" s="82">
        <v>69376.390000000174</v>
      </c>
    </row>
    <row r="1404" spans="1:4" x14ac:dyDescent="0.3">
      <c r="A1404" t="s">
        <v>19</v>
      </c>
      <c r="C1404" s="16">
        <v>46193</v>
      </c>
      <c r="D1404" s="82">
        <v>1669.89</v>
      </c>
    </row>
    <row r="1405" spans="1:4" x14ac:dyDescent="0.3">
      <c r="A1405" t="s">
        <v>20</v>
      </c>
      <c r="C1405" s="16">
        <v>46193</v>
      </c>
      <c r="D1405" s="82">
        <v>503904.80999999982</v>
      </c>
    </row>
    <row r="1406" spans="1:4" x14ac:dyDescent="0.3">
      <c r="A1406" t="s">
        <v>21</v>
      </c>
      <c r="C1406" s="16">
        <v>46193</v>
      </c>
      <c r="D1406" s="82">
        <v>3326696.7299999995</v>
      </c>
    </row>
    <row r="1407" spans="1:4" x14ac:dyDescent="0.3">
      <c r="A1407" t="s">
        <v>22</v>
      </c>
      <c r="C1407" s="16">
        <v>46193</v>
      </c>
      <c r="D1407" s="82">
        <v>116496.38</v>
      </c>
    </row>
    <row r="1408" spans="1:4" x14ac:dyDescent="0.3">
      <c r="A1408" t="s">
        <v>23</v>
      </c>
      <c r="C1408" s="16">
        <v>46193</v>
      </c>
      <c r="D1408" s="82">
        <v>20375.989999999998</v>
      </c>
    </row>
    <row r="1409" spans="1:4" x14ac:dyDescent="0.3">
      <c r="A1409" t="s">
        <v>24</v>
      </c>
      <c r="C1409" s="16">
        <v>46193</v>
      </c>
      <c r="D1409" s="82">
        <v>511.15999999999985</v>
      </c>
    </row>
    <row r="1410" spans="1:4" x14ac:dyDescent="0.3">
      <c r="A1410" t="s">
        <v>25</v>
      </c>
      <c r="C1410" s="16">
        <v>46193</v>
      </c>
      <c r="D1410" s="82">
        <v>84.35</v>
      </c>
    </row>
    <row r="1411" spans="1:4" x14ac:dyDescent="0.3">
      <c r="A1411" t="s">
        <v>26</v>
      </c>
      <c r="C1411" s="16">
        <v>46193</v>
      </c>
      <c r="D1411" s="82">
        <v>2237.77</v>
      </c>
    </row>
    <row r="1412" spans="1:4" x14ac:dyDescent="0.3">
      <c r="A1412" t="s">
        <v>27</v>
      </c>
      <c r="C1412" s="16">
        <v>46193</v>
      </c>
      <c r="D1412" s="82">
        <v>3349.94</v>
      </c>
    </row>
    <row r="1413" spans="1:4" x14ac:dyDescent="0.3">
      <c r="A1413" t="s">
        <v>28</v>
      </c>
      <c r="C1413" s="16">
        <v>46193</v>
      </c>
      <c r="D1413" s="82">
        <v>1968.99</v>
      </c>
    </row>
    <row r="1414" spans="1:4" x14ac:dyDescent="0.3">
      <c r="A1414" t="s">
        <v>29</v>
      </c>
      <c r="C1414" s="16">
        <v>46193</v>
      </c>
      <c r="D1414" s="82">
        <v>382.69000000000005</v>
      </c>
    </row>
    <row r="1415" spans="1:4" x14ac:dyDescent="0.3">
      <c r="A1415" t="s">
        <v>30</v>
      </c>
      <c r="C1415" s="16">
        <v>46193</v>
      </c>
      <c r="D1415" s="82">
        <v>1428.08</v>
      </c>
    </row>
    <row r="1416" spans="1:4" x14ac:dyDescent="0.3">
      <c r="A1416" t="s">
        <v>31</v>
      </c>
      <c r="C1416" s="16">
        <v>46193</v>
      </c>
      <c r="D1416" s="82">
        <v>29789.969999999961</v>
      </c>
    </row>
    <row r="1417" spans="1:4" x14ac:dyDescent="0.3">
      <c r="A1417" t="s">
        <v>32</v>
      </c>
      <c r="C1417" s="16">
        <v>46193</v>
      </c>
      <c r="D1417" s="82">
        <v>20321.43</v>
      </c>
    </row>
    <row r="1418" spans="1:4" x14ac:dyDescent="0.3">
      <c r="A1418" t="s">
        <v>33</v>
      </c>
      <c r="C1418" s="16">
        <v>46193</v>
      </c>
      <c r="D1418" s="82">
        <v>16681.349999999999</v>
      </c>
    </row>
    <row r="1419" spans="1:4" x14ac:dyDescent="0.3">
      <c r="A1419" t="s">
        <v>34</v>
      </c>
      <c r="C1419" s="16">
        <v>46193</v>
      </c>
      <c r="D1419" s="82">
        <v>345</v>
      </c>
    </row>
    <row r="1420" spans="1:4" x14ac:dyDescent="0.3">
      <c r="A1420" t="s">
        <v>35</v>
      </c>
      <c r="C1420" s="16">
        <v>46193</v>
      </c>
      <c r="D1420" s="82">
        <v>50334.36</v>
      </c>
    </row>
    <row r="1421" spans="1:4" x14ac:dyDescent="0.3">
      <c r="A1421" t="s">
        <v>193</v>
      </c>
      <c r="C1421" s="16">
        <v>46193</v>
      </c>
      <c r="D1421" s="82">
        <v>0</v>
      </c>
    </row>
    <row r="1422" spans="1:4" x14ac:dyDescent="0.3">
      <c r="A1422" t="s">
        <v>214</v>
      </c>
      <c r="C1422" s="16">
        <v>46193</v>
      </c>
      <c r="D1422" s="82">
        <v>0</v>
      </c>
    </row>
    <row r="1423" spans="1:4" x14ac:dyDescent="0.3">
      <c r="A1423" t="s">
        <v>194</v>
      </c>
      <c r="C1423" s="16">
        <v>46193</v>
      </c>
      <c r="D1423" s="82">
        <v>0</v>
      </c>
    </row>
    <row r="1424" spans="1:4" x14ac:dyDescent="0.3">
      <c r="A1424" t="s">
        <v>195</v>
      </c>
      <c r="C1424" s="16">
        <v>46193</v>
      </c>
      <c r="D1424" s="82">
        <v>0</v>
      </c>
    </row>
    <row r="1425" spans="1:4" x14ac:dyDescent="0.3">
      <c r="A1425" t="s">
        <v>196</v>
      </c>
      <c r="C1425" s="16">
        <v>46193</v>
      </c>
      <c r="D1425" s="82">
        <v>0</v>
      </c>
    </row>
    <row r="1426" spans="1:4" x14ac:dyDescent="0.3">
      <c r="A1426" t="s">
        <v>197</v>
      </c>
      <c r="C1426" s="16">
        <v>46193</v>
      </c>
      <c r="D1426" s="82">
        <v>0</v>
      </c>
    </row>
    <row r="1427" spans="1:4" x14ac:dyDescent="0.3">
      <c r="A1427" t="s">
        <v>212</v>
      </c>
      <c r="C1427" s="16">
        <v>46193</v>
      </c>
      <c r="D1427" s="82">
        <v>0</v>
      </c>
    </row>
    <row r="1428" spans="1:4" x14ac:dyDescent="0.3">
      <c r="A1428" t="s">
        <v>199</v>
      </c>
      <c r="C1428" s="16">
        <v>46193</v>
      </c>
      <c r="D1428" s="82">
        <v>0</v>
      </c>
    </row>
    <row r="1429" spans="1:4" x14ac:dyDescent="0.3">
      <c r="A1429" t="s">
        <v>216</v>
      </c>
      <c r="C1429" s="16">
        <v>46193</v>
      </c>
      <c r="D1429" s="82">
        <v>0</v>
      </c>
    </row>
    <row r="1430" spans="1:4" x14ac:dyDescent="0.3">
      <c r="A1430" t="s">
        <v>17</v>
      </c>
      <c r="C1430" s="16">
        <v>46194</v>
      </c>
      <c r="D1430" s="82">
        <v>1098358.7500000002</v>
      </c>
    </row>
    <row r="1431" spans="1:4" x14ac:dyDescent="0.3">
      <c r="A1431" t="s">
        <v>18</v>
      </c>
      <c r="C1431" s="16">
        <v>46194</v>
      </c>
      <c r="D1431" s="82">
        <v>69376.390000000174</v>
      </c>
    </row>
    <row r="1432" spans="1:4" x14ac:dyDescent="0.3">
      <c r="A1432" t="s">
        <v>19</v>
      </c>
      <c r="C1432" s="16">
        <v>46194</v>
      </c>
      <c r="D1432" s="82">
        <v>1669.89</v>
      </c>
    </row>
    <row r="1433" spans="1:4" x14ac:dyDescent="0.3">
      <c r="A1433" t="s">
        <v>20</v>
      </c>
      <c r="C1433" s="16">
        <v>46194</v>
      </c>
      <c r="D1433" s="82">
        <v>503904.80999999982</v>
      </c>
    </row>
    <row r="1434" spans="1:4" x14ac:dyDescent="0.3">
      <c r="A1434" t="s">
        <v>21</v>
      </c>
      <c r="C1434" s="16">
        <v>46194</v>
      </c>
      <c r="D1434" s="82">
        <v>3326696.7299999995</v>
      </c>
    </row>
    <row r="1435" spans="1:4" x14ac:dyDescent="0.3">
      <c r="A1435" t="s">
        <v>22</v>
      </c>
      <c r="C1435" s="16">
        <v>46194</v>
      </c>
      <c r="D1435" s="82">
        <v>116496.38</v>
      </c>
    </row>
    <row r="1436" spans="1:4" x14ac:dyDescent="0.3">
      <c r="A1436" t="s">
        <v>23</v>
      </c>
      <c r="C1436" s="16">
        <v>46194</v>
      </c>
      <c r="D1436" s="82">
        <v>20375.989999999998</v>
      </c>
    </row>
    <row r="1437" spans="1:4" x14ac:dyDescent="0.3">
      <c r="A1437" t="s">
        <v>24</v>
      </c>
      <c r="C1437" s="16">
        <v>46194</v>
      </c>
      <c r="D1437" s="82">
        <v>511.15999999999985</v>
      </c>
    </row>
    <row r="1438" spans="1:4" x14ac:dyDescent="0.3">
      <c r="A1438" t="s">
        <v>25</v>
      </c>
      <c r="C1438" s="16">
        <v>46194</v>
      </c>
      <c r="D1438" s="82">
        <v>84.35</v>
      </c>
    </row>
    <row r="1439" spans="1:4" x14ac:dyDescent="0.3">
      <c r="A1439" t="s">
        <v>26</v>
      </c>
      <c r="C1439" s="16">
        <v>46194</v>
      </c>
      <c r="D1439" s="82">
        <v>2237.77</v>
      </c>
    </row>
    <row r="1440" spans="1:4" x14ac:dyDescent="0.3">
      <c r="A1440" t="s">
        <v>27</v>
      </c>
      <c r="C1440" s="16">
        <v>46194</v>
      </c>
      <c r="D1440" s="82">
        <v>3349.94</v>
      </c>
    </row>
    <row r="1441" spans="1:4" x14ac:dyDescent="0.3">
      <c r="A1441" t="s">
        <v>28</v>
      </c>
      <c r="C1441" s="16">
        <v>46194</v>
      </c>
      <c r="D1441" s="82">
        <v>1968.99</v>
      </c>
    </row>
    <row r="1442" spans="1:4" x14ac:dyDescent="0.3">
      <c r="A1442" t="s">
        <v>29</v>
      </c>
      <c r="C1442" s="16">
        <v>46194</v>
      </c>
      <c r="D1442" s="82">
        <v>382.69000000000005</v>
      </c>
    </row>
    <row r="1443" spans="1:4" x14ac:dyDescent="0.3">
      <c r="A1443" t="s">
        <v>30</v>
      </c>
      <c r="C1443" s="16">
        <v>46194</v>
      </c>
      <c r="D1443" s="82">
        <v>1428.08</v>
      </c>
    </row>
    <row r="1444" spans="1:4" x14ac:dyDescent="0.3">
      <c r="A1444" t="s">
        <v>31</v>
      </c>
      <c r="C1444" s="16">
        <v>46194</v>
      </c>
      <c r="D1444" s="82">
        <v>29789.969999999961</v>
      </c>
    </row>
    <row r="1445" spans="1:4" x14ac:dyDescent="0.3">
      <c r="A1445" t="s">
        <v>32</v>
      </c>
      <c r="C1445" s="16">
        <v>46194</v>
      </c>
      <c r="D1445" s="82">
        <v>20321.43</v>
      </c>
    </row>
    <row r="1446" spans="1:4" x14ac:dyDescent="0.3">
      <c r="A1446" t="s">
        <v>33</v>
      </c>
      <c r="C1446" s="16">
        <v>46194</v>
      </c>
      <c r="D1446" s="82">
        <v>16681.349999999999</v>
      </c>
    </row>
    <row r="1447" spans="1:4" x14ac:dyDescent="0.3">
      <c r="A1447" t="s">
        <v>34</v>
      </c>
      <c r="C1447" s="16">
        <v>46194</v>
      </c>
      <c r="D1447" s="82">
        <v>345</v>
      </c>
    </row>
    <row r="1448" spans="1:4" x14ac:dyDescent="0.3">
      <c r="A1448" t="s">
        <v>35</v>
      </c>
      <c r="C1448" s="16">
        <v>46194</v>
      </c>
      <c r="D1448" s="82">
        <v>50334.36</v>
      </c>
    </row>
    <row r="1449" spans="1:4" x14ac:dyDescent="0.3">
      <c r="A1449" t="s">
        <v>193</v>
      </c>
      <c r="C1449" s="16">
        <v>46194</v>
      </c>
      <c r="D1449" s="82">
        <v>0</v>
      </c>
    </row>
    <row r="1450" spans="1:4" x14ac:dyDescent="0.3">
      <c r="A1450" t="s">
        <v>214</v>
      </c>
      <c r="C1450" s="16">
        <v>46194</v>
      </c>
      <c r="D1450" s="82">
        <v>0</v>
      </c>
    </row>
    <row r="1451" spans="1:4" x14ac:dyDescent="0.3">
      <c r="A1451" t="s">
        <v>194</v>
      </c>
      <c r="C1451" s="16">
        <v>46194</v>
      </c>
      <c r="D1451" s="82">
        <v>0</v>
      </c>
    </row>
    <row r="1452" spans="1:4" x14ac:dyDescent="0.3">
      <c r="A1452" t="s">
        <v>195</v>
      </c>
      <c r="C1452" s="16">
        <v>46194</v>
      </c>
      <c r="D1452" s="82">
        <v>0</v>
      </c>
    </row>
    <row r="1453" spans="1:4" x14ac:dyDescent="0.3">
      <c r="A1453" t="s">
        <v>196</v>
      </c>
      <c r="C1453" s="16">
        <v>46194</v>
      </c>
      <c r="D1453" s="82">
        <v>0</v>
      </c>
    </row>
    <row r="1454" spans="1:4" x14ac:dyDescent="0.3">
      <c r="A1454" t="s">
        <v>197</v>
      </c>
      <c r="C1454" s="16">
        <v>46194</v>
      </c>
      <c r="D1454" s="82">
        <v>0</v>
      </c>
    </row>
    <row r="1455" spans="1:4" x14ac:dyDescent="0.3">
      <c r="A1455" t="s">
        <v>212</v>
      </c>
      <c r="C1455" s="16">
        <v>46194</v>
      </c>
      <c r="D1455" s="82">
        <v>0</v>
      </c>
    </row>
    <row r="1456" spans="1:4" x14ac:dyDescent="0.3">
      <c r="A1456" t="s">
        <v>199</v>
      </c>
      <c r="C1456" s="16">
        <v>46194</v>
      </c>
      <c r="D1456" s="82">
        <v>0</v>
      </c>
    </row>
    <row r="1457" spans="1:4" x14ac:dyDescent="0.3">
      <c r="A1457" t="s">
        <v>216</v>
      </c>
      <c r="C1457" s="16">
        <v>46194</v>
      </c>
      <c r="D1457" s="82">
        <v>0</v>
      </c>
    </row>
    <row r="1458" spans="1:4" x14ac:dyDescent="0.3">
      <c r="A1458" t="s">
        <v>17</v>
      </c>
      <c r="C1458" s="16">
        <v>46195</v>
      </c>
      <c r="D1458" s="82">
        <v>7613332.1400000006</v>
      </c>
    </row>
    <row r="1459" spans="1:4" x14ac:dyDescent="0.3">
      <c r="A1459" t="s">
        <v>18</v>
      </c>
      <c r="C1459" s="16">
        <v>46195</v>
      </c>
      <c r="D1459" s="82">
        <v>69376.390000000174</v>
      </c>
    </row>
    <row r="1460" spans="1:4" x14ac:dyDescent="0.3">
      <c r="A1460" t="s">
        <v>19</v>
      </c>
      <c r="C1460" s="16">
        <v>46195</v>
      </c>
      <c r="D1460" s="82">
        <v>1669.89</v>
      </c>
    </row>
    <row r="1461" spans="1:4" x14ac:dyDescent="0.3">
      <c r="A1461" t="s">
        <v>20</v>
      </c>
      <c r="C1461" s="16">
        <v>46195</v>
      </c>
      <c r="D1461" s="82">
        <v>503904.80999999982</v>
      </c>
    </row>
    <row r="1462" spans="1:4" x14ac:dyDescent="0.3">
      <c r="A1462" t="s">
        <v>21</v>
      </c>
      <c r="C1462" s="16">
        <v>46195</v>
      </c>
      <c r="D1462" s="82">
        <v>3325868.6899999995</v>
      </c>
    </row>
    <row r="1463" spans="1:4" x14ac:dyDescent="0.3">
      <c r="A1463" t="s">
        <v>22</v>
      </c>
      <c r="C1463" s="16">
        <v>46195</v>
      </c>
      <c r="D1463" s="82">
        <v>116496.38</v>
      </c>
    </row>
    <row r="1464" spans="1:4" x14ac:dyDescent="0.3">
      <c r="A1464" t="s">
        <v>23</v>
      </c>
      <c r="C1464" s="16">
        <v>46195</v>
      </c>
      <c r="D1464" s="82">
        <v>20375.989999999998</v>
      </c>
    </row>
    <row r="1465" spans="1:4" x14ac:dyDescent="0.3">
      <c r="A1465" t="s">
        <v>24</v>
      </c>
      <c r="C1465" s="16">
        <v>46195</v>
      </c>
      <c r="D1465" s="82">
        <v>511.15999999999985</v>
      </c>
    </row>
    <row r="1466" spans="1:4" x14ac:dyDescent="0.3">
      <c r="A1466" t="s">
        <v>25</v>
      </c>
      <c r="C1466" s="16">
        <v>46195</v>
      </c>
      <c r="D1466" s="82">
        <v>84.35</v>
      </c>
    </row>
    <row r="1467" spans="1:4" x14ac:dyDescent="0.3">
      <c r="A1467" t="s">
        <v>26</v>
      </c>
      <c r="C1467" s="16">
        <v>46195</v>
      </c>
      <c r="D1467" s="82">
        <v>2237.77</v>
      </c>
    </row>
    <row r="1468" spans="1:4" x14ac:dyDescent="0.3">
      <c r="A1468" t="s">
        <v>27</v>
      </c>
      <c r="C1468" s="16">
        <v>46195</v>
      </c>
      <c r="D1468" s="82">
        <v>3349.94</v>
      </c>
    </row>
    <row r="1469" spans="1:4" x14ac:dyDescent="0.3">
      <c r="A1469" t="s">
        <v>28</v>
      </c>
      <c r="C1469" s="16">
        <v>46195</v>
      </c>
      <c r="D1469" s="82">
        <v>1968.99</v>
      </c>
    </row>
    <row r="1470" spans="1:4" x14ac:dyDescent="0.3">
      <c r="A1470" t="s">
        <v>29</v>
      </c>
      <c r="C1470" s="16">
        <v>46195</v>
      </c>
      <c r="D1470" s="82">
        <v>382.69000000000005</v>
      </c>
    </row>
    <row r="1471" spans="1:4" x14ac:dyDescent="0.3">
      <c r="A1471" t="s">
        <v>30</v>
      </c>
      <c r="C1471" s="16">
        <v>46195</v>
      </c>
      <c r="D1471" s="82">
        <v>1428.08</v>
      </c>
    </row>
    <row r="1472" spans="1:4" x14ac:dyDescent="0.3">
      <c r="A1472" t="s">
        <v>31</v>
      </c>
      <c r="C1472" s="16">
        <v>46195</v>
      </c>
      <c r="D1472" s="82">
        <v>31039.969999999961</v>
      </c>
    </row>
    <row r="1473" spans="1:4" x14ac:dyDescent="0.3">
      <c r="A1473" t="s">
        <v>32</v>
      </c>
      <c r="C1473" s="16">
        <v>46195</v>
      </c>
      <c r="D1473" s="82">
        <v>20321.43</v>
      </c>
    </row>
    <row r="1474" spans="1:4" x14ac:dyDescent="0.3">
      <c r="A1474" t="s">
        <v>33</v>
      </c>
      <c r="C1474" s="16">
        <v>46195</v>
      </c>
      <c r="D1474" s="82">
        <v>16681.349999999999</v>
      </c>
    </row>
    <row r="1475" spans="1:4" x14ac:dyDescent="0.3">
      <c r="A1475" t="s">
        <v>34</v>
      </c>
      <c r="C1475" s="16">
        <v>46195</v>
      </c>
      <c r="D1475" s="82">
        <v>345</v>
      </c>
    </row>
    <row r="1476" spans="1:4" x14ac:dyDescent="0.3">
      <c r="A1476" t="s">
        <v>35</v>
      </c>
      <c r="C1476" s="16">
        <v>46195</v>
      </c>
      <c r="D1476" s="82">
        <v>50109.68</v>
      </c>
    </row>
    <row r="1477" spans="1:4" x14ac:dyDescent="0.3">
      <c r="A1477" t="s">
        <v>193</v>
      </c>
      <c r="C1477" s="16">
        <v>46195</v>
      </c>
      <c r="D1477" s="82">
        <v>0</v>
      </c>
    </row>
    <row r="1478" spans="1:4" x14ac:dyDescent="0.3">
      <c r="A1478" t="s">
        <v>214</v>
      </c>
      <c r="C1478" s="16">
        <v>46195</v>
      </c>
      <c r="D1478" s="82">
        <v>0</v>
      </c>
    </row>
    <row r="1479" spans="1:4" x14ac:dyDescent="0.3">
      <c r="A1479" t="s">
        <v>194</v>
      </c>
      <c r="C1479" s="16">
        <v>46195</v>
      </c>
      <c r="D1479" s="82">
        <v>0</v>
      </c>
    </row>
    <row r="1480" spans="1:4" x14ac:dyDescent="0.3">
      <c r="A1480" t="s">
        <v>195</v>
      </c>
      <c r="C1480" s="16">
        <v>46195</v>
      </c>
      <c r="D1480" s="82">
        <v>0</v>
      </c>
    </row>
    <row r="1481" spans="1:4" x14ac:dyDescent="0.3">
      <c r="A1481" t="s">
        <v>196</v>
      </c>
      <c r="C1481" s="16">
        <v>46195</v>
      </c>
      <c r="D1481" s="82">
        <v>0</v>
      </c>
    </row>
    <row r="1482" spans="1:4" x14ac:dyDescent="0.3">
      <c r="A1482" t="s">
        <v>197</v>
      </c>
      <c r="C1482" s="16">
        <v>46195</v>
      </c>
      <c r="D1482" s="82">
        <v>0</v>
      </c>
    </row>
    <row r="1483" spans="1:4" x14ac:dyDescent="0.3">
      <c r="A1483" t="s">
        <v>212</v>
      </c>
      <c r="C1483" s="16">
        <v>46195</v>
      </c>
      <c r="D1483" s="82">
        <v>0</v>
      </c>
    </row>
    <row r="1484" spans="1:4" x14ac:dyDescent="0.3">
      <c r="A1484" t="s">
        <v>199</v>
      </c>
      <c r="C1484" s="16">
        <v>46195</v>
      </c>
      <c r="D1484" s="82">
        <v>0</v>
      </c>
    </row>
    <row r="1485" spans="1:4" x14ac:dyDescent="0.3">
      <c r="A1485" t="s">
        <v>216</v>
      </c>
      <c r="C1485" s="16">
        <v>46195</v>
      </c>
      <c r="D1485" s="82">
        <v>0</v>
      </c>
    </row>
    <row r="1486" spans="1:4" x14ac:dyDescent="0.3">
      <c r="A1486" t="s">
        <v>17</v>
      </c>
      <c r="C1486" s="16">
        <v>46196</v>
      </c>
      <c r="D1486" s="82">
        <v>7675741.5900000008</v>
      </c>
    </row>
    <row r="1487" spans="1:4" x14ac:dyDescent="0.3">
      <c r="A1487" t="s">
        <v>18</v>
      </c>
      <c r="C1487" s="16">
        <v>46196</v>
      </c>
      <c r="D1487" s="82">
        <v>69376.390000000174</v>
      </c>
    </row>
    <row r="1488" spans="1:4" x14ac:dyDescent="0.3">
      <c r="A1488" t="s">
        <v>19</v>
      </c>
      <c r="C1488" s="16">
        <v>46196</v>
      </c>
      <c r="D1488" s="82">
        <v>1669.89</v>
      </c>
    </row>
    <row r="1489" spans="1:4" x14ac:dyDescent="0.3">
      <c r="A1489" t="s">
        <v>20</v>
      </c>
      <c r="C1489" s="16">
        <v>46196</v>
      </c>
      <c r="D1489" s="82">
        <v>503904.80999999982</v>
      </c>
    </row>
    <row r="1490" spans="1:4" x14ac:dyDescent="0.3">
      <c r="A1490" t="s">
        <v>21</v>
      </c>
      <c r="C1490" s="16">
        <v>46196</v>
      </c>
      <c r="D1490" s="82">
        <v>3325868.6899999995</v>
      </c>
    </row>
    <row r="1491" spans="1:4" x14ac:dyDescent="0.3">
      <c r="A1491" t="s">
        <v>22</v>
      </c>
      <c r="C1491" s="16">
        <v>46196</v>
      </c>
      <c r="D1491" s="82">
        <v>116496.38</v>
      </c>
    </row>
    <row r="1492" spans="1:4" x14ac:dyDescent="0.3">
      <c r="A1492" t="s">
        <v>23</v>
      </c>
      <c r="C1492" s="16">
        <v>46196</v>
      </c>
      <c r="D1492" s="82">
        <v>20375.989999999998</v>
      </c>
    </row>
    <row r="1493" spans="1:4" x14ac:dyDescent="0.3">
      <c r="A1493" t="s">
        <v>24</v>
      </c>
      <c r="C1493" s="16">
        <v>46196</v>
      </c>
      <c r="D1493" s="82">
        <v>511.15999999999985</v>
      </c>
    </row>
    <row r="1494" spans="1:4" x14ac:dyDescent="0.3">
      <c r="A1494" t="s">
        <v>25</v>
      </c>
      <c r="C1494" s="16">
        <v>46196</v>
      </c>
      <c r="D1494" s="82">
        <v>84.35</v>
      </c>
    </row>
    <row r="1495" spans="1:4" x14ac:dyDescent="0.3">
      <c r="A1495" t="s">
        <v>26</v>
      </c>
      <c r="C1495" s="16">
        <v>46196</v>
      </c>
      <c r="D1495" s="82">
        <v>2237.77</v>
      </c>
    </row>
    <row r="1496" spans="1:4" x14ac:dyDescent="0.3">
      <c r="A1496" t="s">
        <v>27</v>
      </c>
      <c r="C1496" s="16">
        <v>46196</v>
      </c>
      <c r="D1496" s="82">
        <v>3349.94</v>
      </c>
    </row>
    <row r="1497" spans="1:4" x14ac:dyDescent="0.3">
      <c r="A1497" t="s">
        <v>28</v>
      </c>
      <c r="C1497" s="16">
        <v>46196</v>
      </c>
      <c r="D1497" s="82">
        <v>1968.99</v>
      </c>
    </row>
    <row r="1498" spans="1:4" x14ac:dyDescent="0.3">
      <c r="A1498" t="s">
        <v>29</v>
      </c>
      <c r="C1498" s="16">
        <v>46196</v>
      </c>
      <c r="D1498" s="82">
        <v>382.69000000000005</v>
      </c>
    </row>
    <row r="1499" spans="1:4" x14ac:dyDescent="0.3">
      <c r="A1499" t="s">
        <v>30</v>
      </c>
      <c r="C1499" s="16">
        <v>46196</v>
      </c>
      <c r="D1499" s="82">
        <v>1428.08</v>
      </c>
    </row>
    <row r="1500" spans="1:4" x14ac:dyDescent="0.3">
      <c r="A1500" t="s">
        <v>31</v>
      </c>
      <c r="C1500" s="16">
        <v>46196</v>
      </c>
      <c r="D1500" s="82">
        <v>31039.969999999961</v>
      </c>
    </row>
    <row r="1501" spans="1:4" x14ac:dyDescent="0.3">
      <c r="A1501" t="s">
        <v>32</v>
      </c>
      <c r="C1501" s="16">
        <v>46196</v>
      </c>
      <c r="D1501" s="82">
        <v>20321.43</v>
      </c>
    </row>
    <row r="1502" spans="1:4" x14ac:dyDescent="0.3">
      <c r="A1502" t="s">
        <v>33</v>
      </c>
      <c r="C1502" s="16">
        <v>46196</v>
      </c>
      <c r="D1502" s="82">
        <v>16681.349999999999</v>
      </c>
    </row>
    <row r="1503" spans="1:4" x14ac:dyDescent="0.3">
      <c r="A1503" t="s">
        <v>34</v>
      </c>
      <c r="C1503" s="16">
        <v>46196</v>
      </c>
      <c r="D1503" s="82">
        <v>345</v>
      </c>
    </row>
    <row r="1504" spans="1:4" x14ac:dyDescent="0.3">
      <c r="A1504" t="s">
        <v>35</v>
      </c>
      <c r="C1504" s="16">
        <v>46196</v>
      </c>
      <c r="D1504" s="82">
        <v>49981.31</v>
      </c>
    </row>
    <row r="1505" spans="1:4" x14ac:dyDescent="0.3">
      <c r="A1505" t="s">
        <v>193</v>
      </c>
      <c r="C1505" s="16">
        <v>46196</v>
      </c>
      <c r="D1505" s="82">
        <v>0</v>
      </c>
    </row>
    <row r="1506" spans="1:4" x14ac:dyDescent="0.3">
      <c r="A1506" t="s">
        <v>214</v>
      </c>
      <c r="C1506" s="16">
        <v>46196</v>
      </c>
      <c r="D1506" s="82">
        <v>0</v>
      </c>
    </row>
    <row r="1507" spans="1:4" x14ac:dyDescent="0.3">
      <c r="A1507" t="s">
        <v>194</v>
      </c>
      <c r="C1507" s="16">
        <v>46196</v>
      </c>
      <c r="D1507" s="82">
        <v>0</v>
      </c>
    </row>
    <row r="1508" spans="1:4" x14ac:dyDescent="0.3">
      <c r="A1508" t="s">
        <v>195</v>
      </c>
      <c r="C1508" s="16">
        <v>46196</v>
      </c>
      <c r="D1508" s="82">
        <v>0</v>
      </c>
    </row>
    <row r="1509" spans="1:4" x14ac:dyDescent="0.3">
      <c r="A1509" t="s">
        <v>196</v>
      </c>
      <c r="C1509" s="16">
        <v>46196</v>
      </c>
      <c r="D1509" s="82">
        <v>0</v>
      </c>
    </row>
    <row r="1510" spans="1:4" x14ac:dyDescent="0.3">
      <c r="A1510" t="s">
        <v>197</v>
      </c>
      <c r="C1510" s="16">
        <v>46196</v>
      </c>
      <c r="D1510" s="82">
        <v>0</v>
      </c>
    </row>
    <row r="1511" spans="1:4" x14ac:dyDescent="0.3">
      <c r="A1511" t="s">
        <v>212</v>
      </c>
      <c r="C1511" s="16">
        <v>46196</v>
      </c>
      <c r="D1511" s="82">
        <v>0</v>
      </c>
    </row>
    <row r="1512" spans="1:4" x14ac:dyDescent="0.3">
      <c r="A1512" t="s">
        <v>199</v>
      </c>
      <c r="C1512" s="16">
        <v>46196</v>
      </c>
      <c r="D1512" s="82">
        <v>0</v>
      </c>
    </row>
    <row r="1513" spans="1:4" x14ac:dyDescent="0.3">
      <c r="A1513" t="s">
        <v>216</v>
      </c>
      <c r="C1513" s="16">
        <v>46196</v>
      </c>
      <c r="D1513" s="82">
        <v>0</v>
      </c>
    </row>
    <row r="1514" spans="1:4" x14ac:dyDescent="0.3">
      <c r="A1514" t="s">
        <v>17</v>
      </c>
      <c r="C1514" s="16">
        <v>46197</v>
      </c>
      <c r="D1514" s="82">
        <v>7742810.7100000009</v>
      </c>
    </row>
    <row r="1515" spans="1:4" x14ac:dyDescent="0.3">
      <c r="A1515" t="s">
        <v>18</v>
      </c>
      <c r="C1515" s="16">
        <v>46197</v>
      </c>
      <c r="D1515" s="82">
        <v>72386.190000000177</v>
      </c>
    </row>
    <row r="1516" spans="1:4" x14ac:dyDescent="0.3">
      <c r="A1516" t="s">
        <v>19</v>
      </c>
      <c r="C1516" s="16">
        <v>46197</v>
      </c>
      <c r="D1516" s="82">
        <v>1669.89</v>
      </c>
    </row>
    <row r="1517" spans="1:4" x14ac:dyDescent="0.3">
      <c r="A1517" t="s">
        <v>20</v>
      </c>
      <c r="C1517" s="16">
        <v>46197</v>
      </c>
      <c r="D1517" s="82">
        <v>532766.72999999986</v>
      </c>
    </row>
    <row r="1518" spans="1:4" x14ac:dyDescent="0.3">
      <c r="A1518" t="s">
        <v>21</v>
      </c>
      <c r="C1518" s="16">
        <v>46197</v>
      </c>
      <c r="D1518" s="82">
        <v>3325868.6899999995</v>
      </c>
    </row>
    <row r="1519" spans="1:4" x14ac:dyDescent="0.3">
      <c r="A1519" t="s">
        <v>22</v>
      </c>
      <c r="C1519" s="16">
        <v>46197</v>
      </c>
      <c r="D1519" s="82">
        <v>116496.38</v>
      </c>
    </row>
    <row r="1520" spans="1:4" x14ac:dyDescent="0.3">
      <c r="A1520" t="s">
        <v>23</v>
      </c>
      <c r="C1520" s="16">
        <v>46197</v>
      </c>
      <c r="D1520" s="82">
        <v>20375.989999999998</v>
      </c>
    </row>
    <row r="1521" spans="1:4" x14ac:dyDescent="0.3">
      <c r="A1521" t="s">
        <v>24</v>
      </c>
      <c r="C1521" s="16">
        <v>46197</v>
      </c>
      <c r="D1521" s="82">
        <v>511.15999999999985</v>
      </c>
    </row>
    <row r="1522" spans="1:4" x14ac:dyDescent="0.3">
      <c r="A1522" t="s">
        <v>25</v>
      </c>
      <c r="C1522" s="16">
        <v>46197</v>
      </c>
      <c r="D1522" s="82">
        <v>84.35</v>
      </c>
    </row>
    <row r="1523" spans="1:4" x14ac:dyDescent="0.3">
      <c r="A1523" t="s">
        <v>26</v>
      </c>
      <c r="C1523" s="16">
        <v>46197</v>
      </c>
      <c r="D1523" s="82">
        <v>2237.77</v>
      </c>
    </row>
    <row r="1524" spans="1:4" x14ac:dyDescent="0.3">
      <c r="A1524" t="s">
        <v>27</v>
      </c>
      <c r="C1524" s="16">
        <v>46197</v>
      </c>
      <c r="D1524" s="82">
        <v>3349.94</v>
      </c>
    </row>
    <row r="1525" spans="1:4" x14ac:dyDescent="0.3">
      <c r="A1525" t="s">
        <v>28</v>
      </c>
      <c r="C1525" s="16">
        <v>46197</v>
      </c>
      <c r="D1525" s="82">
        <v>1968.99</v>
      </c>
    </row>
    <row r="1526" spans="1:4" x14ac:dyDescent="0.3">
      <c r="A1526" t="s">
        <v>29</v>
      </c>
      <c r="C1526" s="16">
        <v>46197</v>
      </c>
      <c r="D1526" s="82">
        <v>382.69000000000005</v>
      </c>
    </row>
    <row r="1527" spans="1:4" x14ac:dyDescent="0.3">
      <c r="A1527" t="s">
        <v>30</v>
      </c>
      <c r="C1527" s="16">
        <v>46197</v>
      </c>
      <c r="D1527" s="82">
        <v>1428.08</v>
      </c>
    </row>
    <row r="1528" spans="1:4" x14ac:dyDescent="0.3">
      <c r="A1528" t="s">
        <v>31</v>
      </c>
      <c r="C1528" s="16">
        <v>46197</v>
      </c>
      <c r="D1528" s="82">
        <v>31039.969999999961</v>
      </c>
    </row>
    <row r="1529" spans="1:4" x14ac:dyDescent="0.3">
      <c r="A1529" t="s">
        <v>32</v>
      </c>
      <c r="C1529" s="16">
        <v>46197</v>
      </c>
      <c r="D1529" s="82">
        <v>20321.43</v>
      </c>
    </row>
    <row r="1530" spans="1:4" x14ac:dyDescent="0.3">
      <c r="A1530" t="s">
        <v>33</v>
      </c>
      <c r="C1530" s="16">
        <v>46197</v>
      </c>
      <c r="D1530" s="82">
        <v>16681.349999999999</v>
      </c>
    </row>
    <row r="1531" spans="1:4" x14ac:dyDescent="0.3">
      <c r="A1531" t="s">
        <v>34</v>
      </c>
      <c r="C1531" s="16">
        <v>46197</v>
      </c>
      <c r="D1531" s="82">
        <v>345</v>
      </c>
    </row>
    <row r="1532" spans="1:4" x14ac:dyDescent="0.3">
      <c r="A1532" t="s">
        <v>35</v>
      </c>
      <c r="C1532" s="16">
        <v>46197</v>
      </c>
      <c r="D1532" s="82">
        <v>49981.31</v>
      </c>
    </row>
    <row r="1533" spans="1:4" x14ac:dyDescent="0.3">
      <c r="A1533" t="s">
        <v>193</v>
      </c>
      <c r="C1533" s="16">
        <v>46197</v>
      </c>
      <c r="D1533" s="82">
        <v>0</v>
      </c>
    </row>
    <row r="1534" spans="1:4" x14ac:dyDescent="0.3">
      <c r="A1534" t="s">
        <v>214</v>
      </c>
      <c r="C1534" s="16">
        <v>46197</v>
      </c>
      <c r="D1534" s="82">
        <v>0</v>
      </c>
    </row>
    <row r="1535" spans="1:4" x14ac:dyDescent="0.3">
      <c r="A1535" t="s">
        <v>194</v>
      </c>
      <c r="C1535" s="16">
        <v>46197</v>
      </c>
      <c r="D1535" s="82">
        <v>0</v>
      </c>
    </row>
    <row r="1536" spans="1:4" x14ac:dyDescent="0.3">
      <c r="A1536" t="s">
        <v>195</v>
      </c>
      <c r="C1536" s="16">
        <v>46197</v>
      </c>
      <c r="D1536" s="82">
        <v>0</v>
      </c>
    </row>
    <row r="1537" spans="1:4" x14ac:dyDescent="0.3">
      <c r="A1537" t="s">
        <v>196</v>
      </c>
      <c r="C1537" s="16">
        <v>46197</v>
      </c>
      <c r="D1537" s="82">
        <v>0</v>
      </c>
    </row>
    <row r="1538" spans="1:4" x14ac:dyDescent="0.3">
      <c r="A1538" t="s">
        <v>197</v>
      </c>
      <c r="C1538" s="16">
        <v>46197</v>
      </c>
      <c r="D1538" s="82">
        <v>0</v>
      </c>
    </row>
    <row r="1539" spans="1:4" x14ac:dyDescent="0.3">
      <c r="A1539" t="s">
        <v>212</v>
      </c>
      <c r="C1539" s="16">
        <v>46197</v>
      </c>
      <c r="D1539" s="82">
        <v>0</v>
      </c>
    </row>
    <row r="1540" spans="1:4" x14ac:dyDescent="0.3">
      <c r="A1540" t="s">
        <v>199</v>
      </c>
      <c r="C1540" s="16">
        <v>46197</v>
      </c>
      <c r="D1540" s="82">
        <v>0</v>
      </c>
    </row>
    <row r="1541" spans="1:4" x14ac:dyDescent="0.3">
      <c r="A1541" t="s">
        <v>216</v>
      </c>
      <c r="C1541" s="16">
        <v>46197</v>
      </c>
      <c r="D1541" s="82">
        <v>0</v>
      </c>
    </row>
    <row r="1542" spans="1:4" x14ac:dyDescent="0.3">
      <c r="A1542" t="s">
        <v>17</v>
      </c>
      <c r="C1542" s="16">
        <v>46198</v>
      </c>
      <c r="D1542" s="82">
        <v>6298935.7100000009</v>
      </c>
    </row>
    <row r="1543" spans="1:4" x14ac:dyDescent="0.3">
      <c r="A1543" t="s">
        <v>18</v>
      </c>
      <c r="C1543" s="16">
        <v>46198</v>
      </c>
      <c r="D1543" s="82">
        <v>72386.190000000177</v>
      </c>
    </row>
    <row r="1544" spans="1:4" x14ac:dyDescent="0.3">
      <c r="A1544" t="s">
        <v>19</v>
      </c>
      <c r="C1544" s="16">
        <v>46198</v>
      </c>
      <c r="D1544" s="82">
        <v>1669.89</v>
      </c>
    </row>
    <row r="1545" spans="1:4" x14ac:dyDescent="0.3">
      <c r="A1545" t="s">
        <v>20</v>
      </c>
      <c r="C1545" s="16">
        <v>46198</v>
      </c>
      <c r="D1545" s="82">
        <v>472766.72999999986</v>
      </c>
    </row>
    <row r="1546" spans="1:4" x14ac:dyDescent="0.3">
      <c r="A1546" t="s">
        <v>21</v>
      </c>
      <c r="C1546" s="16">
        <v>46198</v>
      </c>
      <c r="D1546" s="82">
        <v>1933152.7099999995</v>
      </c>
    </row>
    <row r="1547" spans="1:4" x14ac:dyDescent="0.3">
      <c r="A1547" t="s">
        <v>22</v>
      </c>
      <c r="C1547" s="16">
        <v>46198</v>
      </c>
      <c r="D1547" s="82">
        <v>1996496.38</v>
      </c>
    </row>
    <row r="1548" spans="1:4" x14ac:dyDescent="0.3">
      <c r="A1548" t="s">
        <v>23</v>
      </c>
      <c r="C1548" s="16">
        <v>46198</v>
      </c>
      <c r="D1548" s="82">
        <v>330375.99000000005</v>
      </c>
    </row>
    <row r="1549" spans="1:4" x14ac:dyDescent="0.3">
      <c r="A1549" t="s">
        <v>24</v>
      </c>
      <c r="C1549" s="16">
        <v>46198</v>
      </c>
      <c r="D1549" s="82">
        <v>511.15999999999985</v>
      </c>
    </row>
    <row r="1550" spans="1:4" x14ac:dyDescent="0.3">
      <c r="A1550" t="s">
        <v>25</v>
      </c>
      <c r="C1550" s="16">
        <v>46198</v>
      </c>
      <c r="D1550" s="82">
        <v>84.35</v>
      </c>
    </row>
    <row r="1551" spans="1:4" x14ac:dyDescent="0.3">
      <c r="A1551" t="s">
        <v>26</v>
      </c>
      <c r="C1551" s="16">
        <v>46198</v>
      </c>
      <c r="D1551" s="82">
        <v>2237.77</v>
      </c>
    </row>
    <row r="1552" spans="1:4" x14ac:dyDescent="0.3">
      <c r="A1552" t="s">
        <v>27</v>
      </c>
      <c r="C1552" s="16">
        <v>46198</v>
      </c>
      <c r="D1552" s="82">
        <v>3349.94</v>
      </c>
    </row>
    <row r="1553" spans="1:4" x14ac:dyDescent="0.3">
      <c r="A1553" t="s">
        <v>28</v>
      </c>
      <c r="C1553" s="16">
        <v>46198</v>
      </c>
      <c r="D1553" s="82">
        <v>1968.99</v>
      </c>
    </row>
    <row r="1554" spans="1:4" x14ac:dyDescent="0.3">
      <c r="A1554" t="s">
        <v>29</v>
      </c>
      <c r="C1554" s="16">
        <v>46198</v>
      </c>
      <c r="D1554" s="82">
        <v>382.69000000000005</v>
      </c>
    </row>
    <row r="1555" spans="1:4" x14ac:dyDescent="0.3">
      <c r="A1555" t="s">
        <v>30</v>
      </c>
      <c r="C1555" s="16">
        <v>46198</v>
      </c>
      <c r="D1555" s="82">
        <v>1428.08</v>
      </c>
    </row>
    <row r="1556" spans="1:4" x14ac:dyDescent="0.3">
      <c r="A1556" t="s">
        <v>31</v>
      </c>
      <c r="C1556" s="16">
        <v>46198</v>
      </c>
      <c r="D1556" s="82">
        <v>31039.969999999961</v>
      </c>
    </row>
    <row r="1557" spans="1:4" x14ac:dyDescent="0.3">
      <c r="A1557" t="s">
        <v>32</v>
      </c>
      <c r="C1557" s="16">
        <v>46198</v>
      </c>
      <c r="D1557" s="82">
        <v>20321.43</v>
      </c>
    </row>
    <row r="1558" spans="1:4" x14ac:dyDescent="0.3">
      <c r="A1558" t="s">
        <v>33</v>
      </c>
      <c r="C1558" s="16">
        <v>46198</v>
      </c>
      <c r="D1558" s="82">
        <v>28473.599999999999</v>
      </c>
    </row>
    <row r="1559" spans="1:4" x14ac:dyDescent="0.3">
      <c r="A1559" t="s">
        <v>34</v>
      </c>
      <c r="C1559" s="16">
        <v>46198</v>
      </c>
      <c r="D1559" s="82">
        <v>345</v>
      </c>
    </row>
    <row r="1560" spans="1:4" x14ac:dyDescent="0.3">
      <c r="A1560" t="s">
        <v>35</v>
      </c>
      <c r="C1560" s="16">
        <v>46198</v>
      </c>
      <c r="D1560" s="82">
        <v>38025.43</v>
      </c>
    </row>
    <row r="1561" spans="1:4" x14ac:dyDescent="0.3">
      <c r="A1561" t="s">
        <v>193</v>
      </c>
      <c r="C1561" s="16">
        <v>46198</v>
      </c>
      <c r="D1561" s="82">
        <v>0</v>
      </c>
    </row>
    <row r="1562" spans="1:4" x14ac:dyDescent="0.3">
      <c r="A1562" t="s">
        <v>214</v>
      </c>
      <c r="C1562" s="16">
        <v>46198</v>
      </c>
      <c r="D1562" s="82">
        <v>0</v>
      </c>
    </row>
    <row r="1563" spans="1:4" x14ac:dyDescent="0.3">
      <c r="A1563" t="s">
        <v>194</v>
      </c>
      <c r="C1563" s="16">
        <v>46198</v>
      </c>
      <c r="D1563" s="82">
        <v>0</v>
      </c>
    </row>
    <row r="1564" spans="1:4" x14ac:dyDescent="0.3">
      <c r="A1564" t="s">
        <v>195</v>
      </c>
      <c r="C1564" s="16">
        <v>46198</v>
      </c>
      <c r="D1564" s="82">
        <v>0</v>
      </c>
    </row>
    <row r="1565" spans="1:4" x14ac:dyDescent="0.3">
      <c r="A1565" t="s">
        <v>196</v>
      </c>
      <c r="C1565" s="16">
        <v>46198</v>
      </c>
      <c r="D1565" s="82">
        <v>0</v>
      </c>
    </row>
    <row r="1566" spans="1:4" x14ac:dyDescent="0.3">
      <c r="A1566" t="s">
        <v>197</v>
      </c>
      <c r="C1566" s="16">
        <v>46198</v>
      </c>
      <c r="D1566" s="82">
        <v>0</v>
      </c>
    </row>
    <row r="1567" spans="1:4" x14ac:dyDescent="0.3">
      <c r="A1567" t="s">
        <v>212</v>
      </c>
      <c r="C1567" s="16">
        <v>46198</v>
      </c>
      <c r="D1567" s="82">
        <v>0</v>
      </c>
    </row>
    <row r="1568" spans="1:4" x14ac:dyDescent="0.3">
      <c r="A1568" t="s">
        <v>199</v>
      </c>
      <c r="C1568" s="16">
        <v>46198</v>
      </c>
      <c r="D1568" s="82">
        <v>0</v>
      </c>
    </row>
    <row r="1569" spans="1:4" x14ac:dyDescent="0.3">
      <c r="A1569" t="s">
        <v>216</v>
      </c>
      <c r="C1569" s="16">
        <v>46198</v>
      </c>
      <c r="D1569" s="82">
        <v>0</v>
      </c>
    </row>
    <row r="1570" spans="1:4" x14ac:dyDescent="0.3">
      <c r="A1570" t="s">
        <v>17</v>
      </c>
      <c r="C1570" s="16">
        <v>46199</v>
      </c>
      <c r="D1570" s="82">
        <v>6288055.7100000009</v>
      </c>
    </row>
    <row r="1571" spans="1:4" x14ac:dyDescent="0.3">
      <c r="A1571" t="s">
        <v>18</v>
      </c>
      <c r="C1571" s="16">
        <v>46199</v>
      </c>
      <c r="D1571" s="82">
        <v>72386.190000000177</v>
      </c>
    </row>
    <row r="1572" spans="1:4" x14ac:dyDescent="0.3">
      <c r="A1572" t="s">
        <v>19</v>
      </c>
      <c r="C1572" s="16">
        <v>46199</v>
      </c>
      <c r="D1572" s="82">
        <v>1669.89</v>
      </c>
    </row>
    <row r="1573" spans="1:4" x14ac:dyDescent="0.3">
      <c r="A1573" t="s">
        <v>20</v>
      </c>
      <c r="C1573" s="16">
        <v>46199</v>
      </c>
      <c r="D1573" s="82">
        <v>472766.72999999986</v>
      </c>
    </row>
    <row r="1574" spans="1:4" x14ac:dyDescent="0.3">
      <c r="A1574" t="s">
        <v>21</v>
      </c>
      <c r="C1574" s="16">
        <v>46199</v>
      </c>
      <c r="D1574" s="82">
        <v>1932389.7199999993</v>
      </c>
    </row>
    <row r="1575" spans="1:4" x14ac:dyDescent="0.3">
      <c r="A1575" t="s">
        <v>22</v>
      </c>
      <c r="C1575" s="16">
        <v>46199</v>
      </c>
      <c r="D1575" s="82">
        <v>1396496.38</v>
      </c>
    </row>
    <row r="1576" spans="1:4" x14ac:dyDescent="0.3">
      <c r="A1576" t="s">
        <v>23</v>
      </c>
      <c r="C1576" s="16">
        <v>46199</v>
      </c>
      <c r="D1576" s="82">
        <v>330375.99000000005</v>
      </c>
    </row>
    <row r="1577" spans="1:4" x14ac:dyDescent="0.3">
      <c r="A1577" t="s">
        <v>24</v>
      </c>
      <c r="C1577" s="16">
        <v>46199</v>
      </c>
      <c r="D1577" s="82">
        <v>511.15999999999985</v>
      </c>
    </row>
    <row r="1578" spans="1:4" x14ac:dyDescent="0.3">
      <c r="A1578" t="s">
        <v>25</v>
      </c>
      <c r="C1578" s="16">
        <v>46199</v>
      </c>
      <c r="D1578" s="82">
        <v>84.35</v>
      </c>
    </row>
    <row r="1579" spans="1:4" x14ac:dyDescent="0.3">
      <c r="A1579" t="s">
        <v>26</v>
      </c>
      <c r="C1579" s="16">
        <v>46199</v>
      </c>
      <c r="D1579" s="82">
        <v>2237.77</v>
      </c>
    </row>
    <row r="1580" spans="1:4" x14ac:dyDescent="0.3">
      <c r="A1580" t="s">
        <v>27</v>
      </c>
      <c r="C1580" s="16">
        <v>46199</v>
      </c>
      <c r="D1580" s="82">
        <v>3349.94</v>
      </c>
    </row>
    <row r="1581" spans="1:4" x14ac:dyDescent="0.3">
      <c r="A1581" t="s">
        <v>28</v>
      </c>
      <c r="C1581" s="16">
        <v>46199</v>
      </c>
      <c r="D1581" s="82">
        <v>1968.99</v>
      </c>
    </row>
    <row r="1582" spans="1:4" x14ac:dyDescent="0.3">
      <c r="A1582" t="s">
        <v>29</v>
      </c>
      <c r="C1582" s="16">
        <v>46199</v>
      </c>
      <c r="D1582" s="82">
        <v>382.69000000000005</v>
      </c>
    </row>
    <row r="1583" spans="1:4" x14ac:dyDescent="0.3">
      <c r="A1583" t="s">
        <v>30</v>
      </c>
      <c r="C1583" s="16">
        <v>46199</v>
      </c>
      <c r="D1583" s="82">
        <v>1428.08</v>
      </c>
    </row>
    <row r="1584" spans="1:4" x14ac:dyDescent="0.3">
      <c r="A1584" t="s">
        <v>31</v>
      </c>
      <c r="C1584" s="16">
        <v>46199</v>
      </c>
      <c r="D1584" s="82">
        <v>31039.969999999961</v>
      </c>
    </row>
    <row r="1585" spans="1:4" x14ac:dyDescent="0.3">
      <c r="A1585" t="s">
        <v>32</v>
      </c>
      <c r="C1585" s="16">
        <v>46199</v>
      </c>
      <c r="D1585" s="82">
        <v>20321.43</v>
      </c>
    </row>
    <row r="1586" spans="1:4" x14ac:dyDescent="0.3">
      <c r="A1586" t="s">
        <v>33</v>
      </c>
      <c r="C1586" s="16">
        <v>46199</v>
      </c>
      <c r="D1586" s="82">
        <v>28458.6</v>
      </c>
    </row>
    <row r="1587" spans="1:4" x14ac:dyDescent="0.3">
      <c r="A1587" t="s">
        <v>34</v>
      </c>
      <c r="C1587" s="16">
        <v>46199</v>
      </c>
      <c r="D1587" s="82">
        <v>345</v>
      </c>
    </row>
    <row r="1588" spans="1:4" x14ac:dyDescent="0.3">
      <c r="A1588" t="s">
        <v>35</v>
      </c>
      <c r="C1588" s="16">
        <v>46199</v>
      </c>
      <c r="D1588" s="82">
        <v>29918.639999999999</v>
      </c>
    </row>
    <row r="1589" spans="1:4" x14ac:dyDescent="0.3">
      <c r="A1589" t="s">
        <v>193</v>
      </c>
      <c r="C1589" s="16">
        <v>46199</v>
      </c>
      <c r="D1589" s="82">
        <v>0</v>
      </c>
    </row>
    <row r="1590" spans="1:4" x14ac:dyDescent="0.3">
      <c r="A1590" t="s">
        <v>214</v>
      </c>
      <c r="C1590" s="16">
        <v>46199</v>
      </c>
      <c r="D1590" s="82">
        <v>0</v>
      </c>
    </row>
    <row r="1591" spans="1:4" x14ac:dyDescent="0.3">
      <c r="A1591" t="s">
        <v>194</v>
      </c>
      <c r="C1591" s="16">
        <v>46199</v>
      </c>
      <c r="D1591" s="82">
        <v>0</v>
      </c>
    </row>
    <row r="1592" spans="1:4" x14ac:dyDescent="0.3">
      <c r="A1592" t="s">
        <v>195</v>
      </c>
      <c r="C1592" s="16">
        <v>46199</v>
      </c>
      <c r="D1592" s="82">
        <v>0</v>
      </c>
    </row>
    <row r="1593" spans="1:4" x14ac:dyDescent="0.3">
      <c r="A1593" t="s">
        <v>196</v>
      </c>
      <c r="C1593" s="16">
        <v>46199</v>
      </c>
      <c r="D1593" s="82">
        <v>0</v>
      </c>
    </row>
    <row r="1594" spans="1:4" x14ac:dyDescent="0.3">
      <c r="A1594" t="s">
        <v>197</v>
      </c>
      <c r="C1594" s="16">
        <v>46199</v>
      </c>
      <c r="D1594" s="82">
        <v>0</v>
      </c>
    </row>
    <row r="1595" spans="1:4" x14ac:dyDescent="0.3">
      <c r="A1595" t="s">
        <v>212</v>
      </c>
      <c r="C1595" s="16">
        <v>46199</v>
      </c>
      <c r="D1595" s="82">
        <v>0</v>
      </c>
    </row>
    <row r="1596" spans="1:4" x14ac:dyDescent="0.3">
      <c r="A1596" t="s">
        <v>199</v>
      </c>
      <c r="C1596" s="16">
        <v>46199</v>
      </c>
      <c r="D1596" s="82">
        <v>0</v>
      </c>
    </row>
    <row r="1597" spans="1:4" x14ac:dyDescent="0.3">
      <c r="A1597" t="s">
        <v>216</v>
      </c>
      <c r="C1597" s="16">
        <v>46199</v>
      </c>
      <c r="D1597" s="82">
        <v>0</v>
      </c>
    </row>
    <row r="1598" spans="1:4" x14ac:dyDescent="0.3">
      <c r="A1598" t="s">
        <v>17</v>
      </c>
      <c r="C1598" s="16">
        <v>46200</v>
      </c>
      <c r="D1598" s="82">
        <v>6288055.7100000009</v>
      </c>
    </row>
    <row r="1599" spans="1:4" x14ac:dyDescent="0.3">
      <c r="A1599" t="s">
        <v>18</v>
      </c>
      <c r="C1599" s="16">
        <v>46200</v>
      </c>
      <c r="D1599" s="82">
        <v>72386.190000000177</v>
      </c>
    </row>
    <row r="1600" spans="1:4" x14ac:dyDescent="0.3">
      <c r="A1600" t="s">
        <v>19</v>
      </c>
      <c r="C1600" s="16">
        <v>46200</v>
      </c>
      <c r="D1600" s="82">
        <v>1669.89</v>
      </c>
    </row>
    <row r="1601" spans="1:4" x14ac:dyDescent="0.3">
      <c r="A1601" t="s">
        <v>20</v>
      </c>
      <c r="C1601" s="16">
        <v>46200</v>
      </c>
      <c r="D1601" s="82">
        <v>472766.72999999986</v>
      </c>
    </row>
    <row r="1602" spans="1:4" x14ac:dyDescent="0.3">
      <c r="A1602" t="s">
        <v>21</v>
      </c>
      <c r="C1602" s="16">
        <v>46200</v>
      </c>
      <c r="D1602" s="82">
        <v>1932389.7199999993</v>
      </c>
    </row>
    <row r="1603" spans="1:4" x14ac:dyDescent="0.3">
      <c r="A1603" t="s">
        <v>22</v>
      </c>
      <c r="C1603" s="16">
        <v>46200</v>
      </c>
      <c r="D1603" s="82">
        <v>1396496.38</v>
      </c>
    </row>
    <row r="1604" spans="1:4" x14ac:dyDescent="0.3">
      <c r="A1604" t="s">
        <v>23</v>
      </c>
      <c r="C1604" s="16">
        <v>46200</v>
      </c>
      <c r="D1604" s="82">
        <v>330375.99000000005</v>
      </c>
    </row>
    <row r="1605" spans="1:4" x14ac:dyDescent="0.3">
      <c r="A1605" t="s">
        <v>24</v>
      </c>
      <c r="C1605" s="16">
        <v>46200</v>
      </c>
      <c r="D1605" s="82">
        <v>511.15999999999985</v>
      </c>
    </row>
    <row r="1606" spans="1:4" x14ac:dyDescent="0.3">
      <c r="A1606" t="s">
        <v>25</v>
      </c>
      <c r="C1606" s="16">
        <v>46200</v>
      </c>
      <c r="D1606" s="82">
        <v>84.35</v>
      </c>
    </row>
    <row r="1607" spans="1:4" x14ac:dyDescent="0.3">
      <c r="A1607" t="s">
        <v>26</v>
      </c>
      <c r="C1607" s="16">
        <v>46200</v>
      </c>
      <c r="D1607" s="82">
        <v>2237.77</v>
      </c>
    </row>
    <row r="1608" spans="1:4" x14ac:dyDescent="0.3">
      <c r="A1608" t="s">
        <v>27</v>
      </c>
      <c r="C1608" s="16">
        <v>46200</v>
      </c>
      <c r="D1608" s="82">
        <v>3349.94</v>
      </c>
    </row>
    <row r="1609" spans="1:4" x14ac:dyDescent="0.3">
      <c r="A1609" t="s">
        <v>28</v>
      </c>
      <c r="C1609" s="16">
        <v>46200</v>
      </c>
      <c r="D1609" s="82">
        <v>1968.99</v>
      </c>
    </row>
    <row r="1610" spans="1:4" x14ac:dyDescent="0.3">
      <c r="A1610" t="s">
        <v>29</v>
      </c>
      <c r="C1610" s="16">
        <v>46200</v>
      </c>
      <c r="D1610" s="82">
        <v>382.69000000000005</v>
      </c>
    </row>
    <row r="1611" spans="1:4" x14ac:dyDescent="0.3">
      <c r="A1611" t="s">
        <v>30</v>
      </c>
      <c r="C1611" s="16">
        <v>46200</v>
      </c>
      <c r="D1611" s="82">
        <v>1428.08</v>
      </c>
    </row>
    <row r="1612" spans="1:4" x14ac:dyDescent="0.3">
      <c r="A1612" t="s">
        <v>31</v>
      </c>
      <c r="C1612" s="16">
        <v>46200</v>
      </c>
      <c r="D1612" s="82">
        <v>31039.969999999961</v>
      </c>
    </row>
    <row r="1613" spans="1:4" x14ac:dyDescent="0.3">
      <c r="A1613" t="s">
        <v>32</v>
      </c>
      <c r="C1613" s="16">
        <v>46200</v>
      </c>
      <c r="D1613" s="82">
        <v>20321.43</v>
      </c>
    </row>
    <row r="1614" spans="1:4" x14ac:dyDescent="0.3">
      <c r="A1614" t="s">
        <v>33</v>
      </c>
      <c r="C1614" s="16">
        <v>46200</v>
      </c>
      <c r="D1614" s="82">
        <v>28458.6</v>
      </c>
    </row>
    <row r="1615" spans="1:4" x14ac:dyDescent="0.3">
      <c r="A1615" t="s">
        <v>34</v>
      </c>
      <c r="C1615" s="16">
        <v>46200</v>
      </c>
      <c r="D1615" s="82">
        <v>345</v>
      </c>
    </row>
    <row r="1616" spans="1:4" x14ac:dyDescent="0.3">
      <c r="A1616" t="s">
        <v>35</v>
      </c>
      <c r="C1616" s="16">
        <v>46200</v>
      </c>
      <c r="D1616" s="82">
        <v>29918.639999999999</v>
      </c>
    </row>
    <row r="1617" spans="1:4" x14ac:dyDescent="0.3">
      <c r="A1617" t="s">
        <v>193</v>
      </c>
      <c r="C1617" s="16">
        <v>46200</v>
      </c>
      <c r="D1617" s="82">
        <v>0</v>
      </c>
    </row>
    <row r="1618" spans="1:4" x14ac:dyDescent="0.3">
      <c r="A1618" t="s">
        <v>214</v>
      </c>
      <c r="C1618" s="16">
        <v>46200</v>
      </c>
      <c r="D1618" s="82">
        <v>0</v>
      </c>
    </row>
    <row r="1619" spans="1:4" x14ac:dyDescent="0.3">
      <c r="A1619" t="s">
        <v>194</v>
      </c>
      <c r="C1619" s="16">
        <v>46200</v>
      </c>
      <c r="D1619" s="82">
        <v>0</v>
      </c>
    </row>
    <row r="1620" spans="1:4" x14ac:dyDescent="0.3">
      <c r="A1620" t="s">
        <v>195</v>
      </c>
      <c r="C1620" s="16">
        <v>46200</v>
      </c>
      <c r="D1620" s="82">
        <v>0</v>
      </c>
    </row>
    <row r="1621" spans="1:4" x14ac:dyDescent="0.3">
      <c r="A1621" t="s">
        <v>196</v>
      </c>
      <c r="C1621" s="16">
        <v>46200</v>
      </c>
      <c r="D1621" s="82">
        <v>0</v>
      </c>
    </row>
    <row r="1622" spans="1:4" x14ac:dyDescent="0.3">
      <c r="A1622" t="s">
        <v>197</v>
      </c>
      <c r="C1622" s="16">
        <v>46200</v>
      </c>
      <c r="D1622" s="82">
        <v>0</v>
      </c>
    </row>
    <row r="1623" spans="1:4" x14ac:dyDescent="0.3">
      <c r="A1623" t="s">
        <v>212</v>
      </c>
      <c r="C1623" s="16">
        <v>46200</v>
      </c>
      <c r="D1623" s="82">
        <v>0</v>
      </c>
    </row>
    <row r="1624" spans="1:4" x14ac:dyDescent="0.3">
      <c r="A1624" t="s">
        <v>199</v>
      </c>
      <c r="C1624" s="16">
        <v>46200</v>
      </c>
      <c r="D1624" s="82">
        <v>0</v>
      </c>
    </row>
    <row r="1625" spans="1:4" x14ac:dyDescent="0.3">
      <c r="A1625" t="s">
        <v>216</v>
      </c>
      <c r="C1625" s="16">
        <v>46200</v>
      </c>
      <c r="D1625" s="82">
        <v>0</v>
      </c>
    </row>
    <row r="1626" spans="1:4" x14ac:dyDescent="0.3">
      <c r="A1626" t="s">
        <v>17</v>
      </c>
      <c r="C1626" s="16">
        <v>46201</v>
      </c>
      <c r="D1626" s="82">
        <v>6288055.7100000009</v>
      </c>
    </row>
    <row r="1627" spans="1:4" x14ac:dyDescent="0.3">
      <c r="A1627" t="s">
        <v>18</v>
      </c>
      <c r="C1627" s="16">
        <v>46201</v>
      </c>
      <c r="D1627" s="82">
        <v>72386.190000000177</v>
      </c>
    </row>
    <row r="1628" spans="1:4" x14ac:dyDescent="0.3">
      <c r="A1628" t="s">
        <v>19</v>
      </c>
      <c r="C1628" s="16">
        <v>46201</v>
      </c>
      <c r="D1628" s="82">
        <v>1669.89</v>
      </c>
    </row>
    <row r="1629" spans="1:4" x14ac:dyDescent="0.3">
      <c r="A1629" t="s">
        <v>20</v>
      </c>
      <c r="C1629" s="16">
        <v>46201</v>
      </c>
      <c r="D1629" s="82">
        <v>472766.72999999986</v>
      </c>
    </row>
    <row r="1630" spans="1:4" x14ac:dyDescent="0.3">
      <c r="A1630" t="s">
        <v>21</v>
      </c>
      <c r="C1630" s="16">
        <v>46201</v>
      </c>
      <c r="D1630" s="82">
        <v>1932389.7199999993</v>
      </c>
    </row>
    <row r="1631" spans="1:4" x14ac:dyDescent="0.3">
      <c r="A1631" t="s">
        <v>22</v>
      </c>
      <c r="C1631" s="16">
        <v>46201</v>
      </c>
      <c r="D1631" s="82">
        <v>1396496.38</v>
      </c>
    </row>
    <row r="1632" spans="1:4" x14ac:dyDescent="0.3">
      <c r="A1632" t="s">
        <v>23</v>
      </c>
      <c r="C1632" s="16">
        <v>46201</v>
      </c>
      <c r="D1632" s="82">
        <v>330375.99000000005</v>
      </c>
    </row>
    <row r="1633" spans="1:4" x14ac:dyDescent="0.3">
      <c r="A1633" t="s">
        <v>24</v>
      </c>
      <c r="C1633" s="16">
        <v>46201</v>
      </c>
      <c r="D1633" s="82">
        <v>511.15999999999985</v>
      </c>
    </row>
    <row r="1634" spans="1:4" x14ac:dyDescent="0.3">
      <c r="A1634" t="s">
        <v>25</v>
      </c>
      <c r="C1634" s="16">
        <v>46201</v>
      </c>
      <c r="D1634" s="82">
        <v>84.35</v>
      </c>
    </row>
    <row r="1635" spans="1:4" x14ac:dyDescent="0.3">
      <c r="A1635" t="s">
        <v>26</v>
      </c>
      <c r="C1635" s="16">
        <v>46201</v>
      </c>
      <c r="D1635" s="82">
        <v>2237.77</v>
      </c>
    </row>
    <row r="1636" spans="1:4" x14ac:dyDescent="0.3">
      <c r="A1636" t="s">
        <v>27</v>
      </c>
      <c r="C1636" s="16">
        <v>46201</v>
      </c>
      <c r="D1636" s="82">
        <v>3349.94</v>
      </c>
    </row>
    <row r="1637" spans="1:4" x14ac:dyDescent="0.3">
      <c r="A1637" t="s">
        <v>28</v>
      </c>
      <c r="C1637" s="16">
        <v>46201</v>
      </c>
      <c r="D1637" s="82">
        <v>1968.99</v>
      </c>
    </row>
    <row r="1638" spans="1:4" x14ac:dyDescent="0.3">
      <c r="A1638" t="s">
        <v>29</v>
      </c>
      <c r="C1638" s="16">
        <v>46201</v>
      </c>
      <c r="D1638" s="82">
        <v>382.69000000000005</v>
      </c>
    </row>
    <row r="1639" spans="1:4" x14ac:dyDescent="0.3">
      <c r="A1639" t="s">
        <v>30</v>
      </c>
      <c r="C1639" s="16">
        <v>46201</v>
      </c>
      <c r="D1639" s="82">
        <v>1428.08</v>
      </c>
    </row>
    <row r="1640" spans="1:4" x14ac:dyDescent="0.3">
      <c r="A1640" t="s">
        <v>31</v>
      </c>
      <c r="C1640" s="16">
        <v>46201</v>
      </c>
      <c r="D1640" s="82">
        <v>31039.969999999961</v>
      </c>
    </row>
    <row r="1641" spans="1:4" x14ac:dyDescent="0.3">
      <c r="A1641" t="s">
        <v>32</v>
      </c>
      <c r="C1641" s="16">
        <v>46201</v>
      </c>
      <c r="D1641" s="82">
        <v>20321.43</v>
      </c>
    </row>
    <row r="1642" spans="1:4" x14ac:dyDescent="0.3">
      <c r="A1642" t="s">
        <v>33</v>
      </c>
      <c r="C1642" s="16">
        <v>46201</v>
      </c>
      <c r="D1642" s="82">
        <v>28458.6</v>
      </c>
    </row>
    <row r="1643" spans="1:4" x14ac:dyDescent="0.3">
      <c r="A1643" t="s">
        <v>34</v>
      </c>
      <c r="C1643" s="16">
        <v>46201</v>
      </c>
      <c r="D1643" s="82">
        <v>345</v>
      </c>
    </row>
    <row r="1644" spans="1:4" x14ac:dyDescent="0.3">
      <c r="A1644" t="s">
        <v>35</v>
      </c>
      <c r="C1644" s="16">
        <v>46201</v>
      </c>
      <c r="D1644" s="82">
        <v>29918.639999999999</v>
      </c>
    </row>
    <row r="1645" spans="1:4" x14ac:dyDescent="0.3">
      <c r="A1645" t="s">
        <v>193</v>
      </c>
      <c r="C1645" s="16">
        <v>46201</v>
      </c>
      <c r="D1645" s="82">
        <v>0</v>
      </c>
    </row>
    <row r="1646" spans="1:4" x14ac:dyDescent="0.3">
      <c r="A1646" t="s">
        <v>214</v>
      </c>
      <c r="C1646" s="16">
        <v>46201</v>
      </c>
      <c r="D1646" s="82">
        <v>0</v>
      </c>
    </row>
    <row r="1647" spans="1:4" x14ac:dyDescent="0.3">
      <c r="A1647" t="s">
        <v>194</v>
      </c>
      <c r="C1647" s="16">
        <v>46201</v>
      </c>
      <c r="D1647" s="82">
        <v>0</v>
      </c>
    </row>
    <row r="1648" spans="1:4" x14ac:dyDescent="0.3">
      <c r="A1648" t="s">
        <v>195</v>
      </c>
      <c r="C1648" s="16">
        <v>46201</v>
      </c>
      <c r="D1648" s="82">
        <v>0</v>
      </c>
    </row>
    <row r="1649" spans="1:4" x14ac:dyDescent="0.3">
      <c r="A1649" t="s">
        <v>196</v>
      </c>
      <c r="C1649" s="16">
        <v>46201</v>
      </c>
      <c r="D1649" s="82">
        <v>0</v>
      </c>
    </row>
    <row r="1650" spans="1:4" x14ac:dyDescent="0.3">
      <c r="A1650" t="s">
        <v>197</v>
      </c>
      <c r="C1650" s="16">
        <v>46201</v>
      </c>
      <c r="D1650" s="82">
        <v>0</v>
      </c>
    </row>
    <row r="1651" spans="1:4" x14ac:dyDescent="0.3">
      <c r="A1651" t="s">
        <v>212</v>
      </c>
      <c r="C1651" s="16">
        <v>46201</v>
      </c>
      <c r="D1651" s="82">
        <v>0</v>
      </c>
    </row>
    <row r="1652" spans="1:4" x14ac:dyDescent="0.3">
      <c r="A1652" t="s">
        <v>199</v>
      </c>
      <c r="C1652" s="16">
        <v>46201</v>
      </c>
      <c r="D1652" s="82">
        <v>0</v>
      </c>
    </row>
    <row r="1653" spans="1:4" x14ac:dyDescent="0.3">
      <c r="A1653" t="s">
        <v>216</v>
      </c>
      <c r="C1653" s="16">
        <v>46201</v>
      </c>
      <c r="D1653" s="82">
        <v>0</v>
      </c>
    </row>
    <row r="1654" spans="1:4" x14ac:dyDescent="0.3">
      <c r="A1654" t="s">
        <v>17</v>
      </c>
      <c r="C1654" s="16">
        <v>46202</v>
      </c>
      <c r="D1654" s="82">
        <v>6299174.8100000015</v>
      </c>
    </row>
    <row r="1655" spans="1:4" x14ac:dyDescent="0.3">
      <c r="A1655" t="s">
        <v>18</v>
      </c>
      <c r="C1655" s="16">
        <v>46202</v>
      </c>
      <c r="D1655" s="82">
        <v>72386.190000000177</v>
      </c>
    </row>
    <row r="1656" spans="1:4" x14ac:dyDescent="0.3">
      <c r="A1656" t="s">
        <v>19</v>
      </c>
      <c r="C1656" s="16">
        <v>46202</v>
      </c>
      <c r="D1656" s="82">
        <v>1669.89</v>
      </c>
    </row>
    <row r="1657" spans="1:4" x14ac:dyDescent="0.3">
      <c r="A1657" t="s">
        <v>20</v>
      </c>
      <c r="C1657" s="16">
        <v>46202</v>
      </c>
      <c r="D1657" s="82">
        <v>489745.62999999989</v>
      </c>
    </row>
    <row r="1658" spans="1:4" x14ac:dyDescent="0.3">
      <c r="A1658" t="s">
        <v>21</v>
      </c>
      <c r="C1658" s="16">
        <v>46202</v>
      </c>
      <c r="D1658" s="82">
        <v>1768167.9199999995</v>
      </c>
    </row>
    <row r="1659" spans="1:4" x14ac:dyDescent="0.3">
      <c r="A1659" t="s">
        <v>22</v>
      </c>
      <c r="C1659" s="16">
        <v>46202</v>
      </c>
      <c r="D1659" s="82">
        <v>396496.38</v>
      </c>
    </row>
    <row r="1660" spans="1:4" x14ac:dyDescent="0.3">
      <c r="A1660" t="s">
        <v>23</v>
      </c>
      <c r="C1660" s="16">
        <v>46202</v>
      </c>
      <c r="D1660" s="82">
        <v>327405.99000000005</v>
      </c>
    </row>
    <row r="1661" spans="1:4" x14ac:dyDescent="0.3">
      <c r="A1661" t="s">
        <v>24</v>
      </c>
      <c r="C1661" s="16">
        <v>46202</v>
      </c>
      <c r="D1661" s="82">
        <v>511.15999999999985</v>
      </c>
    </row>
    <row r="1662" spans="1:4" x14ac:dyDescent="0.3">
      <c r="A1662" t="s">
        <v>25</v>
      </c>
      <c r="C1662" s="16">
        <v>46202</v>
      </c>
      <c r="D1662" s="82">
        <v>84.35</v>
      </c>
    </row>
    <row r="1663" spans="1:4" x14ac:dyDescent="0.3">
      <c r="A1663" t="s">
        <v>26</v>
      </c>
      <c r="C1663" s="16">
        <v>46202</v>
      </c>
      <c r="D1663" s="82">
        <v>2237.77</v>
      </c>
    </row>
    <row r="1664" spans="1:4" x14ac:dyDescent="0.3">
      <c r="A1664" t="s">
        <v>27</v>
      </c>
      <c r="C1664" s="16">
        <v>46202</v>
      </c>
      <c r="D1664" s="82">
        <v>3349.94</v>
      </c>
    </row>
    <row r="1665" spans="1:4" x14ac:dyDescent="0.3">
      <c r="A1665" t="s">
        <v>28</v>
      </c>
      <c r="C1665" s="16">
        <v>46202</v>
      </c>
      <c r="D1665" s="82">
        <v>1968.99</v>
      </c>
    </row>
    <row r="1666" spans="1:4" x14ac:dyDescent="0.3">
      <c r="A1666" t="s">
        <v>29</v>
      </c>
      <c r="C1666" s="16">
        <v>46202</v>
      </c>
      <c r="D1666" s="82">
        <v>382.69000000000005</v>
      </c>
    </row>
    <row r="1667" spans="1:4" x14ac:dyDescent="0.3">
      <c r="A1667" t="s">
        <v>30</v>
      </c>
      <c r="C1667" s="16">
        <v>46202</v>
      </c>
      <c r="D1667" s="82">
        <v>1428.08</v>
      </c>
    </row>
    <row r="1668" spans="1:4" x14ac:dyDescent="0.3">
      <c r="A1668" t="s">
        <v>31</v>
      </c>
      <c r="C1668" s="16">
        <v>46202</v>
      </c>
      <c r="D1668" s="82">
        <v>31039.969999999961</v>
      </c>
    </row>
    <row r="1669" spans="1:4" x14ac:dyDescent="0.3">
      <c r="A1669" t="s">
        <v>32</v>
      </c>
      <c r="C1669" s="16">
        <v>46202</v>
      </c>
      <c r="D1669" s="82">
        <v>20321.43</v>
      </c>
    </row>
    <row r="1670" spans="1:4" x14ac:dyDescent="0.3">
      <c r="A1670" t="s">
        <v>33</v>
      </c>
      <c r="C1670" s="16">
        <v>46202</v>
      </c>
      <c r="D1670" s="82">
        <v>28458.6</v>
      </c>
    </row>
    <row r="1671" spans="1:4" x14ac:dyDescent="0.3">
      <c r="A1671" t="s">
        <v>34</v>
      </c>
      <c r="C1671" s="16">
        <v>46202</v>
      </c>
      <c r="D1671" s="82">
        <v>345</v>
      </c>
    </row>
    <row r="1672" spans="1:4" x14ac:dyDescent="0.3">
      <c r="A1672" t="s">
        <v>35</v>
      </c>
      <c r="C1672" s="16">
        <v>46202</v>
      </c>
      <c r="D1672" s="82">
        <v>23872.78</v>
      </c>
    </row>
    <row r="1673" spans="1:4" x14ac:dyDescent="0.3">
      <c r="A1673" t="s">
        <v>193</v>
      </c>
      <c r="C1673" s="16">
        <v>46202</v>
      </c>
      <c r="D1673" s="82">
        <v>0</v>
      </c>
    </row>
    <row r="1674" spans="1:4" x14ac:dyDescent="0.3">
      <c r="A1674" t="s">
        <v>214</v>
      </c>
      <c r="C1674" s="16">
        <v>46202</v>
      </c>
      <c r="D1674" s="82">
        <v>0</v>
      </c>
    </row>
    <row r="1675" spans="1:4" x14ac:dyDescent="0.3">
      <c r="A1675" t="s">
        <v>194</v>
      </c>
      <c r="C1675" s="16">
        <v>46202</v>
      </c>
      <c r="D1675" s="82">
        <v>0</v>
      </c>
    </row>
    <row r="1676" spans="1:4" x14ac:dyDescent="0.3">
      <c r="A1676" t="s">
        <v>195</v>
      </c>
      <c r="C1676" s="16">
        <v>46202</v>
      </c>
      <c r="D1676" s="82">
        <v>0</v>
      </c>
    </row>
    <row r="1677" spans="1:4" x14ac:dyDescent="0.3">
      <c r="A1677" t="s">
        <v>196</v>
      </c>
      <c r="C1677" s="16">
        <v>46202</v>
      </c>
      <c r="D1677" s="82">
        <v>0</v>
      </c>
    </row>
    <row r="1678" spans="1:4" x14ac:dyDescent="0.3">
      <c r="A1678" t="s">
        <v>197</v>
      </c>
      <c r="C1678" s="16">
        <v>46202</v>
      </c>
      <c r="D1678" s="82">
        <v>0</v>
      </c>
    </row>
    <row r="1679" spans="1:4" x14ac:dyDescent="0.3">
      <c r="A1679" t="s">
        <v>212</v>
      </c>
      <c r="C1679" s="16">
        <v>46202</v>
      </c>
      <c r="D1679" s="82">
        <v>0</v>
      </c>
    </row>
    <row r="1680" spans="1:4" x14ac:dyDescent="0.3">
      <c r="A1680" t="s">
        <v>199</v>
      </c>
      <c r="C1680" s="16">
        <v>46202</v>
      </c>
      <c r="D1680" s="82">
        <v>0</v>
      </c>
    </row>
    <row r="1681" spans="1:4" x14ac:dyDescent="0.3">
      <c r="A1681" t="s">
        <v>216</v>
      </c>
      <c r="C1681" s="16">
        <v>46202</v>
      </c>
      <c r="D1681" s="82">
        <v>0</v>
      </c>
    </row>
    <row r="1682" spans="1:4" x14ac:dyDescent="0.3">
      <c r="A1682" t="s">
        <v>17</v>
      </c>
      <c r="C1682" s="16">
        <v>46203</v>
      </c>
      <c r="D1682" s="82">
        <v>6295585.7500000009</v>
      </c>
    </row>
    <row r="1683" spans="1:4" x14ac:dyDescent="0.3">
      <c r="A1683" t="s">
        <v>18</v>
      </c>
      <c r="C1683" s="16">
        <v>46203</v>
      </c>
      <c r="D1683" s="82">
        <v>79139.680000000168</v>
      </c>
    </row>
    <row r="1684" spans="1:4" x14ac:dyDescent="0.3">
      <c r="A1684" t="s">
        <v>19</v>
      </c>
      <c r="C1684" s="16">
        <v>46203</v>
      </c>
      <c r="D1684" s="82">
        <v>1669.89</v>
      </c>
    </row>
    <row r="1685" spans="1:4" x14ac:dyDescent="0.3">
      <c r="A1685" t="s">
        <v>20</v>
      </c>
      <c r="C1685" s="16">
        <v>46203</v>
      </c>
      <c r="D1685" s="82">
        <v>489745.62999999989</v>
      </c>
    </row>
    <row r="1686" spans="1:4" x14ac:dyDescent="0.3">
      <c r="A1686" t="s">
        <v>21</v>
      </c>
      <c r="C1686" s="16">
        <v>46203</v>
      </c>
      <c r="D1686" s="82">
        <v>1696284.7299999995</v>
      </c>
    </row>
    <row r="1687" spans="1:4" x14ac:dyDescent="0.3">
      <c r="A1687" t="s">
        <v>22</v>
      </c>
      <c r="C1687" s="16">
        <v>46203</v>
      </c>
      <c r="D1687" s="82">
        <v>390496.38</v>
      </c>
    </row>
    <row r="1688" spans="1:4" x14ac:dyDescent="0.3">
      <c r="A1688" t="s">
        <v>23</v>
      </c>
      <c r="C1688" s="16">
        <v>46203</v>
      </c>
      <c r="D1688" s="82">
        <v>267503.99000000005</v>
      </c>
    </row>
    <row r="1689" spans="1:4" x14ac:dyDescent="0.3">
      <c r="A1689" t="s">
        <v>24</v>
      </c>
      <c r="C1689" s="16">
        <v>46203</v>
      </c>
      <c r="D1689" s="82">
        <v>511.15999999999985</v>
      </c>
    </row>
    <row r="1690" spans="1:4" x14ac:dyDescent="0.3">
      <c r="A1690" t="s">
        <v>25</v>
      </c>
      <c r="C1690" s="16">
        <v>46203</v>
      </c>
      <c r="D1690" s="82">
        <v>84.35</v>
      </c>
    </row>
    <row r="1691" spans="1:4" x14ac:dyDescent="0.3">
      <c r="A1691" t="s">
        <v>26</v>
      </c>
      <c r="C1691" s="16">
        <v>46203</v>
      </c>
      <c r="D1691" s="82">
        <v>2237.77</v>
      </c>
    </row>
    <row r="1692" spans="1:4" x14ac:dyDescent="0.3">
      <c r="A1692" t="s">
        <v>27</v>
      </c>
      <c r="C1692" s="16">
        <v>46203</v>
      </c>
      <c r="D1692" s="82">
        <v>3349.94</v>
      </c>
    </row>
    <row r="1693" spans="1:4" x14ac:dyDescent="0.3">
      <c r="A1693" t="s">
        <v>28</v>
      </c>
      <c r="C1693" s="16">
        <v>46203</v>
      </c>
      <c r="D1693" s="82">
        <v>1968.99</v>
      </c>
    </row>
    <row r="1694" spans="1:4" x14ac:dyDescent="0.3">
      <c r="A1694" t="s">
        <v>29</v>
      </c>
      <c r="C1694" s="16">
        <v>46203</v>
      </c>
      <c r="D1694" s="82">
        <v>382.69000000000005</v>
      </c>
    </row>
    <row r="1695" spans="1:4" x14ac:dyDescent="0.3">
      <c r="A1695" t="s">
        <v>30</v>
      </c>
      <c r="C1695" s="16">
        <v>46203</v>
      </c>
      <c r="D1695" s="82">
        <v>1428.08</v>
      </c>
    </row>
    <row r="1696" spans="1:4" x14ac:dyDescent="0.3">
      <c r="A1696" t="s">
        <v>31</v>
      </c>
      <c r="C1696" s="16">
        <v>46203</v>
      </c>
      <c r="D1696" s="82">
        <v>31039.969999999961</v>
      </c>
    </row>
    <row r="1697" spans="1:4" x14ac:dyDescent="0.3">
      <c r="A1697" t="s">
        <v>32</v>
      </c>
      <c r="C1697" s="16">
        <v>46203</v>
      </c>
      <c r="D1697" s="82">
        <v>20321.43</v>
      </c>
    </row>
    <row r="1698" spans="1:4" x14ac:dyDescent="0.3">
      <c r="A1698" t="s">
        <v>33</v>
      </c>
      <c r="C1698" s="16">
        <v>46203</v>
      </c>
      <c r="D1698" s="82">
        <v>28458.6</v>
      </c>
    </row>
    <row r="1699" spans="1:4" x14ac:dyDescent="0.3">
      <c r="A1699" t="s">
        <v>34</v>
      </c>
      <c r="C1699" s="16">
        <v>46203</v>
      </c>
      <c r="D1699" s="82">
        <v>345</v>
      </c>
    </row>
    <row r="1700" spans="1:4" x14ac:dyDescent="0.3">
      <c r="A1700" t="s">
        <v>35</v>
      </c>
      <c r="C1700" s="16">
        <v>46203</v>
      </c>
      <c r="D1700" s="82">
        <v>23872.78</v>
      </c>
    </row>
    <row r="1701" spans="1:4" x14ac:dyDescent="0.3">
      <c r="A1701" t="s">
        <v>193</v>
      </c>
      <c r="C1701" s="16">
        <v>46203</v>
      </c>
      <c r="D1701" s="82">
        <v>0</v>
      </c>
    </row>
    <row r="1702" spans="1:4" x14ac:dyDescent="0.3">
      <c r="A1702" t="s">
        <v>214</v>
      </c>
      <c r="C1702" s="16">
        <v>46203</v>
      </c>
      <c r="D1702" s="82">
        <v>0</v>
      </c>
    </row>
    <row r="1703" spans="1:4" x14ac:dyDescent="0.3">
      <c r="A1703" t="s">
        <v>194</v>
      </c>
      <c r="C1703" s="16">
        <v>46203</v>
      </c>
      <c r="D1703" s="82">
        <v>0</v>
      </c>
    </row>
    <row r="1704" spans="1:4" x14ac:dyDescent="0.3">
      <c r="A1704" t="s">
        <v>195</v>
      </c>
      <c r="C1704" s="16">
        <v>46203</v>
      </c>
      <c r="D1704" s="82">
        <v>0</v>
      </c>
    </row>
    <row r="1705" spans="1:4" x14ac:dyDescent="0.3">
      <c r="A1705" t="s">
        <v>196</v>
      </c>
      <c r="C1705" s="16">
        <v>46203</v>
      </c>
      <c r="D1705" s="82">
        <v>0</v>
      </c>
    </row>
    <row r="1706" spans="1:4" x14ac:dyDescent="0.3">
      <c r="A1706" t="s">
        <v>197</v>
      </c>
      <c r="C1706" s="16">
        <v>46203</v>
      </c>
      <c r="D1706" s="82">
        <v>0</v>
      </c>
    </row>
    <row r="1707" spans="1:4" x14ac:dyDescent="0.3">
      <c r="A1707" t="s">
        <v>212</v>
      </c>
      <c r="C1707" s="16">
        <v>46203</v>
      </c>
      <c r="D1707" s="82">
        <v>0</v>
      </c>
    </row>
    <row r="1708" spans="1:4" x14ac:dyDescent="0.3">
      <c r="A1708" t="s">
        <v>199</v>
      </c>
      <c r="C1708" s="16">
        <v>46203</v>
      </c>
      <c r="D1708" s="82">
        <v>0</v>
      </c>
    </row>
    <row r="1709" spans="1:4" x14ac:dyDescent="0.3">
      <c r="A1709" t="s">
        <v>216</v>
      </c>
      <c r="C1709" s="16">
        <v>46203</v>
      </c>
      <c r="D1709" s="82">
        <v>0</v>
      </c>
    </row>
    <row r="1710" spans="1:4" x14ac:dyDescent="0.3">
      <c r="A1710" t="s">
        <v>17</v>
      </c>
      <c r="C1710" s="16">
        <v>46204</v>
      </c>
      <c r="D1710" s="82">
        <v>6295585.7500000009</v>
      </c>
    </row>
    <row r="1711" spans="1:4" x14ac:dyDescent="0.3">
      <c r="A1711" t="s">
        <v>18</v>
      </c>
      <c r="C1711" s="16">
        <v>46204</v>
      </c>
      <c r="D1711" s="82">
        <v>79139.680000000168</v>
      </c>
    </row>
    <row r="1712" spans="1:4" x14ac:dyDescent="0.3">
      <c r="A1712" t="s">
        <v>19</v>
      </c>
      <c r="C1712" s="16">
        <v>46204</v>
      </c>
      <c r="D1712" s="82">
        <v>1669.89</v>
      </c>
    </row>
    <row r="1713" spans="1:4" x14ac:dyDescent="0.3">
      <c r="A1713" t="s">
        <v>20</v>
      </c>
      <c r="C1713" s="16">
        <v>46204</v>
      </c>
      <c r="D1713" s="82">
        <v>507936.37999999989</v>
      </c>
    </row>
    <row r="1714" spans="1:4" x14ac:dyDescent="0.3">
      <c r="A1714" t="s">
        <v>21</v>
      </c>
      <c r="C1714" s="16">
        <v>46204</v>
      </c>
      <c r="D1714" s="82">
        <v>1696284.7299999995</v>
      </c>
    </row>
    <row r="1715" spans="1:4" x14ac:dyDescent="0.3">
      <c r="A1715" t="s">
        <v>22</v>
      </c>
      <c r="C1715" s="16">
        <v>46204</v>
      </c>
      <c r="D1715" s="82">
        <v>390496.38</v>
      </c>
    </row>
    <row r="1716" spans="1:4" x14ac:dyDescent="0.3">
      <c r="A1716" t="s">
        <v>23</v>
      </c>
      <c r="C1716" s="16">
        <v>46204</v>
      </c>
      <c r="D1716" s="82">
        <v>267503.99000000005</v>
      </c>
    </row>
    <row r="1717" spans="1:4" x14ac:dyDescent="0.3">
      <c r="A1717" t="s">
        <v>24</v>
      </c>
      <c r="C1717" s="16">
        <v>46204</v>
      </c>
      <c r="D1717" s="82">
        <v>511.15999999999985</v>
      </c>
    </row>
    <row r="1718" spans="1:4" x14ac:dyDescent="0.3">
      <c r="A1718" t="s">
        <v>25</v>
      </c>
      <c r="C1718" s="16">
        <v>46204</v>
      </c>
      <c r="D1718" s="82">
        <v>54.400000000000006</v>
      </c>
    </row>
    <row r="1719" spans="1:4" x14ac:dyDescent="0.3">
      <c r="A1719" t="s">
        <v>26</v>
      </c>
      <c r="C1719" s="16">
        <v>46204</v>
      </c>
      <c r="D1719" s="82">
        <v>2207.8200000000002</v>
      </c>
    </row>
    <row r="1720" spans="1:4" x14ac:dyDescent="0.3">
      <c r="A1720" t="s">
        <v>27</v>
      </c>
      <c r="C1720" s="16">
        <v>46204</v>
      </c>
      <c r="D1720" s="82">
        <v>3349.94</v>
      </c>
    </row>
    <row r="1721" spans="1:4" x14ac:dyDescent="0.3">
      <c r="A1721" t="s">
        <v>28</v>
      </c>
      <c r="C1721" s="16">
        <v>46204</v>
      </c>
      <c r="D1721" s="82">
        <v>1968.99</v>
      </c>
    </row>
    <row r="1722" spans="1:4" x14ac:dyDescent="0.3">
      <c r="A1722" t="s">
        <v>29</v>
      </c>
      <c r="C1722" s="16">
        <v>46204</v>
      </c>
      <c r="D1722" s="82">
        <v>382.69000000000005</v>
      </c>
    </row>
    <row r="1723" spans="1:4" x14ac:dyDescent="0.3">
      <c r="A1723" t="s">
        <v>30</v>
      </c>
      <c r="C1723" s="16">
        <v>46204</v>
      </c>
      <c r="D1723" s="82">
        <v>1412.08</v>
      </c>
    </row>
    <row r="1724" spans="1:4" x14ac:dyDescent="0.3">
      <c r="A1724" t="s">
        <v>31</v>
      </c>
      <c r="C1724" s="16">
        <v>46204</v>
      </c>
      <c r="D1724" s="82">
        <v>22496.639999999959</v>
      </c>
    </row>
    <row r="1725" spans="1:4" x14ac:dyDescent="0.3">
      <c r="A1725" t="s">
        <v>32</v>
      </c>
      <c r="C1725" s="16">
        <v>46204</v>
      </c>
      <c r="D1725" s="82">
        <v>10522.800000000003</v>
      </c>
    </row>
    <row r="1726" spans="1:4" x14ac:dyDescent="0.3">
      <c r="A1726" t="s">
        <v>33</v>
      </c>
      <c r="C1726" s="16">
        <v>46204</v>
      </c>
      <c r="D1726" s="82">
        <v>19685.559999999998</v>
      </c>
    </row>
    <row r="1727" spans="1:4" x14ac:dyDescent="0.3">
      <c r="A1727" t="s">
        <v>34</v>
      </c>
      <c r="C1727" s="16">
        <v>46204</v>
      </c>
      <c r="D1727" s="82">
        <v>345</v>
      </c>
    </row>
    <row r="1728" spans="1:4" x14ac:dyDescent="0.3">
      <c r="A1728" t="s">
        <v>35</v>
      </c>
      <c r="C1728" s="16">
        <v>46204</v>
      </c>
      <c r="D1728" s="82">
        <v>23439.279999999999</v>
      </c>
    </row>
    <row r="1729" spans="1:4" x14ac:dyDescent="0.3">
      <c r="A1729" t="s">
        <v>193</v>
      </c>
      <c r="C1729" s="16">
        <v>46204</v>
      </c>
      <c r="D1729" s="82">
        <v>0</v>
      </c>
    </row>
    <row r="1730" spans="1:4" x14ac:dyDescent="0.3">
      <c r="A1730" t="s">
        <v>214</v>
      </c>
      <c r="C1730" s="16">
        <v>46204</v>
      </c>
      <c r="D1730" s="82">
        <v>0</v>
      </c>
    </row>
    <row r="1731" spans="1:4" x14ac:dyDescent="0.3">
      <c r="A1731" t="s">
        <v>194</v>
      </c>
      <c r="C1731" s="16">
        <v>46204</v>
      </c>
      <c r="D1731" s="82">
        <v>0</v>
      </c>
    </row>
    <row r="1732" spans="1:4" x14ac:dyDescent="0.3">
      <c r="A1732" t="s">
        <v>195</v>
      </c>
      <c r="C1732" s="16">
        <v>46204</v>
      </c>
      <c r="D1732" s="82">
        <v>0</v>
      </c>
    </row>
    <row r="1733" spans="1:4" x14ac:dyDescent="0.3">
      <c r="A1733" t="s">
        <v>196</v>
      </c>
      <c r="C1733" s="16">
        <v>46204</v>
      </c>
      <c r="D1733" s="82">
        <v>0</v>
      </c>
    </row>
    <row r="1734" spans="1:4" x14ac:dyDescent="0.3">
      <c r="A1734" t="s">
        <v>197</v>
      </c>
      <c r="C1734" s="16">
        <v>46204</v>
      </c>
      <c r="D1734" s="82">
        <v>0</v>
      </c>
    </row>
    <row r="1735" spans="1:4" x14ac:dyDescent="0.3">
      <c r="A1735" t="s">
        <v>212</v>
      </c>
      <c r="C1735" s="16">
        <v>46204</v>
      </c>
      <c r="D1735" s="82">
        <v>0</v>
      </c>
    </row>
    <row r="1736" spans="1:4" x14ac:dyDescent="0.3">
      <c r="A1736" t="s">
        <v>199</v>
      </c>
      <c r="C1736" s="16">
        <v>46204</v>
      </c>
      <c r="D1736" s="82">
        <v>0</v>
      </c>
    </row>
    <row r="1737" spans="1:4" x14ac:dyDescent="0.3">
      <c r="A1737" t="s">
        <v>216</v>
      </c>
      <c r="C1737" s="16">
        <v>46204</v>
      </c>
      <c r="D1737" s="82">
        <v>0</v>
      </c>
    </row>
    <row r="1738" spans="1:4" x14ac:dyDescent="0.3">
      <c r="A1738" t="s">
        <v>17</v>
      </c>
      <c r="C1738" s="16">
        <v>46205</v>
      </c>
      <c r="D1738" s="82">
        <v>5592585.7500000009</v>
      </c>
    </row>
    <row r="1739" spans="1:4" x14ac:dyDescent="0.3">
      <c r="A1739" t="s">
        <v>18</v>
      </c>
      <c r="C1739" s="16">
        <v>46205</v>
      </c>
      <c r="D1739" s="82">
        <v>79139.680000000168</v>
      </c>
    </row>
    <row r="1740" spans="1:4" x14ac:dyDescent="0.3">
      <c r="A1740" t="s">
        <v>19</v>
      </c>
      <c r="C1740" s="16">
        <v>46205</v>
      </c>
      <c r="D1740" s="82">
        <v>1669.89</v>
      </c>
    </row>
    <row r="1741" spans="1:4" x14ac:dyDescent="0.3">
      <c r="A1741" t="s">
        <v>20</v>
      </c>
      <c r="C1741" s="16">
        <v>46205</v>
      </c>
      <c r="D1741" s="82">
        <v>350475.62999999989</v>
      </c>
    </row>
    <row r="1742" spans="1:4" x14ac:dyDescent="0.3">
      <c r="A1742" t="s">
        <v>21</v>
      </c>
      <c r="C1742" s="16">
        <v>46205</v>
      </c>
      <c r="D1742" s="82">
        <v>1761564.8799999994</v>
      </c>
    </row>
    <row r="1743" spans="1:4" x14ac:dyDescent="0.3">
      <c r="A1743" t="s">
        <v>22</v>
      </c>
      <c r="C1743" s="16">
        <v>46205</v>
      </c>
      <c r="D1743" s="82">
        <v>220496.38</v>
      </c>
    </row>
    <row r="1744" spans="1:4" x14ac:dyDescent="0.3">
      <c r="A1744" t="s">
        <v>23</v>
      </c>
      <c r="C1744" s="16">
        <v>46205</v>
      </c>
      <c r="D1744" s="82">
        <v>267503.99000000005</v>
      </c>
    </row>
    <row r="1745" spans="1:4" x14ac:dyDescent="0.3">
      <c r="A1745" t="s">
        <v>24</v>
      </c>
      <c r="C1745" s="16">
        <v>46205</v>
      </c>
      <c r="D1745" s="82">
        <v>511.15999999999985</v>
      </c>
    </row>
    <row r="1746" spans="1:4" x14ac:dyDescent="0.3">
      <c r="A1746" t="s">
        <v>25</v>
      </c>
      <c r="C1746" s="16">
        <v>46205</v>
      </c>
      <c r="D1746" s="82">
        <v>54.400000000000006</v>
      </c>
    </row>
    <row r="1747" spans="1:4" x14ac:dyDescent="0.3">
      <c r="A1747" t="s">
        <v>26</v>
      </c>
      <c r="C1747" s="16">
        <v>46205</v>
      </c>
      <c r="D1747" s="82">
        <v>2207.8200000000002</v>
      </c>
    </row>
    <row r="1748" spans="1:4" x14ac:dyDescent="0.3">
      <c r="A1748" t="s">
        <v>27</v>
      </c>
      <c r="C1748" s="16">
        <v>46205</v>
      </c>
      <c r="D1748" s="82">
        <v>3349.94</v>
      </c>
    </row>
    <row r="1749" spans="1:4" x14ac:dyDescent="0.3">
      <c r="A1749" t="s">
        <v>28</v>
      </c>
      <c r="C1749" s="16">
        <v>46205</v>
      </c>
      <c r="D1749" s="82">
        <v>1968.99</v>
      </c>
    </row>
    <row r="1750" spans="1:4" x14ac:dyDescent="0.3">
      <c r="A1750" t="s">
        <v>29</v>
      </c>
      <c r="C1750" s="16">
        <v>46205</v>
      </c>
      <c r="D1750" s="82">
        <v>382.69000000000005</v>
      </c>
    </row>
    <row r="1751" spans="1:4" x14ac:dyDescent="0.3">
      <c r="A1751" t="s">
        <v>30</v>
      </c>
      <c r="C1751" s="16">
        <v>46205</v>
      </c>
      <c r="D1751" s="82">
        <v>1412.08</v>
      </c>
    </row>
    <row r="1752" spans="1:4" x14ac:dyDescent="0.3">
      <c r="A1752" t="s">
        <v>31</v>
      </c>
      <c r="C1752" s="16">
        <v>46205</v>
      </c>
      <c r="D1752" s="82">
        <v>22496.639999999959</v>
      </c>
    </row>
    <row r="1753" spans="1:4" x14ac:dyDescent="0.3">
      <c r="A1753" t="s">
        <v>32</v>
      </c>
      <c r="C1753" s="16">
        <v>46205</v>
      </c>
      <c r="D1753" s="82">
        <v>10522.800000000003</v>
      </c>
    </row>
    <row r="1754" spans="1:4" x14ac:dyDescent="0.3">
      <c r="A1754" t="s">
        <v>33</v>
      </c>
      <c r="C1754" s="16">
        <v>46205</v>
      </c>
      <c r="D1754" s="82">
        <v>28485.559999999998</v>
      </c>
    </row>
    <row r="1755" spans="1:4" x14ac:dyDescent="0.3">
      <c r="A1755" t="s">
        <v>34</v>
      </c>
      <c r="C1755" s="16">
        <v>46205</v>
      </c>
      <c r="D1755" s="82">
        <v>345</v>
      </c>
    </row>
    <row r="1756" spans="1:4" x14ac:dyDescent="0.3">
      <c r="A1756" t="s">
        <v>35</v>
      </c>
      <c r="C1756" s="16">
        <v>46205</v>
      </c>
      <c r="D1756" s="82">
        <v>36241.22</v>
      </c>
    </row>
    <row r="1757" spans="1:4" x14ac:dyDescent="0.3">
      <c r="A1757" t="s">
        <v>193</v>
      </c>
      <c r="C1757" s="16">
        <v>46205</v>
      </c>
      <c r="D1757" s="82">
        <v>0</v>
      </c>
    </row>
    <row r="1758" spans="1:4" x14ac:dyDescent="0.3">
      <c r="A1758" t="s">
        <v>214</v>
      </c>
      <c r="C1758" s="16">
        <v>46205</v>
      </c>
      <c r="D1758" s="82">
        <v>0</v>
      </c>
    </row>
    <row r="1759" spans="1:4" x14ac:dyDescent="0.3">
      <c r="A1759" t="s">
        <v>194</v>
      </c>
      <c r="C1759" s="16">
        <v>46205</v>
      </c>
      <c r="D1759" s="82">
        <v>0</v>
      </c>
    </row>
    <row r="1760" spans="1:4" x14ac:dyDescent="0.3">
      <c r="A1760" t="s">
        <v>195</v>
      </c>
      <c r="C1760" s="16">
        <v>46205</v>
      </c>
      <c r="D1760" s="82">
        <v>0</v>
      </c>
    </row>
    <row r="1761" spans="1:4" x14ac:dyDescent="0.3">
      <c r="A1761" t="s">
        <v>196</v>
      </c>
      <c r="C1761" s="16">
        <v>46205</v>
      </c>
      <c r="D1761" s="82">
        <v>0</v>
      </c>
    </row>
    <row r="1762" spans="1:4" x14ac:dyDescent="0.3">
      <c r="A1762" t="s">
        <v>197</v>
      </c>
      <c r="C1762" s="16">
        <v>46205</v>
      </c>
      <c r="D1762" s="82">
        <v>0</v>
      </c>
    </row>
    <row r="1763" spans="1:4" x14ac:dyDescent="0.3">
      <c r="A1763" t="s">
        <v>212</v>
      </c>
      <c r="C1763" s="16">
        <v>46205</v>
      </c>
      <c r="D1763" s="82">
        <v>0</v>
      </c>
    </row>
    <row r="1764" spans="1:4" x14ac:dyDescent="0.3">
      <c r="A1764" t="s">
        <v>199</v>
      </c>
      <c r="C1764" s="16">
        <v>46205</v>
      </c>
      <c r="D1764" s="82">
        <v>0</v>
      </c>
    </row>
    <row r="1765" spans="1:4" x14ac:dyDescent="0.3">
      <c r="A1765" t="s">
        <v>216</v>
      </c>
      <c r="C1765" s="16">
        <v>46205</v>
      </c>
      <c r="D1765" s="82">
        <v>0</v>
      </c>
    </row>
    <row r="1766" spans="1:4" x14ac:dyDescent="0.3">
      <c r="A1766" t="s">
        <v>17</v>
      </c>
      <c r="C1766" s="16">
        <v>46206</v>
      </c>
      <c r="D1766" s="82">
        <v>5592585.7500000009</v>
      </c>
    </row>
    <row r="1767" spans="1:4" x14ac:dyDescent="0.3">
      <c r="A1767" t="s">
        <v>18</v>
      </c>
      <c r="C1767" s="16">
        <v>46206</v>
      </c>
      <c r="D1767" s="82">
        <v>79139.680000000168</v>
      </c>
    </row>
    <row r="1768" spans="1:4" x14ac:dyDescent="0.3">
      <c r="A1768" t="s">
        <v>19</v>
      </c>
      <c r="C1768" s="16">
        <v>46206</v>
      </c>
      <c r="D1768" s="82">
        <v>1669.89</v>
      </c>
    </row>
    <row r="1769" spans="1:4" x14ac:dyDescent="0.3">
      <c r="A1769" t="s">
        <v>20</v>
      </c>
      <c r="C1769" s="16">
        <v>46206</v>
      </c>
      <c r="D1769" s="82">
        <v>350475.62999999989</v>
      </c>
    </row>
    <row r="1770" spans="1:4" x14ac:dyDescent="0.3">
      <c r="A1770" t="s">
        <v>21</v>
      </c>
      <c r="C1770" s="16">
        <v>46206</v>
      </c>
      <c r="D1770" s="82">
        <v>1761564.8799999994</v>
      </c>
    </row>
    <row r="1771" spans="1:4" x14ac:dyDescent="0.3">
      <c r="A1771" t="s">
        <v>22</v>
      </c>
      <c r="C1771" s="16">
        <v>46206</v>
      </c>
      <c r="D1771" s="82">
        <v>220496.38</v>
      </c>
    </row>
    <row r="1772" spans="1:4" x14ac:dyDescent="0.3">
      <c r="A1772" t="s">
        <v>23</v>
      </c>
      <c r="C1772" s="16">
        <v>46206</v>
      </c>
      <c r="D1772" s="82">
        <v>267503.99000000005</v>
      </c>
    </row>
    <row r="1773" spans="1:4" x14ac:dyDescent="0.3">
      <c r="A1773" t="s">
        <v>24</v>
      </c>
      <c r="C1773" s="16">
        <v>46206</v>
      </c>
      <c r="D1773" s="82">
        <v>471.15999999999985</v>
      </c>
    </row>
    <row r="1774" spans="1:4" x14ac:dyDescent="0.3">
      <c r="A1774" t="s">
        <v>25</v>
      </c>
      <c r="C1774" s="16">
        <v>46206</v>
      </c>
      <c r="D1774" s="82">
        <v>54.400000000000006</v>
      </c>
    </row>
    <row r="1775" spans="1:4" x14ac:dyDescent="0.3">
      <c r="A1775" t="s">
        <v>26</v>
      </c>
      <c r="C1775" s="16">
        <v>46206</v>
      </c>
      <c r="D1775" s="82">
        <v>2207.8200000000002</v>
      </c>
    </row>
    <row r="1776" spans="1:4" x14ac:dyDescent="0.3">
      <c r="A1776" t="s">
        <v>27</v>
      </c>
      <c r="C1776" s="16">
        <v>46206</v>
      </c>
      <c r="D1776" s="82">
        <v>3349.94</v>
      </c>
    </row>
    <row r="1777" spans="1:4" x14ac:dyDescent="0.3">
      <c r="A1777" t="s">
        <v>28</v>
      </c>
      <c r="C1777" s="16">
        <v>46206</v>
      </c>
      <c r="D1777" s="82">
        <v>1968.99</v>
      </c>
    </row>
    <row r="1778" spans="1:4" x14ac:dyDescent="0.3">
      <c r="A1778" t="s">
        <v>29</v>
      </c>
      <c r="C1778" s="16">
        <v>46206</v>
      </c>
      <c r="D1778" s="82">
        <v>382.69000000000005</v>
      </c>
    </row>
    <row r="1779" spans="1:4" x14ac:dyDescent="0.3">
      <c r="A1779" t="s">
        <v>30</v>
      </c>
      <c r="C1779" s="16">
        <v>46206</v>
      </c>
      <c r="D1779" s="82">
        <v>1412.08</v>
      </c>
    </row>
    <row r="1780" spans="1:4" x14ac:dyDescent="0.3">
      <c r="A1780" t="s">
        <v>31</v>
      </c>
      <c r="C1780" s="16">
        <v>46206</v>
      </c>
      <c r="D1780" s="82">
        <v>22496.639999999959</v>
      </c>
    </row>
    <row r="1781" spans="1:4" x14ac:dyDescent="0.3">
      <c r="A1781" t="s">
        <v>32</v>
      </c>
      <c r="C1781" s="16">
        <v>46206</v>
      </c>
      <c r="D1781" s="82">
        <v>10522.800000000003</v>
      </c>
    </row>
    <row r="1782" spans="1:4" x14ac:dyDescent="0.3">
      <c r="A1782" t="s">
        <v>33</v>
      </c>
      <c r="C1782" s="16">
        <v>46206</v>
      </c>
      <c r="D1782" s="82">
        <v>28485.559999999998</v>
      </c>
    </row>
    <row r="1783" spans="1:4" x14ac:dyDescent="0.3">
      <c r="A1783" t="s">
        <v>34</v>
      </c>
      <c r="C1783" s="16">
        <v>46206</v>
      </c>
      <c r="D1783" s="82">
        <v>345</v>
      </c>
    </row>
    <row r="1784" spans="1:4" x14ac:dyDescent="0.3">
      <c r="A1784" t="s">
        <v>35</v>
      </c>
      <c r="C1784" s="16">
        <v>46206</v>
      </c>
      <c r="D1784" s="82">
        <v>33119.040000000001</v>
      </c>
    </row>
    <row r="1785" spans="1:4" x14ac:dyDescent="0.3">
      <c r="A1785" t="s">
        <v>193</v>
      </c>
      <c r="C1785" s="16">
        <v>46206</v>
      </c>
      <c r="D1785" s="82">
        <v>0</v>
      </c>
    </row>
    <row r="1786" spans="1:4" x14ac:dyDescent="0.3">
      <c r="A1786" t="s">
        <v>214</v>
      </c>
      <c r="C1786" s="16">
        <v>46206</v>
      </c>
      <c r="D1786" s="82">
        <v>0</v>
      </c>
    </row>
    <row r="1787" spans="1:4" x14ac:dyDescent="0.3">
      <c r="A1787" t="s">
        <v>194</v>
      </c>
      <c r="C1787" s="16">
        <v>46206</v>
      </c>
      <c r="D1787" s="82">
        <v>0</v>
      </c>
    </row>
    <row r="1788" spans="1:4" x14ac:dyDescent="0.3">
      <c r="A1788" t="s">
        <v>195</v>
      </c>
      <c r="C1788" s="16">
        <v>46206</v>
      </c>
      <c r="D1788" s="82">
        <v>0</v>
      </c>
    </row>
    <row r="1789" spans="1:4" x14ac:dyDescent="0.3">
      <c r="A1789" t="s">
        <v>196</v>
      </c>
      <c r="C1789" s="16">
        <v>46206</v>
      </c>
      <c r="D1789" s="82">
        <v>0</v>
      </c>
    </row>
    <row r="1790" spans="1:4" x14ac:dyDescent="0.3">
      <c r="A1790" t="s">
        <v>197</v>
      </c>
      <c r="C1790" s="16">
        <v>46206</v>
      </c>
      <c r="D1790" s="82">
        <v>0</v>
      </c>
    </row>
    <row r="1791" spans="1:4" x14ac:dyDescent="0.3">
      <c r="A1791" t="s">
        <v>212</v>
      </c>
      <c r="C1791" s="16">
        <v>46206</v>
      </c>
      <c r="D1791" s="82">
        <v>0</v>
      </c>
    </row>
    <row r="1792" spans="1:4" x14ac:dyDescent="0.3">
      <c r="A1792" t="s">
        <v>199</v>
      </c>
      <c r="C1792" s="16">
        <v>46206</v>
      </c>
      <c r="D1792" s="82">
        <v>0</v>
      </c>
    </row>
    <row r="1793" spans="1:4" x14ac:dyDescent="0.3">
      <c r="A1793" t="s">
        <v>216</v>
      </c>
      <c r="C1793" s="16">
        <v>46206</v>
      </c>
      <c r="D1793" s="82">
        <v>0</v>
      </c>
    </row>
    <row r="1794" spans="1:4" x14ac:dyDescent="0.3">
      <c r="A1794" t="s">
        <v>17</v>
      </c>
      <c r="C1794" s="16">
        <v>46207</v>
      </c>
      <c r="D1794" s="82">
        <v>5592585.7500000009</v>
      </c>
    </row>
    <row r="1795" spans="1:4" x14ac:dyDescent="0.3">
      <c r="A1795" t="s">
        <v>18</v>
      </c>
      <c r="C1795" s="16">
        <v>46207</v>
      </c>
      <c r="D1795" s="82">
        <v>79139.680000000168</v>
      </c>
    </row>
    <row r="1796" spans="1:4" x14ac:dyDescent="0.3">
      <c r="A1796" t="s">
        <v>19</v>
      </c>
      <c r="C1796" s="16">
        <v>46207</v>
      </c>
      <c r="D1796" s="82">
        <v>1669.89</v>
      </c>
    </row>
    <row r="1797" spans="1:4" x14ac:dyDescent="0.3">
      <c r="A1797" t="s">
        <v>20</v>
      </c>
      <c r="C1797" s="16">
        <v>46207</v>
      </c>
      <c r="D1797" s="82">
        <v>350475.62999999989</v>
      </c>
    </row>
    <row r="1798" spans="1:4" x14ac:dyDescent="0.3">
      <c r="A1798" t="s">
        <v>21</v>
      </c>
      <c r="C1798" s="16">
        <v>46207</v>
      </c>
      <c r="D1798" s="82">
        <v>1761564.8799999994</v>
      </c>
    </row>
    <row r="1799" spans="1:4" x14ac:dyDescent="0.3">
      <c r="A1799" t="s">
        <v>22</v>
      </c>
      <c r="C1799" s="16">
        <v>46207</v>
      </c>
      <c r="D1799" s="82">
        <v>220496.38</v>
      </c>
    </row>
    <row r="1800" spans="1:4" x14ac:dyDescent="0.3">
      <c r="A1800" t="s">
        <v>23</v>
      </c>
      <c r="C1800" s="16">
        <v>46207</v>
      </c>
      <c r="D1800" s="82">
        <v>267503.99000000005</v>
      </c>
    </row>
    <row r="1801" spans="1:4" x14ac:dyDescent="0.3">
      <c r="A1801" t="s">
        <v>24</v>
      </c>
      <c r="C1801" s="16">
        <v>46207</v>
      </c>
      <c r="D1801" s="82">
        <v>471.15999999999985</v>
      </c>
    </row>
    <row r="1802" spans="1:4" x14ac:dyDescent="0.3">
      <c r="A1802" t="s">
        <v>25</v>
      </c>
      <c r="C1802" s="16">
        <v>46207</v>
      </c>
      <c r="D1802" s="82">
        <v>54.400000000000006</v>
      </c>
    </row>
    <row r="1803" spans="1:4" x14ac:dyDescent="0.3">
      <c r="A1803" t="s">
        <v>26</v>
      </c>
      <c r="C1803" s="16">
        <v>46207</v>
      </c>
      <c r="D1803" s="82">
        <v>2207.8200000000002</v>
      </c>
    </row>
    <row r="1804" spans="1:4" x14ac:dyDescent="0.3">
      <c r="A1804" t="s">
        <v>27</v>
      </c>
      <c r="C1804" s="16">
        <v>46207</v>
      </c>
      <c r="D1804" s="82">
        <v>3349.94</v>
      </c>
    </row>
    <row r="1805" spans="1:4" x14ac:dyDescent="0.3">
      <c r="A1805" t="s">
        <v>28</v>
      </c>
      <c r="C1805" s="16">
        <v>46207</v>
      </c>
      <c r="D1805" s="82">
        <v>1968.99</v>
      </c>
    </row>
    <row r="1806" spans="1:4" x14ac:dyDescent="0.3">
      <c r="A1806" t="s">
        <v>29</v>
      </c>
      <c r="C1806" s="16">
        <v>46207</v>
      </c>
      <c r="D1806" s="82">
        <v>382.69000000000005</v>
      </c>
    </row>
    <row r="1807" spans="1:4" x14ac:dyDescent="0.3">
      <c r="A1807" t="s">
        <v>30</v>
      </c>
      <c r="C1807" s="16">
        <v>46207</v>
      </c>
      <c r="D1807" s="82">
        <v>1412.08</v>
      </c>
    </row>
    <row r="1808" spans="1:4" x14ac:dyDescent="0.3">
      <c r="A1808" t="s">
        <v>31</v>
      </c>
      <c r="C1808" s="16">
        <v>46207</v>
      </c>
      <c r="D1808" s="82">
        <v>22496.639999999959</v>
      </c>
    </row>
    <row r="1809" spans="1:4" x14ac:dyDescent="0.3">
      <c r="A1809" t="s">
        <v>32</v>
      </c>
      <c r="C1809" s="16">
        <v>46207</v>
      </c>
      <c r="D1809" s="82">
        <v>10522.800000000003</v>
      </c>
    </row>
    <row r="1810" spans="1:4" x14ac:dyDescent="0.3">
      <c r="A1810" t="s">
        <v>33</v>
      </c>
      <c r="C1810" s="16">
        <v>46207</v>
      </c>
      <c r="D1810" s="82">
        <v>28485.559999999998</v>
      </c>
    </row>
    <row r="1811" spans="1:4" x14ac:dyDescent="0.3">
      <c r="A1811" t="s">
        <v>34</v>
      </c>
      <c r="C1811" s="16">
        <v>46207</v>
      </c>
      <c r="D1811" s="82">
        <v>345</v>
      </c>
    </row>
    <row r="1812" spans="1:4" x14ac:dyDescent="0.3">
      <c r="A1812" t="s">
        <v>35</v>
      </c>
      <c r="C1812" s="16">
        <v>46207</v>
      </c>
      <c r="D1812" s="82">
        <v>33119.040000000001</v>
      </c>
    </row>
    <row r="1813" spans="1:4" x14ac:dyDescent="0.3">
      <c r="A1813" t="s">
        <v>193</v>
      </c>
      <c r="C1813" s="16">
        <v>46207</v>
      </c>
      <c r="D1813" s="82">
        <v>0</v>
      </c>
    </row>
    <row r="1814" spans="1:4" x14ac:dyDescent="0.3">
      <c r="A1814" t="s">
        <v>214</v>
      </c>
      <c r="C1814" s="16">
        <v>46207</v>
      </c>
      <c r="D1814" s="82">
        <v>0</v>
      </c>
    </row>
    <row r="1815" spans="1:4" x14ac:dyDescent="0.3">
      <c r="A1815" t="s">
        <v>194</v>
      </c>
      <c r="C1815" s="16">
        <v>46207</v>
      </c>
      <c r="D1815" s="82">
        <v>0</v>
      </c>
    </row>
    <row r="1816" spans="1:4" x14ac:dyDescent="0.3">
      <c r="A1816" t="s">
        <v>195</v>
      </c>
      <c r="C1816" s="16">
        <v>46207</v>
      </c>
      <c r="D1816" s="82">
        <v>0</v>
      </c>
    </row>
    <row r="1817" spans="1:4" x14ac:dyDescent="0.3">
      <c r="A1817" t="s">
        <v>196</v>
      </c>
      <c r="C1817" s="16">
        <v>46207</v>
      </c>
      <c r="D1817" s="82">
        <v>0</v>
      </c>
    </row>
    <row r="1818" spans="1:4" x14ac:dyDescent="0.3">
      <c r="A1818" t="s">
        <v>197</v>
      </c>
      <c r="C1818" s="16">
        <v>46207</v>
      </c>
      <c r="D1818" s="82">
        <v>0</v>
      </c>
    </row>
    <row r="1819" spans="1:4" x14ac:dyDescent="0.3">
      <c r="A1819" t="s">
        <v>212</v>
      </c>
      <c r="C1819" s="16">
        <v>46207</v>
      </c>
      <c r="D1819" s="82">
        <v>0</v>
      </c>
    </row>
    <row r="1820" spans="1:4" x14ac:dyDescent="0.3">
      <c r="A1820" t="s">
        <v>199</v>
      </c>
      <c r="C1820" s="16">
        <v>46207</v>
      </c>
      <c r="D1820" s="82">
        <v>0</v>
      </c>
    </row>
    <row r="1821" spans="1:4" x14ac:dyDescent="0.3">
      <c r="A1821" t="s">
        <v>216</v>
      </c>
      <c r="C1821" s="16">
        <v>46207</v>
      </c>
      <c r="D1821" s="82">
        <v>0</v>
      </c>
    </row>
    <row r="1822" spans="1:4" x14ac:dyDescent="0.3">
      <c r="A1822" t="s">
        <v>17</v>
      </c>
      <c r="C1822" s="16">
        <v>46208</v>
      </c>
      <c r="D1822" s="82">
        <v>5592585.7500000009</v>
      </c>
    </row>
    <row r="1823" spans="1:4" x14ac:dyDescent="0.3">
      <c r="A1823" t="s">
        <v>18</v>
      </c>
      <c r="C1823" s="16">
        <v>46208</v>
      </c>
      <c r="D1823" s="82">
        <v>79139.680000000168</v>
      </c>
    </row>
    <row r="1824" spans="1:4" x14ac:dyDescent="0.3">
      <c r="A1824" t="s">
        <v>19</v>
      </c>
      <c r="C1824" s="16">
        <v>46208</v>
      </c>
      <c r="D1824" s="82">
        <v>1669.89</v>
      </c>
    </row>
    <row r="1825" spans="1:4" x14ac:dyDescent="0.3">
      <c r="A1825" t="s">
        <v>20</v>
      </c>
      <c r="C1825" s="16">
        <v>46208</v>
      </c>
      <c r="D1825" s="82">
        <v>350475.62999999989</v>
      </c>
    </row>
    <row r="1826" spans="1:4" x14ac:dyDescent="0.3">
      <c r="A1826" t="s">
        <v>21</v>
      </c>
      <c r="C1826" s="16">
        <v>46208</v>
      </c>
      <c r="D1826" s="82">
        <v>1761564.8799999994</v>
      </c>
    </row>
    <row r="1827" spans="1:4" x14ac:dyDescent="0.3">
      <c r="A1827" t="s">
        <v>22</v>
      </c>
      <c r="C1827" s="16">
        <v>46208</v>
      </c>
      <c r="D1827" s="82">
        <v>220496.38</v>
      </c>
    </row>
    <row r="1828" spans="1:4" x14ac:dyDescent="0.3">
      <c r="A1828" t="s">
        <v>23</v>
      </c>
      <c r="C1828" s="16">
        <v>46208</v>
      </c>
      <c r="D1828" s="82">
        <v>267503.99000000005</v>
      </c>
    </row>
    <row r="1829" spans="1:4" x14ac:dyDescent="0.3">
      <c r="A1829" t="s">
        <v>24</v>
      </c>
      <c r="C1829" s="16">
        <v>46208</v>
      </c>
      <c r="D1829" s="82">
        <v>471.15999999999985</v>
      </c>
    </row>
    <row r="1830" spans="1:4" x14ac:dyDescent="0.3">
      <c r="A1830" t="s">
        <v>25</v>
      </c>
      <c r="C1830" s="16">
        <v>46208</v>
      </c>
      <c r="D1830" s="82">
        <v>54.400000000000006</v>
      </c>
    </row>
    <row r="1831" spans="1:4" x14ac:dyDescent="0.3">
      <c r="A1831" t="s">
        <v>26</v>
      </c>
      <c r="C1831" s="16">
        <v>46208</v>
      </c>
      <c r="D1831" s="82">
        <v>2207.8200000000002</v>
      </c>
    </row>
    <row r="1832" spans="1:4" x14ac:dyDescent="0.3">
      <c r="A1832" t="s">
        <v>27</v>
      </c>
      <c r="C1832" s="16">
        <v>46208</v>
      </c>
      <c r="D1832" s="82">
        <v>3349.94</v>
      </c>
    </row>
    <row r="1833" spans="1:4" x14ac:dyDescent="0.3">
      <c r="A1833" t="s">
        <v>28</v>
      </c>
      <c r="C1833" s="16">
        <v>46208</v>
      </c>
      <c r="D1833" s="82">
        <v>1968.99</v>
      </c>
    </row>
    <row r="1834" spans="1:4" x14ac:dyDescent="0.3">
      <c r="A1834" t="s">
        <v>29</v>
      </c>
      <c r="C1834" s="16">
        <v>46208</v>
      </c>
      <c r="D1834" s="82">
        <v>382.69000000000005</v>
      </c>
    </row>
    <row r="1835" spans="1:4" x14ac:dyDescent="0.3">
      <c r="A1835" t="s">
        <v>30</v>
      </c>
      <c r="C1835" s="16">
        <v>46208</v>
      </c>
      <c r="D1835" s="82">
        <v>1412.08</v>
      </c>
    </row>
    <row r="1836" spans="1:4" x14ac:dyDescent="0.3">
      <c r="A1836" t="s">
        <v>31</v>
      </c>
      <c r="C1836" s="16">
        <v>46208</v>
      </c>
      <c r="D1836" s="82">
        <v>22496.639999999959</v>
      </c>
    </row>
    <row r="1837" spans="1:4" x14ac:dyDescent="0.3">
      <c r="A1837" t="s">
        <v>32</v>
      </c>
      <c r="C1837" s="16">
        <v>46208</v>
      </c>
      <c r="D1837" s="82">
        <v>10522.800000000003</v>
      </c>
    </row>
    <row r="1838" spans="1:4" x14ac:dyDescent="0.3">
      <c r="A1838" t="s">
        <v>33</v>
      </c>
      <c r="C1838" s="16">
        <v>46208</v>
      </c>
      <c r="D1838" s="82">
        <v>28485.559999999998</v>
      </c>
    </row>
    <row r="1839" spans="1:4" x14ac:dyDescent="0.3">
      <c r="A1839" t="s">
        <v>34</v>
      </c>
      <c r="C1839" s="16">
        <v>46208</v>
      </c>
      <c r="D1839" s="82">
        <v>345</v>
      </c>
    </row>
    <row r="1840" spans="1:4" x14ac:dyDescent="0.3">
      <c r="A1840" t="s">
        <v>35</v>
      </c>
      <c r="C1840" s="16">
        <v>46208</v>
      </c>
      <c r="D1840" s="82">
        <v>33119.040000000001</v>
      </c>
    </row>
    <row r="1841" spans="1:4" x14ac:dyDescent="0.3">
      <c r="A1841" t="s">
        <v>193</v>
      </c>
      <c r="C1841" s="16">
        <v>46208</v>
      </c>
      <c r="D1841" s="82">
        <v>0</v>
      </c>
    </row>
    <row r="1842" spans="1:4" x14ac:dyDescent="0.3">
      <c r="A1842" t="s">
        <v>214</v>
      </c>
      <c r="C1842" s="16">
        <v>46208</v>
      </c>
      <c r="D1842" s="82">
        <v>0</v>
      </c>
    </row>
    <row r="1843" spans="1:4" x14ac:dyDescent="0.3">
      <c r="A1843" t="s">
        <v>194</v>
      </c>
      <c r="C1843" s="16">
        <v>46208</v>
      </c>
      <c r="D1843" s="82">
        <v>0</v>
      </c>
    </row>
    <row r="1844" spans="1:4" x14ac:dyDescent="0.3">
      <c r="A1844" t="s">
        <v>195</v>
      </c>
      <c r="C1844" s="16">
        <v>46208</v>
      </c>
      <c r="D1844" s="82">
        <v>0</v>
      </c>
    </row>
    <row r="1845" spans="1:4" x14ac:dyDescent="0.3">
      <c r="A1845" t="s">
        <v>196</v>
      </c>
      <c r="C1845" s="16">
        <v>46208</v>
      </c>
      <c r="D1845" s="82">
        <v>0</v>
      </c>
    </row>
    <row r="1846" spans="1:4" x14ac:dyDescent="0.3">
      <c r="A1846" t="s">
        <v>197</v>
      </c>
      <c r="C1846" s="16">
        <v>46208</v>
      </c>
      <c r="D1846" s="82">
        <v>0</v>
      </c>
    </row>
    <row r="1847" spans="1:4" x14ac:dyDescent="0.3">
      <c r="A1847" t="s">
        <v>212</v>
      </c>
      <c r="C1847" s="16">
        <v>46208</v>
      </c>
      <c r="D1847" s="82">
        <v>0</v>
      </c>
    </row>
    <row r="1848" spans="1:4" x14ac:dyDescent="0.3">
      <c r="A1848" t="s">
        <v>199</v>
      </c>
      <c r="C1848" s="16">
        <v>46208</v>
      </c>
      <c r="D1848" s="82">
        <v>0</v>
      </c>
    </row>
    <row r="1849" spans="1:4" x14ac:dyDescent="0.3">
      <c r="A1849" t="s">
        <v>216</v>
      </c>
      <c r="C1849" s="16">
        <v>46208</v>
      </c>
      <c r="D1849" s="82">
        <v>0</v>
      </c>
    </row>
    <row r="1850" spans="1:4" x14ac:dyDescent="0.3">
      <c r="A1850" t="s">
        <v>17</v>
      </c>
      <c r="C1850" s="16">
        <v>46209</v>
      </c>
      <c r="D1850" s="82">
        <v>5592585.7500000009</v>
      </c>
    </row>
    <row r="1851" spans="1:4" x14ac:dyDescent="0.3">
      <c r="A1851" t="s">
        <v>18</v>
      </c>
      <c r="C1851" s="16">
        <v>46209</v>
      </c>
      <c r="D1851" s="82">
        <v>79139.680000000168</v>
      </c>
    </row>
    <row r="1852" spans="1:4" x14ac:dyDescent="0.3">
      <c r="A1852" t="s">
        <v>19</v>
      </c>
      <c r="C1852" s="16">
        <v>46209</v>
      </c>
      <c r="D1852" s="82">
        <v>1669.89</v>
      </c>
    </row>
    <row r="1853" spans="1:4" x14ac:dyDescent="0.3">
      <c r="A1853" t="s">
        <v>20</v>
      </c>
      <c r="C1853" s="16">
        <v>46209</v>
      </c>
      <c r="D1853" s="82">
        <v>350475.62999999989</v>
      </c>
    </row>
    <row r="1854" spans="1:4" x14ac:dyDescent="0.3">
      <c r="A1854" t="s">
        <v>21</v>
      </c>
      <c r="C1854" s="16">
        <v>46209</v>
      </c>
      <c r="D1854" s="82">
        <v>1761026.4599999995</v>
      </c>
    </row>
    <row r="1855" spans="1:4" x14ac:dyDescent="0.3">
      <c r="A1855" t="s">
        <v>22</v>
      </c>
      <c r="C1855" s="16">
        <v>46209</v>
      </c>
      <c r="D1855" s="82">
        <v>220496.38</v>
      </c>
    </row>
    <row r="1856" spans="1:4" x14ac:dyDescent="0.3">
      <c r="A1856" t="s">
        <v>23</v>
      </c>
      <c r="C1856" s="16">
        <v>46209</v>
      </c>
      <c r="D1856" s="82">
        <v>267503.99000000005</v>
      </c>
    </row>
    <row r="1857" spans="1:4" x14ac:dyDescent="0.3">
      <c r="A1857" t="s">
        <v>24</v>
      </c>
      <c r="C1857" s="16">
        <v>46209</v>
      </c>
      <c r="D1857" s="82">
        <v>471.15999999999985</v>
      </c>
    </row>
    <row r="1858" spans="1:4" x14ac:dyDescent="0.3">
      <c r="A1858" t="s">
        <v>25</v>
      </c>
      <c r="C1858" s="16">
        <v>46209</v>
      </c>
      <c r="D1858" s="82">
        <v>54.400000000000006</v>
      </c>
    </row>
    <row r="1859" spans="1:4" x14ac:dyDescent="0.3">
      <c r="A1859" t="s">
        <v>26</v>
      </c>
      <c r="C1859" s="16">
        <v>46209</v>
      </c>
      <c r="D1859" s="82">
        <v>2207.8200000000002</v>
      </c>
    </row>
    <row r="1860" spans="1:4" x14ac:dyDescent="0.3">
      <c r="A1860" t="s">
        <v>27</v>
      </c>
      <c r="C1860" s="16">
        <v>46209</v>
      </c>
      <c r="D1860" s="82">
        <v>3349.94</v>
      </c>
    </row>
    <row r="1861" spans="1:4" x14ac:dyDescent="0.3">
      <c r="A1861" t="s">
        <v>28</v>
      </c>
      <c r="C1861" s="16">
        <v>46209</v>
      </c>
      <c r="D1861" s="82">
        <v>1968.99</v>
      </c>
    </row>
    <row r="1862" spans="1:4" x14ac:dyDescent="0.3">
      <c r="A1862" t="s">
        <v>29</v>
      </c>
      <c r="C1862" s="16">
        <v>46209</v>
      </c>
      <c r="D1862" s="82">
        <v>382.69000000000005</v>
      </c>
    </row>
    <row r="1863" spans="1:4" x14ac:dyDescent="0.3">
      <c r="A1863" t="s">
        <v>30</v>
      </c>
      <c r="C1863" s="16">
        <v>46209</v>
      </c>
      <c r="D1863" s="82">
        <v>1412.08</v>
      </c>
    </row>
    <row r="1864" spans="1:4" x14ac:dyDescent="0.3">
      <c r="A1864" t="s">
        <v>31</v>
      </c>
      <c r="C1864" s="16">
        <v>46209</v>
      </c>
      <c r="D1864" s="82">
        <v>22496.639999999959</v>
      </c>
    </row>
    <row r="1865" spans="1:4" x14ac:dyDescent="0.3">
      <c r="A1865" t="s">
        <v>32</v>
      </c>
      <c r="C1865" s="16">
        <v>46209</v>
      </c>
      <c r="D1865" s="82">
        <v>10522.800000000003</v>
      </c>
    </row>
    <row r="1866" spans="1:4" x14ac:dyDescent="0.3">
      <c r="A1866" t="s">
        <v>33</v>
      </c>
      <c r="C1866" s="16">
        <v>46209</v>
      </c>
      <c r="D1866" s="82">
        <v>28485.559999999998</v>
      </c>
    </row>
    <row r="1867" spans="1:4" x14ac:dyDescent="0.3">
      <c r="A1867" t="s">
        <v>34</v>
      </c>
      <c r="C1867" s="16">
        <v>46209</v>
      </c>
      <c r="D1867" s="82">
        <v>345</v>
      </c>
    </row>
    <row r="1868" spans="1:4" x14ac:dyDescent="0.3">
      <c r="A1868" t="s">
        <v>35</v>
      </c>
      <c r="C1868" s="16">
        <v>46209</v>
      </c>
      <c r="D1868" s="82">
        <v>15165.34</v>
      </c>
    </row>
    <row r="1869" spans="1:4" x14ac:dyDescent="0.3">
      <c r="A1869" t="s">
        <v>193</v>
      </c>
      <c r="C1869" s="16">
        <v>46209</v>
      </c>
      <c r="D1869" s="82">
        <v>0</v>
      </c>
    </row>
    <row r="1870" spans="1:4" x14ac:dyDescent="0.3">
      <c r="A1870" t="s">
        <v>214</v>
      </c>
      <c r="C1870" s="16">
        <v>46209</v>
      </c>
      <c r="D1870" s="82">
        <v>0</v>
      </c>
    </row>
    <row r="1871" spans="1:4" x14ac:dyDescent="0.3">
      <c r="A1871" t="s">
        <v>194</v>
      </c>
      <c r="C1871" s="16">
        <v>46209</v>
      </c>
      <c r="D1871" s="82">
        <v>0</v>
      </c>
    </row>
    <row r="1872" spans="1:4" x14ac:dyDescent="0.3">
      <c r="A1872" t="s">
        <v>195</v>
      </c>
      <c r="C1872" s="16">
        <v>46209</v>
      </c>
      <c r="D1872" s="82">
        <v>0</v>
      </c>
    </row>
    <row r="1873" spans="1:4" x14ac:dyDescent="0.3">
      <c r="A1873" t="s">
        <v>196</v>
      </c>
      <c r="C1873" s="16">
        <v>46209</v>
      </c>
      <c r="D1873" s="82">
        <v>0</v>
      </c>
    </row>
    <row r="1874" spans="1:4" x14ac:dyDescent="0.3">
      <c r="A1874" t="s">
        <v>197</v>
      </c>
      <c r="C1874" s="16">
        <v>46209</v>
      </c>
      <c r="D1874" s="82">
        <v>0</v>
      </c>
    </row>
    <row r="1875" spans="1:4" x14ac:dyDescent="0.3">
      <c r="A1875" t="s">
        <v>212</v>
      </c>
      <c r="C1875" s="16">
        <v>46209</v>
      </c>
      <c r="D1875" s="82">
        <v>0</v>
      </c>
    </row>
    <row r="1876" spans="1:4" x14ac:dyDescent="0.3">
      <c r="A1876" t="s">
        <v>199</v>
      </c>
      <c r="C1876" s="16">
        <v>46209</v>
      </c>
      <c r="D1876" s="82">
        <v>0</v>
      </c>
    </row>
    <row r="1877" spans="1:4" x14ac:dyDescent="0.3">
      <c r="A1877" t="s">
        <v>216</v>
      </c>
      <c r="C1877" s="16">
        <v>46209</v>
      </c>
      <c r="D1877" s="82">
        <v>0</v>
      </c>
    </row>
    <row r="1878" spans="1:4" x14ac:dyDescent="0.3">
      <c r="A1878" t="s">
        <v>17</v>
      </c>
      <c r="C1878" s="16">
        <v>46210</v>
      </c>
      <c r="D1878" s="82">
        <v>5592585.7500000009</v>
      </c>
    </row>
    <row r="1879" spans="1:4" x14ac:dyDescent="0.3">
      <c r="A1879" t="s">
        <v>18</v>
      </c>
      <c r="C1879" s="16">
        <v>46210</v>
      </c>
      <c r="D1879" s="82">
        <v>79139.680000000168</v>
      </c>
    </row>
    <row r="1880" spans="1:4" x14ac:dyDescent="0.3">
      <c r="A1880" t="s">
        <v>19</v>
      </c>
      <c r="C1880" s="16">
        <v>46210</v>
      </c>
      <c r="D1880" s="82">
        <v>1669.89</v>
      </c>
    </row>
    <row r="1881" spans="1:4" x14ac:dyDescent="0.3">
      <c r="A1881" t="s">
        <v>20</v>
      </c>
      <c r="C1881" s="16">
        <v>46210</v>
      </c>
      <c r="D1881" s="82">
        <v>350475.62999999989</v>
      </c>
    </row>
    <row r="1882" spans="1:4" x14ac:dyDescent="0.3">
      <c r="A1882" t="s">
        <v>21</v>
      </c>
      <c r="C1882" s="16">
        <v>46210</v>
      </c>
      <c r="D1882" s="82">
        <v>1761026.4599999995</v>
      </c>
    </row>
    <row r="1883" spans="1:4" x14ac:dyDescent="0.3">
      <c r="A1883" t="s">
        <v>22</v>
      </c>
      <c r="C1883" s="16">
        <v>46210</v>
      </c>
      <c r="D1883" s="82">
        <v>220496.38</v>
      </c>
    </row>
    <row r="1884" spans="1:4" x14ac:dyDescent="0.3">
      <c r="A1884" t="s">
        <v>23</v>
      </c>
      <c r="C1884" s="16">
        <v>46210</v>
      </c>
      <c r="D1884" s="82">
        <v>267503.99000000005</v>
      </c>
    </row>
    <row r="1885" spans="1:4" x14ac:dyDescent="0.3">
      <c r="A1885" t="s">
        <v>24</v>
      </c>
      <c r="C1885" s="16">
        <v>46210</v>
      </c>
      <c r="D1885" s="82">
        <v>471.15999999999985</v>
      </c>
    </row>
    <row r="1886" spans="1:4" x14ac:dyDescent="0.3">
      <c r="A1886" t="s">
        <v>25</v>
      </c>
      <c r="C1886" s="16">
        <v>46210</v>
      </c>
      <c r="D1886" s="82">
        <v>54.400000000000006</v>
      </c>
    </row>
    <row r="1887" spans="1:4" x14ac:dyDescent="0.3">
      <c r="A1887" t="s">
        <v>26</v>
      </c>
      <c r="C1887" s="16">
        <v>46210</v>
      </c>
      <c r="D1887" s="82">
        <v>2207.8200000000002</v>
      </c>
    </row>
    <row r="1888" spans="1:4" x14ac:dyDescent="0.3">
      <c r="A1888" t="s">
        <v>27</v>
      </c>
      <c r="C1888" s="16">
        <v>46210</v>
      </c>
      <c r="D1888" s="82">
        <v>3349.94</v>
      </c>
    </row>
    <row r="1889" spans="1:4" x14ac:dyDescent="0.3">
      <c r="A1889" t="s">
        <v>28</v>
      </c>
      <c r="C1889" s="16">
        <v>46210</v>
      </c>
      <c r="D1889" s="82">
        <v>1968.99</v>
      </c>
    </row>
    <row r="1890" spans="1:4" x14ac:dyDescent="0.3">
      <c r="A1890" t="s">
        <v>29</v>
      </c>
      <c r="C1890" s="16">
        <v>46210</v>
      </c>
      <c r="D1890" s="82">
        <v>382.69000000000005</v>
      </c>
    </row>
    <row r="1891" spans="1:4" x14ac:dyDescent="0.3">
      <c r="A1891" t="s">
        <v>30</v>
      </c>
      <c r="C1891" s="16">
        <v>46210</v>
      </c>
      <c r="D1891" s="82">
        <v>1412.08</v>
      </c>
    </row>
    <row r="1892" spans="1:4" x14ac:dyDescent="0.3">
      <c r="A1892" t="s">
        <v>31</v>
      </c>
      <c r="C1892" s="16">
        <v>46210</v>
      </c>
      <c r="D1892" s="82">
        <v>22496.639999999959</v>
      </c>
    </row>
    <row r="1893" spans="1:4" x14ac:dyDescent="0.3">
      <c r="A1893" t="s">
        <v>32</v>
      </c>
      <c r="C1893" s="16">
        <v>46210</v>
      </c>
      <c r="D1893" s="82">
        <v>10522.800000000003</v>
      </c>
    </row>
    <row r="1894" spans="1:4" x14ac:dyDescent="0.3">
      <c r="A1894" t="s">
        <v>33</v>
      </c>
      <c r="C1894" s="16">
        <v>46210</v>
      </c>
      <c r="D1894" s="82">
        <v>28485.559999999998</v>
      </c>
    </row>
    <row r="1895" spans="1:4" x14ac:dyDescent="0.3">
      <c r="A1895" t="s">
        <v>34</v>
      </c>
      <c r="C1895" s="16">
        <v>46210</v>
      </c>
      <c r="D1895" s="82">
        <v>345</v>
      </c>
    </row>
    <row r="1896" spans="1:4" x14ac:dyDescent="0.3">
      <c r="A1896" t="s">
        <v>35</v>
      </c>
      <c r="C1896" s="16">
        <v>46210</v>
      </c>
      <c r="D1896" s="82">
        <v>14498.59</v>
      </c>
    </row>
    <row r="1897" spans="1:4" x14ac:dyDescent="0.3">
      <c r="A1897" t="s">
        <v>193</v>
      </c>
      <c r="C1897" s="16">
        <v>46210</v>
      </c>
      <c r="D1897" s="82">
        <v>0</v>
      </c>
    </row>
    <row r="1898" spans="1:4" x14ac:dyDescent="0.3">
      <c r="A1898" t="s">
        <v>214</v>
      </c>
      <c r="C1898" s="16">
        <v>46210</v>
      </c>
      <c r="D1898" s="82">
        <v>0</v>
      </c>
    </row>
    <row r="1899" spans="1:4" x14ac:dyDescent="0.3">
      <c r="A1899" t="s">
        <v>194</v>
      </c>
      <c r="C1899" s="16">
        <v>46210</v>
      </c>
      <c r="D1899" s="82">
        <v>0</v>
      </c>
    </row>
    <row r="1900" spans="1:4" x14ac:dyDescent="0.3">
      <c r="A1900" t="s">
        <v>195</v>
      </c>
      <c r="C1900" s="16">
        <v>46210</v>
      </c>
      <c r="D1900" s="82">
        <v>0</v>
      </c>
    </row>
    <row r="1901" spans="1:4" x14ac:dyDescent="0.3">
      <c r="A1901" t="s">
        <v>196</v>
      </c>
      <c r="C1901" s="16">
        <v>46210</v>
      </c>
      <c r="D1901" s="82">
        <v>0</v>
      </c>
    </row>
    <row r="1902" spans="1:4" x14ac:dyDescent="0.3">
      <c r="A1902" t="s">
        <v>197</v>
      </c>
      <c r="C1902" s="16">
        <v>46210</v>
      </c>
      <c r="D1902" s="82">
        <v>0</v>
      </c>
    </row>
    <row r="1903" spans="1:4" x14ac:dyDescent="0.3">
      <c r="A1903" t="s">
        <v>212</v>
      </c>
      <c r="C1903" s="16">
        <v>46210</v>
      </c>
      <c r="D1903" s="82">
        <v>0</v>
      </c>
    </row>
    <row r="1904" spans="1:4" x14ac:dyDescent="0.3">
      <c r="A1904" t="s">
        <v>199</v>
      </c>
      <c r="C1904" s="16">
        <v>46210</v>
      </c>
      <c r="D1904" s="82">
        <v>0</v>
      </c>
    </row>
    <row r="1905" spans="1:4" x14ac:dyDescent="0.3">
      <c r="A1905" t="s">
        <v>216</v>
      </c>
      <c r="C1905" s="16">
        <v>46210</v>
      </c>
      <c r="D1905" s="82">
        <v>0</v>
      </c>
    </row>
    <row r="1906" spans="1:4" x14ac:dyDescent="0.3">
      <c r="A1906" t="s">
        <v>17</v>
      </c>
      <c r="C1906" s="16">
        <v>46211</v>
      </c>
      <c r="D1906" s="82">
        <v>5592585.7500000009</v>
      </c>
    </row>
    <row r="1907" spans="1:4" x14ac:dyDescent="0.3">
      <c r="A1907" t="s">
        <v>18</v>
      </c>
      <c r="C1907" s="16">
        <v>46211</v>
      </c>
      <c r="D1907" s="82">
        <v>79139.680000000168</v>
      </c>
    </row>
    <row r="1908" spans="1:4" x14ac:dyDescent="0.3">
      <c r="A1908" t="s">
        <v>19</v>
      </c>
      <c r="C1908" s="16">
        <v>46211</v>
      </c>
      <c r="D1908" s="82">
        <v>1669.89</v>
      </c>
    </row>
    <row r="1909" spans="1:4" x14ac:dyDescent="0.3">
      <c r="A1909" t="s">
        <v>20</v>
      </c>
      <c r="C1909" s="16">
        <v>46211</v>
      </c>
      <c r="D1909" s="82">
        <v>350475.62999999989</v>
      </c>
    </row>
    <row r="1910" spans="1:4" x14ac:dyDescent="0.3">
      <c r="A1910" t="s">
        <v>21</v>
      </c>
      <c r="C1910" s="16">
        <v>46211</v>
      </c>
      <c r="D1910" s="82">
        <v>1751695.8399999994</v>
      </c>
    </row>
    <row r="1911" spans="1:4" x14ac:dyDescent="0.3">
      <c r="A1911" t="s">
        <v>22</v>
      </c>
      <c r="C1911" s="16">
        <v>46211</v>
      </c>
      <c r="D1911" s="82">
        <v>220496.38</v>
      </c>
    </row>
    <row r="1912" spans="1:4" x14ac:dyDescent="0.3">
      <c r="A1912" t="s">
        <v>23</v>
      </c>
      <c r="C1912" s="16">
        <v>46211</v>
      </c>
      <c r="D1912" s="82">
        <v>267503.99000000005</v>
      </c>
    </row>
    <row r="1913" spans="1:4" x14ac:dyDescent="0.3">
      <c r="A1913" t="s">
        <v>24</v>
      </c>
      <c r="C1913" s="16">
        <v>46211</v>
      </c>
      <c r="D1913" s="82">
        <v>471.15999999999985</v>
      </c>
    </row>
    <row r="1914" spans="1:4" x14ac:dyDescent="0.3">
      <c r="A1914" t="s">
        <v>25</v>
      </c>
      <c r="C1914" s="16">
        <v>46211</v>
      </c>
      <c r="D1914" s="82">
        <v>54.400000000000006</v>
      </c>
    </row>
    <row r="1915" spans="1:4" x14ac:dyDescent="0.3">
      <c r="A1915" t="s">
        <v>26</v>
      </c>
      <c r="C1915" s="16">
        <v>46211</v>
      </c>
      <c r="D1915" s="82">
        <v>2207.8200000000002</v>
      </c>
    </row>
    <row r="1916" spans="1:4" x14ac:dyDescent="0.3">
      <c r="A1916" t="s">
        <v>27</v>
      </c>
      <c r="C1916" s="16">
        <v>46211</v>
      </c>
      <c r="D1916" s="82">
        <v>3334.94</v>
      </c>
    </row>
    <row r="1917" spans="1:4" x14ac:dyDescent="0.3">
      <c r="A1917" t="s">
        <v>28</v>
      </c>
      <c r="C1917" s="16">
        <v>46211</v>
      </c>
      <c r="D1917" s="82">
        <v>1968.99</v>
      </c>
    </row>
    <row r="1918" spans="1:4" x14ac:dyDescent="0.3">
      <c r="A1918" t="s">
        <v>29</v>
      </c>
      <c r="C1918" s="16">
        <v>46211</v>
      </c>
      <c r="D1918" s="82">
        <v>382.69000000000005</v>
      </c>
    </row>
    <row r="1919" spans="1:4" x14ac:dyDescent="0.3">
      <c r="A1919" t="s">
        <v>30</v>
      </c>
      <c r="C1919" s="16">
        <v>46211</v>
      </c>
      <c r="D1919" s="82">
        <v>1412.08</v>
      </c>
    </row>
    <row r="1920" spans="1:4" x14ac:dyDescent="0.3">
      <c r="A1920" t="s">
        <v>31</v>
      </c>
      <c r="C1920" s="16">
        <v>46211</v>
      </c>
      <c r="D1920" s="82">
        <v>22496.639999999959</v>
      </c>
    </row>
    <row r="1921" spans="1:4" x14ac:dyDescent="0.3">
      <c r="A1921" t="s">
        <v>32</v>
      </c>
      <c r="C1921" s="16">
        <v>46211</v>
      </c>
      <c r="D1921" s="82">
        <v>6522.8000000000029</v>
      </c>
    </row>
    <row r="1922" spans="1:4" x14ac:dyDescent="0.3">
      <c r="A1922" t="s">
        <v>33</v>
      </c>
      <c r="C1922" s="16">
        <v>46211</v>
      </c>
      <c r="D1922" s="82">
        <v>28485.559999999998</v>
      </c>
    </row>
    <row r="1923" spans="1:4" x14ac:dyDescent="0.3">
      <c r="A1923" t="s">
        <v>34</v>
      </c>
      <c r="C1923" s="16">
        <v>46211</v>
      </c>
      <c r="D1923" s="82">
        <v>345</v>
      </c>
    </row>
    <row r="1924" spans="1:4" x14ac:dyDescent="0.3">
      <c r="A1924" t="s">
        <v>35</v>
      </c>
      <c r="C1924" s="16">
        <v>46211</v>
      </c>
      <c r="D1924" s="82">
        <v>14498.59</v>
      </c>
    </row>
    <row r="1925" spans="1:4" x14ac:dyDescent="0.3">
      <c r="A1925" t="s">
        <v>193</v>
      </c>
      <c r="C1925" s="16">
        <v>46211</v>
      </c>
      <c r="D1925" s="82">
        <v>0</v>
      </c>
    </row>
    <row r="1926" spans="1:4" x14ac:dyDescent="0.3">
      <c r="A1926" t="s">
        <v>214</v>
      </c>
      <c r="C1926" s="16">
        <v>46211</v>
      </c>
      <c r="D1926" s="82">
        <v>0</v>
      </c>
    </row>
    <row r="1927" spans="1:4" x14ac:dyDescent="0.3">
      <c r="A1927" t="s">
        <v>194</v>
      </c>
      <c r="C1927" s="16">
        <v>46211</v>
      </c>
      <c r="D1927" s="82">
        <v>0</v>
      </c>
    </row>
    <row r="1928" spans="1:4" x14ac:dyDescent="0.3">
      <c r="A1928" t="s">
        <v>195</v>
      </c>
      <c r="C1928" s="16">
        <v>46211</v>
      </c>
      <c r="D1928" s="82">
        <v>0</v>
      </c>
    </row>
    <row r="1929" spans="1:4" x14ac:dyDescent="0.3">
      <c r="A1929" t="s">
        <v>196</v>
      </c>
      <c r="C1929" s="16">
        <v>46211</v>
      </c>
      <c r="D1929" s="82">
        <v>0</v>
      </c>
    </row>
    <row r="1930" spans="1:4" x14ac:dyDescent="0.3">
      <c r="A1930" t="s">
        <v>197</v>
      </c>
      <c r="C1930" s="16">
        <v>46211</v>
      </c>
      <c r="D1930" s="82">
        <v>0</v>
      </c>
    </row>
    <row r="1931" spans="1:4" x14ac:dyDescent="0.3">
      <c r="A1931" t="s">
        <v>212</v>
      </c>
      <c r="C1931" s="16">
        <v>46211</v>
      </c>
      <c r="D1931" s="82">
        <v>0</v>
      </c>
    </row>
    <row r="1932" spans="1:4" x14ac:dyDescent="0.3">
      <c r="A1932" t="s">
        <v>199</v>
      </c>
      <c r="C1932" s="16">
        <v>46211</v>
      </c>
      <c r="D1932" s="82">
        <v>0</v>
      </c>
    </row>
    <row r="1933" spans="1:4" x14ac:dyDescent="0.3">
      <c r="A1933" t="s">
        <v>216</v>
      </c>
      <c r="C1933" s="16">
        <v>46211</v>
      </c>
      <c r="D1933" s="82">
        <v>0</v>
      </c>
    </row>
    <row r="1934" spans="1:4" x14ac:dyDescent="0.3">
      <c r="A1934" t="s">
        <v>17</v>
      </c>
      <c r="C1934" s="16">
        <v>46212</v>
      </c>
      <c r="D1934" s="82">
        <v>4377944.080000001</v>
      </c>
    </row>
    <row r="1935" spans="1:4" x14ac:dyDescent="0.3">
      <c r="A1935" t="s">
        <v>18</v>
      </c>
      <c r="C1935" s="16">
        <v>46212</v>
      </c>
      <c r="D1935" s="82">
        <v>73157.680000000168</v>
      </c>
    </row>
    <row r="1936" spans="1:4" x14ac:dyDescent="0.3">
      <c r="A1936" t="s">
        <v>19</v>
      </c>
      <c r="C1936" s="16">
        <v>46212</v>
      </c>
      <c r="D1936" s="82">
        <v>1669.89</v>
      </c>
    </row>
    <row r="1937" spans="1:4" x14ac:dyDescent="0.3">
      <c r="A1937" t="s">
        <v>20</v>
      </c>
      <c r="C1937" s="16">
        <v>46212</v>
      </c>
      <c r="D1937" s="82">
        <v>290475.62999999989</v>
      </c>
    </row>
    <row r="1938" spans="1:4" x14ac:dyDescent="0.3">
      <c r="A1938" t="s">
        <v>21</v>
      </c>
      <c r="C1938" s="16">
        <v>46212</v>
      </c>
      <c r="D1938" s="82">
        <v>2119592.9399999995</v>
      </c>
    </row>
    <row r="1939" spans="1:4" x14ac:dyDescent="0.3">
      <c r="A1939" t="s">
        <v>22</v>
      </c>
      <c r="C1939" s="16">
        <v>46212</v>
      </c>
      <c r="D1939" s="82">
        <v>200496.38</v>
      </c>
    </row>
    <row r="1940" spans="1:4" x14ac:dyDescent="0.3">
      <c r="A1940" t="s">
        <v>23</v>
      </c>
      <c r="C1940" s="16">
        <v>46212</v>
      </c>
      <c r="D1940" s="82">
        <v>267503.99000000005</v>
      </c>
    </row>
    <row r="1941" spans="1:4" x14ac:dyDescent="0.3">
      <c r="A1941" t="s">
        <v>24</v>
      </c>
      <c r="C1941" s="16">
        <v>46212</v>
      </c>
      <c r="D1941" s="82">
        <v>15130.45</v>
      </c>
    </row>
    <row r="1942" spans="1:4" x14ac:dyDescent="0.3">
      <c r="A1942" t="s">
        <v>25</v>
      </c>
      <c r="C1942" s="16">
        <v>46212</v>
      </c>
      <c r="D1942" s="82">
        <v>54.400000000000006</v>
      </c>
    </row>
    <row r="1943" spans="1:4" x14ac:dyDescent="0.3">
      <c r="A1943" t="s">
        <v>26</v>
      </c>
      <c r="C1943" s="16">
        <v>46212</v>
      </c>
      <c r="D1943" s="82">
        <v>2207.8200000000002</v>
      </c>
    </row>
    <row r="1944" spans="1:4" x14ac:dyDescent="0.3">
      <c r="A1944" t="s">
        <v>27</v>
      </c>
      <c r="C1944" s="16">
        <v>46212</v>
      </c>
      <c r="D1944" s="82">
        <v>1454604.72</v>
      </c>
    </row>
    <row r="1945" spans="1:4" x14ac:dyDescent="0.3">
      <c r="A1945" t="s">
        <v>28</v>
      </c>
      <c r="C1945" s="16">
        <v>46212</v>
      </c>
      <c r="D1945" s="82">
        <v>1968.99</v>
      </c>
    </row>
    <row r="1946" spans="1:4" x14ac:dyDescent="0.3">
      <c r="A1946" t="s">
        <v>29</v>
      </c>
      <c r="C1946" s="16">
        <v>46212</v>
      </c>
      <c r="D1946" s="82">
        <v>382.69000000000005</v>
      </c>
    </row>
    <row r="1947" spans="1:4" x14ac:dyDescent="0.3">
      <c r="A1947" t="s">
        <v>30</v>
      </c>
      <c r="C1947" s="16">
        <v>46212</v>
      </c>
      <c r="D1947" s="82">
        <v>1412.08</v>
      </c>
    </row>
    <row r="1948" spans="1:4" x14ac:dyDescent="0.3">
      <c r="A1948" t="s">
        <v>31</v>
      </c>
      <c r="C1948" s="16">
        <v>46212</v>
      </c>
      <c r="D1948" s="82">
        <v>22496.639999999959</v>
      </c>
    </row>
    <row r="1949" spans="1:4" x14ac:dyDescent="0.3">
      <c r="A1949" t="s">
        <v>32</v>
      </c>
      <c r="C1949" s="16">
        <v>46212</v>
      </c>
      <c r="D1949" s="82">
        <v>6522.8000000000029</v>
      </c>
    </row>
    <row r="1950" spans="1:4" x14ac:dyDescent="0.3">
      <c r="A1950" t="s">
        <v>33</v>
      </c>
      <c r="C1950" s="16">
        <v>46212</v>
      </c>
      <c r="D1950" s="82">
        <v>28485.559999999998</v>
      </c>
    </row>
    <row r="1951" spans="1:4" x14ac:dyDescent="0.3">
      <c r="A1951" t="s">
        <v>34</v>
      </c>
      <c r="C1951" s="16">
        <v>46212</v>
      </c>
      <c r="D1951" s="82">
        <v>345</v>
      </c>
    </row>
    <row r="1952" spans="1:4" x14ac:dyDescent="0.3">
      <c r="A1952" t="s">
        <v>35</v>
      </c>
      <c r="C1952" s="16">
        <v>46212</v>
      </c>
      <c r="D1952" s="82">
        <v>31900.120000000003</v>
      </c>
    </row>
    <row r="1953" spans="1:4" x14ac:dyDescent="0.3">
      <c r="A1953" t="s">
        <v>193</v>
      </c>
      <c r="C1953" s="16">
        <v>46212</v>
      </c>
      <c r="D1953" s="82">
        <v>0</v>
      </c>
    </row>
    <row r="1954" spans="1:4" x14ac:dyDescent="0.3">
      <c r="A1954" t="s">
        <v>214</v>
      </c>
      <c r="C1954" s="16">
        <v>46212</v>
      </c>
      <c r="D1954" s="82">
        <v>0</v>
      </c>
    </row>
    <row r="1955" spans="1:4" x14ac:dyDescent="0.3">
      <c r="A1955" t="s">
        <v>194</v>
      </c>
      <c r="C1955" s="16">
        <v>46212</v>
      </c>
      <c r="D1955" s="82">
        <v>0</v>
      </c>
    </row>
    <row r="1956" spans="1:4" x14ac:dyDescent="0.3">
      <c r="A1956" t="s">
        <v>195</v>
      </c>
      <c r="C1956" s="16">
        <v>46212</v>
      </c>
      <c r="D1956" s="82">
        <v>0</v>
      </c>
    </row>
    <row r="1957" spans="1:4" x14ac:dyDescent="0.3">
      <c r="A1957" t="s">
        <v>196</v>
      </c>
      <c r="C1957" s="16">
        <v>46212</v>
      </c>
      <c r="D1957" s="82">
        <v>0</v>
      </c>
    </row>
    <row r="1958" spans="1:4" x14ac:dyDescent="0.3">
      <c r="A1958" t="s">
        <v>197</v>
      </c>
      <c r="C1958" s="16">
        <v>46212</v>
      </c>
      <c r="D1958" s="82">
        <v>0</v>
      </c>
    </row>
    <row r="1959" spans="1:4" x14ac:dyDescent="0.3">
      <c r="A1959" t="s">
        <v>212</v>
      </c>
      <c r="C1959" s="16">
        <v>46212</v>
      </c>
      <c r="D1959" s="82">
        <v>0</v>
      </c>
    </row>
    <row r="1960" spans="1:4" x14ac:dyDescent="0.3">
      <c r="A1960" t="s">
        <v>199</v>
      </c>
      <c r="C1960" s="16">
        <v>46212</v>
      </c>
      <c r="D1960" s="82">
        <v>0</v>
      </c>
    </row>
    <row r="1961" spans="1:4" x14ac:dyDescent="0.3">
      <c r="A1961" t="s">
        <v>216</v>
      </c>
      <c r="C1961" s="16">
        <v>46212</v>
      </c>
      <c r="D1961" s="82">
        <v>0</v>
      </c>
    </row>
    <row r="1962" spans="1:4" x14ac:dyDescent="0.3">
      <c r="A1962" t="s">
        <v>17</v>
      </c>
      <c r="C1962" s="16">
        <v>46213</v>
      </c>
      <c r="D1962" s="82">
        <v>4163755.7500000005</v>
      </c>
    </row>
    <row r="1963" spans="1:4" x14ac:dyDescent="0.3">
      <c r="A1963" t="s">
        <v>18</v>
      </c>
      <c r="C1963" s="16">
        <v>46213</v>
      </c>
      <c r="D1963" s="82">
        <v>73157.680000000168</v>
      </c>
    </row>
    <row r="1964" spans="1:4" x14ac:dyDescent="0.3">
      <c r="A1964" t="s">
        <v>19</v>
      </c>
      <c r="C1964" s="16">
        <v>46213</v>
      </c>
      <c r="D1964" s="82">
        <v>1669.89</v>
      </c>
    </row>
    <row r="1965" spans="1:4" x14ac:dyDescent="0.3">
      <c r="A1965" t="s">
        <v>20</v>
      </c>
      <c r="C1965" s="16">
        <v>46213</v>
      </c>
      <c r="D1965" s="82">
        <v>290141.62999999989</v>
      </c>
    </row>
    <row r="1966" spans="1:4" x14ac:dyDescent="0.3">
      <c r="A1966" t="s">
        <v>21</v>
      </c>
      <c r="C1966" s="16">
        <v>46213</v>
      </c>
      <c r="D1966" s="82">
        <v>1921752.2699999993</v>
      </c>
    </row>
    <row r="1967" spans="1:4" x14ac:dyDescent="0.3">
      <c r="A1967" t="s">
        <v>22</v>
      </c>
      <c r="C1967" s="16">
        <v>46213</v>
      </c>
      <c r="D1967" s="82">
        <v>200496.38</v>
      </c>
    </row>
    <row r="1968" spans="1:4" x14ac:dyDescent="0.3">
      <c r="A1968" t="s">
        <v>23</v>
      </c>
      <c r="C1968" s="16">
        <v>46213</v>
      </c>
      <c r="D1968" s="82">
        <v>267503.99000000005</v>
      </c>
    </row>
    <row r="1969" spans="1:4" x14ac:dyDescent="0.3">
      <c r="A1969" t="s">
        <v>24</v>
      </c>
      <c r="C1969" s="16">
        <v>46213</v>
      </c>
      <c r="D1969" s="82">
        <v>14580.45</v>
      </c>
    </row>
    <row r="1970" spans="1:4" x14ac:dyDescent="0.3">
      <c r="A1970" t="s">
        <v>25</v>
      </c>
      <c r="C1970" s="16">
        <v>46213</v>
      </c>
      <c r="D1970" s="82">
        <v>54.400000000000006</v>
      </c>
    </row>
    <row r="1971" spans="1:4" x14ac:dyDescent="0.3">
      <c r="A1971" t="s">
        <v>26</v>
      </c>
      <c r="C1971" s="16">
        <v>46213</v>
      </c>
      <c r="D1971" s="82">
        <v>2207.8200000000002</v>
      </c>
    </row>
    <row r="1972" spans="1:4" x14ac:dyDescent="0.3">
      <c r="A1972" t="s">
        <v>27</v>
      </c>
      <c r="C1972" s="16">
        <v>46213</v>
      </c>
      <c r="D1972" s="82">
        <v>1454589.72</v>
      </c>
    </row>
    <row r="1973" spans="1:4" x14ac:dyDescent="0.3">
      <c r="A1973" t="s">
        <v>28</v>
      </c>
      <c r="C1973" s="16">
        <v>46213</v>
      </c>
      <c r="D1973" s="82">
        <v>1968.99</v>
      </c>
    </row>
    <row r="1974" spans="1:4" x14ac:dyDescent="0.3">
      <c r="A1974" t="s">
        <v>29</v>
      </c>
      <c r="C1974" s="16">
        <v>46213</v>
      </c>
      <c r="D1974" s="82">
        <v>382.69000000000005</v>
      </c>
    </row>
    <row r="1975" spans="1:4" x14ac:dyDescent="0.3">
      <c r="A1975" t="s">
        <v>30</v>
      </c>
      <c r="C1975" s="16">
        <v>46213</v>
      </c>
      <c r="D1975" s="82">
        <v>1412.08</v>
      </c>
    </row>
    <row r="1976" spans="1:4" x14ac:dyDescent="0.3">
      <c r="A1976" t="s">
        <v>31</v>
      </c>
      <c r="C1976" s="16">
        <v>46213</v>
      </c>
      <c r="D1976" s="82">
        <v>22496.639999999959</v>
      </c>
    </row>
    <row r="1977" spans="1:4" x14ac:dyDescent="0.3">
      <c r="A1977" t="s">
        <v>32</v>
      </c>
      <c r="C1977" s="16">
        <v>46213</v>
      </c>
      <c r="D1977" s="82">
        <v>6522.8000000000029</v>
      </c>
    </row>
    <row r="1978" spans="1:4" x14ac:dyDescent="0.3">
      <c r="A1978" t="s">
        <v>33</v>
      </c>
      <c r="C1978" s="16">
        <v>46213</v>
      </c>
      <c r="D1978" s="82">
        <v>28485.559999999998</v>
      </c>
    </row>
    <row r="1979" spans="1:4" x14ac:dyDescent="0.3">
      <c r="A1979" t="s">
        <v>34</v>
      </c>
      <c r="C1979" s="16">
        <v>46213</v>
      </c>
      <c r="D1979" s="82">
        <v>345</v>
      </c>
    </row>
    <row r="1980" spans="1:4" x14ac:dyDescent="0.3">
      <c r="A1980" t="s">
        <v>35</v>
      </c>
      <c r="C1980" s="16">
        <v>46213</v>
      </c>
      <c r="D1980" s="82">
        <v>31900.120000000003</v>
      </c>
    </row>
    <row r="1981" spans="1:4" x14ac:dyDescent="0.3">
      <c r="A1981" t="s">
        <v>193</v>
      </c>
      <c r="C1981" s="16">
        <v>46213</v>
      </c>
      <c r="D1981" s="82">
        <v>0</v>
      </c>
    </row>
    <row r="1982" spans="1:4" x14ac:dyDescent="0.3">
      <c r="A1982" t="s">
        <v>214</v>
      </c>
      <c r="C1982" s="16">
        <v>46213</v>
      </c>
      <c r="D1982" s="82">
        <v>0</v>
      </c>
    </row>
    <row r="1983" spans="1:4" x14ac:dyDescent="0.3">
      <c r="A1983" t="s">
        <v>194</v>
      </c>
      <c r="C1983" s="16">
        <v>46213</v>
      </c>
      <c r="D1983" s="82">
        <v>0</v>
      </c>
    </row>
    <row r="1984" spans="1:4" x14ac:dyDescent="0.3">
      <c r="A1984" t="s">
        <v>195</v>
      </c>
      <c r="C1984" s="16">
        <v>46213</v>
      </c>
      <c r="D1984" s="82">
        <v>0</v>
      </c>
    </row>
    <row r="1985" spans="1:4" x14ac:dyDescent="0.3">
      <c r="A1985" t="s">
        <v>196</v>
      </c>
      <c r="C1985" s="16">
        <v>46213</v>
      </c>
      <c r="D1985" s="82">
        <v>0</v>
      </c>
    </row>
    <row r="1986" spans="1:4" x14ac:dyDescent="0.3">
      <c r="A1986" t="s">
        <v>197</v>
      </c>
      <c r="C1986" s="16">
        <v>46213</v>
      </c>
      <c r="D1986" s="82">
        <v>0</v>
      </c>
    </row>
    <row r="1987" spans="1:4" x14ac:dyDescent="0.3">
      <c r="A1987" t="s">
        <v>212</v>
      </c>
      <c r="C1987" s="16">
        <v>46213</v>
      </c>
      <c r="D1987" s="82">
        <v>0</v>
      </c>
    </row>
    <row r="1988" spans="1:4" x14ac:dyDescent="0.3">
      <c r="A1988" t="s">
        <v>199</v>
      </c>
      <c r="C1988" s="16">
        <v>46213</v>
      </c>
      <c r="D1988" s="82">
        <v>0</v>
      </c>
    </row>
    <row r="1989" spans="1:4" x14ac:dyDescent="0.3">
      <c r="A1989" t="s">
        <v>216</v>
      </c>
      <c r="C1989" s="16">
        <v>46213</v>
      </c>
      <c r="D1989" s="82">
        <v>0</v>
      </c>
    </row>
    <row r="1990" spans="1:4" x14ac:dyDescent="0.3">
      <c r="A1990" t="s">
        <v>17</v>
      </c>
      <c r="C1990" s="16">
        <v>46214</v>
      </c>
      <c r="D1990" s="82">
        <v>4163755.7500000005</v>
      </c>
    </row>
    <row r="1991" spans="1:4" x14ac:dyDescent="0.3">
      <c r="A1991" t="s">
        <v>18</v>
      </c>
      <c r="C1991" s="16">
        <v>46214</v>
      </c>
      <c r="D1991" s="82">
        <v>73157.680000000168</v>
      </c>
    </row>
    <row r="1992" spans="1:4" x14ac:dyDescent="0.3">
      <c r="A1992" t="s">
        <v>19</v>
      </c>
      <c r="C1992" s="16">
        <v>46214</v>
      </c>
      <c r="D1992" s="82">
        <v>1669.89</v>
      </c>
    </row>
    <row r="1993" spans="1:4" x14ac:dyDescent="0.3">
      <c r="A1993" t="s">
        <v>20</v>
      </c>
      <c r="C1993" s="16">
        <v>46214</v>
      </c>
      <c r="D1993" s="82">
        <v>290141.62999999989</v>
      </c>
    </row>
    <row r="1994" spans="1:4" x14ac:dyDescent="0.3">
      <c r="A1994" t="s">
        <v>21</v>
      </c>
      <c r="C1994" s="16">
        <v>46214</v>
      </c>
      <c r="D1994" s="82">
        <v>1921752.2699999993</v>
      </c>
    </row>
    <row r="1995" spans="1:4" x14ac:dyDescent="0.3">
      <c r="A1995" t="s">
        <v>22</v>
      </c>
      <c r="C1995" s="16">
        <v>46214</v>
      </c>
      <c r="D1995" s="82">
        <v>200496.38</v>
      </c>
    </row>
    <row r="1996" spans="1:4" x14ac:dyDescent="0.3">
      <c r="A1996" t="s">
        <v>23</v>
      </c>
      <c r="C1996" s="16">
        <v>46214</v>
      </c>
      <c r="D1996" s="82">
        <v>267503.99000000005</v>
      </c>
    </row>
    <row r="1997" spans="1:4" x14ac:dyDescent="0.3">
      <c r="A1997" t="s">
        <v>24</v>
      </c>
      <c r="C1997" s="16">
        <v>46214</v>
      </c>
      <c r="D1997" s="82">
        <v>14580.45</v>
      </c>
    </row>
    <row r="1998" spans="1:4" x14ac:dyDescent="0.3">
      <c r="A1998" t="s">
        <v>25</v>
      </c>
      <c r="C1998" s="16">
        <v>46214</v>
      </c>
      <c r="D1998" s="82">
        <v>54.400000000000006</v>
      </c>
    </row>
    <row r="1999" spans="1:4" x14ac:dyDescent="0.3">
      <c r="A1999" t="s">
        <v>26</v>
      </c>
      <c r="C1999" s="16">
        <v>46214</v>
      </c>
      <c r="D1999" s="82">
        <v>2207.8200000000002</v>
      </c>
    </row>
    <row r="2000" spans="1:4" x14ac:dyDescent="0.3">
      <c r="A2000" t="s">
        <v>27</v>
      </c>
      <c r="C2000" s="16">
        <v>46214</v>
      </c>
      <c r="D2000" s="82">
        <v>1454589.72</v>
      </c>
    </row>
    <row r="2001" spans="1:4" x14ac:dyDescent="0.3">
      <c r="A2001" t="s">
        <v>28</v>
      </c>
      <c r="C2001" s="16">
        <v>46214</v>
      </c>
      <c r="D2001" s="82">
        <v>1968.99</v>
      </c>
    </row>
    <row r="2002" spans="1:4" x14ac:dyDescent="0.3">
      <c r="A2002" t="s">
        <v>29</v>
      </c>
      <c r="C2002" s="16">
        <v>46214</v>
      </c>
      <c r="D2002" s="82">
        <v>382.69000000000005</v>
      </c>
    </row>
    <row r="2003" spans="1:4" x14ac:dyDescent="0.3">
      <c r="A2003" t="s">
        <v>30</v>
      </c>
      <c r="C2003" s="16">
        <v>46214</v>
      </c>
      <c r="D2003" s="82">
        <v>1412.08</v>
      </c>
    </row>
    <row r="2004" spans="1:4" x14ac:dyDescent="0.3">
      <c r="A2004" t="s">
        <v>31</v>
      </c>
      <c r="C2004" s="16">
        <v>46214</v>
      </c>
      <c r="D2004" s="82">
        <v>22496.639999999959</v>
      </c>
    </row>
    <row r="2005" spans="1:4" x14ac:dyDescent="0.3">
      <c r="A2005" t="s">
        <v>32</v>
      </c>
      <c r="C2005" s="16">
        <v>46214</v>
      </c>
      <c r="D2005" s="82">
        <v>6522.8000000000029</v>
      </c>
    </row>
    <row r="2006" spans="1:4" x14ac:dyDescent="0.3">
      <c r="A2006" t="s">
        <v>33</v>
      </c>
      <c r="C2006" s="16">
        <v>46214</v>
      </c>
      <c r="D2006" s="82">
        <v>28485.559999999998</v>
      </c>
    </row>
    <row r="2007" spans="1:4" x14ac:dyDescent="0.3">
      <c r="A2007" t="s">
        <v>34</v>
      </c>
      <c r="C2007" s="16">
        <v>46214</v>
      </c>
      <c r="D2007" s="82">
        <v>345</v>
      </c>
    </row>
    <row r="2008" spans="1:4" x14ac:dyDescent="0.3">
      <c r="A2008" t="s">
        <v>35</v>
      </c>
      <c r="C2008" s="16">
        <v>46214</v>
      </c>
      <c r="D2008" s="82">
        <v>31900.120000000003</v>
      </c>
    </row>
    <row r="2009" spans="1:4" x14ac:dyDescent="0.3">
      <c r="A2009" t="s">
        <v>193</v>
      </c>
      <c r="C2009" s="16">
        <v>46214</v>
      </c>
      <c r="D2009" s="82">
        <v>0</v>
      </c>
    </row>
    <row r="2010" spans="1:4" x14ac:dyDescent="0.3">
      <c r="A2010" t="s">
        <v>214</v>
      </c>
      <c r="C2010" s="16">
        <v>46214</v>
      </c>
      <c r="D2010" s="82">
        <v>0</v>
      </c>
    </row>
    <row r="2011" spans="1:4" x14ac:dyDescent="0.3">
      <c r="A2011" t="s">
        <v>194</v>
      </c>
      <c r="C2011" s="16">
        <v>46214</v>
      </c>
      <c r="D2011" s="82">
        <v>0</v>
      </c>
    </row>
    <row r="2012" spans="1:4" x14ac:dyDescent="0.3">
      <c r="A2012" t="s">
        <v>195</v>
      </c>
      <c r="C2012" s="16">
        <v>46214</v>
      </c>
      <c r="D2012" s="82">
        <v>0</v>
      </c>
    </row>
    <row r="2013" spans="1:4" x14ac:dyDescent="0.3">
      <c r="A2013" t="s">
        <v>196</v>
      </c>
      <c r="C2013" s="16">
        <v>46214</v>
      </c>
      <c r="D2013" s="82">
        <v>0</v>
      </c>
    </row>
    <row r="2014" spans="1:4" x14ac:dyDescent="0.3">
      <c r="A2014" t="s">
        <v>197</v>
      </c>
      <c r="C2014" s="16">
        <v>46214</v>
      </c>
      <c r="D2014" s="82">
        <v>0</v>
      </c>
    </row>
    <row r="2015" spans="1:4" x14ac:dyDescent="0.3">
      <c r="A2015" t="s">
        <v>212</v>
      </c>
      <c r="C2015" s="16">
        <v>46214</v>
      </c>
      <c r="D2015" s="82">
        <v>0</v>
      </c>
    </row>
    <row r="2016" spans="1:4" x14ac:dyDescent="0.3">
      <c r="A2016" t="s">
        <v>199</v>
      </c>
      <c r="C2016" s="16">
        <v>46214</v>
      </c>
      <c r="D2016" s="82">
        <v>0</v>
      </c>
    </row>
    <row r="2017" spans="1:4" x14ac:dyDescent="0.3">
      <c r="A2017" t="s">
        <v>216</v>
      </c>
      <c r="C2017" s="16">
        <v>46214</v>
      </c>
      <c r="D2017" s="82">
        <v>0</v>
      </c>
    </row>
    <row r="2018" spans="1:4" x14ac:dyDescent="0.3">
      <c r="A2018" t="s">
        <v>17</v>
      </c>
      <c r="C2018" s="16">
        <v>46215</v>
      </c>
      <c r="D2018" s="82">
        <v>4163755.7500000005</v>
      </c>
    </row>
    <row r="2019" spans="1:4" x14ac:dyDescent="0.3">
      <c r="A2019" t="s">
        <v>18</v>
      </c>
      <c r="C2019" s="16">
        <v>46215</v>
      </c>
      <c r="D2019" s="82">
        <v>73157.680000000168</v>
      </c>
    </row>
    <row r="2020" spans="1:4" x14ac:dyDescent="0.3">
      <c r="A2020" t="s">
        <v>19</v>
      </c>
      <c r="C2020" s="16">
        <v>46215</v>
      </c>
      <c r="D2020" s="82">
        <v>1669.89</v>
      </c>
    </row>
    <row r="2021" spans="1:4" x14ac:dyDescent="0.3">
      <c r="A2021" t="s">
        <v>20</v>
      </c>
      <c r="C2021" s="16">
        <v>46215</v>
      </c>
      <c r="D2021" s="82">
        <v>290141.62999999989</v>
      </c>
    </row>
    <row r="2022" spans="1:4" x14ac:dyDescent="0.3">
      <c r="A2022" t="s">
        <v>21</v>
      </c>
      <c r="C2022" s="16">
        <v>46215</v>
      </c>
      <c r="D2022" s="82">
        <v>1921752.2699999993</v>
      </c>
    </row>
    <row r="2023" spans="1:4" x14ac:dyDescent="0.3">
      <c r="A2023" t="s">
        <v>22</v>
      </c>
      <c r="C2023" s="16">
        <v>46215</v>
      </c>
      <c r="D2023" s="82">
        <v>200496.38</v>
      </c>
    </row>
    <row r="2024" spans="1:4" x14ac:dyDescent="0.3">
      <c r="A2024" t="s">
        <v>23</v>
      </c>
      <c r="C2024" s="16">
        <v>46215</v>
      </c>
      <c r="D2024" s="82">
        <v>267503.99000000005</v>
      </c>
    </row>
    <row r="2025" spans="1:4" x14ac:dyDescent="0.3">
      <c r="A2025" t="s">
        <v>24</v>
      </c>
      <c r="C2025" s="16">
        <v>46215</v>
      </c>
      <c r="D2025" s="82">
        <v>14580.45</v>
      </c>
    </row>
    <row r="2026" spans="1:4" x14ac:dyDescent="0.3">
      <c r="A2026" t="s">
        <v>25</v>
      </c>
      <c r="C2026" s="16">
        <v>46215</v>
      </c>
      <c r="D2026" s="82">
        <v>54.400000000000006</v>
      </c>
    </row>
    <row r="2027" spans="1:4" x14ac:dyDescent="0.3">
      <c r="A2027" t="s">
        <v>26</v>
      </c>
      <c r="C2027" s="16">
        <v>46215</v>
      </c>
      <c r="D2027" s="82">
        <v>2207.8200000000002</v>
      </c>
    </row>
    <row r="2028" spans="1:4" x14ac:dyDescent="0.3">
      <c r="A2028" t="s">
        <v>27</v>
      </c>
      <c r="C2028" s="16">
        <v>46215</v>
      </c>
      <c r="D2028" s="82">
        <v>1454589.72</v>
      </c>
    </row>
    <row r="2029" spans="1:4" x14ac:dyDescent="0.3">
      <c r="A2029" t="s">
        <v>28</v>
      </c>
      <c r="C2029" s="16">
        <v>46215</v>
      </c>
      <c r="D2029" s="82">
        <v>1968.99</v>
      </c>
    </row>
    <row r="2030" spans="1:4" x14ac:dyDescent="0.3">
      <c r="A2030" t="s">
        <v>29</v>
      </c>
      <c r="C2030" s="16">
        <v>46215</v>
      </c>
      <c r="D2030" s="82">
        <v>382.69000000000005</v>
      </c>
    </row>
    <row r="2031" spans="1:4" x14ac:dyDescent="0.3">
      <c r="A2031" t="s">
        <v>30</v>
      </c>
      <c r="C2031" s="16">
        <v>46215</v>
      </c>
      <c r="D2031" s="82">
        <v>1412.08</v>
      </c>
    </row>
    <row r="2032" spans="1:4" x14ac:dyDescent="0.3">
      <c r="A2032" t="s">
        <v>31</v>
      </c>
      <c r="C2032" s="16">
        <v>46215</v>
      </c>
      <c r="D2032" s="82">
        <v>22496.639999999959</v>
      </c>
    </row>
    <row r="2033" spans="1:4" x14ac:dyDescent="0.3">
      <c r="A2033" t="s">
        <v>32</v>
      </c>
      <c r="C2033" s="16">
        <v>46215</v>
      </c>
      <c r="D2033" s="82">
        <v>6522.8000000000029</v>
      </c>
    </row>
    <row r="2034" spans="1:4" x14ac:dyDescent="0.3">
      <c r="A2034" t="s">
        <v>33</v>
      </c>
      <c r="C2034" s="16">
        <v>46215</v>
      </c>
      <c r="D2034" s="82">
        <v>28485.559999999998</v>
      </c>
    </row>
    <row r="2035" spans="1:4" x14ac:dyDescent="0.3">
      <c r="A2035" t="s">
        <v>34</v>
      </c>
      <c r="C2035" s="16">
        <v>46215</v>
      </c>
      <c r="D2035" s="82">
        <v>345</v>
      </c>
    </row>
    <row r="2036" spans="1:4" x14ac:dyDescent="0.3">
      <c r="A2036" t="s">
        <v>35</v>
      </c>
      <c r="C2036" s="16">
        <v>46215</v>
      </c>
      <c r="D2036" s="82">
        <v>31900.120000000003</v>
      </c>
    </row>
    <row r="2037" spans="1:4" x14ac:dyDescent="0.3">
      <c r="A2037" t="s">
        <v>193</v>
      </c>
      <c r="C2037" s="16">
        <v>46215</v>
      </c>
      <c r="D2037" s="82">
        <v>0</v>
      </c>
    </row>
    <row r="2038" spans="1:4" x14ac:dyDescent="0.3">
      <c r="A2038" t="s">
        <v>214</v>
      </c>
      <c r="C2038" s="16">
        <v>46215</v>
      </c>
      <c r="D2038" s="82">
        <v>0</v>
      </c>
    </row>
    <row r="2039" spans="1:4" x14ac:dyDescent="0.3">
      <c r="A2039" t="s">
        <v>194</v>
      </c>
      <c r="C2039" s="16">
        <v>46215</v>
      </c>
      <c r="D2039" s="82">
        <v>0</v>
      </c>
    </row>
    <row r="2040" spans="1:4" x14ac:dyDescent="0.3">
      <c r="A2040" t="s">
        <v>195</v>
      </c>
      <c r="C2040" s="16">
        <v>46215</v>
      </c>
      <c r="D2040" s="82">
        <v>0</v>
      </c>
    </row>
    <row r="2041" spans="1:4" x14ac:dyDescent="0.3">
      <c r="A2041" t="s">
        <v>196</v>
      </c>
      <c r="C2041" s="16">
        <v>46215</v>
      </c>
      <c r="D2041" s="82">
        <v>0</v>
      </c>
    </row>
    <row r="2042" spans="1:4" x14ac:dyDescent="0.3">
      <c r="A2042" t="s">
        <v>197</v>
      </c>
      <c r="C2042" s="16">
        <v>46215</v>
      </c>
      <c r="D2042" s="82">
        <v>0</v>
      </c>
    </row>
    <row r="2043" spans="1:4" x14ac:dyDescent="0.3">
      <c r="A2043" t="s">
        <v>212</v>
      </c>
      <c r="C2043" s="16">
        <v>46215</v>
      </c>
      <c r="D2043" s="82">
        <v>0</v>
      </c>
    </row>
    <row r="2044" spans="1:4" x14ac:dyDescent="0.3">
      <c r="A2044" t="s">
        <v>199</v>
      </c>
      <c r="C2044" s="16">
        <v>46215</v>
      </c>
      <c r="D2044" s="82">
        <v>0</v>
      </c>
    </row>
    <row r="2045" spans="1:4" x14ac:dyDescent="0.3">
      <c r="A2045" t="s">
        <v>216</v>
      </c>
      <c r="C2045" s="16">
        <v>46215</v>
      </c>
      <c r="D2045" s="82">
        <v>0</v>
      </c>
    </row>
    <row r="2046" spans="1:4" x14ac:dyDescent="0.3">
      <c r="A2046" t="s">
        <v>17</v>
      </c>
      <c r="C2046" s="16">
        <v>46216</v>
      </c>
      <c r="D2046" s="82">
        <v>4163755.7500000005</v>
      </c>
    </row>
    <row r="2047" spans="1:4" x14ac:dyDescent="0.3">
      <c r="A2047" t="s">
        <v>18</v>
      </c>
      <c r="C2047" s="16">
        <v>46216</v>
      </c>
      <c r="D2047" s="82">
        <v>73157.680000000168</v>
      </c>
    </row>
    <row r="2048" spans="1:4" x14ac:dyDescent="0.3">
      <c r="A2048" t="s">
        <v>19</v>
      </c>
      <c r="C2048" s="16">
        <v>46216</v>
      </c>
      <c r="D2048" s="82">
        <v>1669.89</v>
      </c>
    </row>
    <row r="2049" spans="1:4" x14ac:dyDescent="0.3">
      <c r="A2049" t="s">
        <v>20</v>
      </c>
      <c r="C2049" s="16">
        <v>46216</v>
      </c>
      <c r="D2049" s="82">
        <v>290141.62999999989</v>
      </c>
    </row>
    <row r="2050" spans="1:4" x14ac:dyDescent="0.3">
      <c r="A2050" t="s">
        <v>21</v>
      </c>
      <c r="C2050" s="16">
        <v>46216</v>
      </c>
      <c r="D2050" s="82">
        <v>1921752.2699999993</v>
      </c>
    </row>
    <row r="2051" spans="1:4" x14ac:dyDescent="0.3">
      <c r="A2051" t="s">
        <v>22</v>
      </c>
      <c r="C2051" s="16">
        <v>46216</v>
      </c>
      <c r="D2051" s="82">
        <v>200496.38</v>
      </c>
    </row>
    <row r="2052" spans="1:4" x14ac:dyDescent="0.3">
      <c r="A2052" t="s">
        <v>23</v>
      </c>
      <c r="C2052" s="16">
        <v>46216</v>
      </c>
      <c r="D2052" s="82">
        <v>267503.99000000005</v>
      </c>
    </row>
    <row r="2053" spans="1:4" x14ac:dyDescent="0.3">
      <c r="A2053" t="s">
        <v>24</v>
      </c>
      <c r="C2053" s="16">
        <v>46216</v>
      </c>
      <c r="D2053" s="82">
        <v>14580.45</v>
      </c>
    </row>
    <row r="2054" spans="1:4" x14ac:dyDescent="0.3">
      <c r="A2054" t="s">
        <v>25</v>
      </c>
      <c r="C2054" s="16">
        <v>46216</v>
      </c>
      <c r="D2054" s="82">
        <v>54.400000000000006</v>
      </c>
    </row>
    <row r="2055" spans="1:4" x14ac:dyDescent="0.3">
      <c r="A2055" t="s">
        <v>26</v>
      </c>
      <c r="C2055" s="16">
        <v>46216</v>
      </c>
      <c r="D2055" s="82">
        <v>2207.8200000000002</v>
      </c>
    </row>
    <row r="2056" spans="1:4" x14ac:dyDescent="0.3">
      <c r="A2056" t="s">
        <v>27</v>
      </c>
      <c r="C2056" s="16">
        <v>46216</v>
      </c>
      <c r="D2056" s="82">
        <v>1454589.72</v>
      </c>
    </row>
    <row r="2057" spans="1:4" x14ac:dyDescent="0.3">
      <c r="A2057" t="s">
        <v>28</v>
      </c>
      <c r="C2057" s="16">
        <v>46216</v>
      </c>
      <c r="D2057" s="82">
        <v>1968.99</v>
      </c>
    </row>
    <row r="2058" spans="1:4" x14ac:dyDescent="0.3">
      <c r="A2058" t="s">
        <v>29</v>
      </c>
      <c r="C2058" s="16">
        <v>46216</v>
      </c>
      <c r="D2058" s="82">
        <v>901.34</v>
      </c>
    </row>
    <row r="2059" spans="1:4" x14ac:dyDescent="0.3">
      <c r="A2059" t="s">
        <v>30</v>
      </c>
      <c r="C2059" s="16">
        <v>46216</v>
      </c>
      <c r="D2059" s="82">
        <v>1412.08</v>
      </c>
    </row>
    <row r="2060" spans="1:4" x14ac:dyDescent="0.3">
      <c r="A2060" t="s">
        <v>31</v>
      </c>
      <c r="C2060" s="16">
        <v>46216</v>
      </c>
      <c r="D2060" s="82">
        <v>22496.639999999959</v>
      </c>
    </row>
    <row r="2061" spans="1:4" x14ac:dyDescent="0.3">
      <c r="A2061" t="s">
        <v>32</v>
      </c>
      <c r="C2061" s="16">
        <v>46216</v>
      </c>
      <c r="D2061" s="82">
        <v>6522.8000000000029</v>
      </c>
    </row>
    <row r="2062" spans="1:4" x14ac:dyDescent="0.3">
      <c r="A2062" t="s">
        <v>33</v>
      </c>
      <c r="C2062" s="16">
        <v>46216</v>
      </c>
      <c r="D2062" s="82">
        <v>28485.559999999998</v>
      </c>
    </row>
    <row r="2063" spans="1:4" x14ac:dyDescent="0.3">
      <c r="A2063" t="s">
        <v>34</v>
      </c>
      <c r="C2063" s="16">
        <v>46216</v>
      </c>
      <c r="D2063" s="82">
        <v>345</v>
      </c>
    </row>
    <row r="2064" spans="1:4" x14ac:dyDescent="0.3">
      <c r="A2064" t="s">
        <v>35</v>
      </c>
      <c r="C2064" s="16">
        <v>46216</v>
      </c>
      <c r="D2064" s="82">
        <v>25198.240000000002</v>
      </c>
    </row>
    <row r="2065" spans="1:4" x14ac:dyDescent="0.3">
      <c r="A2065" t="s">
        <v>193</v>
      </c>
      <c r="C2065" s="16">
        <v>46216</v>
      </c>
      <c r="D2065" s="82">
        <v>0</v>
      </c>
    </row>
    <row r="2066" spans="1:4" x14ac:dyDescent="0.3">
      <c r="A2066" t="s">
        <v>214</v>
      </c>
      <c r="C2066" s="16">
        <v>46216</v>
      </c>
      <c r="D2066" s="82">
        <v>0</v>
      </c>
    </row>
    <row r="2067" spans="1:4" x14ac:dyDescent="0.3">
      <c r="A2067" t="s">
        <v>194</v>
      </c>
      <c r="C2067" s="16">
        <v>46216</v>
      </c>
      <c r="D2067" s="82">
        <v>0</v>
      </c>
    </row>
    <row r="2068" spans="1:4" x14ac:dyDescent="0.3">
      <c r="A2068" t="s">
        <v>195</v>
      </c>
      <c r="C2068" s="16">
        <v>46216</v>
      </c>
      <c r="D2068" s="82">
        <v>0</v>
      </c>
    </row>
    <row r="2069" spans="1:4" x14ac:dyDescent="0.3">
      <c r="A2069" t="s">
        <v>196</v>
      </c>
      <c r="C2069" s="16">
        <v>46216</v>
      </c>
      <c r="D2069" s="82">
        <v>0</v>
      </c>
    </row>
    <row r="2070" spans="1:4" x14ac:dyDescent="0.3">
      <c r="A2070" t="s">
        <v>197</v>
      </c>
      <c r="C2070" s="16">
        <v>46216</v>
      </c>
      <c r="D2070" s="82">
        <v>0</v>
      </c>
    </row>
    <row r="2071" spans="1:4" x14ac:dyDescent="0.3">
      <c r="A2071" t="s">
        <v>212</v>
      </c>
      <c r="C2071" s="16">
        <v>46216</v>
      </c>
      <c r="D2071" s="82">
        <v>0</v>
      </c>
    </row>
    <row r="2072" spans="1:4" x14ac:dyDescent="0.3">
      <c r="A2072" t="s">
        <v>199</v>
      </c>
      <c r="C2072" s="16">
        <v>46216</v>
      </c>
      <c r="D2072" s="82">
        <v>0</v>
      </c>
    </row>
    <row r="2073" spans="1:4" x14ac:dyDescent="0.3">
      <c r="A2073" t="s">
        <v>216</v>
      </c>
      <c r="C2073" s="16">
        <v>46216</v>
      </c>
      <c r="D2073" s="82">
        <v>0</v>
      </c>
    </row>
    <row r="2074" spans="1:4" x14ac:dyDescent="0.3">
      <c r="A2074" t="s">
        <v>17</v>
      </c>
      <c r="C2074" s="16">
        <v>46217</v>
      </c>
      <c r="D2074" s="82">
        <v>3363755.7500000005</v>
      </c>
    </row>
    <row r="2075" spans="1:4" x14ac:dyDescent="0.3">
      <c r="A2075" t="s">
        <v>18</v>
      </c>
      <c r="C2075" s="16">
        <v>46217</v>
      </c>
      <c r="D2075" s="82">
        <v>73157.680000000168</v>
      </c>
    </row>
    <row r="2076" spans="1:4" x14ac:dyDescent="0.3">
      <c r="A2076" t="s">
        <v>19</v>
      </c>
      <c r="C2076" s="16">
        <v>46217</v>
      </c>
      <c r="D2076" s="82">
        <v>1669.89</v>
      </c>
    </row>
    <row r="2077" spans="1:4" x14ac:dyDescent="0.3">
      <c r="A2077" t="s">
        <v>20</v>
      </c>
      <c r="C2077" s="16">
        <v>46217</v>
      </c>
      <c r="D2077" s="82">
        <v>1090141.6299999999</v>
      </c>
    </row>
    <row r="2078" spans="1:4" x14ac:dyDescent="0.3">
      <c r="A2078" t="s">
        <v>21</v>
      </c>
      <c r="C2078" s="16">
        <v>46217</v>
      </c>
      <c r="D2078" s="82">
        <v>1856542.8899999992</v>
      </c>
    </row>
    <row r="2079" spans="1:4" x14ac:dyDescent="0.3">
      <c r="A2079" t="s">
        <v>22</v>
      </c>
      <c r="C2079" s="16">
        <v>46217</v>
      </c>
      <c r="D2079" s="82">
        <v>200496.38</v>
      </c>
    </row>
    <row r="2080" spans="1:4" x14ac:dyDescent="0.3">
      <c r="A2080" t="s">
        <v>23</v>
      </c>
      <c r="C2080" s="16">
        <v>46217</v>
      </c>
      <c r="D2080" s="82">
        <v>267503.99000000005</v>
      </c>
    </row>
    <row r="2081" spans="1:4" x14ac:dyDescent="0.3">
      <c r="A2081" t="s">
        <v>24</v>
      </c>
      <c r="C2081" s="16">
        <v>46217</v>
      </c>
      <c r="D2081" s="82">
        <v>14580.45</v>
      </c>
    </row>
    <row r="2082" spans="1:4" x14ac:dyDescent="0.3">
      <c r="A2082" t="s">
        <v>25</v>
      </c>
      <c r="C2082" s="16">
        <v>46217</v>
      </c>
      <c r="D2082" s="82">
        <v>54.400000000000006</v>
      </c>
    </row>
    <row r="2083" spans="1:4" x14ac:dyDescent="0.3">
      <c r="A2083" t="s">
        <v>26</v>
      </c>
      <c r="C2083" s="16">
        <v>46217</v>
      </c>
      <c r="D2083" s="82">
        <v>2207.8200000000002</v>
      </c>
    </row>
    <row r="2084" spans="1:4" x14ac:dyDescent="0.3">
      <c r="A2084" t="s">
        <v>27</v>
      </c>
      <c r="C2084" s="16">
        <v>46217</v>
      </c>
      <c r="D2084" s="82">
        <v>1454589.72</v>
      </c>
    </row>
    <row r="2085" spans="1:4" x14ac:dyDescent="0.3">
      <c r="A2085" t="s">
        <v>28</v>
      </c>
      <c r="C2085" s="16">
        <v>46217</v>
      </c>
      <c r="D2085" s="82">
        <v>1968.99</v>
      </c>
    </row>
    <row r="2086" spans="1:4" x14ac:dyDescent="0.3">
      <c r="A2086" t="s">
        <v>29</v>
      </c>
      <c r="C2086" s="16">
        <v>46217</v>
      </c>
      <c r="D2086" s="82">
        <v>901.34</v>
      </c>
    </row>
    <row r="2087" spans="1:4" x14ac:dyDescent="0.3">
      <c r="A2087" t="s">
        <v>30</v>
      </c>
      <c r="C2087" s="16">
        <v>46217</v>
      </c>
      <c r="D2087" s="82">
        <v>1412.08</v>
      </c>
    </row>
    <row r="2088" spans="1:4" x14ac:dyDescent="0.3">
      <c r="A2088" t="s">
        <v>31</v>
      </c>
      <c r="C2088" s="16">
        <v>46217</v>
      </c>
      <c r="D2088" s="82">
        <v>22347.56999999996</v>
      </c>
    </row>
    <row r="2089" spans="1:4" x14ac:dyDescent="0.3">
      <c r="A2089" t="s">
        <v>32</v>
      </c>
      <c r="C2089" s="16">
        <v>46217</v>
      </c>
      <c r="D2089" s="82">
        <v>6522.8000000000029</v>
      </c>
    </row>
    <row r="2090" spans="1:4" x14ac:dyDescent="0.3">
      <c r="A2090" t="s">
        <v>33</v>
      </c>
      <c r="C2090" s="16">
        <v>46217</v>
      </c>
      <c r="D2090" s="82">
        <v>28485.559999999998</v>
      </c>
    </row>
    <row r="2091" spans="1:4" x14ac:dyDescent="0.3">
      <c r="A2091" t="s">
        <v>34</v>
      </c>
      <c r="C2091" s="16">
        <v>46217</v>
      </c>
      <c r="D2091" s="82">
        <v>345</v>
      </c>
    </row>
    <row r="2092" spans="1:4" x14ac:dyDescent="0.3">
      <c r="A2092" t="s">
        <v>35</v>
      </c>
      <c r="C2092" s="16">
        <v>46217</v>
      </c>
      <c r="D2092" s="82">
        <v>25198.240000000002</v>
      </c>
    </row>
    <row r="2093" spans="1:4" x14ac:dyDescent="0.3">
      <c r="A2093" t="s">
        <v>193</v>
      </c>
      <c r="C2093" s="16">
        <v>46217</v>
      </c>
      <c r="D2093" s="82">
        <v>0</v>
      </c>
    </row>
    <row r="2094" spans="1:4" x14ac:dyDescent="0.3">
      <c r="A2094" t="s">
        <v>214</v>
      </c>
      <c r="C2094" s="16">
        <v>46217</v>
      </c>
      <c r="D2094" s="82">
        <v>0</v>
      </c>
    </row>
    <row r="2095" spans="1:4" x14ac:dyDescent="0.3">
      <c r="A2095" t="s">
        <v>194</v>
      </c>
      <c r="C2095" s="16">
        <v>46217</v>
      </c>
      <c r="D2095" s="82">
        <v>0</v>
      </c>
    </row>
    <row r="2096" spans="1:4" x14ac:dyDescent="0.3">
      <c r="A2096" t="s">
        <v>195</v>
      </c>
      <c r="C2096" s="16">
        <v>46217</v>
      </c>
      <c r="D2096" s="82">
        <v>0</v>
      </c>
    </row>
    <row r="2097" spans="1:4" x14ac:dyDescent="0.3">
      <c r="A2097" t="s">
        <v>196</v>
      </c>
      <c r="C2097" s="16">
        <v>46217</v>
      </c>
      <c r="D2097" s="82">
        <v>0</v>
      </c>
    </row>
    <row r="2098" spans="1:4" x14ac:dyDescent="0.3">
      <c r="A2098" t="s">
        <v>197</v>
      </c>
      <c r="C2098" s="16">
        <v>46217</v>
      </c>
      <c r="D2098" s="82">
        <v>0</v>
      </c>
    </row>
    <row r="2099" spans="1:4" x14ac:dyDescent="0.3">
      <c r="A2099" t="s">
        <v>212</v>
      </c>
      <c r="C2099" s="16">
        <v>46217</v>
      </c>
      <c r="D2099" s="82">
        <v>0</v>
      </c>
    </row>
    <row r="2100" spans="1:4" x14ac:dyDescent="0.3">
      <c r="A2100" t="s">
        <v>199</v>
      </c>
      <c r="C2100" s="16">
        <v>46217</v>
      </c>
      <c r="D2100" s="82">
        <v>0</v>
      </c>
    </row>
    <row r="2101" spans="1:4" x14ac:dyDescent="0.3">
      <c r="A2101" t="s">
        <v>216</v>
      </c>
      <c r="C2101" s="16">
        <v>46217</v>
      </c>
      <c r="D2101" s="82">
        <v>0</v>
      </c>
    </row>
    <row r="2102" spans="1:4" x14ac:dyDescent="0.3">
      <c r="A2102" t="s">
        <v>17</v>
      </c>
      <c r="C2102" s="16">
        <v>46218</v>
      </c>
      <c r="D2102" s="82">
        <v>3363755.7500000005</v>
      </c>
    </row>
    <row r="2103" spans="1:4" x14ac:dyDescent="0.3">
      <c r="A2103" t="s">
        <v>18</v>
      </c>
      <c r="C2103" s="16">
        <v>46218</v>
      </c>
      <c r="D2103" s="82">
        <v>73157.680000000168</v>
      </c>
    </row>
    <row r="2104" spans="1:4" x14ac:dyDescent="0.3">
      <c r="A2104" t="s">
        <v>19</v>
      </c>
      <c r="C2104" s="16">
        <v>46218</v>
      </c>
      <c r="D2104" s="82">
        <v>1669.89</v>
      </c>
    </row>
    <row r="2105" spans="1:4" x14ac:dyDescent="0.3">
      <c r="A2105" t="s">
        <v>20</v>
      </c>
      <c r="C2105" s="16">
        <v>46218</v>
      </c>
      <c r="D2105" s="82">
        <v>1089804.7499999998</v>
      </c>
    </row>
    <row r="2106" spans="1:4" x14ac:dyDescent="0.3">
      <c r="A2106" t="s">
        <v>21</v>
      </c>
      <c r="C2106" s="16">
        <v>46218</v>
      </c>
      <c r="D2106" s="82">
        <v>1856513.4499999993</v>
      </c>
    </row>
    <row r="2107" spans="1:4" x14ac:dyDescent="0.3">
      <c r="A2107" t="s">
        <v>22</v>
      </c>
      <c r="C2107" s="16">
        <v>46218</v>
      </c>
      <c r="D2107" s="82">
        <v>200496.38</v>
      </c>
    </row>
    <row r="2108" spans="1:4" x14ac:dyDescent="0.3">
      <c r="A2108" t="s">
        <v>23</v>
      </c>
      <c r="C2108" s="16">
        <v>46218</v>
      </c>
      <c r="D2108" s="82">
        <v>267503.99000000005</v>
      </c>
    </row>
    <row r="2109" spans="1:4" x14ac:dyDescent="0.3">
      <c r="A2109" t="s">
        <v>24</v>
      </c>
      <c r="C2109" s="16">
        <v>46218</v>
      </c>
      <c r="D2109" s="82">
        <v>14580.45</v>
      </c>
    </row>
    <row r="2110" spans="1:4" x14ac:dyDescent="0.3">
      <c r="A2110" t="s">
        <v>25</v>
      </c>
      <c r="C2110" s="16">
        <v>46218</v>
      </c>
      <c r="D2110" s="82">
        <v>54.400000000000006</v>
      </c>
    </row>
    <row r="2111" spans="1:4" x14ac:dyDescent="0.3">
      <c r="A2111" t="s">
        <v>26</v>
      </c>
      <c r="C2111" s="16">
        <v>46218</v>
      </c>
      <c r="D2111" s="82">
        <v>2207.8200000000002</v>
      </c>
    </row>
    <row r="2112" spans="1:4" x14ac:dyDescent="0.3">
      <c r="A2112" t="s">
        <v>27</v>
      </c>
      <c r="C2112" s="16">
        <v>46218</v>
      </c>
      <c r="D2112" s="82">
        <v>1454589.72</v>
      </c>
    </row>
    <row r="2113" spans="1:4" x14ac:dyDescent="0.3">
      <c r="A2113" t="s">
        <v>28</v>
      </c>
      <c r="C2113" s="16">
        <v>46218</v>
      </c>
      <c r="D2113" s="82">
        <v>1968.99</v>
      </c>
    </row>
    <row r="2114" spans="1:4" x14ac:dyDescent="0.3">
      <c r="A2114" t="s">
        <v>29</v>
      </c>
      <c r="C2114" s="16">
        <v>46218</v>
      </c>
      <c r="D2114" s="82">
        <v>901.34</v>
      </c>
    </row>
    <row r="2115" spans="1:4" x14ac:dyDescent="0.3">
      <c r="A2115" t="s">
        <v>30</v>
      </c>
      <c r="C2115" s="16">
        <v>46218</v>
      </c>
      <c r="D2115" s="82">
        <v>1412.08</v>
      </c>
    </row>
    <row r="2116" spans="1:4" x14ac:dyDescent="0.3">
      <c r="A2116" t="s">
        <v>31</v>
      </c>
      <c r="C2116" s="16">
        <v>46218</v>
      </c>
      <c r="D2116" s="82">
        <v>22347.56999999996</v>
      </c>
    </row>
    <row r="2117" spans="1:4" x14ac:dyDescent="0.3">
      <c r="A2117" t="s">
        <v>32</v>
      </c>
      <c r="C2117" s="16">
        <v>46218</v>
      </c>
      <c r="D2117" s="82">
        <v>6522.8000000000029</v>
      </c>
    </row>
    <row r="2118" spans="1:4" x14ac:dyDescent="0.3">
      <c r="A2118" t="s">
        <v>33</v>
      </c>
      <c r="C2118" s="16">
        <v>46218</v>
      </c>
      <c r="D2118" s="82">
        <v>28485.559999999998</v>
      </c>
    </row>
    <row r="2119" spans="1:4" x14ac:dyDescent="0.3">
      <c r="A2119" t="s">
        <v>34</v>
      </c>
      <c r="C2119" s="16">
        <v>46218</v>
      </c>
      <c r="D2119" s="82">
        <v>345</v>
      </c>
    </row>
    <row r="2120" spans="1:4" x14ac:dyDescent="0.3">
      <c r="A2120" t="s">
        <v>35</v>
      </c>
      <c r="C2120" s="16">
        <v>46218</v>
      </c>
      <c r="D2120" s="82">
        <v>25023.24</v>
      </c>
    </row>
    <row r="2121" spans="1:4" x14ac:dyDescent="0.3">
      <c r="A2121" t="s">
        <v>193</v>
      </c>
      <c r="C2121" s="16">
        <v>46218</v>
      </c>
      <c r="D2121" s="82">
        <v>0</v>
      </c>
    </row>
    <row r="2122" spans="1:4" x14ac:dyDescent="0.3">
      <c r="A2122" t="s">
        <v>214</v>
      </c>
      <c r="C2122" s="16">
        <v>46218</v>
      </c>
      <c r="D2122" s="82">
        <v>0</v>
      </c>
    </row>
    <row r="2123" spans="1:4" x14ac:dyDescent="0.3">
      <c r="A2123" t="s">
        <v>194</v>
      </c>
      <c r="C2123" s="16">
        <v>46218</v>
      </c>
      <c r="D2123" s="82">
        <v>0</v>
      </c>
    </row>
    <row r="2124" spans="1:4" x14ac:dyDescent="0.3">
      <c r="A2124" t="s">
        <v>195</v>
      </c>
      <c r="C2124" s="16">
        <v>46218</v>
      </c>
      <c r="D2124" s="82">
        <v>0</v>
      </c>
    </row>
    <row r="2125" spans="1:4" x14ac:dyDescent="0.3">
      <c r="A2125" t="s">
        <v>196</v>
      </c>
      <c r="C2125" s="16">
        <v>46218</v>
      </c>
      <c r="D2125" s="82">
        <v>0</v>
      </c>
    </row>
    <row r="2126" spans="1:4" x14ac:dyDescent="0.3">
      <c r="A2126" t="s">
        <v>197</v>
      </c>
      <c r="C2126" s="16">
        <v>46218</v>
      </c>
      <c r="D2126" s="82">
        <v>0</v>
      </c>
    </row>
    <row r="2127" spans="1:4" x14ac:dyDescent="0.3">
      <c r="A2127" t="s">
        <v>212</v>
      </c>
      <c r="C2127" s="16">
        <v>46218</v>
      </c>
      <c r="D2127" s="82">
        <v>0</v>
      </c>
    </row>
    <row r="2128" spans="1:4" x14ac:dyDescent="0.3">
      <c r="A2128" t="s">
        <v>199</v>
      </c>
      <c r="C2128" s="16">
        <v>46218</v>
      </c>
      <c r="D2128" s="82">
        <v>0</v>
      </c>
    </row>
    <row r="2129" spans="1:4" x14ac:dyDescent="0.3">
      <c r="A2129" t="s">
        <v>216</v>
      </c>
      <c r="C2129" s="16">
        <v>46218</v>
      </c>
      <c r="D2129" s="82">
        <v>0</v>
      </c>
    </row>
    <row r="2130" spans="1:4" x14ac:dyDescent="0.3">
      <c r="A2130" t="s">
        <v>17</v>
      </c>
      <c r="C2130" s="16">
        <v>46219</v>
      </c>
      <c r="D2130" s="82">
        <v>3110339.0700000008</v>
      </c>
    </row>
    <row r="2131" spans="1:4" x14ac:dyDescent="0.3">
      <c r="A2131" t="s">
        <v>18</v>
      </c>
      <c r="C2131" s="16">
        <v>46219</v>
      </c>
      <c r="D2131" s="82">
        <v>73157.680000000168</v>
      </c>
    </row>
    <row r="2132" spans="1:4" x14ac:dyDescent="0.3">
      <c r="A2132" t="s">
        <v>19</v>
      </c>
      <c r="C2132" s="16">
        <v>46219</v>
      </c>
      <c r="D2132" s="82">
        <v>1669.89</v>
      </c>
    </row>
    <row r="2133" spans="1:4" x14ac:dyDescent="0.3">
      <c r="A2133" t="s">
        <v>20</v>
      </c>
      <c r="C2133" s="16">
        <v>46219</v>
      </c>
      <c r="D2133" s="82">
        <v>1029804.7499999998</v>
      </c>
    </row>
    <row r="2134" spans="1:4" x14ac:dyDescent="0.3">
      <c r="A2134" t="s">
        <v>21</v>
      </c>
      <c r="C2134" s="16">
        <v>46219</v>
      </c>
      <c r="D2134" s="82">
        <v>1678189.7499999995</v>
      </c>
    </row>
    <row r="2135" spans="1:4" x14ac:dyDescent="0.3">
      <c r="A2135" t="s">
        <v>22</v>
      </c>
      <c r="C2135" s="16">
        <v>46219</v>
      </c>
      <c r="D2135" s="82">
        <v>200496.38</v>
      </c>
    </row>
    <row r="2136" spans="1:4" x14ac:dyDescent="0.3">
      <c r="A2136" t="s">
        <v>23</v>
      </c>
      <c r="C2136" s="16">
        <v>46219</v>
      </c>
      <c r="D2136" s="82">
        <v>267507.45</v>
      </c>
    </row>
    <row r="2137" spans="1:4" x14ac:dyDescent="0.3">
      <c r="A2137" t="s">
        <v>24</v>
      </c>
      <c r="C2137" s="16">
        <v>46219</v>
      </c>
      <c r="D2137" s="82">
        <v>14580.45</v>
      </c>
    </row>
    <row r="2138" spans="1:4" x14ac:dyDescent="0.3">
      <c r="A2138" t="s">
        <v>25</v>
      </c>
      <c r="C2138" s="16">
        <v>46219</v>
      </c>
      <c r="D2138" s="82">
        <v>54.400000000000006</v>
      </c>
    </row>
    <row r="2139" spans="1:4" x14ac:dyDescent="0.3">
      <c r="A2139" t="s">
        <v>26</v>
      </c>
      <c r="C2139" s="16">
        <v>46219</v>
      </c>
      <c r="D2139" s="82">
        <v>2207.8200000000002</v>
      </c>
    </row>
    <row r="2140" spans="1:4" x14ac:dyDescent="0.3">
      <c r="A2140" t="s">
        <v>27</v>
      </c>
      <c r="C2140" s="16">
        <v>46219</v>
      </c>
      <c r="D2140" s="82">
        <v>1454589.72</v>
      </c>
    </row>
    <row r="2141" spans="1:4" x14ac:dyDescent="0.3">
      <c r="A2141" t="s">
        <v>28</v>
      </c>
      <c r="C2141" s="16">
        <v>46219</v>
      </c>
      <c r="D2141" s="82">
        <v>1968.99</v>
      </c>
    </row>
    <row r="2142" spans="1:4" x14ac:dyDescent="0.3">
      <c r="A2142" t="s">
        <v>29</v>
      </c>
      <c r="C2142" s="16">
        <v>46219</v>
      </c>
      <c r="D2142" s="82">
        <v>901.34</v>
      </c>
    </row>
    <row r="2143" spans="1:4" x14ac:dyDescent="0.3">
      <c r="A2143" t="s">
        <v>30</v>
      </c>
      <c r="C2143" s="16">
        <v>46219</v>
      </c>
      <c r="D2143" s="82">
        <v>1412.08</v>
      </c>
    </row>
    <row r="2144" spans="1:4" x14ac:dyDescent="0.3">
      <c r="A2144" t="s">
        <v>31</v>
      </c>
      <c r="C2144" s="16">
        <v>46219</v>
      </c>
      <c r="D2144" s="82">
        <v>22347.56999999996</v>
      </c>
    </row>
    <row r="2145" spans="1:4" x14ac:dyDescent="0.3">
      <c r="A2145" t="s">
        <v>32</v>
      </c>
      <c r="C2145" s="16">
        <v>46219</v>
      </c>
      <c r="D2145" s="82">
        <v>3522.8000000000029</v>
      </c>
    </row>
    <row r="2146" spans="1:4" x14ac:dyDescent="0.3">
      <c r="A2146" t="s">
        <v>33</v>
      </c>
      <c r="C2146" s="16">
        <v>46219</v>
      </c>
      <c r="D2146" s="82">
        <v>28485.559999999998</v>
      </c>
    </row>
    <row r="2147" spans="1:4" x14ac:dyDescent="0.3">
      <c r="A2147" t="s">
        <v>34</v>
      </c>
      <c r="C2147" s="16">
        <v>46219</v>
      </c>
      <c r="D2147" s="82">
        <v>345</v>
      </c>
    </row>
    <row r="2148" spans="1:4" x14ac:dyDescent="0.3">
      <c r="A2148" t="s">
        <v>35</v>
      </c>
      <c r="C2148" s="16">
        <v>46219</v>
      </c>
      <c r="D2148" s="82">
        <v>23978.850000000002</v>
      </c>
    </row>
    <row r="2149" spans="1:4" x14ac:dyDescent="0.3">
      <c r="A2149" t="s">
        <v>193</v>
      </c>
      <c r="C2149" s="16">
        <v>46219</v>
      </c>
      <c r="D2149" s="82">
        <v>0</v>
      </c>
    </row>
    <row r="2150" spans="1:4" x14ac:dyDescent="0.3">
      <c r="A2150" t="s">
        <v>214</v>
      </c>
      <c r="C2150" s="16">
        <v>46219</v>
      </c>
      <c r="D2150" s="82">
        <v>0</v>
      </c>
    </row>
    <row r="2151" spans="1:4" x14ac:dyDescent="0.3">
      <c r="A2151" t="s">
        <v>194</v>
      </c>
      <c r="C2151" s="16">
        <v>46219</v>
      </c>
      <c r="D2151" s="82">
        <v>0</v>
      </c>
    </row>
    <row r="2152" spans="1:4" x14ac:dyDescent="0.3">
      <c r="A2152" t="s">
        <v>195</v>
      </c>
      <c r="C2152" s="16">
        <v>46219</v>
      </c>
      <c r="D2152" s="82">
        <v>0</v>
      </c>
    </row>
    <row r="2153" spans="1:4" x14ac:dyDescent="0.3">
      <c r="A2153" t="s">
        <v>196</v>
      </c>
      <c r="C2153" s="16">
        <v>46219</v>
      </c>
      <c r="D2153" s="82">
        <v>0</v>
      </c>
    </row>
    <row r="2154" spans="1:4" x14ac:dyDescent="0.3">
      <c r="A2154" t="s">
        <v>197</v>
      </c>
      <c r="C2154" s="16">
        <v>46219</v>
      </c>
      <c r="D2154" s="82">
        <v>0</v>
      </c>
    </row>
    <row r="2155" spans="1:4" x14ac:dyDescent="0.3">
      <c r="A2155" t="s">
        <v>212</v>
      </c>
      <c r="C2155" s="16">
        <v>46219</v>
      </c>
      <c r="D2155" s="82">
        <v>0</v>
      </c>
    </row>
    <row r="2156" spans="1:4" x14ac:dyDescent="0.3">
      <c r="A2156" t="s">
        <v>199</v>
      </c>
      <c r="C2156" s="16">
        <v>46219</v>
      </c>
      <c r="D2156" s="82">
        <v>0</v>
      </c>
    </row>
    <row r="2157" spans="1:4" x14ac:dyDescent="0.3">
      <c r="A2157" t="s">
        <v>216</v>
      </c>
      <c r="C2157" s="16">
        <v>46219</v>
      </c>
      <c r="D2157" s="82">
        <v>0</v>
      </c>
    </row>
    <row r="2158" spans="1:4" x14ac:dyDescent="0.3">
      <c r="A2158" t="s">
        <v>17</v>
      </c>
      <c r="C2158" s="16">
        <v>46220</v>
      </c>
      <c r="D2158" s="82">
        <v>3110339.0700000008</v>
      </c>
    </row>
    <row r="2159" spans="1:4" x14ac:dyDescent="0.3">
      <c r="A2159" t="s">
        <v>18</v>
      </c>
      <c r="C2159" s="16">
        <v>46220</v>
      </c>
      <c r="D2159" s="82">
        <v>73157.680000000168</v>
      </c>
    </row>
    <row r="2160" spans="1:4" x14ac:dyDescent="0.3">
      <c r="A2160" t="s">
        <v>19</v>
      </c>
      <c r="C2160" s="16">
        <v>46220</v>
      </c>
      <c r="D2160" s="82">
        <v>1669.89</v>
      </c>
    </row>
    <row r="2161" spans="1:4" x14ac:dyDescent="0.3">
      <c r="A2161" t="s">
        <v>20</v>
      </c>
      <c r="C2161" s="16">
        <v>46220</v>
      </c>
      <c r="D2161" s="82">
        <v>1029804.7499999998</v>
      </c>
    </row>
    <row r="2162" spans="1:4" x14ac:dyDescent="0.3">
      <c r="A2162" t="s">
        <v>21</v>
      </c>
      <c r="C2162" s="16">
        <v>46220</v>
      </c>
      <c r="D2162" s="82">
        <v>1748189.7499999995</v>
      </c>
    </row>
    <row r="2163" spans="1:4" x14ac:dyDescent="0.3">
      <c r="A2163" t="s">
        <v>22</v>
      </c>
      <c r="C2163" s="16">
        <v>46220</v>
      </c>
      <c r="D2163" s="82">
        <v>200496.38</v>
      </c>
    </row>
    <row r="2164" spans="1:4" x14ac:dyDescent="0.3">
      <c r="A2164" t="s">
        <v>23</v>
      </c>
      <c r="C2164" s="16">
        <v>46220</v>
      </c>
      <c r="D2164" s="82">
        <v>267507.45</v>
      </c>
    </row>
    <row r="2165" spans="1:4" x14ac:dyDescent="0.3">
      <c r="A2165" t="s">
        <v>24</v>
      </c>
      <c r="C2165" s="16">
        <v>46220</v>
      </c>
      <c r="D2165" s="82">
        <v>14580.45</v>
      </c>
    </row>
    <row r="2166" spans="1:4" x14ac:dyDescent="0.3">
      <c r="A2166" t="s">
        <v>25</v>
      </c>
      <c r="C2166" s="16">
        <v>46220</v>
      </c>
      <c r="D2166" s="82">
        <v>54.400000000000006</v>
      </c>
    </row>
    <row r="2167" spans="1:4" x14ac:dyDescent="0.3">
      <c r="A2167" t="s">
        <v>26</v>
      </c>
      <c r="C2167" s="16">
        <v>46220</v>
      </c>
      <c r="D2167" s="82">
        <v>2207.8200000000002</v>
      </c>
    </row>
    <row r="2168" spans="1:4" x14ac:dyDescent="0.3">
      <c r="A2168" t="s">
        <v>27</v>
      </c>
      <c r="C2168" s="16">
        <v>46220</v>
      </c>
      <c r="D2168" s="82">
        <v>1454589.72</v>
      </c>
    </row>
    <row r="2169" spans="1:4" x14ac:dyDescent="0.3">
      <c r="A2169" t="s">
        <v>28</v>
      </c>
      <c r="C2169" s="16">
        <v>46220</v>
      </c>
      <c r="D2169" s="82">
        <v>1968.99</v>
      </c>
    </row>
    <row r="2170" spans="1:4" x14ac:dyDescent="0.3">
      <c r="A2170" t="s">
        <v>29</v>
      </c>
      <c r="C2170" s="16">
        <v>46220</v>
      </c>
      <c r="D2170" s="82">
        <v>901.34</v>
      </c>
    </row>
    <row r="2171" spans="1:4" x14ac:dyDescent="0.3">
      <c r="A2171" t="s">
        <v>30</v>
      </c>
      <c r="C2171" s="16">
        <v>46220</v>
      </c>
      <c r="D2171" s="82">
        <v>1412.08</v>
      </c>
    </row>
    <row r="2172" spans="1:4" x14ac:dyDescent="0.3">
      <c r="A2172" t="s">
        <v>31</v>
      </c>
      <c r="C2172" s="16">
        <v>46220</v>
      </c>
      <c r="D2172" s="82">
        <v>22347.56999999996</v>
      </c>
    </row>
    <row r="2173" spans="1:4" x14ac:dyDescent="0.3">
      <c r="A2173" t="s">
        <v>32</v>
      </c>
      <c r="C2173" s="16">
        <v>46220</v>
      </c>
      <c r="D2173" s="82">
        <v>3522.8000000000029</v>
      </c>
    </row>
    <row r="2174" spans="1:4" x14ac:dyDescent="0.3">
      <c r="A2174" t="s">
        <v>33</v>
      </c>
      <c r="C2174" s="16">
        <v>46220</v>
      </c>
      <c r="D2174" s="82">
        <v>28485.559999999998</v>
      </c>
    </row>
    <row r="2175" spans="1:4" x14ac:dyDescent="0.3">
      <c r="A2175" t="s">
        <v>34</v>
      </c>
      <c r="C2175" s="16">
        <v>46220</v>
      </c>
      <c r="D2175" s="82">
        <v>345</v>
      </c>
    </row>
    <row r="2176" spans="1:4" x14ac:dyDescent="0.3">
      <c r="A2176" t="s">
        <v>35</v>
      </c>
      <c r="C2176" s="16">
        <v>46220</v>
      </c>
      <c r="D2176" s="82">
        <v>16230.620000000003</v>
      </c>
    </row>
    <row r="2177" spans="1:4" x14ac:dyDescent="0.3">
      <c r="A2177" t="s">
        <v>193</v>
      </c>
      <c r="C2177" s="16">
        <v>46220</v>
      </c>
      <c r="D2177" s="82">
        <v>0</v>
      </c>
    </row>
    <row r="2178" spans="1:4" x14ac:dyDescent="0.3">
      <c r="A2178" t="s">
        <v>214</v>
      </c>
      <c r="C2178" s="16">
        <v>46220</v>
      </c>
      <c r="D2178" s="82">
        <v>0</v>
      </c>
    </row>
    <row r="2179" spans="1:4" x14ac:dyDescent="0.3">
      <c r="A2179" t="s">
        <v>194</v>
      </c>
      <c r="C2179" s="16">
        <v>46220</v>
      </c>
      <c r="D2179" s="82">
        <v>0</v>
      </c>
    </row>
    <row r="2180" spans="1:4" x14ac:dyDescent="0.3">
      <c r="A2180" t="s">
        <v>195</v>
      </c>
      <c r="C2180" s="16">
        <v>46220</v>
      </c>
      <c r="D2180" s="82">
        <v>0</v>
      </c>
    </row>
    <row r="2181" spans="1:4" x14ac:dyDescent="0.3">
      <c r="A2181" t="s">
        <v>196</v>
      </c>
      <c r="C2181" s="16">
        <v>46220</v>
      </c>
      <c r="D2181" s="82">
        <v>0</v>
      </c>
    </row>
    <row r="2182" spans="1:4" x14ac:dyDescent="0.3">
      <c r="A2182" t="s">
        <v>197</v>
      </c>
      <c r="C2182" s="16">
        <v>46220</v>
      </c>
      <c r="D2182" s="82">
        <v>0</v>
      </c>
    </row>
    <row r="2183" spans="1:4" x14ac:dyDescent="0.3">
      <c r="A2183" t="s">
        <v>212</v>
      </c>
      <c r="C2183" s="16">
        <v>46220</v>
      </c>
      <c r="D2183" s="82">
        <v>0</v>
      </c>
    </row>
    <row r="2184" spans="1:4" x14ac:dyDescent="0.3">
      <c r="A2184" t="s">
        <v>199</v>
      </c>
      <c r="C2184" s="16">
        <v>46220</v>
      </c>
      <c r="D2184" s="82">
        <v>0</v>
      </c>
    </row>
    <row r="2185" spans="1:4" x14ac:dyDescent="0.3">
      <c r="A2185" t="s">
        <v>216</v>
      </c>
      <c r="C2185" s="16">
        <v>46220</v>
      </c>
      <c r="D2185" s="82">
        <v>0</v>
      </c>
    </row>
    <row r="2186" spans="1:4" x14ac:dyDescent="0.3">
      <c r="A2186" t="s">
        <v>17</v>
      </c>
      <c r="C2186" s="16">
        <v>46221</v>
      </c>
      <c r="D2186" s="82">
        <v>3110339.0700000008</v>
      </c>
    </row>
    <row r="2187" spans="1:4" x14ac:dyDescent="0.3">
      <c r="A2187" t="s">
        <v>18</v>
      </c>
      <c r="C2187" s="16">
        <v>46221</v>
      </c>
      <c r="D2187" s="82">
        <v>73157.680000000168</v>
      </c>
    </row>
    <row r="2188" spans="1:4" x14ac:dyDescent="0.3">
      <c r="A2188" t="s">
        <v>19</v>
      </c>
      <c r="C2188" s="16">
        <v>46221</v>
      </c>
      <c r="D2188" s="82">
        <v>1669.89</v>
      </c>
    </row>
    <row r="2189" spans="1:4" x14ac:dyDescent="0.3">
      <c r="A2189" t="s">
        <v>20</v>
      </c>
      <c r="C2189" s="16">
        <v>46221</v>
      </c>
      <c r="D2189" s="82">
        <v>1029804.7499999998</v>
      </c>
    </row>
    <row r="2190" spans="1:4" x14ac:dyDescent="0.3">
      <c r="A2190" t="s">
        <v>21</v>
      </c>
      <c r="C2190" s="16">
        <v>46221</v>
      </c>
      <c r="D2190" s="82">
        <v>1748189.7499999995</v>
      </c>
    </row>
    <row r="2191" spans="1:4" x14ac:dyDescent="0.3">
      <c r="A2191" t="s">
        <v>22</v>
      </c>
      <c r="C2191" s="16">
        <v>46221</v>
      </c>
      <c r="D2191" s="82">
        <v>200496.38</v>
      </c>
    </row>
    <row r="2192" spans="1:4" x14ac:dyDescent="0.3">
      <c r="A2192" t="s">
        <v>23</v>
      </c>
      <c r="C2192" s="16">
        <v>46221</v>
      </c>
      <c r="D2192" s="82">
        <v>267507.45</v>
      </c>
    </row>
    <row r="2193" spans="1:4" x14ac:dyDescent="0.3">
      <c r="A2193" t="s">
        <v>24</v>
      </c>
      <c r="C2193" s="16">
        <v>46221</v>
      </c>
      <c r="D2193" s="82">
        <v>14580.45</v>
      </c>
    </row>
    <row r="2194" spans="1:4" x14ac:dyDescent="0.3">
      <c r="A2194" t="s">
        <v>25</v>
      </c>
      <c r="C2194" s="16">
        <v>46221</v>
      </c>
      <c r="D2194" s="82">
        <v>54.400000000000006</v>
      </c>
    </row>
    <row r="2195" spans="1:4" x14ac:dyDescent="0.3">
      <c r="A2195" t="s">
        <v>26</v>
      </c>
      <c r="C2195" s="16">
        <v>46221</v>
      </c>
      <c r="D2195" s="82">
        <v>2207.8200000000002</v>
      </c>
    </row>
    <row r="2196" spans="1:4" x14ac:dyDescent="0.3">
      <c r="A2196" t="s">
        <v>27</v>
      </c>
      <c r="C2196" s="16">
        <v>46221</v>
      </c>
      <c r="D2196" s="82">
        <v>1454589.72</v>
      </c>
    </row>
    <row r="2197" spans="1:4" x14ac:dyDescent="0.3">
      <c r="A2197" t="s">
        <v>28</v>
      </c>
      <c r="C2197" s="16">
        <v>46221</v>
      </c>
      <c r="D2197" s="82">
        <v>1968.99</v>
      </c>
    </row>
    <row r="2198" spans="1:4" x14ac:dyDescent="0.3">
      <c r="A2198" t="s">
        <v>29</v>
      </c>
      <c r="C2198" s="16">
        <v>46221</v>
      </c>
      <c r="D2198" s="82">
        <v>901.34</v>
      </c>
    </row>
    <row r="2199" spans="1:4" x14ac:dyDescent="0.3">
      <c r="A2199" t="s">
        <v>30</v>
      </c>
      <c r="C2199" s="16">
        <v>46221</v>
      </c>
      <c r="D2199" s="82">
        <v>1412.08</v>
      </c>
    </row>
    <row r="2200" spans="1:4" x14ac:dyDescent="0.3">
      <c r="A2200" t="s">
        <v>31</v>
      </c>
      <c r="C2200" s="16">
        <v>46221</v>
      </c>
      <c r="D2200" s="82">
        <v>22347.56999999996</v>
      </c>
    </row>
    <row r="2201" spans="1:4" x14ac:dyDescent="0.3">
      <c r="A2201" t="s">
        <v>32</v>
      </c>
      <c r="C2201" s="16">
        <v>46221</v>
      </c>
      <c r="D2201" s="82">
        <v>3522.8000000000029</v>
      </c>
    </row>
    <row r="2202" spans="1:4" x14ac:dyDescent="0.3">
      <c r="A2202" t="s">
        <v>33</v>
      </c>
      <c r="C2202" s="16">
        <v>46221</v>
      </c>
      <c r="D2202" s="82">
        <v>28485.559999999998</v>
      </c>
    </row>
    <row r="2203" spans="1:4" x14ac:dyDescent="0.3">
      <c r="A2203" t="s">
        <v>34</v>
      </c>
      <c r="C2203" s="16">
        <v>46221</v>
      </c>
      <c r="D2203" s="82">
        <v>345</v>
      </c>
    </row>
    <row r="2204" spans="1:4" x14ac:dyDescent="0.3">
      <c r="A2204" t="s">
        <v>35</v>
      </c>
      <c r="C2204" s="16">
        <v>46221</v>
      </c>
      <c r="D2204" s="82">
        <v>16230.620000000003</v>
      </c>
    </row>
    <row r="2205" spans="1:4" x14ac:dyDescent="0.3">
      <c r="A2205" t="s">
        <v>193</v>
      </c>
      <c r="C2205" s="16">
        <v>46221</v>
      </c>
      <c r="D2205" s="82">
        <v>0</v>
      </c>
    </row>
    <row r="2206" spans="1:4" x14ac:dyDescent="0.3">
      <c r="A2206" t="s">
        <v>214</v>
      </c>
      <c r="C2206" s="16">
        <v>46221</v>
      </c>
      <c r="D2206" s="82">
        <v>0</v>
      </c>
    </row>
    <row r="2207" spans="1:4" x14ac:dyDescent="0.3">
      <c r="A2207" t="s">
        <v>194</v>
      </c>
      <c r="C2207" s="16">
        <v>46221</v>
      </c>
      <c r="D2207" s="82">
        <v>0</v>
      </c>
    </row>
    <row r="2208" spans="1:4" x14ac:dyDescent="0.3">
      <c r="A2208" t="s">
        <v>195</v>
      </c>
      <c r="C2208" s="16">
        <v>46221</v>
      </c>
      <c r="D2208" s="82">
        <v>0</v>
      </c>
    </row>
    <row r="2209" spans="1:4" x14ac:dyDescent="0.3">
      <c r="A2209" t="s">
        <v>196</v>
      </c>
      <c r="C2209" s="16">
        <v>46221</v>
      </c>
      <c r="D2209" s="82">
        <v>0</v>
      </c>
    </row>
    <row r="2210" spans="1:4" x14ac:dyDescent="0.3">
      <c r="A2210" t="s">
        <v>197</v>
      </c>
      <c r="C2210" s="16">
        <v>46221</v>
      </c>
      <c r="D2210" s="82">
        <v>0</v>
      </c>
    </row>
    <row r="2211" spans="1:4" x14ac:dyDescent="0.3">
      <c r="A2211" t="s">
        <v>212</v>
      </c>
      <c r="C2211" s="16">
        <v>46221</v>
      </c>
      <c r="D2211" s="82">
        <v>0</v>
      </c>
    </row>
    <row r="2212" spans="1:4" x14ac:dyDescent="0.3">
      <c r="A2212" t="s">
        <v>199</v>
      </c>
      <c r="C2212" s="16">
        <v>46221</v>
      </c>
      <c r="D2212" s="82">
        <v>0</v>
      </c>
    </row>
    <row r="2213" spans="1:4" x14ac:dyDescent="0.3">
      <c r="A2213" t="s">
        <v>216</v>
      </c>
      <c r="C2213" s="16">
        <v>46221</v>
      </c>
      <c r="D2213" s="82">
        <v>0</v>
      </c>
    </row>
    <row r="2214" spans="1:4" x14ac:dyDescent="0.3">
      <c r="A2214" t="s">
        <v>17</v>
      </c>
      <c r="C2214" s="16">
        <v>46222</v>
      </c>
      <c r="D2214" s="82">
        <v>3110339.0700000008</v>
      </c>
    </row>
    <row r="2215" spans="1:4" x14ac:dyDescent="0.3">
      <c r="A2215" t="s">
        <v>18</v>
      </c>
      <c r="C2215" s="16">
        <v>46222</v>
      </c>
      <c r="D2215" s="82">
        <v>73157.680000000168</v>
      </c>
    </row>
    <row r="2216" spans="1:4" x14ac:dyDescent="0.3">
      <c r="A2216" t="s">
        <v>19</v>
      </c>
      <c r="C2216" s="16">
        <v>46222</v>
      </c>
      <c r="D2216" s="82">
        <v>1669.89</v>
      </c>
    </row>
    <row r="2217" spans="1:4" x14ac:dyDescent="0.3">
      <c r="A2217" t="s">
        <v>20</v>
      </c>
      <c r="C2217" s="16">
        <v>46222</v>
      </c>
      <c r="D2217" s="82">
        <v>1029804.7499999998</v>
      </c>
    </row>
    <row r="2218" spans="1:4" x14ac:dyDescent="0.3">
      <c r="A2218" t="s">
        <v>21</v>
      </c>
      <c r="C2218" s="16">
        <v>46222</v>
      </c>
      <c r="D2218" s="82">
        <v>1748189.7499999995</v>
      </c>
    </row>
    <row r="2219" spans="1:4" x14ac:dyDescent="0.3">
      <c r="A2219" t="s">
        <v>22</v>
      </c>
      <c r="C2219" s="16">
        <v>46222</v>
      </c>
      <c r="D2219" s="82">
        <v>200496.38</v>
      </c>
    </row>
    <row r="2220" spans="1:4" x14ac:dyDescent="0.3">
      <c r="A2220" t="s">
        <v>23</v>
      </c>
      <c r="C2220" s="16">
        <v>46222</v>
      </c>
      <c r="D2220" s="82">
        <v>267507.45</v>
      </c>
    </row>
    <row r="2221" spans="1:4" x14ac:dyDescent="0.3">
      <c r="A2221" t="s">
        <v>24</v>
      </c>
      <c r="C2221" s="16">
        <v>46222</v>
      </c>
      <c r="D2221" s="82">
        <v>14580.45</v>
      </c>
    </row>
    <row r="2222" spans="1:4" x14ac:dyDescent="0.3">
      <c r="A2222" t="s">
        <v>25</v>
      </c>
      <c r="C2222" s="16">
        <v>46222</v>
      </c>
      <c r="D2222" s="82">
        <v>54.400000000000006</v>
      </c>
    </row>
    <row r="2223" spans="1:4" x14ac:dyDescent="0.3">
      <c r="A2223" t="s">
        <v>26</v>
      </c>
      <c r="C2223" s="16">
        <v>46222</v>
      </c>
      <c r="D2223" s="82">
        <v>2207.8200000000002</v>
      </c>
    </row>
    <row r="2224" spans="1:4" x14ac:dyDescent="0.3">
      <c r="A2224" t="s">
        <v>27</v>
      </c>
      <c r="C2224" s="16">
        <v>46222</v>
      </c>
      <c r="D2224" s="82">
        <v>1454589.72</v>
      </c>
    </row>
    <row r="2225" spans="1:4" x14ac:dyDescent="0.3">
      <c r="A2225" t="s">
        <v>28</v>
      </c>
      <c r="C2225" s="16">
        <v>46222</v>
      </c>
      <c r="D2225" s="82">
        <v>1968.99</v>
      </c>
    </row>
    <row r="2226" spans="1:4" x14ac:dyDescent="0.3">
      <c r="A2226" t="s">
        <v>29</v>
      </c>
      <c r="C2226" s="16">
        <v>46222</v>
      </c>
      <c r="D2226" s="82">
        <v>901.34</v>
      </c>
    </row>
    <row r="2227" spans="1:4" x14ac:dyDescent="0.3">
      <c r="A2227" t="s">
        <v>30</v>
      </c>
      <c r="C2227" s="16">
        <v>46222</v>
      </c>
      <c r="D2227" s="82">
        <v>1412.08</v>
      </c>
    </row>
    <row r="2228" spans="1:4" x14ac:dyDescent="0.3">
      <c r="A2228" t="s">
        <v>31</v>
      </c>
      <c r="C2228" s="16">
        <v>46222</v>
      </c>
      <c r="D2228" s="82">
        <v>22347.56999999996</v>
      </c>
    </row>
    <row r="2229" spans="1:4" x14ac:dyDescent="0.3">
      <c r="A2229" t="s">
        <v>32</v>
      </c>
      <c r="C2229" s="16">
        <v>46222</v>
      </c>
      <c r="D2229" s="82">
        <v>3522.8000000000029</v>
      </c>
    </row>
    <row r="2230" spans="1:4" x14ac:dyDescent="0.3">
      <c r="A2230" t="s">
        <v>33</v>
      </c>
      <c r="C2230" s="16">
        <v>46222</v>
      </c>
      <c r="D2230" s="82">
        <v>28485.559999999998</v>
      </c>
    </row>
    <row r="2231" spans="1:4" x14ac:dyDescent="0.3">
      <c r="A2231" t="s">
        <v>34</v>
      </c>
      <c r="C2231" s="16">
        <v>46222</v>
      </c>
      <c r="D2231" s="82">
        <v>345</v>
      </c>
    </row>
    <row r="2232" spans="1:4" x14ac:dyDescent="0.3">
      <c r="A2232" t="s">
        <v>35</v>
      </c>
      <c r="C2232" s="16">
        <v>46222</v>
      </c>
      <c r="D2232" s="82">
        <v>16230.620000000003</v>
      </c>
    </row>
    <row r="2233" spans="1:4" x14ac:dyDescent="0.3">
      <c r="A2233" t="s">
        <v>193</v>
      </c>
      <c r="C2233" s="16">
        <v>46222</v>
      </c>
      <c r="D2233" s="82">
        <v>0</v>
      </c>
    </row>
    <row r="2234" spans="1:4" x14ac:dyDescent="0.3">
      <c r="A2234" t="s">
        <v>214</v>
      </c>
      <c r="C2234" s="16">
        <v>46222</v>
      </c>
      <c r="D2234" s="82">
        <v>0</v>
      </c>
    </row>
    <row r="2235" spans="1:4" x14ac:dyDescent="0.3">
      <c r="A2235" t="s">
        <v>194</v>
      </c>
      <c r="C2235" s="16">
        <v>46222</v>
      </c>
      <c r="D2235" s="82">
        <v>0</v>
      </c>
    </row>
    <row r="2236" spans="1:4" x14ac:dyDescent="0.3">
      <c r="A2236" t="s">
        <v>195</v>
      </c>
      <c r="C2236" s="16">
        <v>46222</v>
      </c>
      <c r="D2236" s="82">
        <v>0</v>
      </c>
    </row>
    <row r="2237" spans="1:4" x14ac:dyDescent="0.3">
      <c r="A2237" t="s">
        <v>196</v>
      </c>
      <c r="C2237" s="16">
        <v>46222</v>
      </c>
      <c r="D2237" s="82">
        <v>0</v>
      </c>
    </row>
    <row r="2238" spans="1:4" x14ac:dyDescent="0.3">
      <c r="A2238" t="s">
        <v>197</v>
      </c>
      <c r="C2238" s="16">
        <v>46222</v>
      </c>
      <c r="D2238" s="82">
        <v>0</v>
      </c>
    </row>
    <row r="2239" spans="1:4" x14ac:dyDescent="0.3">
      <c r="A2239" t="s">
        <v>212</v>
      </c>
      <c r="C2239" s="16">
        <v>46222</v>
      </c>
      <c r="D2239" s="82">
        <v>0</v>
      </c>
    </row>
    <row r="2240" spans="1:4" x14ac:dyDescent="0.3">
      <c r="A2240" t="s">
        <v>199</v>
      </c>
      <c r="C2240" s="16">
        <v>46222</v>
      </c>
      <c r="D2240" s="82">
        <v>0</v>
      </c>
    </row>
    <row r="2241" spans="1:4" x14ac:dyDescent="0.3">
      <c r="A2241" t="s">
        <v>216</v>
      </c>
      <c r="C2241" s="16">
        <v>46222</v>
      </c>
      <c r="D2241" s="82">
        <v>0</v>
      </c>
    </row>
    <row r="2242" spans="1:4" x14ac:dyDescent="0.3">
      <c r="A2242" t="s">
        <v>17</v>
      </c>
      <c r="C2242" s="16">
        <v>46223</v>
      </c>
      <c r="D2242" s="82">
        <v>3110339.0700000008</v>
      </c>
    </row>
    <row r="2243" spans="1:4" x14ac:dyDescent="0.3">
      <c r="A2243" t="s">
        <v>18</v>
      </c>
      <c r="C2243" s="16">
        <v>46223</v>
      </c>
      <c r="D2243" s="82">
        <v>73157.680000000168</v>
      </c>
    </row>
    <row r="2244" spans="1:4" x14ac:dyDescent="0.3">
      <c r="A2244" t="s">
        <v>19</v>
      </c>
      <c r="C2244" s="16">
        <v>46223</v>
      </c>
      <c r="D2244" s="82">
        <v>1669.89</v>
      </c>
    </row>
    <row r="2245" spans="1:4" x14ac:dyDescent="0.3">
      <c r="A2245" t="s">
        <v>20</v>
      </c>
      <c r="C2245" s="16">
        <v>46223</v>
      </c>
      <c r="D2245" s="82">
        <v>1029804.7499999998</v>
      </c>
    </row>
    <row r="2246" spans="1:4" x14ac:dyDescent="0.3">
      <c r="A2246" t="s">
        <v>21</v>
      </c>
      <c r="C2246" s="16">
        <v>46223</v>
      </c>
      <c r="D2246" s="82">
        <v>1744257.8699999994</v>
      </c>
    </row>
    <row r="2247" spans="1:4" x14ac:dyDescent="0.3">
      <c r="A2247" t="s">
        <v>22</v>
      </c>
      <c r="C2247" s="16">
        <v>46223</v>
      </c>
      <c r="D2247" s="82">
        <v>200496.38</v>
      </c>
    </row>
    <row r="2248" spans="1:4" x14ac:dyDescent="0.3">
      <c r="A2248" t="s">
        <v>23</v>
      </c>
      <c r="C2248" s="16">
        <v>46223</v>
      </c>
      <c r="D2248" s="82">
        <v>267507.45</v>
      </c>
    </row>
    <row r="2249" spans="1:4" x14ac:dyDescent="0.3">
      <c r="A2249" t="s">
        <v>24</v>
      </c>
      <c r="C2249" s="16">
        <v>46223</v>
      </c>
      <c r="D2249" s="82">
        <v>14580.45</v>
      </c>
    </row>
    <row r="2250" spans="1:4" x14ac:dyDescent="0.3">
      <c r="A2250" t="s">
        <v>25</v>
      </c>
      <c r="C2250" s="16">
        <v>46223</v>
      </c>
      <c r="D2250" s="82">
        <v>54.400000000000006</v>
      </c>
    </row>
    <row r="2251" spans="1:4" x14ac:dyDescent="0.3">
      <c r="A2251" t="s">
        <v>26</v>
      </c>
      <c r="C2251" s="16">
        <v>46223</v>
      </c>
      <c r="D2251" s="82">
        <v>2207.8200000000002</v>
      </c>
    </row>
    <row r="2252" spans="1:4" x14ac:dyDescent="0.3">
      <c r="A2252" t="s">
        <v>27</v>
      </c>
      <c r="C2252" s="16">
        <v>46223</v>
      </c>
      <c r="D2252" s="82">
        <v>1454589.72</v>
      </c>
    </row>
    <row r="2253" spans="1:4" x14ac:dyDescent="0.3">
      <c r="A2253" t="s">
        <v>28</v>
      </c>
      <c r="C2253" s="16">
        <v>46223</v>
      </c>
      <c r="D2253" s="82">
        <v>1968.99</v>
      </c>
    </row>
    <row r="2254" spans="1:4" x14ac:dyDescent="0.3">
      <c r="A2254" t="s">
        <v>29</v>
      </c>
      <c r="C2254" s="16">
        <v>46223</v>
      </c>
      <c r="D2254" s="82">
        <v>901.34</v>
      </c>
    </row>
    <row r="2255" spans="1:4" x14ac:dyDescent="0.3">
      <c r="A2255" t="s">
        <v>30</v>
      </c>
      <c r="C2255" s="16">
        <v>46223</v>
      </c>
      <c r="D2255" s="82">
        <v>1412.08</v>
      </c>
    </row>
    <row r="2256" spans="1:4" x14ac:dyDescent="0.3">
      <c r="A2256" t="s">
        <v>31</v>
      </c>
      <c r="C2256" s="16">
        <v>46223</v>
      </c>
      <c r="D2256" s="82">
        <v>22347.56999999996</v>
      </c>
    </row>
    <row r="2257" spans="1:4" x14ac:dyDescent="0.3">
      <c r="A2257" t="s">
        <v>32</v>
      </c>
      <c r="C2257" s="16">
        <v>46223</v>
      </c>
      <c r="D2257" s="82">
        <v>3522.8000000000029</v>
      </c>
    </row>
    <row r="2258" spans="1:4" x14ac:dyDescent="0.3">
      <c r="A2258" t="s">
        <v>33</v>
      </c>
      <c r="C2258" s="16">
        <v>46223</v>
      </c>
      <c r="D2258" s="82">
        <v>28485.559999999998</v>
      </c>
    </row>
    <row r="2259" spans="1:4" x14ac:dyDescent="0.3">
      <c r="A2259" t="s">
        <v>34</v>
      </c>
      <c r="C2259" s="16">
        <v>46223</v>
      </c>
      <c r="D2259" s="82">
        <v>345</v>
      </c>
    </row>
    <row r="2260" spans="1:4" x14ac:dyDescent="0.3">
      <c r="A2260" t="s">
        <v>35</v>
      </c>
      <c r="C2260" s="16">
        <v>46223</v>
      </c>
      <c r="D2260" s="82">
        <v>14097.480000000003</v>
      </c>
    </row>
    <row r="2261" spans="1:4" x14ac:dyDescent="0.3">
      <c r="A2261" t="s">
        <v>193</v>
      </c>
      <c r="C2261" s="16">
        <v>46223</v>
      </c>
      <c r="D2261" s="82">
        <v>0</v>
      </c>
    </row>
    <row r="2262" spans="1:4" x14ac:dyDescent="0.3">
      <c r="A2262" t="s">
        <v>214</v>
      </c>
      <c r="C2262" s="16">
        <v>46223</v>
      </c>
      <c r="D2262" s="82">
        <v>0</v>
      </c>
    </row>
    <row r="2263" spans="1:4" x14ac:dyDescent="0.3">
      <c r="A2263" t="s">
        <v>194</v>
      </c>
      <c r="C2263" s="16">
        <v>46223</v>
      </c>
      <c r="D2263" s="82">
        <v>0</v>
      </c>
    </row>
    <row r="2264" spans="1:4" x14ac:dyDescent="0.3">
      <c r="A2264" t="s">
        <v>195</v>
      </c>
      <c r="C2264" s="16">
        <v>46223</v>
      </c>
      <c r="D2264" s="82">
        <v>0</v>
      </c>
    </row>
    <row r="2265" spans="1:4" x14ac:dyDescent="0.3">
      <c r="A2265" t="s">
        <v>196</v>
      </c>
      <c r="C2265" s="16">
        <v>46223</v>
      </c>
      <c r="D2265" s="82">
        <v>0</v>
      </c>
    </row>
    <row r="2266" spans="1:4" x14ac:dyDescent="0.3">
      <c r="A2266" t="s">
        <v>197</v>
      </c>
      <c r="C2266" s="16">
        <v>46223</v>
      </c>
      <c r="D2266" s="82">
        <v>0</v>
      </c>
    </row>
    <row r="2267" spans="1:4" x14ac:dyDescent="0.3">
      <c r="A2267" t="s">
        <v>212</v>
      </c>
      <c r="C2267" s="16">
        <v>46223</v>
      </c>
      <c r="D2267" s="82">
        <v>0</v>
      </c>
    </row>
    <row r="2268" spans="1:4" x14ac:dyDescent="0.3">
      <c r="A2268" t="s">
        <v>199</v>
      </c>
      <c r="C2268" s="16">
        <v>46223</v>
      </c>
      <c r="D2268" s="82">
        <v>0</v>
      </c>
    </row>
    <row r="2269" spans="1:4" x14ac:dyDescent="0.3">
      <c r="A2269" t="s">
        <v>216</v>
      </c>
      <c r="C2269" s="16">
        <v>46223</v>
      </c>
      <c r="D2269" s="82">
        <v>0</v>
      </c>
    </row>
    <row r="2270" spans="1:4" x14ac:dyDescent="0.3">
      <c r="A2270" t="s">
        <v>17</v>
      </c>
      <c r="C2270" s="16">
        <v>46224</v>
      </c>
      <c r="D2270" s="82">
        <v>3110339.0700000008</v>
      </c>
    </row>
    <row r="2271" spans="1:4" x14ac:dyDescent="0.3">
      <c r="A2271" t="s">
        <v>18</v>
      </c>
      <c r="C2271" s="16">
        <v>46224</v>
      </c>
      <c r="D2271" s="82">
        <v>73157.680000000168</v>
      </c>
    </row>
    <row r="2272" spans="1:4" x14ac:dyDescent="0.3">
      <c r="A2272" t="s">
        <v>19</v>
      </c>
      <c r="C2272" s="16">
        <v>46224</v>
      </c>
      <c r="D2272" s="82">
        <v>1669.89</v>
      </c>
    </row>
    <row r="2273" spans="1:4" x14ac:dyDescent="0.3">
      <c r="A2273" t="s">
        <v>20</v>
      </c>
      <c r="C2273" s="16">
        <v>46224</v>
      </c>
      <c r="D2273" s="82">
        <v>1029804.7499999998</v>
      </c>
    </row>
    <row r="2274" spans="1:4" x14ac:dyDescent="0.3">
      <c r="A2274" t="s">
        <v>21</v>
      </c>
      <c r="C2274" s="16">
        <v>46224</v>
      </c>
      <c r="D2274" s="82">
        <v>1744257.8699999994</v>
      </c>
    </row>
    <row r="2275" spans="1:4" x14ac:dyDescent="0.3">
      <c r="A2275" t="s">
        <v>22</v>
      </c>
      <c r="C2275" s="16">
        <v>46224</v>
      </c>
      <c r="D2275" s="82">
        <v>200496.38</v>
      </c>
    </row>
    <row r="2276" spans="1:4" x14ac:dyDescent="0.3">
      <c r="A2276" t="s">
        <v>23</v>
      </c>
      <c r="C2276" s="16">
        <v>46224</v>
      </c>
      <c r="D2276" s="82">
        <v>267507.45</v>
      </c>
    </row>
    <row r="2277" spans="1:4" x14ac:dyDescent="0.3">
      <c r="A2277" t="s">
        <v>24</v>
      </c>
      <c r="C2277" s="16">
        <v>46224</v>
      </c>
      <c r="D2277" s="82">
        <v>14580.45</v>
      </c>
    </row>
    <row r="2278" spans="1:4" x14ac:dyDescent="0.3">
      <c r="A2278" t="s">
        <v>25</v>
      </c>
      <c r="C2278" s="16">
        <v>46224</v>
      </c>
      <c r="D2278" s="82">
        <v>54.400000000000006</v>
      </c>
    </row>
    <row r="2279" spans="1:4" x14ac:dyDescent="0.3">
      <c r="A2279" t="s">
        <v>26</v>
      </c>
      <c r="C2279" s="16">
        <v>46224</v>
      </c>
      <c r="D2279" s="82">
        <v>2207.8200000000002</v>
      </c>
    </row>
    <row r="2280" spans="1:4" x14ac:dyDescent="0.3">
      <c r="A2280" t="s">
        <v>27</v>
      </c>
      <c r="C2280" s="16">
        <v>46224</v>
      </c>
      <c r="D2280" s="82">
        <v>1454589.72</v>
      </c>
    </row>
    <row r="2281" spans="1:4" x14ac:dyDescent="0.3">
      <c r="A2281" t="s">
        <v>28</v>
      </c>
      <c r="C2281" s="16">
        <v>46224</v>
      </c>
      <c r="D2281" s="82">
        <v>1968.99</v>
      </c>
    </row>
    <row r="2282" spans="1:4" x14ac:dyDescent="0.3">
      <c r="A2282" t="s">
        <v>29</v>
      </c>
      <c r="C2282" s="16">
        <v>46224</v>
      </c>
      <c r="D2282" s="82">
        <v>901.34</v>
      </c>
    </row>
    <row r="2283" spans="1:4" x14ac:dyDescent="0.3">
      <c r="A2283" t="s">
        <v>30</v>
      </c>
      <c r="C2283" s="16">
        <v>46224</v>
      </c>
      <c r="D2283" s="82">
        <v>1412.08</v>
      </c>
    </row>
    <row r="2284" spans="1:4" x14ac:dyDescent="0.3">
      <c r="A2284" t="s">
        <v>31</v>
      </c>
      <c r="C2284" s="16">
        <v>46224</v>
      </c>
      <c r="D2284" s="82">
        <v>22347.56999999996</v>
      </c>
    </row>
    <row r="2285" spans="1:4" x14ac:dyDescent="0.3">
      <c r="A2285" t="s">
        <v>32</v>
      </c>
      <c r="C2285" s="16">
        <v>46224</v>
      </c>
      <c r="D2285" s="82">
        <v>3522.8000000000029</v>
      </c>
    </row>
    <row r="2286" spans="1:4" x14ac:dyDescent="0.3">
      <c r="A2286" t="s">
        <v>33</v>
      </c>
      <c r="C2286" s="16">
        <v>46224</v>
      </c>
      <c r="D2286" s="82">
        <v>28485.559999999998</v>
      </c>
    </row>
    <row r="2287" spans="1:4" x14ac:dyDescent="0.3">
      <c r="A2287" t="s">
        <v>34</v>
      </c>
      <c r="C2287" s="16">
        <v>46224</v>
      </c>
      <c r="D2287" s="82">
        <v>345</v>
      </c>
    </row>
    <row r="2288" spans="1:4" x14ac:dyDescent="0.3">
      <c r="A2288" t="s">
        <v>35</v>
      </c>
      <c r="C2288" s="16">
        <v>46224</v>
      </c>
      <c r="D2288" s="82">
        <v>13745.850000000002</v>
      </c>
    </row>
    <row r="2289" spans="1:4" x14ac:dyDescent="0.3">
      <c r="A2289" t="s">
        <v>193</v>
      </c>
      <c r="C2289" s="16">
        <v>46224</v>
      </c>
      <c r="D2289" s="82">
        <v>0</v>
      </c>
    </row>
    <row r="2290" spans="1:4" x14ac:dyDescent="0.3">
      <c r="A2290" t="s">
        <v>214</v>
      </c>
      <c r="C2290" s="16">
        <v>46224</v>
      </c>
      <c r="D2290" s="82">
        <v>0</v>
      </c>
    </row>
    <row r="2291" spans="1:4" x14ac:dyDescent="0.3">
      <c r="A2291" t="s">
        <v>194</v>
      </c>
      <c r="C2291" s="16">
        <v>46224</v>
      </c>
      <c r="D2291" s="82">
        <v>0</v>
      </c>
    </row>
    <row r="2292" spans="1:4" x14ac:dyDescent="0.3">
      <c r="A2292" t="s">
        <v>195</v>
      </c>
      <c r="C2292" s="16">
        <v>46224</v>
      </c>
      <c r="D2292" s="82">
        <v>0</v>
      </c>
    </row>
    <row r="2293" spans="1:4" x14ac:dyDescent="0.3">
      <c r="A2293" t="s">
        <v>196</v>
      </c>
      <c r="C2293" s="16">
        <v>46224</v>
      </c>
      <c r="D2293" s="82">
        <v>0</v>
      </c>
    </row>
    <row r="2294" spans="1:4" x14ac:dyDescent="0.3">
      <c r="A2294" t="s">
        <v>197</v>
      </c>
      <c r="C2294" s="16">
        <v>46224</v>
      </c>
      <c r="D2294" s="82">
        <v>0</v>
      </c>
    </row>
    <row r="2295" spans="1:4" x14ac:dyDescent="0.3">
      <c r="A2295" t="s">
        <v>212</v>
      </c>
      <c r="C2295" s="16">
        <v>46224</v>
      </c>
      <c r="D2295" s="82">
        <v>0</v>
      </c>
    </row>
    <row r="2296" spans="1:4" x14ac:dyDescent="0.3">
      <c r="A2296" t="s">
        <v>199</v>
      </c>
      <c r="C2296" s="16">
        <v>46224</v>
      </c>
      <c r="D2296" s="82">
        <v>0</v>
      </c>
    </row>
    <row r="2297" spans="1:4" x14ac:dyDescent="0.3">
      <c r="A2297" t="s">
        <v>216</v>
      </c>
      <c r="C2297" s="16">
        <v>46224</v>
      </c>
      <c r="D2297" s="82">
        <v>0</v>
      </c>
    </row>
    <row r="2298" spans="1:4" x14ac:dyDescent="0.3">
      <c r="A2298" t="s">
        <v>17</v>
      </c>
      <c r="C2298" s="16">
        <v>46225</v>
      </c>
      <c r="D2298" s="82">
        <v>2255755.7400000007</v>
      </c>
    </row>
    <row r="2299" spans="1:4" x14ac:dyDescent="0.3">
      <c r="A2299" t="s">
        <v>18</v>
      </c>
      <c r="C2299" s="16">
        <v>46225</v>
      </c>
      <c r="D2299" s="82">
        <v>73157.680000000168</v>
      </c>
    </row>
    <row r="2300" spans="1:4" x14ac:dyDescent="0.3">
      <c r="A2300" t="s">
        <v>19</v>
      </c>
      <c r="C2300" s="16">
        <v>46225</v>
      </c>
      <c r="D2300" s="82">
        <v>1669.89</v>
      </c>
    </row>
    <row r="2301" spans="1:4" x14ac:dyDescent="0.3">
      <c r="A2301" t="s">
        <v>20</v>
      </c>
      <c r="C2301" s="16">
        <v>46225</v>
      </c>
      <c r="D2301" s="82">
        <v>1002754.9899999998</v>
      </c>
    </row>
    <row r="2302" spans="1:4" x14ac:dyDescent="0.3">
      <c r="A2302" t="s">
        <v>21</v>
      </c>
      <c r="C2302" s="16">
        <v>46225</v>
      </c>
      <c r="D2302" s="82">
        <v>2022877.8699999996</v>
      </c>
    </row>
    <row r="2303" spans="1:4" x14ac:dyDescent="0.3">
      <c r="A2303" t="s">
        <v>22</v>
      </c>
      <c r="C2303" s="16">
        <v>46225</v>
      </c>
      <c r="D2303" s="82">
        <v>200496.38</v>
      </c>
    </row>
    <row r="2304" spans="1:4" x14ac:dyDescent="0.3">
      <c r="A2304" t="s">
        <v>23</v>
      </c>
      <c r="C2304" s="16">
        <v>46225</v>
      </c>
      <c r="D2304" s="82">
        <v>267507.45</v>
      </c>
    </row>
    <row r="2305" spans="1:4" x14ac:dyDescent="0.3">
      <c r="A2305" t="s">
        <v>24</v>
      </c>
      <c r="C2305" s="16">
        <v>46225</v>
      </c>
      <c r="D2305" s="82">
        <v>14580.45</v>
      </c>
    </row>
    <row r="2306" spans="1:4" x14ac:dyDescent="0.3">
      <c r="A2306" t="s">
        <v>25</v>
      </c>
      <c r="C2306" s="16">
        <v>46225</v>
      </c>
      <c r="D2306" s="82">
        <v>54.400000000000006</v>
      </c>
    </row>
    <row r="2307" spans="1:4" x14ac:dyDescent="0.3">
      <c r="A2307" t="s">
        <v>26</v>
      </c>
      <c r="C2307" s="16">
        <v>46225</v>
      </c>
      <c r="D2307" s="82">
        <v>2207.8200000000002</v>
      </c>
    </row>
    <row r="2308" spans="1:4" x14ac:dyDescent="0.3">
      <c r="A2308" t="s">
        <v>27</v>
      </c>
      <c r="C2308" s="16">
        <v>46225</v>
      </c>
      <c r="D2308" s="82">
        <v>1454589.72</v>
      </c>
    </row>
    <row r="2309" spans="1:4" x14ac:dyDescent="0.3">
      <c r="A2309" t="s">
        <v>28</v>
      </c>
      <c r="C2309" s="16">
        <v>46225</v>
      </c>
      <c r="D2309" s="82">
        <v>1968.99</v>
      </c>
    </row>
    <row r="2310" spans="1:4" x14ac:dyDescent="0.3">
      <c r="A2310" t="s">
        <v>29</v>
      </c>
      <c r="C2310" s="16">
        <v>46225</v>
      </c>
      <c r="D2310" s="82">
        <v>901.34</v>
      </c>
    </row>
    <row r="2311" spans="1:4" x14ac:dyDescent="0.3">
      <c r="A2311" t="s">
        <v>30</v>
      </c>
      <c r="C2311" s="16">
        <v>46225</v>
      </c>
      <c r="D2311" s="82">
        <v>1412.08</v>
      </c>
    </row>
    <row r="2312" spans="1:4" x14ac:dyDescent="0.3">
      <c r="A2312" t="s">
        <v>31</v>
      </c>
      <c r="C2312" s="16">
        <v>46225</v>
      </c>
      <c r="D2312" s="82">
        <v>22347.56999999996</v>
      </c>
    </row>
    <row r="2313" spans="1:4" x14ac:dyDescent="0.3">
      <c r="A2313" t="s">
        <v>32</v>
      </c>
      <c r="C2313" s="16">
        <v>46225</v>
      </c>
      <c r="D2313" s="82">
        <v>3522.8000000000029</v>
      </c>
    </row>
    <row r="2314" spans="1:4" x14ac:dyDescent="0.3">
      <c r="A2314" t="s">
        <v>33</v>
      </c>
      <c r="C2314" s="16">
        <v>46225</v>
      </c>
      <c r="D2314" s="82">
        <v>28485.559999999998</v>
      </c>
    </row>
    <row r="2315" spans="1:4" x14ac:dyDescent="0.3">
      <c r="A2315" t="s">
        <v>34</v>
      </c>
      <c r="C2315" s="16">
        <v>46225</v>
      </c>
      <c r="D2315" s="82">
        <v>345</v>
      </c>
    </row>
    <row r="2316" spans="1:4" x14ac:dyDescent="0.3">
      <c r="A2316" t="s">
        <v>35</v>
      </c>
      <c r="C2316" s="16">
        <v>46225</v>
      </c>
      <c r="D2316" s="82">
        <v>10252.290000000003</v>
      </c>
    </row>
    <row r="2317" spans="1:4" x14ac:dyDescent="0.3">
      <c r="A2317" t="s">
        <v>193</v>
      </c>
      <c r="C2317" s="16">
        <v>46225</v>
      </c>
      <c r="D2317" s="82">
        <v>0</v>
      </c>
    </row>
    <row r="2318" spans="1:4" x14ac:dyDescent="0.3">
      <c r="A2318" t="s">
        <v>214</v>
      </c>
      <c r="C2318" s="16">
        <v>46225</v>
      </c>
      <c r="D2318" s="82">
        <v>0</v>
      </c>
    </row>
    <row r="2319" spans="1:4" x14ac:dyDescent="0.3">
      <c r="A2319" t="s">
        <v>194</v>
      </c>
      <c r="C2319" s="16">
        <v>46225</v>
      </c>
      <c r="D2319" s="82">
        <v>0</v>
      </c>
    </row>
    <row r="2320" spans="1:4" x14ac:dyDescent="0.3">
      <c r="A2320" t="s">
        <v>195</v>
      </c>
      <c r="C2320" s="16">
        <v>46225</v>
      </c>
      <c r="D2320" s="82">
        <v>0</v>
      </c>
    </row>
    <row r="2321" spans="1:4" x14ac:dyDescent="0.3">
      <c r="A2321" t="s">
        <v>196</v>
      </c>
      <c r="C2321" s="16">
        <v>46225</v>
      </c>
      <c r="D2321" s="82">
        <v>0</v>
      </c>
    </row>
    <row r="2322" spans="1:4" x14ac:dyDescent="0.3">
      <c r="A2322" t="s">
        <v>197</v>
      </c>
      <c r="C2322" s="16">
        <v>46225</v>
      </c>
      <c r="D2322" s="82">
        <v>0</v>
      </c>
    </row>
    <row r="2323" spans="1:4" x14ac:dyDescent="0.3">
      <c r="A2323" t="s">
        <v>212</v>
      </c>
      <c r="C2323" s="16">
        <v>46225</v>
      </c>
      <c r="D2323" s="82">
        <v>0</v>
      </c>
    </row>
    <row r="2324" spans="1:4" x14ac:dyDescent="0.3">
      <c r="A2324" t="s">
        <v>199</v>
      </c>
      <c r="C2324" s="16">
        <v>46225</v>
      </c>
      <c r="D2324" s="82">
        <v>0</v>
      </c>
    </row>
    <row r="2325" spans="1:4" x14ac:dyDescent="0.3">
      <c r="A2325" t="s">
        <v>216</v>
      </c>
      <c r="C2325" s="16">
        <v>46225</v>
      </c>
      <c r="D2325" s="82">
        <v>0</v>
      </c>
    </row>
    <row r="2326" spans="1:4" x14ac:dyDescent="0.3">
      <c r="A2326" t="s">
        <v>17</v>
      </c>
      <c r="C2326" s="16">
        <v>46226</v>
      </c>
      <c r="D2326" s="82">
        <v>2255750.7400000007</v>
      </c>
    </row>
    <row r="2327" spans="1:4" x14ac:dyDescent="0.3">
      <c r="A2327" t="s">
        <v>18</v>
      </c>
      <c r="C2327" s="16">
        <v>46226</v>
      </c>
      <c r="D2327" s="82">
        <v>73157.680000000168</v>
      </c>
    </row>
    <row r="2328" spans="1:4" x14ac:dyDescent="0.3">
      <c r="A2328" t="s">
        <v>19</v>
      </c>
      <c r="C2328" s="16">
        <v>46226</v>
      </c>
      <c r="D2328" s="82">
        <v>1669.89</v>
      </c>
    </row>
    <row r="2329" spans="1:4" x14ac:dyDescent="0.3">
      <c r="A2329" t="s">
        <v>20</v>
      </c>
      <c r="C2329" s="16">
        <v>46226</v>
      </c>
      <c r="D2329" s="82">
        <v>1042744.6899999997</v>
      </c>
    </row>
    <row r="2330" spans="1:4" x14ac:dyDescent="0.3">
      <c r="A2330" t="s">
        <v>21</v>
      </c>
      <c r="C2330" s="16">
        <v>46226</v>
      </c>
      <c r="D2330" s="82">
        <v>2022877.8699999996</v>
      </c>
    </row>
    <row r="2331" spans="1:4" x14ac:dyDescent="0.3">
      <c r="A2331" t="s">
        <v>22</v>
      </c>
      <c r="C2331" s="16">
        <v>46226</v>
      </c>
      <c r="D2331" s="82">
        <v>200496.38</v>
      </c>
    </row>
    <row r="2332" spans="1:4" x14ac:dyDescent="0.3">
      <c r="A2332" t="s">
        <v>23</v>
      </c>
      <c r="C2332" s="16">
        <v>46226</v>
      </c>
      <c r="D2332" s="82">
        <v>267507.45</v>
      </c>
    </row>
    <row r="2333" spans="1:4" x14ac:dyDescent="0.3">
      <c r="A2333" t="s">
        <v>24</v>
      </c>
      <c r="C2333" s="16">
        <v>46226</v>
      </c>
      <c r="D2333" s="82">
        <v>14580.45</v>
      </c>
    </row>
    <row r="2334" spans="1:4" x14ac:dyDescent="0.3">
      <c r="A2334" t="s">
        <v>25</v>
      </c>
      <c r="C2334" s="16">
        <v>46226</v>
      </c>
      <c r="D2334" s="82">
        <v>54.400000000000006</v>
      </c>
    </row>
    <row r="2335" spans="1:4" x14ac:dyDescent="0.3">
      <c r="A2335" t="s">
        <v>26</v>
      </c>
      <c r="C2335" s="16">
        <v>46226</v>
      </c>
      <c r="D2335" s="82">
        <v>2207.8200000000002</v>
      </c>
    </row>
    <row r="2336" spans="1:4" x14ac:dyDescent="0.3">
      <c r="A2336" t="s">
        <v>27</v>
      </c>
      <c r="C2336" s="16">
        <v>46226</v>
      </c>
      <c r="D2336" s="82">
        <v>1454589.72</v>
      </c>
    </row>
    <row r="2337" spans="1:4" x14ac:dyDescent="0.3">
      <c r="A2337" t="s">
        <v>28</v>
      </c>
      <c r="C2337" s="16">
        <v>46226</v>
      </c>
      <c r="D2337" s="82">
        <v>1968.99</v>
      </c>
    </row>
    <row r="2338" spans="1:4" x14ac:dyDescent="0.3">
      <c r="A2338" t="s">
        <v>29</v>
      </c>
      <c r="C2338" s="16">
        <v>46226</v>
      </c>
      <c r="D2338" s="82">
        <v>901.34</v>
      </c>
    </row>
    <row r="2339" spans="1:4" x14ac:dyDescent="0.3">
      <c r="A2339" t="s">
        <v>30</v>
      </c>
      <c r="C2339" s="16">
        <v>46226</v>
      </c>
      <c r="D2339" s="82">
        <v>1412.08</v>
      </c>
    </row>
    <row r="2340" spans="1:4" x14ac:dyDescent="0.3">
      <c r="A2340" t="s">
        <v>31</v>
      </c>
      <c r="C2340" s="16">
        <v>46226</v>
      </c>
      <c r="D2340" s="82">
        <v>22347.56999999996</v>
      </c>
    </row>
    <row r="2341" spans="1:4" x14ac:dyDescent="0.3">
      <c r="A2341" t="s">
        <v>32</v>
      </c>
      <c r="C2341" s="16">
        <v>46226</v>
      </c>
      <c r="D2341" s="82">
        <v>18522.800000000003</v>
      </c>
    </row>
    <row r="2342" spans="1:4" x14ac:dyDescent="0.3">
      <c r="A2342" t="s">
        <v>33</v>
      </c>
      <c r="C2342" s="16">
        <v>46226</v>
      </c>
      <c r="D2342" s="82">
        <v>28485.559999999998</v>
      </c>
    </row>
    <row r="2343" spans="1:4" x14ac:dyDescent="0.3">
      <c r="A2343" t="s">
        <v>34</v>
      </c>
      <c r="C2343" s="16">
        <v>46226</v>
      </c>
      <c r="D2343" s="82">
        <v>345</v>
      </c>
    </row>
    <row r="2344" spans="1:4" x14ac:dyDescent="0.3">
      <c r="A2344" t="s">
        <v>35</v>
      </c>
      <c r="C2344" s="16">
        <v>46226</v>
      </c>
      <c r="D2344" s="82">
        <v>9958.7100000000028</v>
      </c>
    </row>
    <row r="2345" spans="1:4" x14ac:dyDescent="0.3">
      <c r="A2345" t="s">
        <v>193</v>
      </c>
      <c r="C2345" s="16">
        <v>46226</v>
      </c>
      <c r="D2345" s="82">
        <v>0</v>
      </c>
    </row>
    <row r="2346" spans="1:4" x14ac:dyDescent="0.3">
      <c r="A2346" t="s">
        <v>214</v>
      </c>
      <c r="C2346" s="16">
        <v>46226</v>
      </c>
      <c r="D2346" s="82">
        <v>0</v>
      </c>
    </row>
    <row r="2347" spans="1:4" x14ac:dyDescent="0.3">
      <c r="A2347" t="s">
        <v>194</v>
      </c>
      <c r="C2347" s="16">
        <v>46226</v>
      </c>
      <c r="D2347" s="82">
        <v>0</v>
      </c>
    </row>
    <row r="2348" spans="1:4" x14ac:dyDescent="0.3">
      <c r="A2348" t="s">
        <v>195</v>
      </c>
      <c r="C2348" s="16">
        <v>46226</v>
      </c>
      <c r="D2348" s="82">
        <v>0</v>
      </c>
    </row>
    <row r="2349" spans="1:4" x14ac:dyDescent="0.3">
      <c r="A2349" t="s">
        <v>196</v>
      </c>
      <c r="C2349" s="16">
        <v>46226</v>
      </c>
      <c r="D2349" s="82">
        <v>0</v>
      </c>
    </row>
    <row r="2350" spans="1:4" x14ac:dyDescent="0.3">
      <c r="A2350" t="s">
        <v>197</v>
      </c>
      <c r="C2350" s="16">
        <v>46226</v>
      </c>
      <c r="D2350" s="82">
        <v>0</v>
      </c>
    </row>
    <row r="2351" spans="1:4" x14ac:dyDescent="0.3">
      <c r="A2351" t="s">
        <v>212</v>
      </c>
      <c r="C2351" s="16">
        <v>46226</v>
      </c>
      <c r="D2351" s="82">
        <v>0</v>
      </c>
    </row>
    <row r="2352" spans="1:4" x14ac:dyDescent="0.3">
      <c r="A2352" t="s">
        <v>199</v>
      </c>
      <c r="C2352" s="16">
        <v>46226</v>
      </c>
      <c r="D2352" s="82">
        <v>0</v>
      </c>
    </row>
    <row r="2353" spans="1:4" x14ac:dyDescent="0.3">
      <c r="A2353" t="s">
        <v>216</v>
      </c>
      <c r="C2353" s="16">
        <v>46226</v>
      </c>
      <c r="D2353" s="82">
        <v>0</v>
      </c>
    </row>
    <row r="2354" spans="1:4" x14ac:dyDescent="0.3">
      <c r="A2354" t="s">
        <v>17</v>
      </c>
      <c r="C2354" s="16">
        <v>46227</v>
      </c>
      <c r="D2354" s="82">
        <v>2255750.7400000007</v>
      </c>
    </row>
    <row r="2355" spans="1:4" x14ac:dyDescent="0.3">
      <c r="A2355" t="s">
        <v>18</v>
      </c>
      <c r="C2355" s="16">
        <v>46227</v>
      </c>
      <c r="D2355" s="82">
        <v>73157.680000000168</v>
      </c>
    </row>
    <row r="2356" spans="1:4" x14ac:dyDescent="0.3">
      <c r="A2356" t="s">
        <v>19</v>
      </c>
      <c r="C2356" s="16">
        <v>46227</v>
      </c>
      <c r="D2356" s="82">
        <v>1669.89</v>
      </c>
    </row>
    <row r="2357" spans="1:4" x14ac:dyDescent="0.3">
      <c r="A2357" t="s">
        <v>20</v>
      </c>
      <c r="C2357" s="16">
        <v>46227</v>
      </c>
      <c r="D2357" s="82">
        <v>1042744.6899999997</v>
      </c>
    </row>
    <row r="2358" spans="1:4" x14ac:dyDescent="0.3">
      <c r="A2358" t="s">
        <v>21</v>
      </c>
      <c r="C2358" s="16">
        <v>46227</v>
      </c>
      <c r="D2358" s="82">
        <v>2022877.8699999996</v>
      </c>
    </row>
    <row r="2359" spans="1:4" x14ac:dyDescent="0.3">
      <c r="A2359" t="s">
        <v>22</v>
      </c>
      <c r="C2359" s="16">
        <v>46227</v>
      </c>
      <c r="D2359" s="82">
        <v>200496.38</v>
      </c>
    </row>
    <row r="2360" spans="1:4" x14ac:dyDescent="0.3">
      <c r="A2360" t="s">
        <v>23</v>
      </c>
      <c r="C2360" s="16">
        <v>46227</v>
      </c>
      <c r="D2360" s="82">
        <v>267507.45</v>
      </c>
    </row>
    <row r="2361" spans="1:4" x14ac:dyDescent="0.3">
      <c r="A2361" t="s">
        <v>24</v>
      </c>
      <c r="C2361" s="16">
        <v>46227</v>
      </c>
      <c r="D2361" s="82">
        <v>14580.45</v>
      </c>
    </row>
    <row r="2362" spans="1:4" x14ac:dyDescent="0.3">
      <c r="A2362" t="s">
        <v>25</v>
      </c>
      <c r="C2362" s="16">
        <v>46227</v>
      </c>
      <c r="D2362" s="82">
        <v>54.400000000000006</v>
      </c>
    </row>
    <row r="2363" spans="1:4" x14ac:dyDescent="0.3">
      <c r="A2363" t="s">
        <v>26</v>
      </c>
      <c r="C2363" s="16">
        <v>46227</v>
      </c>
      <c r="D2363" s="82">
        <v>2207.8200000000002</v>
      </c>
    </row>
    <row r="2364" spans="1:4" x14ac:dyDescent="0.3">
      <c r="A2364" t="s">
        <v>27</v>
      </c>
      <c r="C2364" s="16">
        <v>46227</v>
      </c>
      <c r="D2364" s="82">
        <v>1454589.72</v>
      </c>
    </row>
    <row r="2365" spans="1:4" x14ac:dyDescent="0.3">
      <c r="A2365" t="s">
        <v>28</v>
      </c>
      <c r="C2365" s="16">
        <v>46227</v>
      </c>
      <c r="D2365" s="82">
        <v>1968.99</v>
      </c>
    </row>
    <row r="2366" spans="1:4" x14ac:dyDescent="0.3">
      <c r="A2366" t="s">
        <v>29</v>
      </c>
      <c r="C2366" s="16">
        <v>46227</v>
      </c>
      <c r="D2366" s="82">
        <v>901.34</v>
      </c>
    </row>
    <row r="2367" spans="1:4" x14ac:dyDescent="0.3">
      <c r="A2367" t="s">
        <v>30</v>
      </c>
      <c r="C2367" s="16">
        <v>46227</v>
      </c>
      <c r="D2367" s="82">
        <v>1412.08</v>
      </c>
    </row>
    <row r="2368" spans="1:4" x14ac:dyDescent="0.3">
      <c r="A2368" t="s">
        <v>31</v>
      </c>
      <c r="C2368" s="16">
        <v>46227</v>
      </c>
      <c r="D2368" s="82">
        <v>22347.56999999996</v>
      </c>
    </row>
    <row r="2369" spans="1:4" x14ac:dyDescent="0.3">
      <c r="A2369" t="s">
        <v>32</v>
      </c>
      <c r="C2369" s="16">
        <v>46227</v>
      </c>
      <c r="D2369" s="82">
        <v>18522.800000000003</v>
      </c>
    </row>
    <row r="2370" spans="1:4" x14ac:dyDescent="0.3">
      <c r="A2370" t="s">
        <v>33</v>
      </c>
      <c r="C2370" s="16">
        <v>46227</v>
      </c>
      <c r="D2370" s="82">
        <v>28485.559999999998</v>
      </c>
    </row>
    <row r="2371" spans="1:4" x14ac:dyDescent="0.3">
      <c r="A2371" t="s">
        <v>34</v>
      </c>
      <c r="C2371" s="16">
        <v>46227</v>
      </c>
      <c r="D2371" s="82">
        <v>345</v>
      </c>
    </row>
    <row r="2372" spans="1:4" x14ac:dyDescent="0.3">
      <c r="A2372" t="s">
        <v>35</v>
      </c>
      <c r="C2372" s="16">
        <v>46227</v>
      </c>
      <c r="D2372" s="82">
        <v>9557.6300000000028</v>
      </c>
    </row>
    <row r="2373" spans="1:4" x14ac:dyDescent="0.3">
      <c r="A2373" t="s">
        <v>193</v>
      </c>
      <c r="C2373" s="16">
        <v>46227</v>
      </c>
      <c r="D2373" s="82">
        <v>0</v>
      </c>
    </row>
    <row r="2374" spans="1:4" x14ac:dyDescent="0.3">
      <c r="A2374" t="s">
        <v>214</v>
      </c>
      <c r="C2374" s="16">
        <v>46227</v>
      </c>
      <c r="D2374" s="82">
        <v>0</v>
      </c>
    </row>
    <row r="2375" spans="1:4" x14ac:dyDescent="0.3">
      <c r="A2375" t="s">
        <v>194</v>
      </c>
      <c r="C2375" s="16">
        <v>46227</v>
      </c>
      <c r="D2375" s="82">
        <v>0</v>
      </c>
    </row>
    <row r="2376" spans="1:4" x14ac:dyDescent="0.3">
      <c r="A2376" t="s">
        <v>195</v>
      </c>
      <c r="C2376" s="16">
        <v>46227</v>
      </c>
      <c r="D2376" s="82">
        <v>0</v>
      </c>
    </row>
    <row r="2377" spans="1:4" x14ac:dyDescent="0.3">
      <c r="A2377" t="s">
        <v>196</v>
      </c>
      <c r="C2377" s="16">
        <v>46227</v>
      </c>
      <c r="D2377" s="82">
        <v>0</v>
      </c>
    </row>
    <row r="2378" spans="1:4" x14ac:dyDescent="0.3">
      <c r="A2378" t="s">
        <v>197</v>
      </c>
      <c r="C2378" s="16">
        <v>46227</v>
      </c>
      <c r="D2378" s="82">
        <v>0</v>
      </c>
    </row>
    <row r="2379" spans="1:4" x14ac:dyDescent="0.3">
      <c r="A2379" t="s">
        <v>212</v>
      </c>
      <c r="C2379" s="16">
        <v>46227</v>
      </c>
      <c r="D2379" s="82">
        <v>0</v>
      </c>
    </row>
    <row r="2380" spans="1:4" x14ac:dyDescent="0.3">
      <c r="A2380" t="s">
        <v>199</v>
      </c>
      <c r="C2380" s="16">
        <v>46227</v>
      </c>
      <c r="D2380" s="82">
        <v>0</v>
      </c>
    </row>
    <row r="2381" spans="1:4" x14ac:dyDescent="0.3">
      <c r="A2381" t="s">
        <v>216</v>
      </c>
      <c r="C2381" s="16">
        <v>46227</v>
      </c>
      <c r="D2381" s="82">
        <v>0</v>
      </c>
    </row>
    <row r="2382" spans="1:4" x14ac:dyDescent="0.3">
      <c r="A2382" t="s">
        <v>17</v>
      </c>
      <c r="C2382" s="16">
        <v>46228</v>
      </c>
      <c r="D2382" s="82">
        <v>2255750.7400000007</v>
      </c>
    </row>
    <row r="2383" spans="1:4" x14ac:dyDescent="0.3">
      <c r="A2383" t="s">
        <v>18</v>
      </c>
      <c r="C2383" s="16">
        <v>46228</v>
      </c>
      <c r="D2383" s="82">
        <v>73157.680000000168</v>
      </c>
    </row>
    <row r="2384" spans="1:4" x14ac:dyDescent="0.3">
      <c r="A2384" t="s">
        <v>19</v>
      </c>
      <c r="C2384" s="16">
        <v>46228</v>
      </c>
      <c r="D2384" s="82">
        <v>1669.89</v>
      </c>
    </row>
    <row r="2385" spans="1:4" x14ac:dyDescent="0.3">
      <c r="A2385" t="s">
        <v>20</v>
      </c>
      <c r="C2385" s="16">
        <v>46228</v>
      </c>
      <c r="D2385" s="82">
        <v>1042744.6899999997</v>
      </c>
    </row>
    <row r="2386" spans="1:4" x14ac:dyDescent="0.3">
      <c r="A2386" t="s">
        <v>21</v>
      </c>
      <c r="C2386" s="16">
        <v>46228</v>
      </c>
      <c r="D2386" s="82">
        <v>2022877.8699999996</v>
      </c>
    </row>
    <row r="2387" spans="1:4" x14ac:dyDescent="0.3">
      <c r="A2387" t="s">
        <v>22</v>
      </c>
      <c r="C2387" s="16">
        <v>46228</v>
      </c>
      <c r="D2387" s="82">
        <v>200496.38</v>
      </c>
    </row>
    <row r="2388" spans="1:4" x14ac:dyDescent="0.3">
      <c r="A2388" t="s">
        <v>23</v>
      </c>
      <c r="C2388" s="16">
        <v>46228</v>
      </c>
      <c r="D2388" s="82">
        <v>267507.45</v>
      </c>
    </row>
    <row r="2389" spans="1:4" x14ac:dyDescent="0.3">
      <c r="A2389" t="s">
        <v>24</v>
      </c>
      <c r="C2389" s="16">
        <v>46228</v>
      </c>
      <c r="D2389" s="82">
        <v>14580.45</v>
      </c>
    </row>
    <row r="2390" spans="1:4" x14ac:dyDescent="0.3">
      <c r="A2390" t="s">
        <v>25</v>
      </c>
      <c r="C2390" s="16">
        <v>46228</v>
      </c>
      <c r="D2390" s="82">
        <v>54.400000000000006</v>
      </c>
    </row>
    <row r="2391" spans="1:4" x14ac:dyDescent="0.3">
      <c r="A2391" t="s">
        <v>26</v>
      </c>
      <c r="C2391" s="16">
        <v>46228</v>
      </c>
      <c r="D2391" s="82">
        <v>2207.8200000000002</v>
      </c>
    </row>
    <row r="2392" spans="1:4" x14ac:dyDescent="0.3">
      <c r="A2392" t="s">
        <v>27</v>
      </c>
      <c r="C2392" s="16">
        <v>46228</v>
      </c>
      <c r="D2392" s="82">
        <v>1454589.72</v>
      </c>
    </row>
    <row r="2393" spans="1:4" x14ac:dyDescent="0.3">
      <c r="A2393" t="s">
        <v>28</v>
      </c>
      <c r="C2393" s="16">
        <v>46228</v>
      </c>
      <c r="D2393" s="82">
        <v>1968.99</v>
      </c>
    </row>
    <row r="2394" spans="1:4" x14ac:dyDescent="0.3">
      <c r="A2394" t="s">
        <v>29</v>
      </c>
      <c r="C2394" s="16">
        <v>46228</v>
      </c>
      <c r="D2394" s="82">
        <v>901.34</v>
      </c>
    </row>
    <row r="2395" spans="1:4" x14ac:dyDescent="0.3">
      <c r="A2395" t="s">
        <v>30</v>
      </c>
      <c r="C2395" s="16">
        <v>46228</v>
      </c>
      <c r="D2395" s="82">
        <v>1412.08</v>
      </c>
    </row>
    <row r="2396" spans="1:4" x14ac:dyDescent="0.3">
      <c r="A2396" t="s">
        <v>31</v>
      </c>
      <c r="C2396" s="16">
        <v>46228</v>
      </c>
      <c r="D2396" s="82">
        <v>22347.56999999996</v>
      </c>
    </row>
    <row r="2397" spans="1:4" x14ac:dyDescent="0.3">
      <c r="A2397" t="s">
        <v>32</v>
      </c>
      <c r="C2397" s="16">
        <v>46228</v>
      </c>
      <c r="D2397" s="82">
        <v>18522.800000000003</v>
      </c>
    </row>
    <row r="2398" spans="1:4" x14ac:dyDescent="0.3">
      <c r="A2398" t="s">
        <v>33</v>
      </c>
      <c r="C2398" s="16">
        <v>46228</v>
      </c>
      <c r="D2398" s="82">
        <v>28485.559999999998</v>
      </c>
    </row>
    <row r="2399" spans="1:4" x14ac:dyDescent="0.3">
      <c r="A2399" t="s">
        <v>34</v>
      </c>
      <c r="C2399" s="16">
        <v>46228</v>
      </c>
      <c r="D2399" s="82">
        <v>345</v>
      </c>
    </row>
    <row r="2400" spans="1:4" x14ac:dyDescent="0.3">
      <c r="A2400" t="s">
        <v>35</v>
      </c>
      <c r="C2400" s="16">
        <v>46228</v>
      </c>
      <c r="D2400" s="82">
        <v>9557.6300000000028</v>
      </c>
    </row>
    <row r="2401" spans="1:4" x14ac:dyDescent="0.3">
      <c r="A2401" t="s">
        <v>193</v>
      </c>
      <c r="C2401" s="16">
        <v>46228</v>
      </c>
      <c r="D2401" s="82">
        <v>0</v>
      </c>
    </row>
    <row r="2402" spans="1:4" x14ac:dyDescent="0.3">
      <c r="A2402" t="s">
        <v>214</v>
      </c>
      <c r="C2402" s="16">
        <v>46228</v>
      </c>
      <c r="D2402" s="82">
        <v>0</v>
      </c>
    </row>
    <row r="2403" spans="1:4" x14ac:dyDescent="0.3">
      <c r="A2403" t="s">
        <v>194</v>
      </c>
      <c r="C2403" s="16">
        <v>46228</v>
      </c>
      <c r="D2403" s="82">
        <v>0</v>
      </c>
    </row>
    <row r="2404" spans="1:4" x14ac:dyDescent="0.3">
      <c r="A2404" t="s">
        <v>195</v>
      </c>
      <c r="C2404" s="16">
        <v>46228</v>
      </c>
      <c r="D2404" s="82">
        <v>0</v>
      </c>
    </row>
    <row r="2405" spans="1:4" x14ac:dyDescent="0.3">
      <c r="A2405" t="s">
        <v>196</v>
      </c>
      <c r="C2405" s="16">
        <v>46228</v>
      </c>
      <c r="D2405" s="82">
        <v>0</v>
      </c>
    </row>
    <row r="2406" spans="1:4" x14ac:dyDescent="0.3">
      <c r="A2406" t="s">
        <v>197</v>
      </c>
      <c r="C2406" s="16">
        <v>46228</v>
      </c>
      <c r="D2406" s="82">
        <v>0</v>
      </c>
    </row>
    <row r="2407" spans="1:4" x14ac:dyDescent="0.3">
      <c r="A2407" t="s">
        <v>212</v>
      </c>
      <c r="C2407" s="16">
        <v>46228</v>
      </c>
      <c r="D2407" s="82">
        <v>0</v>
      </c>
    </row>
    <row r="2408" spans="1:4" x14ac:dyDescent="0.3">
      <c r="A2408" t="s">
        <v>199</v>
      </c>
      <c r="C2408" s="16">
        <v>46228</v>
      </c>
      <c r="D2408" s="82">
        <v>0</v>
      </c>
    </row>
    <row r="2409" spans="1:4" x14ac:dyDescent="0.3">
      <c r="A2409" t="s">
        <v>216</v>
      </c>
      <c r="C2409" s="16">
        <v>46228</v>
      </c>
      <c r="D2409" s="82">
        <v>0</v>
      </c>
    </row>
    <row r="2410" spans="1:4" x14ac:dyDescent="0.3">
      <c r="A2410" t="s">
        <v>17</v>
      </c>
      <c r="C2410" s="16">
        <v>46229</v>
      </c>
      <c r="D2410" s="82">
        <v>2255750.7400000007</v>
      </c>
    </row>
    <row r="2411" spans="1:4" x14ac:dyDescent="0.3">
      <c r="A2411" t="s">
        <v>18</v>
      </c>
      <c r="C2411" s="16">
        <v>46229</v>
      </c>
      <c r="D2411" s="82">
        <v>73157.680000000168</v>
      </c>
    </row>
    <row r="2412" spans="1:4" x14ac:dyDescent="0.3">
      <c r="A2412" t="s">
        <v>19</v>
      </c>
      <c r="C2412" s="16">
        <v>46229</v>
      </c>
      <c r="D2412" s="82">
        <v>1669.89</v>
      </c>
    </row>
    <row r="2413" spans="1:4" x14ac:dyDescent="0.3">
      <c r="A2413" t="s">
        <v>20</v>
      </c>
      <c r="C2413" s="16">
        <v>46229</v>
      </c>
      <c r="D2413" s="82">
        <v>1042744.6899999997</v>
      </c>
    </row>
    <row r="2414" spans="1:4" x14ac:dyDescent="0.3">
      <c r="A2414" t="s">
        <v>21</v>
      </c>
      <c r="C2414" s="16">
        <v>46229</v>
      </c>
      <c r="D2414" s="82">
        <v>2022877.8699999996</v>
      </c>
    </row>
    <row r="2415" spans="1:4" x14ac:dyDescent="0.3">
      <c r="A2415" t="s">
        <v>22</v>
      </c>
      <c r="C2415" s="16">
        <v>46229</v>
      </c>
      <c r="D2415" s="82">
        <v>200496.38</v>
      </c>
    </row>
    <row r="2416" spans="1:4" x14ac:dyDescent="0.3">
      <c r="A2416" t="s">
        <v>23</v>
      </c>
      <c r="C2416" s="16">
        <v>46229</v>
      </c>
      <c r="D2416" s="82">
        <v>267507.45</v>
      </c>
    </row>
    <row r="2417" spans="1:4" x14ac:dyDescent="0.3">
      <c r="A2417" t="s">
        <v>24</v>
      </c>
      <c r="C2417" s="16">
        <v>46229</v>
      </c>
      <c r="D2417" s="82">
        <v>14580.45</v>
      </c>
    </row>
    <row r="2418" spans="1:4" x14ac:dyDescent="0.3">
      <c r="A2418" t="s">
        <v>25</v>
      </c>
      <c r="C2418" s="16">
        <v>46229</v>
      </c>
      <c r="D2418" s="82">
        <v>54.400000000000006</v>
      </c>
    </row>
    <row r="2419" spans="1:4" x14ac:dyDescent="0.3">
      <c r="A2419" t="s">
        <v>26</v>
      </c>
      <c r="C2419" s="16">
        <v>46229</v>
      </c>
      <c r="D2419" s="82">
        <v>2207.8200000000002</v>
      </c>
    </row>
    <row r="2420" spans="1:4" x14ac:dyDescent="0.3">
      <c r="A2420" t="s">
        <v>27</v>
      </c>
      <c r="C2420" s="16">
        <v>46229</v>
      </c>
      <c r="D2420" s="82">
        <v>1454589.72</v>
      </c>
    </row>
    <row r="2421" spans="1:4" x14ac:dyDescent="0.3">
      <c r="A2421" t="s">
        <v>28</v>
      </c>
      <c r="C2421" s="16">
        <v>46229</v>
      </c>
      <c r="D2421" s="82">
        <v>1968.99</v>
      </c>
    </row>
    <row r="2422" spans="1:4" x14ac:dyDescent="0.3">
      <c r="A2422" t="s">
        <v>29</v>
      </c>
      <c r="C2422" s="16">
        <v>46229</v>
      </c>
      <c r="D2422" s="82">
        <v>901.34</v>
      </c>
    </row>
    <row r="2423" spans="1:4" x14ac:dyDescent="0.3">
      <c r="A2423" t="s">
        <v>30</v>
      </c>
      <c r="C2423" s="16">
        <v>46229</v>
      </c>
      <c r="D2423" s="82">
        <v>1412.08</v>
      </c>
    </row>
    <row r="2424" spans="1:4" x14ac:dyDescent="0.3">
      <c r="A2424" t="s">
        <v>31</v>
      </c>
      <c r="C2424" s="16">
        <v>46229</v>
      </c>
      <c r="D2424" s="82">
        <v>22347.56999999996</v>
      </c>
    </row>
    <row r="2425" spans="1:4" x14ac:dyDescent="0.3">
      <c r="A2425" t="s">
        <v>32</v>
      </c>
      <c r="C2425" s="16">
        <v>46229</v>
      </c>
      <c r="D2425" s="82">
        <v>18522.800000000003</v>
      </c>
    </row>
    <row r="2426" spans="1:4" x14ac:dyDescent="0.3">
      <c r="A2426" t="s">
        <v>33</v>
      </c>
      <c r="C2426" s="16">
        <v>46229</v>
      </c>
      <c r="D2426" s="82">
        <v>28485.559999999998</v>
      </c>
    </row>
    <row r="2427" spans="1:4" x14ac:dyDescent="0.3">
      <c r="A2427" t="s">
        <v>34</v>
      </c>
      <c r="C2427" s="16">
        <v>46229</v>
      </c>
      <c r="D2427" s="82">
        <v>345</v>
      </c>
    </row>
    <row r="2428" spans="1:4" x14ac:dyDescent="0.3">
      <c r="A2428" t="s">
        <v>35</v>
      </c>
      <c r="C2428" s="16">
        <v>46229</v>
      </c>
      <c r="D2428" s="82">
        <v>9557.6300000000028</v>
      </c>
    </row>
    <row r="2429" spans="1:4" x14ac:dyDescent="0.3">
      <c r="A2429" t="s">
        <v>193</v>
      </c>
      <c r="C2429" s="16">
        <v>46229</v>
      </c>
      <c r="D2429" s="82">
        <v>0</v>
      </c>
    </row>
    <row r="2430" spans="1:4" x14ac:dyDescent="0.3">
      <c r="A2430" t="s">
        <v>214</v>
      </c>
      <c r="C2430" s="16">
        <v>46229</v>
      </c>
      <c r="D2430" s="82">
        <v>0</v>
      </c>
    </row>
    <row r="2431" spans="1:4" x14ac:dyDescent="0.3">
      <c r="A2431" t="s">
        <v>194</v>
      </c>
      <c r="C2431" s="16">
        <v>46229</v>
      </c>
      <c r="D2431" s="82">
        <v>0</v>
      </c>
    </row>
    <row r="2432" spans="1:4" x14ac:dyDescent="0.3">
      <c r="A2432" t="s">
        <v>195</v>
      </c>
      <c r="C2432" s="16">
        <v>46229</v>
      </c>
      <c r="D2432" s="82">
        <v>0</v>
      </c>
    </row>
    <row r="2433" spans="1:4" x14ac:dyDescent="0.3">
      <c r="A2433" t="s">
        <v>196</v>
      </c>
      <c r="C2433" s="16">
        <v>46229</v>
      </c>
      <c r="D2433" s="82">
        <v>0</v>
      </c>
    </row>
    <row r="2434" spans="1:4" x14ac:dyDescent="0.3">
      <c r="A2434" t="s">
        <v>197</v>
      </c>
      <c r="C2434" s="16">
        <v>46229</v>
      </c>
      <c r="D2434" s="82">
        <v>0</v>
      </c>
    </row>
    <row r="2435" spans="1:4" x14ac:dyDescent="0.3">
      <c r="A2435" t="s">
        <v>212</v>
      </c>
      <c r="C2435" s="16">
        <v>46229</v>
      </c>
      <c r="D2435" s="82">
        <v>0</v>
      </c>
    </row>
    <row r="2436" spans="1:4" x14ac:dyDescent="0.3">
      <c r="A2436" t="s">
        <v>199</v>
      </c>
      <c r="C2436" s="16">
        <v>46229</v>
      </c>
      <c r="D2436" s="82">
        <v>0</v>
      </c>
    </row>
    <row r="2437" spans="1:4" x14ac:dyDescent="0.3">
      <c r="A2437" t="s">
        <v>216</v>
      </c>
      <c r="C2437" s="16">
        <v>46229</v>
      </c>
      <c r="D2437" s="82">
        <v>0</v>
      </c>
    </row>
    <row r="2438" spans="1:4" x14ac:dyDescent="0.3">
      <c r="A2438" t="s">
        <v>17</v>
      </c>
      <c r="C2438" s="16">
        <v>46230</v>
      </c>
      <c r="D2438" s="82">
        <v>2255750.7400000007</v>
      </c>
    </row>
    <row r="2439" spans="1:4" x14ac:dyDescent="0.3">
      <c r="A2439" t="s">
        <v>18</v>
      </c>
      <c r="C2439" s="16">
        <v>46230</v>
      </c>
      <c r="D2439" s="82">
        <v>73157.680000000168</v>
      </c>
    </row>
    <row r="2440" spans="1:4" x14ac:dyDescent="0.3">
      <c r="A2440" t="s">
        <v>19</v>
      </c>
      <c r="C2440" s="16">
        <v>46230</v>
      </c>
      <c r="D2440" s="82">
        <v>1669.89</v>
      </c>
    </row>
    <row r="2441" spans="1:4" x14ac:dyDescent="0.3">
      <c r="A2441" t="s">
        <v>20</v>
      </c>
      <c r="C2441" s="16">
        <v>46230</v>
      </c>
      <c r="D2441" s="82">
        <v>1392744.6899999997</v>
      </c>
    </row>
    <row r="2442" spans="1:4" x14ac:dyDescent="0.3">
      <c r="A2442" t="s">
        <v>21</v>
      </c>
      <c r="C2442" s="16">
        <v>46230</v>
      </c>
      <c r="D2442" s="82">
        <v>2022877.8699999996</v>
      </c>
    </row>
    <row r="2443" spans="1:4" x14ac:dyDescent="0.3">
      <c r="A2443" t="s">
        <v>22</v>
      </c>
      <c r="C2443" s="16">
        <v>46230</v>
      </c>
      <c r="D2443" s="82">
        <v>190496.38</v>
      </c>
    </row>
    <row r="2444" spans="1:4" x14ac:dyDescent="0.3">
      <c r="A2444" t="s">
        <v>23</v>
      </c>
      <c r="C2444" s="16">
        <v>46230</v>
      </c>
      <c r="D2444" s="82">
        <v>267507.45</v>
      </c>
    </row>
    <row r="2445" spans="1:4" x14ac:dyDescent="0.3">
      <c r="A2445" t="s">
        <v>24</v>
      </c>
      <c r="C2445" s="16">
        <v>46230</v>
      </c>
      <c r="D2445" s="82">
        <v>14580.45</v>
      </c>
    </row>
    <row r="2446" spans="1:4" x14ac:dyDescent="0.3">
      <c r="A2446" t="s">
        <v>25</v>
      </c>
      <c r="C2446" s="16">
        <v>46230</v>
      </c>
      <c r="D2446" s="82">
        <v>54.400000000000006</v>
      </c>
    </row>
    <row r="2447" spans="1:4" x14ac:dyDescent="0.3">
      <c r="A2447" t="s">
        <v>26</v>
      </c>
      <c r="C2447" s="16">
        <v>46230</v>
      </c>
      <c r="D2447" s="82">
        <v>2207.8200000000002</v>
      </c>
    </row>
    <row r="2448" spans="1:4" x14ac:dyDescent="0.3">
      <c r="A2448" t="s">
        <v>27</v>
      </c>
      <c r="C2448" s="16">
        <v>46230</v>
      </c>
      <c r="D2448" s="82">
        <v>1454589.72</v>
      </c>
    </row>
    <row r="2449" spans="1:4" x14ac:dyDescent="0.3">
      <c r="A2449" t="s">
        <v>28</v>
      </c>
      <c r="C2449" s="16">
        <v>46230</v>
      </c>
      <c r="D2449" s="82">
        <v>1968.99</v>
      </c>
    </row>
    <row r="2450" spans="1:4" x14ac:dyDescent="0.3">
      <c r="A2450" t="s">
        <v>29</v>
      </c>
      <c r="C2450" s="16">
        <v>46230</v>
      </c>
      <c r="D2450" s="82">
        <v>901.34</v>
      </c>
    </row>
    <row r="2451" spans="1:4" x14ac:dyDescent="0.3">
      <c r="A2451" t="s">
        <v>30</v>
      </c>
      <c r="C2451" s="16">
        <v>46230</v>
      </c>
      <c r="D2451" s="82">
        <v>1412.08</v>
      </c>
    </row>
    <row r="2452" spans="1:4" x14ac:dyDescent="0.3">
      <c r="A2452" t="s">
        <v>31</v>
      </c>
      <c r="C2452" s="16">
        <v>46230</v>
      </c>
      <c r="D2452" s="82">
        <v>22347.56999999996</v>
      </c>
    </row>
    <row r="2453" spans="1:4" x14ac:dyDescent="0.3">
      <c r="A2453" t="s">
        <v>32</v>
      </c>
      <c r="C2453" s="16">
        <v>46230</v>
      </c>
      <c r="D2453" s="82">
        <v>18522.800000000003</v>
      </c>
    </row>
    <row r="2454" spans="1:4" x14ac:dyDescent="0.3">
      <c r="A2454" t="s">
        <v>33</v>
      </c>
      <c r="C2454" s="16">
        <v>46230</v>
      </c>
      <c r="D2454" s="82">
        <v>28485.559999999998</v>
      </c>
    </row>
    <row r="2455" spans="1:4" x14ac:dyDescent="0.3">
      <c r="A2455" t="s">
        <v>34</v>
      </c>
      <c r="C2455" s="16">
        <v>46230</v>
      </c>
      <c r="D2455" s="82">
        <v>345</v>
      </c>
    </row>
    <row r="2456" spans="1:4" x14ac:dyDescent="0.3">
      <c r="A2456" t="s">
        <v>35</v>
      </c>
      <c r="C2456" s="16">
        <v>46230</v>
      </c>
      <c r="D2456" s="82">
        <v>15418.180000000004</v>
      </c>
    </row>
    <row r="2457" spans="1:4" x14ac:dyDescent="0.3">
      <c r="A2457" t="s">
        <v>193</v>
      </c>
      <c r="C2457" s="16">
        <v>46230</v>
      </c>
      <c r="D2457" s="82">
        <v>0</v>
      </c>
    </row>
    <row r="2458" spans="1:4" x14ac:dyDescent="0.3">
      <c r="A2458" t="s">
        <v>214</v>
      </c>
      <c r="C2458" s="16">
        <v>46230</v>
      </c>
      <c r="D2458" s="82">
        <v>0</v>
      </c>
    </row>
    <row r="2459" spans="1:4" x14ac:dyDescent="0.3">
      <c r="A2459" t="s">
        <v>194</v>
      </c>
      <c r="C2459" s="16">
        <v>46230</v>
      </c>
      <c r="D2459" s="82">
        <v>0</v>
      </c>
    </row>
    <row r="2460" spans="1:4" x14ac:dyDescent="0.3">
      <c r="A2460" t="s">
        <v>195</v>
      </c>
      <c r="C2460" s="16">
        <v>46230</v>
      </c>
      <c r="D2460" s="82">
        <v>0</v>
      </c>
    </row>
    <row r="2461" spans="1:4" x14ac:dyDescent="0.3">
      <c r="A2461" t="s">
        <v>196</v>
      </c>
      <c r="C2461" s="16">
        <v>46230</v>
      </c>
      <c r="D2461" s="82">
        <v>0</v>
      </c>
    </row>
    <row r="2462" spans="1:4" x14ac:dyDescent="0.3">
      <c r="A2462" t="s">
        <v>197</v>
      </c>
      <c r="C2462" s="16">
        <v>46230</v>
      </c>
      <c r="D2462" s="82">
        <v>0</v>
      </c>
    </row>
    <row r="2463" spans="1:4" x14ac:dyDescent="0.3">
      <c r="A2463" t="s">
        <v>212</v>
      </c>
      <c r="C2463" s="16">
        <v>46230</v>
      </c>
      <c r="D2463" s="82">
        <v>0</v>
      </c>
    </row>
    <row r="2464" spans="1:4" x14ac:dyDescent="0.3">
      <c r="A2464" t="s">
        <v>199</v>
      </c>
      <c r="C2464" s="16">
        <v>46230</v>
      </c>
      <c r="D2464" s="82">
        <v>0</v>
      </c>
    </row>
    <row r="2465" spans="1:4" x14ac:dyDescent="0.3">
      <c r="A2465" t="s">
        <v>216</v>
      </c>
      <c r="C2465" s="16">
        <v>46230</v>
      </c>
      <c r="D2465" s="82">
        <v>0</v>
      </c>
    </row>
    <row r="2466" spans="1:4" x14ac:dyDescent="0.3">
      <c r="A2466" t="s">
        <v>17</v>
      </c>
      <c r="C2466" s="16">
        <v>46231</v>
      </c>
      <c r="D2466" s="82">
        <v>2255750.7400000007</v>
      </c>
    </row>
    <row r="2467" spans="1:4" x14ac:dyDescent="0.3">
      <c r="A2467" t="s">
        <v>18</v>
      </c>
      <c r="C2467" s="16">
        <v>46231</v>
      </c>
      <c r="D2467" s="82">
        <v>80574.12000000017</v>
      </c>
    </row>
    <row r="2468" spans="1:4" x14ac:dyDescent="0.3">
      <c r="A2468" t="s">
        <v>19</v>
      </c>
      <c r="C2468" s="16">
        <v>46231</v>
      </c>
      <c r="D2468" s="82">
        <v>1669.89</v>
      </c>
    </row>
    <row r="2469" spans="1:4" x14ac:dyDescent="0.3">
      <c r="A2469" t="s">
        <v>20</v>
      </c>
      <c r="C2469" s="16">
        <v>46231</v>
      </c>
      <c r="D2469" s="82">
        <v>1415636.7399999998</v>
      </c>
    </row>
    <row r="2470" spans="1:4" x14ac:dyDescent="0.3">
      <c r="A2470" t="s">
        <v>21</v>
      </c>
      <c r="C2470" s="16">
        <v>46231</v>
      </c>
      <c r="D2470" s="82">
        <v>1857997.0999999996</v>
      </c>
    </row>
    <row r="2471" spans="1:4" x14ac:dyDescent="0.3">
      <c r="A2471" t="s">
        <v>22</v>
      </c>
      <c r="C2471" s="16">
        <v>46231</v>
      </c>
      <c r="D2471" s="82">
        <v>190496.38</v>
      </c>
    </row>
    <row r="2472" spans="1:4" x14ac:dyDescent="0.3">
      <c r="A2472" t="s">
        <v>23</v>
      </c>
      <c r="C2472" s="16">
        <v>46231</v>
      </c>
      <c r="D2472" s="82">
        <v>267507.45</v>
      </c>
    </row>
    <row r="2473" spans="1:4" x14ac:dyDescent="0.3">
      <c r="A2473" t="s">
        <v>24</v>
      </c>
      <c r="C2473" s="16">
        <v>46231</v>
      </c>
      <c r="D2473" s="82">
        <v>14580.45</v>
      </c>
    </row>
    <row r="2474" spans="1:4" x14ac:dyDescent="0.3">
      <c r="A2474" t="s">
        <v>25</v>
      </c>
      <c r="C2474" s="16">
        <v>46231</v>
      </c>
      <c r="D2474" s="82">
        <v>54.400000000000006</v>
      </c>
    </row>
    <row r="2475" spans="1:4" x14ac:dyDescent="0.3">
      <c r="A2475" t="s">
        <v>26</v>
      </c>
      <c r="C2475" s="16">
        <v>46231</v>
      </c>
      <c r="D2475" s="82">
        <v>2207.8200000000002</v>
      </c>
    </row>
    <row r="2476" spans="1:4" x14ac:dyDescent="0.3">
      <c r="A2476" t="s">
        <v>27</v>
      </c>
      <c r="C2476" s="16">
        <v>46231</v>
      </c>
      <c r="D2476" s="82">
        <v>1454589.72</v>
      </c>
    </row>
    <row r="2477" spans="1:4" x14ac:dyDescent="0.3">
      <c r="A2477" t="s">
        <v>28</v>
      </c>
      <c r="C2477" s="16">
        <v>46231</v>
      </c>
      <c r="D2477" s="82">
        <v>1968.99</v>
      </c>
    </row>
    <row r="2478" spans="1:4" x14ac:dyDescent="0.3">
      <c r="A2478" t="s">
        <v>29</v>
      </c>
      <c r="C2478" s="16">
        <v>46231</v>
      </c>
      <c r="D2478" s="82">
        <v>901.34</v>
      </c>
    </row>
    <row r="2479" spans="1:4" x14ac:dyDescent="0.3">
      <c r="A2479" t="s">
        <v>30</v>
      </c>
      <c r="C2479" s="16">
        <v>46231</v>
      </c>
      <c r="D2479" s="82">
        <v>1412.08</v>
      </c>
    </row>
    <row r="2480" spans="1:4" x14ac:dyDescent="0.3">
      <c r="A2480" t="s">
        <v>31</v>
      </c>
      <c r="C2480" s="16">
        <v>46231</v>
      </c>
      <c r="D2480" s="82">
        <v>22347.56999999996</v>
      </c>
    </row>
    <row r="2481" spans="1:4" x14ac:dyDescent="0.3">
      <c r="A2481" t="s">
        <v>32</v>
      </c>
      <c r="C2481" s="16">
        <v>46231</v>
      </c>
      <c r="D2481" s="82">
        <v>18522.800000000003</v>
      </c>
    </row>
    <row r="2482" spans="1:4" x14ac:dyDescent="0.3">
      <c r="A2482" t="s">
        <v>33</v>
      </c>
      <c r="C2482" s="16">
        <v>46231</v>
      </c>
      <c r="D2482" s="82">
        <v>28485.559999999998</v>
      </c>
    </row>
    <row r="2483" spans="1:4" x14ac:dyDescent="0.3">
      <c r="A2483" t="s">
        <v>34</v>
      </c>
      <c r="C2483" s="16">
        <v>46231</v>
      </c>
      <c r="D2483" s="82">
        <v>345</v>
      </c>
    </row>
    <row r="2484" spans="1:4" x14ac:dyDescent="0.3">
      <c r="A2484" t="s">
        <v>35</v>
      </c>
      <c r="C2484" s="16">
        <v>46231</v>
      </c>
      <c r="D2484" s="82">
        <v>15094.090000000004</v>
      </c>
    </row>
    <row r="2485" spans="1:4" x14ac:dyDescent="0.3">
      <c r="A2485" t="s">
        <v>193</v>
      </c>
      <c r="C2485" s="16">
        <v>46231</v>
      </c>
      <c r="D2485" s="82">
        <v>0</v>
      </c>
    </row>
    <row r="2486" spans="1:4" x14ac:dyDescent="0.3">
      <c r="A2486" t="s">
        <v>214</v>
      </c>
      <c r="C2486" s="16">
        <v>46231</v>
      </c>
      <c r="D2486" s="82">
        <v>0</v>
      </c>
    </row>
    <row r="2487" spans="1:4" x14ac:dyDescent="0.3">
      <c r="A2487" t="s">
        <v>194</v>
      </c>
      <c r="C2487" s="16">
        <v>46231</v>
      </c>
      <c r="D2487" s="82">
        <v>0</v>
      </c>
    </row>
    <row r="2488" spans="1:4" x14ac:dyDescent="0.3">
      <c r="A2488" t="s">
        <v>195</v>
      </c>
      <c r="C2488" s="16">
        <v>46231</v>
      </c>
      <c r="D2488" s="82">
        <v>0</v>
      </c>
    </row>
    <row r="2489" spans="1:4" x14ac:dyDescent="0.3">
      <c r="A2489" t="s">
        <v>196</v>
      </c>
      <c r="C2489" s="16">
        <v>46231</v>
      </c>
      <c r="D2489" s="82">
        <v>0</v>
      </c>
    </row>
    <row r="2490" spans="1:4" x14ac:dyDescent="0.3">
      <c r="A2490" t="s">
        <v>197</v>
      </c>
      <c r="C2490" s="16">
        <v>46231</v>
      </c>
      <c r="D2490" s="82">
        <v>0</v>
      </c>
    </row>
    <row r="2491" spans="1:4" x14ac:dyDescent="0.3">
      <c r="A2491" t="s">
        <v>212</v>
      </c>
      <c r="C2491" s="16">
        <v>46231</v>
      </c>
      <c r="D2491" s="82">
        <v>0</v>
      </c>
    </row>
    <row r="2492" spans="1:4" x14ac:dyDescent="0.3">
      <c r="A2492" t="s">
        <v>199</v>
      </c>
      <c r="C2492" s="16">
        <v>46231</v>
      </c>
      <c r="D2492" s="82">
        <v>0</v>
      </c>
    </row>
    <row r="2493" spans="1:4" x14ac:dyDescent="0.3">
      <c r="A2493" t="s">
        <v>216</v>
      </c>
      <c r="C2493" s="16">
        <v>46231</v>
      </c>
      <c r="D2493" s="82">
        <v>0</v>
      </c>
    </row>
    <row r="2494" spans="1:4" x14ac:dyDescent="0.3">
      <c r="A2494" t="s">
        <v>17</v>
      </c>
      <c r="C2494" s="16">
        <v>46232</v>
      </c>
      <c r="D2494" s="82">
        <v>2270539.1300000008</v>
      </c>
    </row>
    <row r="2495" spans="1:4" x14ac:dyDescent="0.3">
      <c r="A2495" t="s">
        <v>18</v>
      </c>
      <c r="C2495" s="16">
        <v>46232</v>
      </c>
      <c r="D2495" s="82">
        <v>83211.250000000175</v>
      </c>
    </row>
    <row r="2496" spans="1:4" x14ac:dyDescent="0.3">
      <c r="A2496" t="s">
        <v>19</v>
      </c>
      <c r="C2496" s="16">
        <v>46232</v>
      </c>
      <c r="D2496" s="82">
        <v>1669.89</v>
      </c>
    </row>
    <row r="2497" spans="1:4" x14ac:dyDescent="0.3">
      <c r="A2497" t="s">
        <v>20</v>
      </c>
      <c r="C2497" s="16">
        <v>46232</v>
      </c>
      <c r="D2497" s="82">
        <v>1434634.5999999999</v>
      </c>
    </row>
    <row r="2498" spans="1:4" x14ac:dyDescent="0.3">
      <c r="A2498" t="s">
        <v>21</v>
      </c>
      <c r="C2498" s="16">
        <v>46232</v>
      </c>
      <c r="D2498" s="82">
        <v>1857997.0999999996</v>
      </c>
    </row>
    <row r="2499" spans="1:4" x14ac:dyDescent="0.3">
      <c r="A2499" t="s">
        <v>22</v>
      </c>
      <c r="C2499" s="16">
        <v>46232</v>
      </c>
      <c r="D2499" s="82">
        <v>190496.38</v>
      </c>
    </row>
    <row r="2500" spans="1:4" x14ac:dyDescent="0.3">
      <c r="A2500" t="s">
        <v>23</v>
      </c>
      <c r="C2500" s="16">
        <v>46232</v>
      </c>
      <c r="D2500" s="82">
        <v>267507.45</v>
      </c>
    </row>
    <row r="2501" spans="1:4" x14ac:dyDescent="0.3">
      <c r="A2501" t="s">
        <v>24</v>
      </c>
      <c r="C2501" s="16">
        <v>46232</v>
      </c>
      <c r="D2501" s="82">
        <v>14580.45</v>
      </c>
    </row>
    <row r="2502" spans="1:4" x14ac:dyDescent="0.3">
      <c r="A2502" t="s">
        <v>25</v>
      </c>
      <c r="C2502" s="16">
        <v>46232</v>
      </c>
      <c r="D2502" s="82">
        <v>54.400000000000006</v>
      </c>
    </row>
    <row r="2503" spans="1:4" x14ac:dyDescent="0.3">
      <c r="A2503" t="s">
        <v>26</v>
      </c>
      <c r="C2503" s="16">
        <v>46232</v>
      </c>
      <c r="D2503" s="82">
        <v>2207.8200000000002</v>
      </c>
    </row>
    <row r="2504" spans="1:4" x14ac:dyDescent="0.3">
      <c r="A2504" t="s">
        <v>27</v>
      </c>
      <c r="C2504" s="16">
        <v>46232</v>
      </c>
      <c r="D2504" s="82">
        <v>1454589.72</v>
      </c>
    </row>
    <row r="2505" spans="1:4" x14ac:dyDescent="0.3">
      <c r="A2505" t="s">
        <v>28</v>
      </c>
      <c r="C2505" s="16">
        <v>46232</v>
      </c>
      <c r="D2505" s="82">
        <v>1968.99</v>
      </c>
    </row>
    <row r="2506" spans="1:4" x14ac:dyDescent="0.3">
      <c r="A2506" t="s">
        <v>29</v>
      </c>
      <c r="C2506" s="16">
        <v>46232</v>
      </c>
      <c r="D2506" s="82">
        <v>901.34</v>
      </c>
    </row>
    <row r="2507" spans="1:4" x14ac:dyDescent="0.3">
      <c r="A2507" t="s">
        <v>30</v>
      </c>
      <c r="C2507" s="16">
        <v>46232</v>
      </c>
      <c r="D2507" s="82">
        <v>1412.08</v>
      </c>
    </row>
    <row r="2508" spans="1:4" x14ac:dyDescent="0.3">
      <c r="A2508" t="s">
        <v>31</v>
      </c>
      <c r="C2508" s="16">
        <v>46232</v>
      </c>
      <c r="D2508" s="82">
        <v>22347.56999999996</v>
      </c>
    </row>
    <row r="2509" spans="1:4" x14ac:dyDescent="0.3">
      <c r="A2509" t="s">
        <v>32</v>
      </c>
      <c r="C2509" s="16">
        <v>46232</v>
      </c>
      <c r="D2509" s="82">
        <v>18522.800000000003</v>
      </c>
    </row>
    <row r="2510" spans="1:4" x14ac:dyDescent="0.3">
      <c r="A2510" t="s">
        <v>33</v>
      </c>
      <c r="C2510" s="16">
        <v>46232</v>
      </c>
      <c r="D2510" s="82">
        <v>28485.559999999998</v>
      </c>
    </row>
    <row r="2511" spans="1:4" x14ac:dyDescent="0.3">
      <c r="A2511" t="s">
        <v>34</v>
      </c>
      <c r="C2511" s="16">
        <v>46232</v>
      </c>
      <c r="D2511" s="82">
        <v>345</v>
      </c>
    </row>
    <row r="2512" spans="1:4" x14ac:dyDescent="0.3">
      <c r="A2512" t="s">
        <v>35</v>
      </c>
      <c r="C2512" s="16">
        <v>46232</v>
      </c>
      <c r="D2512" s="82">
        <v>13469.780000000002</v>
      </c>
    </row>
    <row r="2513" spans="1:4" x14ac:dyDescent="0.3">
      <c r="A2513" t="s">
        <v>193</v>
      </c>
      <c r="C2513" s="16">
        <v>46232</v>
      </c>
      <c r="D2513" s="82">
        <v>0</v>
      </c>
    </row>
    <row r="2514" spans="1:4" x14ac:dyDescent="0.3">
      <c r="A2514" t="s">
        <v>214</v>
      </c>
      <c r="C2514" s="16">
        <v>46232</v>
      </c>
      <c r="D2514" s="82">
        <v>0</v>
      </c>
    </row>
    <row r="2515" spans="1:4" x14ac:dyDescent="0.3">
      <c r="A2515" t="s">
        <v>194</v>
      </c>
      <c r="C2515" s="16">
        <v>46232</v>
      </c>
      <c r="D2515" s="82">
        <v>0</v>
      </c>
    </row>
    <row r="2516" spans="1:4" x14ac:dyDescent="0.3">
      <c r="A2516" t="s">
        <v>195</v>
      </c>
      <c r="C2516" s="16">
        <v>46232</v>
      </c>
      <c r="D2516" s="82">
        <v>0</v>
      </c>
    </row>
    <row r="2517" spans="1:4" x14ac:dyDescent="0.3">
      <c r="A2517" t="s">
        <v>196</v>
      </c>
      <c r="C2517" s="16">
        <v>46232</v>
      </c>
      <c r="D2517" s="82">
        <v>0</v>
      </c>
    </row>
    <row r="2518" spans="1:4" x14ac:dyDescent="0.3">
      <c r="A2518" t="s">
        <v>197</v>
      </c>
      <c r="C2518" s="16">
        <v>46232</v>
      </c>
      <c r="D2518" s="82">
        <v>0</v>
      </c>
    </row>
    <row r="2519" spans="1:4" x14ac:dyDescent="0.3">
      <c r="A2519" t="s">
        <v>212</v>
      </c>
      <c r="C2519" s="16">
        <v>46232</v>
      </c>
      <c r="D2519" s="82">
        <v>0</v>
      </c>
    </row>
    <row r="2520" spans="1:4" x14ac:dyDescent="0.3">
      <c r="A2520" t="s">
        <v>199</v>
      </c>
      <c r="C2520" s="16">
        <v>46232</v>
      </c>
      <c r="D2520" s="82">
        <v>0</v>
      </c>
    </row>
    <row r="2521" spans="1:4" x14ac:dyDescent="0.3">
      <c r="A2521" t="s">
        <v>216</v>
      </c>
      <c r="C2521" s="16">
        <v>46232</v>
      </c>
      <c r="D2521" s="82">
        <v>0</v>
      </c>
    </row>
    <row r="2522" spans="1:4" x14ac:dyDescent="0.3">
      <c r="A2522" t="s">
        <v>17</v>
      </c>
      <c r="C2522" s="16">
        <v>46233</v>
      </c>
      <c r="D2522" s="82">
        <v>2470350.7000000002</v>
      </c>
    </row>
    <row r="2523" spans="1:4" x14ac:dyDescent="0.3">
      <c r="A2523" t="s">
        <v>18</v>
      </c>
      <c r="C2523" s="16">
        <v>46233</v>
      </c>
      <c r="D2523" s="82">
        <v>83211.250000000175</v>
      </c>
    </row>
    <row r="2524" spans="1:4" x14ac:dyDescent="0.3">
      <c r="A2524" t="s">
        <v>19</v>
      </c>
      <c r="C2524" s="16">
        <v>46233</v>
      </c>
      <c r="D2524" s="82">
        <v>1669.89</v>
      </c>
    </row>
    <row r="2525" spans="1:4" x14ac:dyDescent="0.3">
      <c r="A2525" t="s">
        <v>20</v>
      </c>
      <c r="C2525" s="16">
        <v>46233</v>
      </c>
      <c r="D2525" s="82">
        <v>1458426.0399999998</v>
      </c>
    </row>
    <row r="2526" spans="1:4" x14ac:dyDescent="0.3">
      <c r="A2526" t="s">
        <v>21</v>
      </c>
      <c r="C2526" s="16">
        <v>46233</v>
      </c>
      <c r="D2526" s="82">
        <v>1857993.8499999996</v>
      </c>
    </row>
    <row r="2527" spans="1:4" x14ac:dyDescent="0.3">
      <c r="A2527" t="s">
        <v>22</v>
      </c>
      <c r="C2527" s="16">
        <v>46233</v>
      </c>
      <c r="D2527" s="82">
        <v>190496.38</v>
      </c>
    </row>
    <row r="2528" spans="1:4" x14ac:dyDescent="0.3">
      <c r="A2528" t="s">
        <v>23</v>
      </c>
      <c r="C2528" s="16">
        <v>46233</v>
      </c>
      <c r="D2528" s="82">
        <v>267507.45</v>
      </c>
    </row>
    <row r="2529" spans="1:4" x14ac:dyDescent="0.3">
      <c r="A2529" t="s">
        <v>24</v>
      </c>
      <c r="C2529" s="16">
        <v>46233</v>
      </c>
      <c r="D2529" s="82">
        <v>14580.45</v>
      </c>
    </row>
    <row r="2530" spans="1:4" x14ac:dyDescent="0.3">
      <c r="A2530" t="s">
        <v>25</v>
      </c>
      <c r="C2530" s="16">
        <v>46233</v>
      </c>
      <c r="D2530" s="82">
        <v>54.400000000000006</v>
      </c>
    </row>
    <row r="2531" spans="1:4" x14ac:dyDescent="0.3">
      <c r="A2531" t="s">
        <v>26</v>
      </c>
      <c r="C2531" s="16">
        <v>46233</v>
      </c>
      <c r="D2531" s="82">
        <v>2207.8200000000002</v>
      </c>
    </row>
    <row r="2532" spans="1:4" x14ac:dyDescent="0.3">
      <c r="A2532" t="s">
        <v>27</v>
      </c>
      <c r="C2532" s="16">
        <v>46233</v>
      </c>
      <c r="D2532" s="82">
        <v>1454589.72</v>
      </c>
    </row>
    <row r="2533" spans="1:4" x14ac:dyDescent="0.3">
      <c r="A2533" t="s">
        <v>28</v>
      </c>
      <c r="C2533" s="16">
        <v>46233</v>
      </c>
      <c r="D2533" s="82">
        <v>1968.99</v>
      </c>
    </row>
    <row r="2534" spans="1:4" x14ac:dyDescent="0.3">
      <c r="A2534" t="s">
        <v>29</v>
      </c>
      <c r="C2534" s="16">
        <v>46233</v>
      </c>
      <c r="D2534" s="82">
        <v>901.34</v>
      </c>
    </row>
    <row r="2535" spans="1:4" x14ac:dyDescent="0.3">
      <c r="A2535" t="s">
        <v>30</v>
      </c>
      <c r="C2535" s="16">
        <v>46233</v>
      </c>
      <c r="D2535" s="82">
        <v>1412.08</v>
      </c>
    </row>
    <row r="2536" spans="1:4" x14ac:dyDescent="0.3">
      <c r="A2536" t="s">
        <v>31</v>
      </c>
      <c r="C2536" s="16">
        <v>46233</v>
      </c>
      <c r="D2536" s="82">
        <v>22347.56999999996</v>
      </c>
    </row>
    <row r="2537" spans="1:4" x14ac:dyDescent="0.3">
      <c r="A2537" t="s">
        <v>32</v>
      </c>
      <c r="C2537" s="16">
        <v>46233</v>
      </c>
      <c r="D2537" s="82">
        <v>18522.800000000003</v>
      </c>
    </row>
    <row r="2538" spans="1:4" x14ac:dyDescent="0.3">
      <c r="A2538" t="s">
        <v>33</v>
      </c>
      <c r="C2538" s="16">
        <v>46233</v>
      </c>
      <c r="D2538" s="82">
        <v>28485.559999999998</v>
      </c>
    </row>
    <row r="2539" spans="1:4" x14ac:dyDescent="0.3">
      <c r="A2539" t="s">
        <v>34</v>
      </c>
      <c r="C2539" s="16">
        <v>46233</v>
      </c>
      <c r="D2539" s="82">
        <v>345</v>
      </c>
    </row>
    <row r="2540" spans="1:4" x14ac:dyDescent="0.3">
      <c r="A2540" t="s">
        <v>35</v>
      </c>
      <c r="C2540" s="16">
        <v>46233</v>
      </c>
      <c r="D2540" s="82">
        <v>11634.930000000004</v>
      </c>
    </row>
    <row r="2541" spans="1:4" x14ac:dyDescent="0.3">
      <c r="A2541" t="s">
        <v>193</v>
      </c>
      <c r="C2541" s="16">
        <v>46233</v>
      </c>
      <c r="D2541" s="82">
        <v>0</v>
      </c>
    </row>
    <row r="2542" spans="1:4" x14ac:dyDescent="0.3">
      <c r="A2542" t="s">
        <v>214</v>
      </c>
      <c r="C2542" s="16">
        <v>46233</v>
      </c>
      <c r="D2542" s="82">
        <v>0</v>
      </c>
    </row>
    <row r="2543" spans="1:4" x14ac:dyDescent="0.3">
      <c r="A2543" t="s">
        <v>194</v>
      </c>
      <c r="C2543" s="16">
        <v>46233</v>
      </c>
      <c r="D2543" s="82">
        <v>0</v>
      </c>
    </row>
    <row r="2544" spans="1:4" x14ac:dyDescent="0.3">
      <c r="A2544" t="s">
        <v>195</v>
      </c>
      <c r="C2544" s="16">
        <v>46233</v>
      </c>
      <c r="D2544" s="82">
        <v>0</v>
      </c>
    </row>
    <row r="2545" spans="1:4" x14ac:dyDescent="0.3">
      <c r="A2545" t="s">
        <v>196</v>
      </c>
      <c r="C2545" s="16">
        <v>46233</v>
      </c>
      <c r="D2545" s="82">
        <v>0</v>
      </c>
    </row>
    <row r="2546" spans="1:4" x14ac:dyDescent="0.3">
      <c r="A2546" t="s">
        <v>197</v>
      </c>
      <c r="C2546" s="16">
        <v>46233</v>
      </c>
      <c r="D2546" s="82">
        <v>0</v>
      </c>
    </row>
    <row r="2547" spans="1:4" x14ac:dyDescent="0.3">
      <c r="A2547" t="s">
        <v>212</v>
      </c>
      <c r="C2547" s="16">
        <v>46233</v>
      </c>
      <c r="D2547" s="82">
        <v>0</v>
      </c>
    </row>
    <row r="2548" spans="1:4" x14ac:dyDescent="0.3">
      <c r="A2548" t="s">
        <v>199</v>
      </c>
      <c r="C2548" s="16">
        <v>46233</v>
      </c>
      <c r="D2548" s="82">
        <v>0</v>
      </c>
    </row>
    <row r="2549" spans="1:4" x14ac:dyDescent="0.3">
      <c r="A2549" t="s">
        <v>216</v>
      </c>
      <c r="C2549" s="16">
        <v>46233</v>
      </c>
      <c r="D2549" s="82">
        <v>0</v>
      </c>
    </row>
    <row r="2550" spans="1:4" x14ac:dyDescent="0.3">
      <c r="A2550" t="s">
        <v>17</v>
      </c>
      <c r="C2550" s="16">
        <v>46234</v>
      </c>
      <c r="D2550" s="82">
        <v>2468032.08</v>
      </c>
    </row>
    <row r="2551" spans="1:4" x14ac:dyDescent="0.3">
      <c r="A2551" t="s">
        <v>18</v>
      </c>
      <c r="C2551" s="16">
        <v>46234</v>
      </c>
      <c r="D2551" s="82">
        <v>83211.250000000175</v>
      </c>
    </row>
    <row r="2552" spans="1:4" x14ac:dyDescent="0.3">
      <c r="A2552" t="s">
        <v>19</v>
      </c>
      <c r="C2552" s="16">
        <v>46234</v>
      </c>
      <c r="D2552" s="82">
        <v>1669.89</v>
      </c>
    </row>
    <row r="2553" spans="1:4" x14ac:dyDescent="0.3">
      <c r="A2553" t="s">
        <v>20</v>
      </c>
      <c r="C2553" s="16">
        <v>46234</v>
      </c>
      <c r="D2553" s="82">
        <v>1458426.0399999998</v>
      </c>
    </row>
    <row r="2554" spans="1:4" x14ac:dyDescent="0.3">
      <c r="A2554" t="s">
        <v>21</v>
      </c>
      <c r="C2554" s="16">
        <v>46234</v>
      </c>
      <c r="D2554" s="82">
        <v>1514477.1199999996</v>
      </c>
    </row>
    <row r="2555" spans="1:4" x14ac:dyDescent="0.3">
      <c r="A2555" t="s">
        <v>22</v>
      </c>
      <c r="C2555" s="16">
        <v>46234</v>
      </c>
      <c r="D2555" s="82">
        <v>190496.38</v>
      </c>
    </row>
    <row r="2556" spans="1:4" x14ac:dyDescent="0.3">
      <c r="A2556" t="s">
        <v>23</v>
      </c>
      <c r="C2556" s="16">
        <v>46234</v>
      </c>
      <c r="D2556" s="82">
        <v>207605.45</v>
      </c>
    </row>
    <row r="2557" spans="1:4" x14ac:dyDescent="0.3">
      <c r="A2557" t="s">
        <v>24</v>
      </c>
      <c r="C2557" s="16">
        <v>46234</v>
      </c>
      <c r="D2557" s="82">
        <v>14580.45</v>
      </c>
    </row>
    <row r="2558" spans="1:4" x14ac:dyDescent="0.3">
      <c r="A2558" t="s">
        <v>25</v>
      </c>
      <c r="C2558" s="16">
        <v>46234</v>
      </c>
      <c r="D2558" s="82">
        <v>54.400000000000006</v>
      </c>
    </row>
    <row r="2559" spans="1:4" x14ac:dyDescent="0.3">
      <c r="A2559" t="s">
        <v>26</v>
      </c>
      <c r="C2559" s="16">
        <v>46234</v>
      </c>
      <c r="D2559" s="82">
        <v>2207.8200000000002</v>
      </c>
    </row>
    <row r="2560" spans="1:4" x14ac:dyDescent="0.3">
      <c r="A2560" t="s">
        <v>27</v>
      </c>
      <c r="C2560" s="16">
        <v>46234</v>
      </c>
      <c r="D2560" s="82">
        <v>1454589.72</v>
      </c>
    </row>
    <row r="2561" spans="1:4" x14ac:dyDescent="0.3">
      <c r="A2561" t="s">
        <v>28</v>
      </c>
      <c r="C2561" s="16">
        <v>46234</v>
      </c>
      <c r="D2561" s="82">
        <v>1968.99</v>
      </c>
    </row>
    <row r="2562" spans="1:4" x14ac:dyDescent="0.3">
      <c r="A2562" t="s">
        <v>29</v>
      </c>
      <c r="C2562" s="16">
        <v>46234</v>
      </c>
      <c r="D2562" s="82">
        <v>901.34</v>
      </c>
    </row>
    <row r="2563" spans="1:4" x14ac:dyDescent="0.3">
      <c r="A2563" t="s">
        <v>30</v>
      </c>
      <c r="C2563" s="16">
        <v>46234</v>
      </c>
      <c r="D2563" s="82">
        <v>1412.08</v>
      </c>
    </row>
    <row r="2564" spans="1:4" x14ac:dyDescent="0.3">
      <c r="A2564" t="s">
        <v>31</v>
      </c>
      <c r="C2564" s="16">
        <v>46234</v>
      </c>
      <c r="D2564" s="82">
        <v>22347.56999999996</v>
      </c>
    </row>
    <row r="2565" spans="1:4" x14ac:dyDescent="0.3">
      <c r="A2565" t="s">
        <v>32</v>
      </c>
      <c r="C2565" s="16">
        <v>46234</v>
      </c>
      <c r="D2565" s="82">
        <v>18522.800000000003</v>
      </c>
    </row>
    <row r="2566" spans="1:4" x14ac:dyDescent="0.3">
      <c r="A2566" t="s">
        <v>33</v>
      </c>
      <c r="C2566" s="16">
        <v>46234</v>
      </c>
      <c r="D2566" s="82">
        <v>28485.559999999998</v>
      </c>
    </row>
    <row r="2567" spans="1:4" x14ac:dyDescent="0.3">
      <c r="A2567" t="s">
        <v>34</v>
      </c>
      <c r="C2567" s="16">
        <v>46234</v>
      </c>
      <c r="D2567" s="82">
        <v>345</v>
      </c>
    </row>
    <row r="2568" spans="1:4" x14ac:dyDescent="0.3">
      <c r="A2568" t="s">
        <v>35</v>
      </c>
      <c r="C2568" s="16">
        <v>46234</v>
      </c>
      <c r="D2568" s="82">
        <v>11634.930000000004</v>
      </c>
    </row>
    <row r="2569" spans="1:4" x14ac:dyDescent="0.3">
      <c r="A2569" t="s">
        <v>193</v>
      </c>
      <c r="C2569" s="16">
        <v>46234</v>
      </c>
      <c r="D2569" s="82">
        <v>0</v>
      </c>
    </row>
    <row r="2570" spans="1:4" x14ac:dyDescent="0.3">
      <c r="A2570" t="s">
        <v>214</v>
      </c>
      <c r="C2570" s="16">
        <v>46234</v>
      </c>
      <c r="D2570" s="82">
        <v>0</v>
      </c>
    </row>
    <row r="2571" spans="1:4" x14ac:dyDescent="0.3">
      <c r="A2571" t="s">
        <v>194</v>
      </c>
      <c r="C2571" s="16">
        <v>46234</v>
      </c>
      <c r="D2571" s="82">
        <v>0</v>
      </c>
    </row>
    <row r="2572" spans="1:4" x14ac:dyDescent="0.3">
      <c r="A2572" t="s">
        <v>195</v>
      </c>
      <c r="C2572" s="16">
        <v>46234</v>
      </c>
      <c r="D2572" s="82">
        <v>0</v>
      </c>
    </row>
    <row r="2573" spans="1:4" x14ac:dyDescent="0.3">
      <c r="A2573" t="s">
        <v>196</v>
      </c>
      <c r="C2573" s="16">
        <v>46234</v>
      </c>
      <c r="D2573" s="82">
        <v>0</v>
      </c>
    </row>
    <row r="2574" spans="1:4" x14ac:dyDescent="0.3">
      <c r="A2574" t="s">
        <v>197</v>
      </c>
      <c r="C2574" s="16">
        <v>46234</v>
      </c>
      <c r="D2574" s="82">
        <v>0</v>
      </c>
    </row>
    <row r="2575" spans="1:4" x14ac:dyDescent="0.3">
      <c r="A2575" t="s">
        <v>212</v>
      </c>
      <c r="C2575" s="16">
        <v>46234</v>
      </c>
      <c r="D2575" s="82">
        <v>0</v>
      </c>
    </row>
    <row r="2576" spans="1:4" x14ac:dyDescent="0.3">
      <c r="A2576" t="s">
        <v>199</v>
      </c>
      <c r="C2576" s="16">
        <v>46234</v>
      </c>
      <c r="D2576" s="82">
        <v>0</v>
      </c>
    </row>
    <row r="2577" spans="1:4" x14ac:dyDescent="0.3">
      <c r="A2577" t="s">
        <v>216</v>
      </c>
      <c r="C2577" s="16">
        <v>46234</v>
      </c>
      <c r="D2577" s="82">
        <v>0</v>
      </c>
    </row>
    <row r="2578" spans="1:4" x14ac:dyDescent="0.3">
      <c r="A2578" t="s">
        <v>17</v>
      </c>
      <c r="C2578" s="16">
        <v>46235</v>
      </c>
      <c r="D2578" s="82">
        <v>2468032.08</v>
      </c>
    </row>
    <row r="2579" spans="1:4" x14ac:dyDescent="0.3">
      <c r="A2579" t="s">
        <v>18</v>
      </c>
      <c r="C2579" s="16">
        <v>46235</v>
      </c>
      <c r="D2579" s="82">
        <v>83211.250000000175</v>
      </c>
    </row>
    <row r="2580" spans="1:4" x14ac:dyDescent="0.3">
      <c r="A2580" t="s">
        <v>19</v>
      </c>
      <c r="C2580" s="16">
        <v>46235</v>
      </c>
      <c r="D2580" s="82">
        <v>1669.89</v>
      </c>
    </row>
    <row r="2581" spans="1:4" x14ac:dyDescent="0.3">
      <c r="A2581" t="s">
        <v>20</v>
      </c>
      <c r="C2581" s="16">
        <v>46235</v>
      </c>
      <c r="D2581" s="82">
        <v>1458426.0399999998</v>
      </c>
    </row>
    <row r="2582" spans="1:4" x14ac:dyDescent="0.3">
      <c r="A2582" t="s">
        <v>21</v>
      </c>
      <c r="C2582" s="16">
        <v>46235</v>
      </c>
      <c r="D2582" s="82">
        <v>1514477.1199999996</v>
      </c>
    </row>
    <row r="2583" spans="1:4" x14ac:dyDescent="0.3">
      <c r="A2583" t="s">
        <v>22</v>
      </c>
      <c r="C2583" s="16">
        <v>46235</v>
      </c>
      <c r="D2583" s="82">
        <v>190496.38</v>
      </c>
    </row>
    <row r="2584" spans="1:4" x14ac:dyDescent="0.3">
      <c r="A2584" t="s">
        <v>23</v>
      </c>
      <c r="C2584" s="16">
        <v>46235</v>
      </c>
      <c r="D2584" s="82">
        <v>207605.45</v>
      </c>
    </row>
    <row r="2585" spans="1:4" x14ac:dyDescent="0.3">
      <c r="A2585" t="s">
        <v>24</v>
      </c>
      <c r="C2585" s="16">
        <v>46235</v>
      </c>
      <c r="D2585" s="82">
        <v>14580.45</v>
      </c>
    </row>
    <row r="2586" spans="1:4" x14ac:dyDescent="0.3">
      <c r="A2586" t="s">
        <v>25</v>
      </c>
      <c r="C2586" s="16">
        <v>46235</v>
      </c>
      <c r="D2586" s="82">
        <v>54.400000000000006</v>
      </c>
    </row>
    <row r="2587" spans="1:4" x14ac:dyDescent="0.3">
      <c r="A2587" t="s">
        <v>26</v>
      </c>
      <c r="C2587" s="16">
        <v>46235</v>
      </c>
      <c r="D2587" s="82">
        <v>2207.8200000000002</v>
      </c>
    </row>
    <row r="2588" spans="1:4" x14ac:dyDescent="0.3">
      <c r="A2588" t="s">
        <v>27</v>
      </c>
      <c r="C2588" s="16">
        <v>46235</v>
      </c>
      <c r="D2588" s="82">
        <v>1454589.72</v>
      </c>
    </row>
    <row r="2589" spans="1:4" x14ac:dyDescent="0.3">
      <c r="A2589" t="s">
        <v>28</v>
      </c>
      <c r="C2589" s="16">
        <v>46235</v>
      </c>
      <c r="D2589" s="82">
        <v>1968.99</v>
      </c>
    </row>
    <row r="2590" spans="1:4" x14ac:dyDescent="0.3">
      <c r="A2590" t="s">
        <v>29</v>
      </c>
      <c r="C2590" s="16">
        <v>46235</v>
      </c>
      <c r="D2590" s="82">
        <v>901.34</v>
      </c>
    </row>
    <row r="2591" spans="1:4" x14ac:dyDescent="0.3">
      <c r="A2591" t="s">
        <v>30</v>
      </c>
      <c r="C2591" s="16">
        <v>46235</v>
      </c>
      <c r="D2591" s="82">
        <v>1412.08</v>
      </c>
    </row>
    <row r="2592" spans="1:4" x14ac:dyDescent="0.3">
      <c r="A2592" t="s">
        <v>31</v>
      </c>
      <c r="C2592" s="16">
        <v>46235</v>
      </c>
      <c r="D2592" s="82">
        <v>22347.56999999996</v>
      </c>
    </row>
    <row r="2593" spans="1:4" x14ac:dyDescent="0.3">
      <c r="A2593" t="s">
        <v>32</v>
      </c>
      <c r="C2593" s="16">
        <v>46235</v>
      </c>
      <c r="D2593" s="82">
        <v>18522.800000000003</v>
      </c>
    </row>
    <row r="2594" spans="1:4" x14ac:dyDescent="0.3">
      <c r="A2594" t="s">
        <v>33</v>
      </c>
      <c r="C2594" s="16">
        <v>46235</v>
      </c>
      <c r="D2594" s="82">
        <v>28485.559999999998</v>
      </c>
    </row>
    <row r="2595" spans="1:4" x14ac:dyDescent="0.3">
      <c r="A2595" t="s">
        <v>34</v>
      </c>
      <c r="C2595" s="16">
        <v>46235</v>
      </c>
      <c r="D2595" s="82">
        <v>345</v>
      </c>
    </row>
    <row r="2596" spans="1:4" x14ac:dyDescent="0.3">
      <c r="A2596" t="s">
        <v>35</v>
      </c>
      <c r="C2596" s="16">
        <v>46235</v>
      </c>
      <c r="D2596" s="82">
        <v>11634.930000000004</v>
      </c>
    </row>
    <row r="2597" spans="1:4" x14ac:dyDescent="0.3">
      <c r="A2597" t="s">
        <v>193</v>
      </c>
      <c r="C2597" s="16">
        <v>46235</v>
      </c>
      <c r="D2597" s="82">
        <v>0</v>
      </c>
    </row>
    <row r="2598" spans="1:4" x14ac:dyDescent="0.3">
      <c r="A2598" t="s">
        <v>214</v>
      </c>
      <c r="C2598" s="16">
        <v>46235</v>
      </c>
      <c r="D2598" s="82">
        <v>0</v>
      </c>
    </row>
    <row r="2599" spans="1:4" x14ac:dyDescent="0.3">
      <c r="A2599" t="s">
        <v>194</v>
      </c>
      <c r="C2599" s="16">
        <v>46235</v>
      </c>
      <c r="D2599" s="82">
        <v>0</v>
      </c>
    </row>
    <row r="2600" spans="1:4" x14ac:dyDescent="0.3">
      <c r="A2600" t="s">
        <v>195</v>
      </c>
      <c r="C2600" s="16">
        <v>46235</v>
      </c>
      <c r="D2600" s="82">
        <v>0</v>
      </c>
    </row>
    <row r="2601" spans="1:4" x14ac:dyDescent="0.3">
      <c r="A2601" t="s">
        <v>196</v>
      </c>
      <c r="C2601" s="16">
        <v>46235</v>
      </c>
      <c r="D2601" s="82">
        <v>0</v>
      </c>
    </row>
    <row r="2602" spans="1:4" x14ac:dyDescent="0.3">
      <c r="A2602" t="s">
        <v>197</v>
      </c>
      <c r="C2602" s="16">
        <v>46235</v>
      </c>
      <c r="D2602" s="82">
        <v>0</v>
      </c>
    </row>
    <row r="2603" spans="1:4" x14ac:dyDescent="0.3">
      <c r="A2603" t="s">
        <v>212</v>
      </c>
      <c r="C2603" s="16">
        <v>46235</v>
      </c>
      <c r="D2603" s="82">
        <v>0</v>
      </c>
    </row>
    <row r="2604" spans="1:4" x14ac:dyDescent="0.3">
      <c r="A2604" t="s">
        <v>199</v>
      </c>
      <c r="C2604" s="16">
        <v>46235</v>
      </c>
      <c r="D2604" s="82">
        <v>0</v>
      </c>
    </row>
    <row r="2605" spans="1:4" x14ac:dyDescent="0.3">
      <c r="A2605" t="s">
        <v>216</v>
      </c>
      <c r="C2605" s="16">
        <v>46235</v>
      </c>
      <c r="D2605" s="82">
        <v>0</v>
      </c>
    </row>
    <row r="2606" spans="1:4" x14ac:dyDescent="0.3">
      <c r="A2606" t="s">
        <v>17</v>
      </c>
      <c r="C2606" s="16">
        <v>46236</v>
      </c>
      <c r="D2606" s="82">
        <v>2468032.08</v>
      </c>
    </row>
    <row r="2607" spans="1:4" x14ac:dyDescent="0.3">
      <c r="A2607" t="s">
        <v>18</v>
      </c>
      <c r="C2607" s="16">
        <v>46236</v>
      </c>
      <c r="D2607" s="82">
        <v>83211.250000000175</v>
      </c>
    </row>
    <row r="2608" spans="1:4" x14ac:dyDescent="0.3">
      <c r="A2608" t="s">
        <v>19</v>
      </c>
      <c r="C2608" s="16">
        <v>46236</v>
      </c>
      <c r="D2608" s="82">
        <v>1669.89</v>
      </c>
    </row>
    <row r="2609" spans="1:4" x14ac:dyDescent="0.3">
      <c r="A2609" t="s">
        <v>20</v>
      </c>
      <c r="C2609" s="16">
        <v>46236</v>
      </c>
      <c r="D2609" s="82">
        <v>1458426.0399999998</v>
      </c>
    </row>
    <row r="2610" spans="1:4" x14ac:dyDescent="0.3">
      <c r="A2610" t="s">
        <v>21</v>
      </c>
      <c r="C2610" s="16">
        <v>46236</v>
      </c>
      <c r="D2610" s="82">
        <v>1514477.1199999996</v>
      </c>
    </row>
    <row r="2611" spans="1:4" x14ac:dyDescent="0.3">
      <c r="A2611" t="s">
        <v>22</v>
      </c>
      <c r="C2611" s="16">
        <v>46236</v>
      </c>
      <c r="D2611" s="82">
        <v>190496.38</v>
      </c>
    </row>
    <row r="2612" spans="1:4" x14ac:dyDescent="0.3">
      <c r="A2612" t="s">
        <v>23</v>
      </c>
      <c r="C2612" s="16">
        <v>46236</v>
      </c>
      <c r="D2612" s="82">
        <v>207605.45</v>
      </c>
    </row>
    <row r="2613" spans="1:4" x14ac:dyDescent="0.3">
      <c r="A2613" t="s">
        <v>24</v>
      </c>
      <c r="C2613" s="16">
        <v>46236</v>
      </c>
      <c r="D2613" s="82">
        <v>14580.45</v>
      </c>
    </row>
    <row r="2614" spans="1:4" x14ac:dyDescent="0.3">
      <c r="A2614" t="s">
        <v>25</v>
      </c>
      <c r="C2614" s="16">
        <v>46236</v>
      </c>
      <c r="D2614" s="82">
        <v>54.400000000000006</v>
      </c>
    </row>
    <row r="2615" spans="1:4" x14ac:dyDescent="0.3">
      <c r="A2615" t="s">
        <v>26</v>
      </c>
      <c r="C2615" s="16">
        <v>46236</v>
      </c>
      <c r="D2615" s="82">
        <v>2207.8200000000002</v>
      </c>
    </row>
    <row r="2616" spans="1:4" x14ac:dyDescent="0.3">
      <c r="A2616" t="s">
        <v>27</v>
      </c>
      <c r="C2616" s="16">
        <v>46236</v>
      </c>
      <c r="D2616" s="82">
        <v>1454589.72</v>
      </c>
    </row>
    <row r="2617" spans="1:4" x14ac:dyDescent="0.3">
      <c r="A2617" t="s">
        <v>28</v>
      </c>
      <c r="C2617" s="16">
        <v>46236</v>
      </c>
      <c r="D2617" s="82">
        <v>1968.99</v>
      </c>
    </row>
    <row r="2618" spans="1:4" x14ac:dyDescent="0.3">
      <c r="A2618" t="s">
        <v>29</v>
      </c>
      <c r="C2618" s="16">
        <v>46236</v>
      </c>
      <c r="D2618" s="82">
        <v>901.34</v>
      </c>
    </row>
    <row r="2619" spans="1:4" x14ac:dyDescent="0.3">
      <c r="A2619" t="s">
        <v>30</v>
      </c>
      <c r="C2619" s="16">
        <v>46236</v>
      </c>
      <c r="D2619" s="82">
        <v>1412.08</v>
      </c>
    </row>
    <row r="2620" spans="1:4" x14ac:dyDescent="0.3">
      <c r="A2620" t="s">
        <v>31</v>
      </c>
      <c r="C2620" s="16">
        <v>46236</v>
      </c>
      <c r="D2620" s="82">
        <v>22347.56999999996</v>
      </c>
    </row>
    <row r="2621" spans="1:4" x14ac:dyDescent="0.3">
      <c r="A2621" t="s">
        <v>32</v>
      </c>
      <c r="C2621" s="16">
        <v>46236</v>
      </c>
      <c r="D2621" s="82">
        <v>18522.800000000003</v>
      </c>
    </row>
    <row r="2622" spans="1:4" x14ac:dyDescent="0.3">
      <c r="A2622" t="s">
        <v>33</v>
      </c>
      <c r="C2622" s="16">
        <v>46236</v>
      </c>
      <c r="D2622" s="82">
        <v>28485.559999999998</v>
      </c>
    </row>
    <row r="2623" spans="1:4" x14ac:dyDescent="0.3">
      <c r="A2623" t="s">
        <v>34</v>
      </c>
      <c r="C2623" s="16">
        <v>46236</v>
      </c>
      <c r="D2623" s="82">
        <v>345</v>
      </c>
    </row>
    <row r="2624" spans="1:4" x14ac:dyDescent="0.3">
      <c r="A2624" t="s">
        <v>35</v>
      </c>
      <c r="C2624" s="16">
        <v>46236</v>
      </c>
      <c r="D2624" s="82">
        <v>11634.930000000004</v>
      </c>
    </row>
    <row r="2625" spans="1:4" x14ac:dyDescent="0.3">
      <c r="A2625" t="s">
        <v>193</v>
      </c>
      <c r="C2625" s="16">
        <v>46236</v>
      </c>
      <c r="D2625" s="82">
        <v>0</v>
      </c>
    </row>
    <row r="2626" spans="1:4" x14ac:dyDescent="0.3">
      <c r="A2626" t="s">
        <v>214</v>
      </c>
      <c r="C2626" s="16">
        <v>46236</v>
      </c>
      <c r="D2626" s="82">
        <v>0</v>
      </c>
    </row>
    <row r="2627" spans="1:4" x14ac:dyDescent="0.3">
      <c r="A2627" t="s">
        <v>194</v>
      </c>
      <c r="C2627" s="16">
        <v>46236</v>
      </c>
      <c r="D2627" s="82">
        <v>0</v>
      </c>
    </row>
    <row r="2628" spans="1:4" x14ac:dyDescent="0.3">
      <c r="A2628" t="s">
        <v>195</v>
      </c>
      <c r="C2628" s="16">
        <v>46236</v>
      </c>
      <c r="D2628" s="82">
        <v>0</v>
      </c>
    </row>
    <row r="2629" spans="1:4" x14ac:dyDescent="0.3">
      <c r="A2629" t="s">
        <v>196</v>
      </c>
      <c r="C2629" s="16">
        <v>46236</v>
      </c>
      <c r="D2629" s="82">
        <v>0</v>
      </c>
    </row>
    <row r="2630" spans="1:4" x14ac:dyDescent="0.3">
      <c r="A2630" t="s">
        <v>197</v>
      </c>
      <c r="C2630" s="16">
        <v>46236</v>
      </c>
      <c r="D2630" s="82">
        <v>0</v>
      </c>
    </row>
    <row r="2631" spans="1:4" x14ac:dyDescent="0.3">
      <c r="A2631" t="s">
        <v>212</v>
      </c>
      <c r="C2631" s="16">
        <v>46236</v>
      </c>
      <c r="D2631" s="82">
        <v>0</v>
      </c>
    </row>
    <row r="2632" spans="1:4" x14ac:dyDescent="0.3">
      <c r="A2632" t="s">
        <v>199</v>
      </c>
      <c r="C2632" s="16">
        <v>46236</v>
      </c>
      <c r="D2632" s="82">
        <v>0</v>
      </c>
    </row>
    <row r="2633" spans="1:4" x14ac:dyDescent="0.3">
      <c r="A2633" t="s">
        <v>216</v>
      </c>
      <c r="C2633" s="16">
        <v>46236</v>
      </c>
      <c r="D2633" s="82">
        <v>0</v>
      </c>
    </row>
    <row r="2634" spans="1:4" x14ac:dyDescent="0.3">
      <c r="A2634" t="s">
        <v>17</v>
      </c>
      <c r="C2634" s="16">
        <v>46237</v>
      </c>
      <c r="D2634" s="82">
        <v>2468032.08</v>
      </c>
    </row>
    <row r="2635" spans="1:4" x14ac:dyDescent="0.3">
      <c r="A2635" t="s">
        <v>18</v>
      </c>
      <c r="C2635" s="16">
        <v>46237</v>
      </c>
      <c r="D2635" s="82">
        <v>83211.250000000175</v>
      </c>
    </row>
    <row r="2636" spans="1:4" x14ac:dyDescent="0.3">
      <c r="A2636" t="s">
        <v>19</v>
      </c>
      <c r="C2636" s="16">
        <v>46237</v>
      </c>
      <c r="D2636" s="82">
        <v>1669.89</v>
      </c>
    </row>
    <row r="2637" spans="1:4" x14ac:dyDescent="0.3">
      <c r="A2637" t="s">
        <v>20</v>
      </c>
      <c r="C2637" s="16">
        <v>46237</v>
      </c>
      <c r="D2637" s="82">
        <v>1458426.0399999998</v>
      </c>
    </row>
    <row r="2638" spans="1:4" x14ac:dyDescent="0.3">
      <c r="A2638" t="s">
        <v>21</v>
      </c>
      <c r="C2638" s="16">
        <v>46237</v>
      </c>
      <c r="D2638" s="82">
        <v>1514477.1199999996</v>
      </c>
    </row>
    <row r="2639" spans="1:4" x14ac:dyDescent="0.3">
      <c r="A2639" t="s">
        <v>22</v>
      </c>
      <c r="C2639" s="16">
        <v>46237</v>
      </c>
      <c r="D2639" s="82">
        <v>190496.38</v>
      </c>
    </row>
    <row r="2640" spans="1:4" x14ac:dyDescent="0.3">
      <c r="A2640" t="s">
        <v>23</v>
      </c>
      <c r="C2640" s="16">
        <v>46237</v>
      </c>
      <c r="D2640" s="82">
        <v>207605.45</v>
      </c>
    </row>
    <row r="2641" spans="1:4" x14ac:dyDescent="0.3">
      <c r="A2641" t="s">
        <v>24</v>
      </c>
      <c r="C2641" s="16">
        <v>46237</v>
      </c>
      <c r="D2641" s="82">
        <v>14580.45</v>
      </c>
    </row>
    <row r="2642" spans="1:4" x14ac:dyDescent="0.3">
      <c r="A2642" t="s">
        <v>25</v>
      </c>
      <c r="C2642" s="16">
        <v>46237</v>
      </c>
      <c r="D2642" s="82">
        <v>24.450000000000003</v>
      </c>
    </row>
    <row r="2643" spans="1:4" x14ac:dyDescent="0.3">
      <c r="A2643" t="s">
        <v>26</v>
      </c>
      <c r="C2643" s="16">
        <v>46237</v>
      </c>
      <c r="D2643" s="82">
        <v>2177.87</v>
      </c>
    </row>
    <row r="2644" spans="1:4" x14ac:dyDescent="0.3">
      <c r="A2644" t="s">
        <v>27</v>
      </c>
      <c r="C2644" s="16">
        <v>46237</v>
      </c>
      <c r="D2644" s="82">
        <v>1454589.72</v>
      </c>
    </row>
    <row r="2645" spans="1:4" x14ac:dyDescent="0.3">
      <c r="A2645" t="s">
        <v>28</v>
      </c>
      <c r="C2645" s="16">
        <v>46237</v>
      </c>
      <c r="D2645" s="82">
        <v>1968.99</v>
      </c>
    </row>
    <row r="2646" spans="1:4" x14ac:dyDescent="0.3">
      <c r="A2646" t="s">
        <v>29</v>
      </c>
      <c r="C2646" s="16">
        <v>46237</v>
      </c>
      <c r="D2646" s="82">
        <v>901.34</v>
      </c>
    </row>
    <row r="2647" spans="1:4" x14ac:dyDescent="0.3">
      <c r="A2647" t="s">
        <v>30</v>
      </c>
      <c r="C2647" s="16">
        <v>46237</v>
      </c>
      <c r="D2647" s="82">
        <v>1396.08</v>
      </c>
    </row>
    <row r="2648" spans="1:4" x14ac:dyDescent="0.3">
      <c r="A2648" t="s">
        <v>31</v>
      </c>
      <c r="C2648" s="16">
        <v>46237</v>
      </c>
      <c r="D2648" s="82">
        <v>13804.239999999962</v>
      </c>
    </row>
    <row r="2649" spans="1:4" x14ac:dyDescent="0.3">
      <c r="A2649" t="s">
        <v>32</v>
      </c>
      <c r="C2649" s="16">
        <v>46237</v>
      </c>
      <c r="D2649" s="82">
        <v>8724.1700000000037</v>
      </c>
    </row>
    <row r="2650" spans="1:4" x14ac:dyDescent="0.3">
      <c r="A2650" t="s">
        <v>33</v>
      </c>
      <c r="C2650" s="16">
        <v>46237</v>
      </c>
      <c r="D2650" s="82">
        <v>15106.099999999997</v>
      </c>
    </row>
    <row r="2651" spans="1:4" x14ac:dyDescent="0.3">
      <c r="A2651" t="s">
        <v>34</v>
      </c>
      <c r="C2651" s="16">
        <v>46237</v>
      </c>
      <c r="D2651" s="82">
        <v>345</v>
      </c>
    </row>
    <row r="2652" spans="1:4" x14ac:dyDescent="0.3">
      <c r="A2652" t="s">
        <v>35</v>
      </c>
      <c r="C2652" s="16">
        <v>46237</v>
      </c>
      <c r="D2652" s="82">
        <v>8270.3500000000022</v>
      </c>
    </row>
    <row r="2653" spans="1:4" x14ac:dyDescent="0.3">
      <c r="A2653" t="s">
        <v>193</v>
      </c>
      <c r="C2653" s="16">
        <v>46237</v>
      </c>
      <c r="D2653" s="82">
        <v>0</v>
      </c>
    </row>
    <row r="2654" spans="1:4" x14ac:dyDescent="0.3">
      <c r="A2654" t="s">
        <v>214</v>
      </c>
      <c r="C2654" s="16">
        <v>46237</v>
      </c>
      <c r="D2654" s="82">
        <v>0</v>
      </c>
    </row>
    <row r="2655" spans="1:4" x14ac:dyDescent="0.3">
      <c r="A2655" t="s">
        <v>194</v>
      </c>
      <c r="C2655" s="16">
        <v>46237</v>
      </c>
      <c r="D2655" s="82">
        <v>0</v>
      </c>
    </row>
    <row r="2656" spans="1:4" x14ac:dyDescent="0.3">
      <c r="A2656" t="s">
        <v>195</v>
      </c>
      <c r="C2656" s="16">
        <v>46237</v>
      </c>
      <c r="D2656" s="82">
        <v>0</v>
      </c>
    </row>
    <row r="2657" spans="1:4" x14ac:dyDescent="0.3">
      <c r="A2657" t="s">
        <v>196</v>
      </c>
      <c r="C2657" s="16">
        <v>46237</v>
      </c>
      <c r="D2657" s="82">
        <v>0</v>
      </c>
    </row>
    <row r="2658" spans="1:4" x14ac:dyDescent="0.3">
      <c r="A2658" t="s">
        <v>197</v>
      </c>
      <c r="C2658" s="16">
        <v>46237</v>
      </c>
      <c r="D2658" s="82">
        <v>0</v>
      </c>
    </row>
    <row r="2659" spans="1:4" x14ac:dyDescent="0.3">
      <c r="A2659" t="s">
        <v>212</v>
      </c>
      <c r="C2659" s="16">
        <v>46237</v>
      </c>
      <c r="D2659" s="82">
        <v>0</v>
      </c>
    </row>
    <row r="2660" spans="1:4" x14ac:dyDescent="0.3">
      <c r="A2660" t="s">
        <v>199</v>
      </c>
      <c r="C2660" s="16">
        <v>46237</v>
      </c>
      <c r="D2660" s="82">
        <v>0</v>
      </c>
    </row>
    <row r="2661" spans="1:4" x14ac:dyDescent="0.3">
      <c r="A2661" t="s">
        <v>216</v>
      </c>
      <c r="C2661" s="16">
        <v>46237</v>
      </c>
      <c r="D2661" s="82">
        <v>0</v>
      </c>
    </row>
    <row r="2662" spans="1:4" x14ac:dyDescent="0.3">
      <c r="A2662" t="s">
        <v>17</v>
      </c>
      <c r="C2662" s="16">
        <v>46238</v>
      </c>
      <c r="D2662" s="82">
        <v>2468032.08</v>
      </c>
    </row>
    <row r="2663" spans="1:4" x14ac:dyDescent="0.3">
      <c r="A2663" t="s">
        <v>18</v>
      </c>
      <c r="C2663" s="16">
        <v>46238</v>
      </c>
      <c r="D2663" s="82">
        <v>83211.250000000175</v>
      </c>
    </row>
    <row r="2664" spans="1:4" x14ac:dyDescent="0.3">
      <c r="A2664" t="s">
        <v>19</v>
      </c>
      <c r="C2664" s="16">
        <v>46238</v>
      </c>
      <c r="D2664" s="82">
        <v>1669.89</v>
      </c>
    </row>
    <row r="2665" spans="1:4" x14ac:dyDescent="0.3">
      <c r="A2665" t="s">
        <v>20</v>
      </c>
      <c r="C2665" s="16">
        <v>46238</v>
      </c>
      <c r="D2665" s="82">
        <v>1458426.0399999998</v>
      </c>
    </row>
    <row r="2666" spans="1:4" x14ac:dyDescent="0.3">
      <c r="A2666" t="s">
        <v>21</v>
      </c>
      <c r="C2666" s="16">
        <v>46238</v>
      </c>
      <c r="D2666" s="82">
        <v>1513867.4199999995</v>
      </c>
    </row>
    <row r="2667" spans="1:4" x14ac:dyDescent="0.3">
      <c r="A2667" t="s">
        <v>22</v>
      </c>
      <c r="C2667" s="16">
        <v>46238</v>
      </c>
      <c r="D2667" s="82">
        <v>184496.38</v>
      </c>
    </row>
    <row r="2668" spans="1:4" x14ac:dyDescent="0.3">
      <c r="A2668" t="s">
        <v>23</v>
      </c>
      <c r="C2668" s="16">
        <v>46238</v>
      </c>
      <c r="D2668" s="82">
        <v>207605.45</v>
      </c>
    </row>
    <row r="2669" spans="1:4" x14ac:dyDescent="0.3">
      <c r="A2669" t="s">
        <v>24</v>
      </c>
      <c r="C2669" s="16">
        <v>46238</v>
      </c>
      <c r="D2669" s="82">
        <v>14580.45</v>
      </c>
    </row>
    <row r="2670" spans="1:4" x14ac:dyDescent="0.3">
      <c r="A2670" t="s">
        <v>25</v>
      </c>
      <c r="C2670" s="16">
        <v>46238</v>
      </c>
      <c r="D2670" s="82">
        <v>24.450000000000003</v>
      </c>
    </row>
    <row r="2671" spans="1:4" x14ac:dyDescent="0.3">
      <c r="A2671" t="s">
        <v>26</v>
      </c>
      <c r="C2671" s="16">
        <v>46238</v>
      </c>
      <c r="D2671" s="82">
        <v>2177.87</v>
      </c>
    </row>
    <row r="2672" spans="1:4" x14ac:dyDescent="0.3">
      <c r="A2672" t="s">
        <v>27</v>
      </c>
      <c r="C2672" s="16">
        <v>46238</v>
      </c>
      <c r="D2672" s="82">
        <v>1454589.72</v>
      </c>
    </row>
    <row r="2673" spans="1:4" x14ac:dyDescent="0.3">
      <c r="A2673" t="s">
        <v>28</v>
      </c>
      <c r="C2673" s="16">
        <v>46238</v>
      </c>
      <c r="D2673" s="82">
        <v>1968.99</v>
      </c>
    </row>
    <row r="2674" spans="1:4" x14ac:dyDescent="0.3">
      <c r="A2674" t="s">
        <v>29</v>
      </c>
      <c r="C2674" s="16">
        <v>46238</v>
      </c>
      <c r="D2674" s="82">
        <v>901.34</v>
      </c>
    </row>
    <row r="2675" spans="1:4" x14ac:dyDescent="0.3">
      <c r="A2675" t="s">
        <v>30</v>
      </c>
      <c r="C2675" s="16">
        <v>46238</v>
      </c>
      <c r="D2675" s="82">
        <v>1396.08</v>
      </c>
    </row>
    <row r="2676" spans="1:4" x14ac:dyDescent="0.3">
      <c r="A2676" t="s">
        <v>31</v>
      </c>
      <c r="C2676" s="16">
        <v>46238</v>
      </c>
      <c r="D2676" s="82">
        <v>13804.239999999962</v>
      </c>
    </row>
    <row r="2677" spans="1:4" x14ac:dyDescent="0.3">
      <c r="A2677" t="s">
        <v>32</v>
      </c>
      <c r="C2677" s="16">
        <v>46238</v>
      </c>
      <c r="D2677" s="82">
        <v>8724.1700000000037</v>
      </c>
    </row>
    <row r="2678" spans="1:4" x14ac:dyDescent="0.3">
      <c r="A2678" t="s">
        <v>33</v>
      </c>
      <c r="C2678" s="16">
        <v>46238</v>
      </c>
      <c r="D2678" s="82">
        <v>15106.099999999997</v>
      </c>
    </row>
    <row r="2679" spans="1:4" x14ac:dyDescent="0.3">
      <c r="A2679" t="s">
        <v>34</v>
      </c>
      <c r="C2679" s="16">
        <v>46238</v>
      </c>
      <c r="D2679" s="82">
        <v>345</v>
      </c>
    </row>
    <row r="2680" spans="1:4" x14ac:dyDescent="0.3">
      <c r="A2680" t="s">
        <v>35</v>
      </c>
      <c r="C2680" s="16">
        <v>46238</v>
      </c>
      <c r="D2680" s="82">
        <v>7879.4200000000019</v>
      </c>
    </row>
    <row r="2681" spans="1:4" x14ac:dyDescent="0.3">
      <c r="A2681" t="s">
        <v>193</v>
      </c>
      <c r="C2681" s="16">
        <v>46238</v>
      </c>
      <c r="D2681" s="82">
        <v>0</v>
      </c>
    </row>
    <row r="2682" spans="1:4" x14ac:dyDescent="0.3">
      <c r="A2682" t="s">
        <v>214</v>
      </c>
      <c r="C2682" s="16">
        <v>46238</v>
      </c>
      <c r="D2682" s="82">
        <v>0</v>
      </c>
    </row>
    <row r="2683" spans="1:4" x14ac:dyDescent="0.3">
      <c r="A2683" t="s">
        <v>194</v>
      </c>
      <c r="C2683" s="16">
        <v>46238</v>
      </c>
      <c r="D2683" s="82">
        <v>0</v>
      </c>
    </row>
    <row r="2684" spans="1:4" x14ac:dyDescent="0.3">
      <c r="A2684" t="s">
        <v>195</v>
      </c>
      <c r="C2684" s="16">
        <v>46238</v>
      </c>
      <c r="D2684" s="82">
        <v>0</v>
      </c>
    </row>
    <row r="2685" spans="1:4" x14ac:dyDescent="0.3">
      <c r="A2685" t="s">
        <v>196</v>
      </c>
      <c r="C2685" s="16">
        <v>46238</v>
      </c>
      <c r="D2685" s="82">
        <v>0</v>
      </c>
    </row>
    <row r="2686" spans="1:4" x14ac:dyDescent="0.3">
      <c r="A2686" t="s">
        <v>197</v>
      </c>
      <c r="C2686" s="16">
        <v>46238</v>
      </c>
      <c r="D2686" s="82">
        <v>0</v>
      </c>
    </row>
    <row r="2687" spans="1:4" x14ac:dyDescent="0.3">
      <c r="A2687" t="s">
        <v>212</v>
      </c>
      <c r="C2687" s="16">
        <v>46238</v>
      </c>
      <c r="D2687" s="82">
        <v>0</v>
      </c>
    </row>
    <row r="2688" spans="1:4" x14ac:dyDescent="0.3">
      <c r="A2688" t="s">
        <v>199</v>
      </c>
      <c r="C2688" s="16">
        <v>46238</v>
      </c>
      <c r="D2688" s="82">
        <v>0</v>
      </c>
    </row>
    <row r="2689" spans="1:4" x14ac:dyDescent="0.3">
      <c r="A2689" t="s">
        <v>216</v>
      </c>
      <c r="C2689" s="16">
        <v>46238</v>
      </c>
      <c r="D2689" s="82">
        <v>0</v>
      </c>
    </row>
    <row r="2690" spans="1:4" x14ac:dyDescent="0.3">
      <c r="A2690" t="s">
        <v>17</v>
      </c>
      <c r="C2690" s="16">
        <v>46239</v>
      </c>
      <c r="D2690" s="82">
        <v>2468032.08</v>
      </c>
    </row>
    <row r="2691" spans="1:4" x14ac:dyDescent="0.3">
      <c r="A2691" t="s">
        <v>18</v>
      </c>
      <c r="C2691" s="16">
        <v>46239</v>
      </c>
      <c r="D2691" s="82">
        <v>83211.250000000175</v>
      </c>
    </row>
    <row r="2692" spans="1:4" x14ac:dyDescent="0.3">
      <c r="A2692" t="s">
        <v>19</v>
      </c>
      <c r="C2692" s="16">
        <v>46239</v>
      </c>
      <c r="D2692" s="82">
        <v>1669.89</v>
      </c>
    </row>
    <row r="2693" spans="1:4" x14ac:dyDescent="0.3">
      <c r="A2693" t="s">
        <v>20</v>
      </c>
      <c r="C2693" s="16">
        <v>46239</v>
      </c>
      <c r="D2693" s="82">
        <v>1452426.0399999998</v>
      </c>
    </row>
    <row r="2694" spans="1:4" x14ac:dyDescent="0.3">
      <c r="A2694" t="s">
        <v>21</v>
      </c>
      <c r="C2694" s="16">
        <v>46239</v>
      </c>
      <c r="D2694" s="82">
        <v>1512187.6399999997</v>
      </c>
    </row>
    <row r="2695" spans="1:4" x14ac:dyDescent="0.3">
      <c r="A2695" t="s">
        <v>22</v>
      </c>
      <c r="C2695" s="16">
        <v>46239</v>
      </c>
      <c r="D2695" s="82">
        <v>184496.38</v>
      </c>
    </row>
    <row r="2696" spans="1:4" x14ac:dyDescent="0.3">
      <c r="A2696" t="s">
        <v>23</v>
      </c>
      <c r="C2696" s="16">
        <v>46239</v>
      </c>
      <c r="D2696" s="82">
        <v>207605.45</v>
      </c>
    </row>
    <row r="2697" spans="1:4" x14ac:dyDescent="0.3">
      <c r="A2697" t="s">
        <v>24</v>
      </c>
      <c r="C2697" s="16">
        <v>46239</v>
      </c>
      <c r="D2697" s="82">
        <v>14540.45</v>
      </c>
    </row>
    <row r="2698" spans="1:4" x14ac:dyDescent="0.3">
      <c r="A2698" t="s">
        <v>25</v>
      </c>
      <c r="C2698" s="16">
        <v>46239</v>
      </c>
      <c r="D2698" s="82">
        <v>24.450000000000003</v>
      </c>
    </row>
    <row r="2699" spans="1:4" x14ac:dyDescent="0.3">
      <c r="A2699" t="s">
        <v>26</v>
      </c>
      <c r="C2699" s="16">
        <v>46239</v>
      </c>
      <c r="D2699" s="82">
        <v>2177.87</v>
      </c>
    </row>
    <row r="2700" spans="1:4" x14ac:dyDescent="0.3">
      <c r="A2700" t="s">
        <v>27</v>
      </c>
      <c r="C2700" s="16">
        <v>46239</v>
      </c>
      <c r="D2700" s="82">
        <v>1454589.72</v>
      </c>
    </row>
    <row r="2701" spans="1:4" x14ac:dyDescent="0.3">
      <c r="A2701" t="s">
        <v>28</v>
      </c>
      <c r="C2701" s="16">
        <v>46239</v>
      </c>
      <c r="D2701" s="82">
        <v>1968.99</v>
      </c>
    </row>
    <row r="2702" spans="1:4" x14ac:dyDescent="0.3">
      <c r="A2702" t="s">
        <v>29</v>
      </c>
      <c r="C2702" s="16">
        <v>46239</v>
      </c>
      <c r="D2702" s="82">
        <v>901.34</v>
      </c>
    </row>
    <row r="2703" spans="1:4" x14ac:dyDescent="0.3">
      <c r="A2703" t="s">
        <v>30</v>
      </c>
      <c r="C2703" s="16">
        <v>46239</v>
      </c>
      <c r="D2703" s="82">
        <v>1396.08</v>
      </c>
    </row>
    <row r="2704" spans="1:4" x14ac:dyDescent="0.3">
      <c r="A2704" t="s">
        <v>31</v>
      </c>
      <c r="C2704" s="16">
        <v>46239</v>
      </c>
      <c r="D2704" s="82">
        <v>13804.239999999962</v>
      </c>
    </row>
    <row r="2705" spans="1:4" x14ac:dyDescent="0.3">
      <c r="A2705" t="s">
        <v>32</v>
      </c>
      <c r="C2705" s="16">
        <v>46239</v>
      </c>
      <c r="D2705" s="82">
        <v>8724.1700000000037</v>
      </c>
    </row>
    <row r="2706" spans="1:4" x14ac:dyDescent="0.3">
      <c r="A2706" t="s">
        <v>33</v>
      </c>
      <c r="C2706" s="16">
        <v>46239</v>
      </c>
      <c r="D2706" s="82">
        <v>15106.099999999997</v>
      </c>
    </row>
    <row r="2707" spans="1:4" x14ac:dyDescent="0.3">
      <c r="A2707" t="s">
        <v>34</v>
      </c>
      <c r="C2707" s="16">
        <v>46239</v>
      </c>
      <c r="D2707" s="82">
        <v>345</v>
      </c>
    </row>
    <row r="2708" spans="1:4" x14ac:dyDescent="0.3">
      <c r="A2708" t="s">
        <v>35</v>
      </c>
      <c r="C2708" s="16">
        <v>46239</v>
      </c>
      <c r="D2708" s="82">
        <v>7879.4200000000019</v>
      </c>
    </row>
    <row r="2709" spans="1:4" x14ac:dyDescent="0.3">
      <c r="A2709" t="s">
        <v>193</v>
      </c>
      <c r="C2709" s="16">
        <v>46239</v>
      </c>
      <c r="D2709" s="82">
        <v>0</v>
      </c>
    </row>
    <row r="2710" spans="1:4" x14ac:dyDescent="0.3">
      <c r="A2710" t="s">
        <v>214</v>
      </c>
      <c r="C2710" s="16">
        <v>46239</v>
      </c>
      <c r="D2710" s="82">
        <v>0</v>
      </c>
    </row>
    <row r="2711" spans="1:4" x14ac:dyDescent="0.3">
      <c r="A2711" t="s">
        <v>194</v>
      </c>
      <c r="C2711" s="16">
        <v>46239</v>
      </c>
      <c r="D2711" s="82">
        <v>0</v>
      </c>
    </row>
    <row r="2712" spans="1:4" x14ac:dyDescent="0.3">
      <c r="A2712" t="s">
        <v>195</v>
      </c>
      <c r="C2712" s="16">
        <v>46239</v>
      </c>
      <c r="D2712" s="82">
        <v>0</v>
      </c>
    </row>
    <row r="2713" spans="1:4" x14ac:dyDescent="0.3">
      <c r="A2713" t="s">
        <v>196</v>
      </c>
      <c r="C2713" s="16">
        <v>46239</v>
      </c>
      <c r="D2713" s="82">
        <v>0</v>
      </c>
    </row>
    <row r="2714" spans="1:4" x14ac:dyDescent="0.3">
      <c r="A2714" t="s">
        <v>197</v>
      </c>
      <c r="C2714" s="16">
        <v>46239</v>
      </c>
      <c r="D2714" s="82">
        <v>0</v>
      </c>
    </row>
    <row r="2715" spans="1:4" x14ac:dyDescent="0.3">
      <c r="A2715" t="s">
        <v>212</v>
      </c>
      <c r="C2715" s="16">
        <v>46239</v>
      </c>
      <c r="D2715" s="82">
        <v>0</v>
      </c>
    </row>
    <row r="2716" spans="1:4" x14ac:dyDescent="0.3">
      <c r="A2716" t="s">
        <v>199</v>
      </c>
      <c r="C2716" s="16">
        <v>46239</v>
      </c>
      <c r="D2716" s="82">
        <v>0</v>
      </c>
    </row>
    <row r="2717" spans="1:4" x14ac:dyDescent="0.3">
      <c r="A2717" t="s">
        <v>216</v>
      </c>
      <c r="C2717" s="16">
        <v>46239</v>
      </c>
      <c r="D2717" s="82">
        <v>0</v>
      </c>
    </row>
    <row r="2718" spans="1:4" x14ac:dyDescent="0.3">
      <c r="A2718" t="s">
        <v>17</v>
      </c>
      <c r="C2718" s="16">
        <v>46240</v>
      </c>
      <c r="D2718" s="82">
        <v>1153390.4100000001</v>
      </c>
    </row>
    <row r="2719" spans="1:4" x14ac:dyDescent="0.3">
      <c r="A2719" t="s">
        <v>18</v>
      </c>
      <c r="C2719" s="16">
        <v>46240</v>
      </c>
      <c r="D2719" s="82">
        <v>83211.250000000175</v>
      </c>
    </row>
    <row r="2720" spans="1:4" x14ac:dyDescent="0.3">
      <c r="A2720" t="s">
        <v>19</v>
      </c>
      <c r="C2720" s="16">
        <v>46240</v>
      </c>
      <c r="D2720" s="82">
        <v>1669.89</v>
      </c>
    </row>
    <row r="2721" spans="1:4" x14ac:dyDescent="0.3">
      <c r="A2721" t="s">
        <v>20</v>
      </c>
      <c r="C2721" s="16">
        <v>46240</v>
      </c>
      <c r="D2721" s="82">
        <v>1349451.94</v>
      </c>
    </row>
    <row r="2722" spans="1:4" x14ac:dyDescent="0.3">
      <c r="A2722" t="s">
        <v>21</v>
      </c>
      <c r="C2722" s="16">
        <v>46240</v>
      </c>
      <c r="D2722" s="82">
        <v>2102073.7899999996</v>
      </c>
    </row>
    <row r="2723" spans="1:4" x14ac:dyDescent="0.3">
      <c r="A2723" t="s">
        <v>22</v>
      </c>
      <c r="C2723" s="16">
        <v>46240</v>
      </c>
      <c r="D2723" s="82">
        <v>171496.38</v>
      </c>
    </row>
    <row r="2724" spans="1:4" x14ac:dyDescent="0.3">
      <c r="A2724" t="s">
        <v>23</v>
      </c>
      <c r="C2724" s="16">
        <v>46240</v>
      </c>
      <c r="D2724" s="82">
        <v>207582.47</v>
      </c>
    </row>
    <row r="2725" spans="1:4" x14ac:dyDescent="0.3">
      <c r="A2725" t="s">
        <v>24</v>
      </c>
      <c r="C2725" s="16">
        <v>46240</v>
      </c>
      <c r="D2725" s="82">
        <v>13270.02</v>
      </c>
    </row>
    <row r="2726" spans="1:4" x14ac:dyDescent="0.3">
      <c r="A2726" t="s">
        <v>25</v>
      </c>
      <c r="C2726" s="16">
        <v>46240</v>
      </c>
      <c r="D2726" s="82">
        <v>24.450000000000003</v>
      </c>
    </row>
    <row r="2727" spans="1:4" x14ac:dyDescent="0.3">
      <c r="A2727" t="s">
        <v>26</v>
      </c>
      <c r="C2727" s="16">
        <v>46240</v>
      </c>
      <c r="D2727" s="82">
        <v>2177.87</v>
      </c>
    </row>
    <row r="2728" spans="1:4" x14ac:dyDescent="0.3">
      <c r="A2728" t="s">
        <v>27</v>
      </c>
      <c r="C2728" s="16">
        <v>46240</v>
      </c>
      <c r="D2728" s="82">
        <v>1454589.72</v>
      </c>
    </row>
    <row r="2729" spans="1:4" x14ac:dyDescent="0.3">
      <c r="A2729" t="s">
        <v>28</v>
      </c>
      <c r="C2729" s="16">
        <v>46240</v>
      </c>
      <c r="D2729" s="82">
        <v>1968.99</v>
      </c>
    </row>
    <row r="2730" spans="1:4" x14ac:dyDescent="0.3">
      <c r="A2730" t="s">
        <v>29</v>
      </c>
      <c r="C2730" s="16">
        <v>46240</v>
      </c>
      <c r="D2730" s="82">
        <v>901.34</v>
      </c>
    </row>
    <row r="2731" spans="1:4" x14ac:dyDescent="0.3">
      <c r="A2731" t="s">
        <v>30</v>
      </c>
      <c r="C2731" s="16">
        <v>46240</v>
      </c>
      <c r="D2731" s="82">
        <v>1396.08</v>
      </c>
    </row>
    <row r="2732" spans="1:4" x14ac:dyDescent="0.3">
      <c r="A2732" t="s">
        <v>31</v>
      </c>
      <c r="C2732" s="16">
        <v>46240</v>
      </c>
      <c r="D2732" s="82">
        <v>13804.239999999962</v>
      </c>
    </row>
    <row r="2733" spans="1:4" x14ac:dyDescent="0.3">
      <c r="A2733" t="s">
        <v>32</v>
      </c>
      <c r="C2733" s="16">
        <v>46240</v>
      </c>
      <c r="D2733" s="82">
        <v>8724.1700000000037</v>
      </c>
    </row>
    <row r="2734" spans="1:4" x14ac:dyDescent="0.3">
      <c r="A2734" t="s">
        <v>33</v>
      </c>
      <c r="C2734" s="16">
        <v>46240</v>
      </c>
      <c r="D2734" s="82">
        <v>15106.099999999997</v>
      </c>
    </row>
    <row r="2735" spans="1:4" x14ac:dyDescent="0.3">
      <c r="A2735" t="s">
        <v>34</v>
      </c>
      <c r="C2735" s="16">
        <v>46240</v>
      </c>
      <c r="D2735" s="82">
        <v>345</v>
      </c>
    </row>
    <row r="2736" spans="1:4" x14ac:dyDescent="0.3">
      <c r="A2736" t="s">
        <v>35</v>
      </c>
      <c r="C2736" s="16">
        <v>46240</v>
      </c>
      <c r="D2736" s="82">
        <v>12470.040000000003</v>
      </c>
    </row>
    <row r="2737" spans="1:4" x14ac:dyDescent="0.3">
      <c r="A2737" t="s">
        <v>193</v>
      </c>
      <c r="C2737" s="16">
        <v>46240</v>
      </c>
      <c r="D2737" s="82">
        <v>0</v>
      </c>
    </row>
    <row r="2738" spans="1:4" x14ac:dyDescent="0.3">
      <c r="A2738" t="s">
        <v>214</v>
      </c>
      <c r="C2738" s="16">
        <v>46240</v>
      </c>
      <c r="D2738" s="82">
        <v>0</v>
      </c>
    </row>
    <row r="2739" spans="1:4" x14ac:dyDescent="0.3">
      <c r="A2739" t="s">
        <v>194</v>
      </c>
      <c r="C2739" s="16">
        <v>46240</v>
      </c>
      <c r="D2739" s="82">
        <v>0</v>
      </c>
    </row>
    <row r="2740" spans="1:4" x14ac:dyDescent="0.3">
      <c r="A2740" t="s">
        <v>195</v>
      </c>
      <c r="C2740" s="16">
        <v>46240</v>
      </c>
      <c r="D2740" s="82">
        <v>0</v>
      </c>
    </row>
    <row r="2741" spans="1:4" x14ac:dyDescent="0.3">
      <c r="A2741" t="s">
        <v>196</v>
      </c>
      <c r="C2741" s="16">
        <v>46240</v>
      </c>
      <c r="D2741" s="82">
        <v>0</v>
      </c>
    </row>
    <row r="2742" spans="1:4" x14ac:dyDescent="0.3">
      <c r="A2742" t="s">
        <v>197</v>
      </c>
      <c r="C2742" s="16">
        <v>46240</v>
      </c>
      <c r="D2742" s="82">
        <v>0</v>
      </c>
    </row>
    <row r="2743" spans="1:4" x14ac:dyDescent="0.3">
      <c r="A2743" t="s">
        <v>212</v>
      </c>
      <c r="C2743" s="16">
        <v>46240</v>
      </c>
      <c r="D2743" s="82">
        <v>0</v>
      </c>
    </row>
    <row r="2744" spans="1:4" x14ac:dyDescent="0.3">
      <c r="A2744" t="s">
        <v>199</v>
      </c>
      <c r="C2744" s="16">
        <v>46240</v>
      </c>
      <c r="D2744" s="82">
        <v>0</v>
      </c>
    </row>
    <row r="2745" spans="1:4" x14ac:dyDescent="0.3">
      <c r="A2745" t="s">
        <v>216</v>
      </c>
      <c r="C2745" s="16">
        <v>46240</v>
      </c>
      <c r="D2745" s="82">
        <v>0</v>
      </c>
    </row>
    <row r="2746" spans="1:4" x14ac:dyDescent="0.3">
      <c r="A2746" t="s">
        <v>17</v>
      </c>
      <c r="C2746" s="16">
        <v>46241</v>
      </c>
      <c r="D2746" s="82">
        <v>1153390.4100000001</v>
      </c>
    </row>
    <row r="2747" spans="1:4" x14ac:dyDescent="0.3">
      <c r="A2747" t="s">
        <v>18</v>
      </c>
      <c r="C2747" s="16">
        <v>46241</v>
      </c>
      <c r="D2747" s="82">
        <v>83211.250000000175</v>
      </c>
    </row>
    <row r="2748" spans="1:4" x14ac:dyDescent="0.3">
      <c r="A2748" t="s">
        <v>19</v>
      </c>
      <c r="C2748" s="16">
        <v>46241</v>
      </c>
      <c r="D2748" s="82">
        <v>1669.89</v>
      </c>
    </row>
    <row r="2749" spans="1:4" x14ac:dyDescent="0.3">
      <c r="A2749" t="s">
        <v>20</v>
      </c>
      <c r="C2749" s="16">
        <v>46241</v>
      </c>
      <c r="D2749" s="82">
        <v>1349451.94</v>
      </c>
    </row>
    <row r="2750" spans="1:4" x14ac:dyDescent="0.3">
      <c r="A2750" t="s">
        <v>21</v>
      </c>
      <c r="C2750" s="16">
        <v>46241</v>
      </c>
      <c r="D2750" s="82">
        <v>2102073.7899999996</v>
      </c>
    </row>
    <row r="2751" spans="1:4" x14ac:dyDescent="0.3">
      <c r="A2751" t="s">
        <v>22</v>
      </c>
      <c r="C2751" s="16">
        <v>46241</v>
      </c>
      <c r="D2751" s="82">
        <v>171496.38</v>
      </c>
    </row>
    <row r="2752" spans="1:4" x14ac:dyDescent="0.3">
      <c r="A2752" t="s">
        <v>23</v>
      </c>
      <c r="C2752" s="16">
        <v>46241</v>
      </c>
      <c r="D2752" s="82">
        <v>207582.47</v>
      </c>
    </row>
    <row r="2753" spans="1:4" x14ac:dyDescent="0.3">
      <c r="A2753" t="s">
        <v>24</v>
      </c>
      <c r="C2753" s="16">
        <v>46241</v>
      </c>
      <c r="D2753" s="82">
        <v>13270.02</v>
      </c>
    </row>
    <row r="2754" spans="1:4" x14ac:dyDescent="0.3">
      <c r="A2754" t="s">
        <v>25</v>
      </c>
      <c r="C2754" s="16">
        <v>46241</v>
      </c>
      <c r="D2754" s="82">
        <v>24.450000000000003</v>
      </c>
    </row>
    <row r="2755" spans="1:4" x14ac:dyDescent="0.3">
      <c r="A2755" t="s">
        <v>26</v>
      </c>
      <c r="C2755" s="16">
        <v>46241</v>
      </c>
      <c r="D2755" s="82">
        <v>2177.87</v>
      </c>
    </row>
    <row r="2756" spans="1:4" x14ac:dyDescent="0.3">
      <c r="A2756" t="s">
        <v>27</v>
      </c>
      <c r="C2756" s="16">
        <v>46241</v>
      </c>
      <c r="D2756" s="82">
        <v>1454589.72</v>
      </c>
    </row>
    <row r="2757" spans="1:4" x14ac:dyDescent="0.3">
      <c r="A2757" t="s">
        <v>28</v>
      </c>
      <c r="C2757" s="16">
        <v>46241</v>
      </c>
      <c r="D2757" s="82">
        <v>1968.99</v>
      </c>
    </row>
    <row r="2758" spans="1:4" x14ac:dyDescent="0.3">
      <c r="A2758" t="s">
        <v>29</v>
      </c>
      <c r="C2758" s="16">
        <v>46241</v>
      </c>
      <c r="D2758" s="82">
        <v>901.34</v>
      </c>
    </row>
    <row r="2759" spans="1:4" x14ac:dyDescent="0.3">
      <c r="A2759" t="s">
        <v>30</v>
      </c>
      <c r="C2759" s="16">
        <v>46241</v>
      </c>
      <c r="D2759" s="82">
        <v>1396.08</v>
      </c>
    </row>
    <row r="2760" spans="1:4" x14ac:dyDescent="0.3">
      <c r="A2760" t="s">
        <v>31</v>
      </c>
      <c r="C2760" s="16">
        <v>46241</v>
      </c>
      <c r="D2760" s="82">
        <v>11259.639999999961</v>
      </c>
    </row>
    <row r="2761" spans="1:4" x14ac:dyDescent="0.3">
      <c r="A2761" t="s">
        <v>32</v>
      </c>
      <c r="C2761" s="16">
        <v>46241</v>
      </c>
      <c r="D2761" s="82">
        <v>8724.1700000000037</v>
      </c>
    </row>
    <row r="2762" spans="1:4" x14ac:dyDescent="0.3">
      <c r="A2762" t="s">
        <v>33</v>
      </c>
      <c r="C2762" s="16">
        <v>46241</v>
      </c>
      <c r="D2762" s="82">
        <v>20106.099999999999</v>
      </c>
    </row>
    <row r="2763" spans="1:4" x14ac:dyDescent="0.3">
      <c r="A2763" t="s">
        <v>34</v>
      </c>
      <c r="C2763" s="16">
        <v>46241</v>
      </c>
      <c r="D2763" s="82">
        <v>345</v>
      </c>
    </row>
    <row r="2764" spans="1:4" x14ac:dyDescent="0.3">
      <c r="A2764" t="s">
        <v>35</v>
      </c>
      <c r="C2764" s="16">
        <v>46241</v>
      </c>
      <c r="D2764" s="82">
        <v>12470.040000000003</v>
      </c>
    </row>
    <row r="2765" spans="1:4" x14ac:dyDescent="0.3">
      <c r="A2765" t="s">
        <v>193</v>
      </c>
      <c r="C2765" s="16">
        <v>46241</v>
      </c>
      <c r="D2765" s="82">
        <v>0</v>
      </c>
    </row>
    <row r="2766" spans="1:4" x14ac:dyDescent="0.3">
      <c r="A2766" t="s">
        <v>214</v>
      </c>
      <c r="C2766" s="16">
        <v>46241</v>
      </c>
      <c r="D2766" s="82">
        <v>0</v>
      </c>
    </row>
    <row r="2767" spans="1:4" x14ac:dyDescent="0.3">
      <c r="A2767" t="s">
        <v>194</v>
      </c>
      <c r="C2767" s="16">
        <v>46241</v>
      </c>
      <c r="D2767" s="82">
        <v>0</v>
      </c>
    </row>
    <row r="2768" spans="1:4" x14ac:dyDescent="0.3">
      <c r="A2768" t="s">
        <v>195</v>
      </c>
      <c r="C2768" s="16">
        <v>46241</v>
      </c>
      <c r="D2768" s="82">
        <v>0</v>
      </c>
    </row>
    <row r="2769" spans="1:4" x14ac:dyDescent="0.3">
      <c r="A2769" t="s">
        <v>196</v>
      </c>
      <c r="C2769" s="16">
        <v>46241</v>
      </c>
      <c r="D2769" s="82">
        <v>0</v>
      </c>
    </row>
    <row r="2770" spans="1:4" x14ac:dyDescent="0.3">
      <c r="A2770" t="s">
        <v>197</v>
      </c>
      <c r="C2770" s="16">
        <v>46241</v>
      </c>
      <c r="D2770" s="82">
        <v>0</v>
      </c>
    </row>
    <row r="2771" spans="1:4" x14ac:dyDescent="0.3">
      <c r="A2771" t="s">
        <v>212</v>
      </c>
      <c r="C2771" s="16">
        <v>46241</v>
      </c>
      <c r="D2771" s="82">
        <v>0</v>
      </c>
    </row>
    <row r="2772" spans="1:4" x14ac:dyDescent="0.3">
      <c r="A2772" t="s">
        <v>199</v>
      </c>
      <c r="C2772" s="16">
        <v>46241</v>
      </c>
      <c r="D2772" s="82">
        <v>0</v>
      </c>
    </row>
    <row r="2773" spans="1:4" x14ac:dyDescent="0.3">
      <c r="A2773" t="s">
        <v>216</v>
      </c>
      <c r="C2773" s="16">
        <v>46241</v>
      </c>
      <c r="D2773" s="82">
        <v>0</v>
      </c>
    </row>
    <row r="2774" spans="1:4" x14ac:dyDescent="0.3">
      <c r="A2774" t="s">
        <v>17</v>
      </c>
      <c r="C2774" s="16">
        <v>46242</v>
      </c>
      <c r="D2774" s="82">
        <v>1153390.4100000001</v>
      </c>
    </row>
    <row r="2775" spans="1:4" x14ac:dyDescent="0.3">
      <c r="A2775" t="s">
        <v>18</v>
      </c>
      <c r="C2775" s="16">
        <v>46242</v>
      </c>
      <c r="D2775" s="82">
        <v>83211.250000000175</v>
      </c>
    </row>
    <row r="2776" spans="1:4" x14ac:dyDescent="0.3">
      <c r="A2776" t="s">
        <v>19</v>
      </c>
      <c r="C2776" s="16">
        <v>46242</v>
      </c>
      <c r="D2776" s="82">
        <v>1669.89</v>
      </c>
    </row>
    <row r="2777" spans="1:4" x14ac:dyDescent="0.3">
      <c r="A2777" t="s">
        <v>20</v>
      </c>
      <c r="C2777" s="16">
        <v>46242</v>
      </c>
      <c r="D2777" s="82">
        <v>1349451.94</v>
      </c>
    </row>
    <row r="2778" spans="1:4" x14ac:dyDescent="0.3">
      <c r="A2778" t="s">
        <v>21</v>
      </c>
      <c r="C2778" s="16">
        <v>46242</v>
      </c>
      <c r="D2778" s="82">
        <v>2102073.7899999996</v>
      </c>
    </row>
    <row r="2779" spans="1:4" x14ac:dyDescent="0.3">
      <c r="A2779" t="s">
        <v>22</v>
      </c>
      <c r="C2779" s="16">
        <v>46242</v>
      </c>
      <c r="D2779" s="82">
        <v>171496.38</v>
      </c>
    </row>
    <row r="2780" spans="1:4" x14ac:dyDescent="0.3">
      <c r="A2780" t="s">
        <v>23</v>
      </c>
      <c r="C2780" s="16">
        <v>46242</v>
      </c>
      <c r="D2780" s="82">
        <v>207582.47</v>
      </c>
    </row>
    <row r="2781" spans="1:4" x14ac:dyDescent="0.3">
      <c r="A2781" t="s">
        <v>24</v>
      </c>
      <c r="C2781" s="16">
        <v>46242</v>
      </c>
      <c r="D2781" s="82">
        <v>13270.02</v>
      </c>
    </row>
    <row r="2782" spans="1:4" x14ac:dyDescent="0.3">
      <c r="A2782" t="s">
        <v>25</v>
      </c>
      <c r="C2782" s="16">
        <v>46242</v>
      </c>
      <c r="D2782" s="82">
        <v>24.450000000000003</v>
      </c>
    </row>
    <row r="2783" spans="1:4" x14ac:dyDescent="0.3">
      <c r="A2783" t="s">
        <v>26</v>
      </c>
      <c r="C2783" s="16">
        <v>46242</v>
      </c>
      <c r="D2783" s="82">
        <v>2177.87</v>
      </c>
    </row>
    <row r="2784" spans="1:4" x14ac:dyDescent="0.3">
      <c r="A2784" t="s">
        <v>27</v>
      </c>
      <c r="C2784" s="16">
        <v>46242</v>
      </c>
      <c r="D2784" s="82">
        <v>1454589.72</v>
      </c>
    </row>
    <row r="2785" spans="1:4" x14ac:dyDescent="0.3">
      <c r="A2785" t="s">
        <v>28</v>
      </c>
      <c r="C2785" s="16">
        <v>46242</v>
      </c>
      <c r="D2785" s="82">
        <v>1968.99</v>
      </c>
    </row>
    <row r="2786" spans="1:4" x14ac:dyDescent="0.3">
      <c r="A2786" t="s">
        <v>29</v>
      </c>
      <c r="C2786" s="16">
        <v>46242</v>
      </c>
      <c r="D2786" s="82">
        <v>901.34</v>
      </c>
    </row>
    <row r="2787" spans="1:4" x14ac:dyDescent="0.3">
      <c r="A2787" t="s">
        <v>30</v>
      </c>
      <c r="C2787" s="16">
        <v>46242</v>
      </c>
      <c r="D2787" s="82">
        <v>1396.08</v>
      </c>
    </row>
    <row r="2788" spans="1:4" x14ac:dyDescent="0.3">
      <c r="A2788" t="s">
        <v>31</v>
      </c>
      <c r="C2788" s="16">
        <v>46242</v>
      </c>
      <c r="D2788" s="82">
        <v>11259.639999999961</v>
      </c>
    </row>
    <row r="2789" spans="1:4" x14ac:dyDescent="0.3">
      <c r="A2789" t="s">
        <v>32</v>
      </c>
      <c r="C2789" s="16">
        <v>46242</v>
      </c>
      <c r="D2789" s="82">
        <v>8724.1700000000037</v>
      </c>
    </row>
    <row r="2790" spans="1:4" x14ac:dyDescent="0.3">
      <c r="A2790" t="s">
        <v>33</v>
      </c>
      <c r="C2790" s="16">
        <v>46242</v>
      </c>
      <c r="D2790" s="82">
        <v>20106.099999999999</v>
      </c>
    </row>
    <row r="2791" spans="1:4" x14ac:dyDescent="0.3">
      <c r="A2791" t="s">
        <v>34</v>
      </c>
      <c r="C2791" s="16">
        <v>46242</v>
      </c>
      <c r="D2791" s="82">
        <v>345</v>
      </c>
    </row>
    <row r="2792" spans="1:4" x14ac:dyDescent="0.3">
      <c r="A2792" t="s">
        <v>35</v>
      </c>
      <c r="C2792" s="16">
        <v>46242</v>
      </c>
      <c r="D2792" s="82">
        <v>12470.040000000003</v>
      </c>
    </row>
    <row r="2793" spans="1:4" x14ac:dyDescent="0.3">
      <c r="A2793" t="s">
        <v>193</v>
      </c>
      <c r="C2793" s="16">
        <v>46242</v>
      </c>
      <c r="D2793" s="82">
        <v>0</v>
      </c>
    </row>
    <row r="2794" spans="1:4" x14ac:dyDescent="0.3">
      <c r="A2794" t="s">
        <v>214</v>
      </c>
      <c r="C2794" s="16">
        <v>46242</v>
      </c>
      <c r="D2794" s="82">
        <v>0</v>
      </c>
    </row>
    <row r="2795" spans="1:4" x14ac:dyDescent="0.3">
      <c r="A2795" t="s">
        <v>194</v>
      </c>
      <c r="C2795" s="16">
        <v>46242</v>
      </c>
      <c r="D2795" s="82">
        <v>0</v>
      </c>
    </row>
    <row r="2796" spans="1:4" x14ac:dyDescent="0.3">
      <c r="A2796" t="s">
        <v>195</v>
      </c>
      <c r="C2796" s="16">
        <v>46242</v>
      </c>
      <c r="D2796" s="82">
        <v>0</v>
      </c>
    </row>
    <row r="2797" spans="1:4" x14ac:dyDescent="0.3">
      <c r="A2797" t="s">
        <v>196</v>
      </c>
      <c r="C2797" s="16">
        <v>46242</v>
      </c>
      <c r="D2797" s="82">
        <v>0</v>
      </c>
    </row>
    <row r="2798" spans="1:4" x14ac:dyDescent="0.3">
      <c r="A2798" t="s">
        <v>197</v>
      </c>
      <c r="C2798" s="16">
        <v>46242</v>
      </c>
      <c r="D2798" s="82">
        <v>0</v>
      </c>
    </row>
    <row r="2799" spans="1:4" x14ac:dyDescent="0.3">
      <c r="A2799" t="s">
        <v>212</v>
      </c>
      <c r="C2799" s="16">
        <v>46242</v>
      </c>
      <c r="D2799" s="82">
        <v>0</v>
      </c>
    </row>
    <row r="2800" spans="1:4" x14ac:dyDescent="0.3">
      <c r="A2800" t="s">
        <v>199</v>
      </c>
      <c r="C2800" s="16">
        <v>46242</v>
      </c>
      <c r="D2800" s="82">
        <v>0</v>
      </c>
    </row>
    <row r="2801" spans="1:4" x14ac:dyDescent="0.3">
      <c r="A2801" t="s">
        <v>216</v>
      </c>
      <c r="C2801" s="16">
        <v>46242</v>
      </c>
      <c r="D2801" s="82">
        <v>0</v>
      </c>
    </row>
    <row r="2802" spans="1:4" x14ac:dyDescent="0.3">
      <c r="A2802" t="s">
        <v>17</v>
      </c>
      <c r="C2802" s="16">
        <v>46243</v>
      </c>
      <c r="D2802" s="82">
        <v>1153390.4100000001</v>
      </c>
    </row>
    <row r="2803" spans="1:4" x14ac:dyDescent="0.3">
      <c r="A2803" t="s">
        <v>18</v>
      </c>
      <c r="C2803" s="16">
        <v>46243</v>
      </c>
      <c r="D2803" s="82">
        <v>83211.250000000175</v>
      </c>
    </row>
    <row r="2804" spans="1:4" x14ac:dyDescent="0.3">
      <c r="A2804" t="s">
        <v>19</v>
      </c>
      <c r="C2804" s="16">
        <v>46243</v>
      </c>
      <c r="D2804" s="82">
        <v>1669.89</v>
      </c>
    </row>
    <row r="2805" spans="1:4" x14ac:dyDescent="0.3">
      <c r="A2805" t="s">
        <v>20</v>
      </c>
      <c r="C2805" s="16">
        <v>46243</v>
      </c>
      <c r="D2805" s="82">
        <v>1349451.94</v>
      </c>
    </row>
    <row r="2806" spans="1:4" x14ac:dyDescent="0.3">
      <c r="A2806" t="s">
        <v>21</v>
      </c>
      <c r="C2806" s="16">
        <v>46243</v>
      </c>
      <c r="D2806" s="82">
        <v>2102073.7899999996</v>
      </c>
    </row>
    <row r="2807" spans="1:4" x14ac:dyDescent="0.3">
      <c r="A2807" t="s">
        <v>22</v>
      </c>
      <c r="C2807" s="16">
        <v>46243</v>
      </c>
      <c r="D2807" s="82">
        <v>171496.38</v>
      </c>
    </row>
    <row r="2808" spans="1:4" x14ac:dyDescent="0.3">
      <c r="A2808" t="s">
        <v>23</v>
      </c>
      <c r="C2808" s="16">
        <v>46243</v>
      </c>
      <c r="D2808" s="82">
        <v>207582.47</v>
      </c>
    </row>
    <row r="2809" spans="1:4" x14ac:dyDescent="0.3">
      <c r="A2809" t="s">
        <v>24</v>
      </c>
      <c r="C2809" s="16">
        <v>46243</v>
      </c>
      <c r="D2809" s="82">
        <v>13270.02</v>
      </c>
    </row>
    <row r="2810" spans="1:4" x14ac:dyDescent="0.3">
      <c r="A2810" t="s">
        <v>25</v>
      </c>
      <c r="C2810" s="16">
        <v>46243</v>
      </c>
      <c r="D2810" s="82">
        <v>24.450000000000003</v>
      </c>
    </row>
    <row r="2811" spans="1:4" x14ac:dyDescent="0.3">
      <c r="A2811" t="s">
        <v>26</v>
      </c>
      <c r="C2811" s="16">
        <v>46243</v>
      </c>
      <c r="D2811" s="82">
        <v>2177.87</v>
      </c>
    </row>
    <row r="2812" spans="1:4" x14ac:dyDescent="0.3">
      <c r="A2812" t="s">
        <v>27</v>
      </c>
      <c r="C2812" s="16">
        <v>46243</v>
      </c>
      <c r="D2812" s="82">
        <v>1454589.72</v>
      </c>
    </row>
    <row r="2813" spans="1:4" x14ac:dyDescent="0.3">
      <c r="A2813" t="s">
        <v>28</v>
      </c>
      <c r="C2813" s="16">
        <v>46243</v>
      </c>
      <c r="D2813" s="82">
        <v>1968.99</v>
      </c>
    </row>
    <row r="2814" spans="1:4" x14ac:dyDescent="0.3">
      <c r="A2814" t="s">
        <v>29</v>
      </c>
      <c r="C2814" s="16">
        <v>46243</v>
      </c>
      <c r="D2814" s="82">
        <v>901.34</v>
      </c>
    </row>
    <row r="2815" spans="1:4" x14ac:dyDescent="0.3">
      <c r="A2815" t="s">
        <v>30</v>
      </c>
      <c r="C2815" s="16">
        <v>46243</v>
      </c>
      <c r="D2815" s="82">
        <v>1396.08</v>
      </c>
    </row>
    <row r="2816" spans="1:4" x14ac:dyDescent="0.3">
      <c r="A2816" t="s">
        <v>31</v>
      </c>
      <c r="C2816" s="16">
        <v>46243</v>
      </c>
      <c r="D2816" s="82">
        <v>11259.639999999961</v>
      </c>
    </row>
    <row r="2817" spans="1:4" x14ac:dyDescent="0.3">
      <c r="A2817" t="s">
        <v>32</v>
      </c>
      <c r="C2817" s="16">
        <v>46243</v>
      </c>
      <c r="D2817" s="82">
        <v>8724.1700000000037</v>
      </c>
    </row>
    <row r="2818" spans="1:4" x14ac:dyDescent="0.3">
      <c r="A2818" t="s">
        <v>33</v>
      </c>
      <c r="C2818" s="16">
        <v>46243</v>
      </c>
      <c r="D2818" s="82">
        <v>20106.099999999999</v>
      </c>
    </row>
    <row r="2819" spans="1:4" x14ac:dyDescent="0.3">
      <c r="A2819" t="s">
        <v>34</v>
      </c>
      <c r="C2819" s="16">
        <v>46243</v>
      </c>
      <c r="D2819" s="82">
        <v>345</v>
      </c>
    </row>
    <row r="2820" spans="1:4" x14ac:dyDescent="0.3">
      <c r="A2820" t="s">
        <v>35</v>
      </c>
      <c r="C2820" s="16">
        <v>46243</v>
      </c>
      <c r="D2820" s="82">
        <v>12470.040000000003</v>
      </c>
    </row>
    <row r="2821" spans="1:4" x14ac:dyDescent="0.3">
      <c r="A2821" t="s">
        <v>193</v>
      </c>
      <c r="C2821" s="16">
        <v>46243</v>
      </c>
      <c r="D2821" s="82">
        <v>0</v>
      </c>
    </row>
    <row r="2822" spans="1:4" x14ac:dyDescent="0.3">
      <c r="A2822" t="s">
        <v>214</v>
      </c>
      <c r="C2822" s="16">
        <v>46243</v>
      </c>
      <c r="D2822" s="82">
        <v>0</v>
      </c>
    </row>
    <row r="2823" spans="1:4" x14ac:dyDescent="0.3">
      <c r="A2823" t="s">
        <v>194</v>
      </c>
      <c r="C2823" s="16">
        <v>46243</v>
      </c>
      <c r="D2823" s="82">
        <v>0</v>
      </c>
    </row>
    <row r="2824" spans="1:4" x14ac:dyDescent="0.3">
      <c r="A2824" t="s">
        <v>195</v>
      </c>
      <c r="C2824" s="16">
        <v>46243</v>
      </c>
      <c r="D2824" s="82">
        <v>0</v>
      </c>
    </row>
    <row r="2825" spans="1:4" x14ac:dyDescent="0.3">
      <c r="A2825" t="s">
        <v>196</v>
      </c>
      <c r="C2825" s="16">
        <v>46243</v>
      </c>
      <c r="D2825" s="82">
        <v>0</v>
      </c>
    </row>
    <row r="2826" spans="1:4" x14ac:dyDescent="0.3">
      <c r="A2826" t="s">
        <v>197</v>
      </c>
      <c r="C2826" s="16">
        <v>46243</v>
      </c>
      <c r="D2826" s="82">
        <v>0</v>
      </c>
    </row>
    <row r="2827" spans="1:4" x14ac:dyDescent="0.3">
      <c r="A2827" t="s">
        <v>212</v>
      </c>
      <c r="C2827" s="16">
        <v>46243</v>
      </c>
      <c r="D2827" s="82">
        <v>0</v>
      </c>
    </row>
    <row r="2828" spans="1:4" x14ac:dyDescent="0.3">
      <c r="A2828" t="s">
        <v>199</v>
      </c>
      <c r="C2828" s="16">
        <v>46243</v>
      </c>
      <c r="D2828" s="82">
        <v>0</v>
      </c>
    </row>
    <row r="2829" spans="1:4" x14ac:dyDescent="0.3">
      <c r="A2829" t="s">
        <v>216</v>
      </c>
      <c r="C2829" s="16">
        <v>46243</v>
      </c>
      <c r="D2829" s="82">
        <v>0</v>
      </c>
    </row>
    <row r="2830" spans="1:4" x14ac:dyDescent="0.3">
      <c r="A2830" t="s">
        <v>17</v>
      </c>
      <c r="C2830" s="16">
        <v>46244</v>
      </c>
      <c r="D2830" s="82">
        <v>1260076.9800000002</v>
      </c>
    </row>
    <row r="2831" spans="1:4" x14ac:dyDescent="0.3">
      <c r="A2831" t="s">
        <v>18</v>
      </c>
      <c r="C2831" s="16">
        <v>46244</v>
      </c>
      <c r="D2831" s="82">
        <v>83211.250000000175</v>
      </c>
    </row>
    <row r="2832" spans="1:4" x14ac:dyDescent="0.3">
      <c r="A2832" t="s">
        <v>19</v>
      </c>
      <c r="C2832" s="16">
        <v>46244</v>
      </c>
      <c r="D2832" s="82">
        <v>1669.89</v>
      </c>
    </row>
    <row r="2833" spans="1:4" x14ac:dyDescent="0.3">
      <c r="A2833" t="s">
        <v>20</v>
      </c>
      <c r="C2833" s="16">
        <v>46244</v>
      </c>
      <c r="D2833" s="82">
        <v>1349451.94</v>
      </c>
    </row>
    <row r="2834" spans="1:4" x14ac:dyDescent="0.3">
      <c r="A2834" t="s">
        <v>21</v>
      </c>
      <c r="C2834" s="16">
        <v>46244</v>
      </c>
      <c r="D2834" s="82">
        <v>2098801.8999999994</v>
      </c>
    </row>
    <row r="2835" spans="1:4" x14ac:dyDescent="0.3">
      <c r="A2835" t="s">
        <v>22</v>
      </c>
      <c r="C2835" s="16">
        <v>46244</v>
      </c>
      <c r="D2835" s="82">
        <v>171496.38</v>
      </c>
    </row>
    <row r="2836" spans="1:4" x14ac:dyDescent="0.3">
      <c r="A2836" t="s">
        <v>23</v>
      </c>
      <c r="C2836" s="16">
        <v>46244</v>
      </c>
      <c r="D2836" s="82">
        <v>207582.47</v>
      </c>
    </row>
    <row r="2837" spans="1:4" x14ac:dyDescent="0.3">
      <c r="A2837" t="s">
        <v>24</v>
      </c>
      <c r="C2837" s="16">
        <v>46244</v>
      </c>
      <c r="D2837" s="82">
        <v>13270.02</v>
      </c>
    </row>
    <row r="2838" spans="1:4" x14ac:dyDescent="0.3">
      <c r="A2838" t="s">
        <v>25</v>
      </c>
      <c r="C2838" s="16">
        <v>46244</v>
      </c>
      <c r="D2838" s="82">
        <v>24.450000000000003</v>
      </c>
    </row>
    <row r="2839" spans="1:4" x14ac:dyDescent="0.3">
      <c r="A2839" t="s">
        <v>26</v>
      </c>
      <c r="C2839" s="16">
        <v>46244</v>
      </c>
      <c r="D2839" s="82">
        <v>2177.87</v>
      </c>
    </row>
    <row r="2840" spans="1:4" x14ac:dyDescent="0.3">
      <c r="A2840" t="s">
        <v>27</v>
      </c>
      <c r="C2840" s="16">
        <v>46244</v>
      </c>
      <c r="D2840" s="82">
        <v>1454589.72</v>
      </c>
    </row>
    <row r="2841" spans="1:4" x14ac:dyDescent="0.3">
      <c r="A2841" t="s">
        <v>28</v>
      </c>
      <c r="C2841" s="16">
        <v>46244</v>
      </c>
      <c r="D2841" s="82">
        <v>1968.99</v>
      </c>
    </row>
    <row r="2842" spans="1:4" x14ac:dyDescent="0.3">
      <c r="A2842" t="s">
        <v>29</v>
      </c>
      <c r="C2842" s="16">
        <v>46244</v>
      </c>
      <c r="D2842" s="82">
        <v>901.34</v>
      </c>
    </row>
    <row r="2843" spans="1:4" x14ac:dyDescent="0.3">
      <c r="A2843" t="s">
        <v>30</v>
      </c>
      <c r="C2843" s="16">
        <v>46244</v>
      </c>
      <c r="D2843" s="82">
        <v>1396.08</v>
      </c>
    </row>
    <row r="2844" spans="1:4" x14ac:dyDescent="0.3">
      <c r="A2844" t="s">
        <v>31</v>
      </c>
      <c r="C2844" s="16">
        <v>46244</v>
      </c>
      <c r="D2844" s="82">
        <v>3700.7099999999591</v>
      </c>
    </row>
    <row r="2845" spans="1:4" x14ac:dyDescent="0.3">
      <c r="A2845" t="s">
        <v>32</v>
      </c>
      <c r="C2845" s="16">
        <v>46244</v>
      </c>
      <c r="D2845" s="82">
        <v>8724.1700000000037</v>
      </c>
    </row>
    <row r="2846" spans="1:4" x14ac:dyDescent="0.3">
      <c r="A2846" t="s">
        <v>33</v>
      </c>
      <c r="C2846" s="16">
        <v>46244</v>
      </c>
      <c r="D2846" s="82">
        <v>20106.099999999999</v>
      </c>
    </row>
    <row r="2847" spans="1:4" x14ac:dyDescent="0.3">
      <c r="A2847" t="s">
        <v>34</v>
      </c>
      <c r="C2847" s="16">
        <v>46244</v>
      </c>
      <c r="D2847" s="82">
        <v>345</v>
      </c>
    </row>
    <row r="2848" spans="1:4" x14ac:dyDescent="0.3">
      <c r="A2848" t="s">
        <v>35</v>
      </c>
      <c r="C2848" s="16">
        <v>46244</v>
      </c>
      <c r="D2848" s="82">
        <v>12470.040000000003</v>
      </c>
    </row>
    <row r="2849" spans="1:4" x14ac:dyDescent="0.3">
      <c r="A2849" t="s">
        <v>193</v>
      </c>
      <c r="C2849" s="16">
        <v>46244</v>
      </c>
      <c r="D2849" s="82">
        <v>0</v>
      </c>
    </row>
    <row r="2850" spans="1:4" x14ac:dyDescent="0.3">
      <c r="A2850" t="s">
        <v>214</v>
      </c>
      <c r="C2850" s="16">
        <v>46244</v>
      </c>
      <c r="D2850" s="82">
        <v>0</v>
      </c>
    </row>
    <row r="2851" spans="1:4" x14ac:dyDescent="0.3">
      <c r="A2851" t="s">
        <v>194</v>
      </c>
      <c r="C2851" s="16">
        <v>46244</v>
      </c>
      <c r="D2851" s="82">
        <v>0</v>
      </c>
    </row>
    <row r="2852" spans="1:4" x14ac:dyDescent="0.3">
      <c r="A2852" t="s">
        <v>195</v>
      </c>
      <c r="C2852" s="16">
        <v>46244</v>
      </c>
      <c r="D2852" s="82">
        <v>0</v>
      </c>
    </row>
    <row r="2853" spans="1:4" x14ac:dyDescent="0.3">
      <c r="A2853" t="s">
        <v>196</v>
      </c>
      <c r="C2853" s="16">
        <v>46244</v>
      </c>
      <c r="D2853" s="82">
        <v>0</v>
      </c>
    </row>
    <row r="2854" spans="1:4" x14ac:dyDescent="0.3">
      <c r="A2854" t="s">
        <v>197</v>
      </c>
      <c r="C2854" s="16">
        <v>46244</v>
      </c>
      <c r="D2854" s="82">
        <v>0</v>
      </c>
    </row>
    <row r="2855" spans="1:4" x14ac:dyDescent="0.3">
      <c r="A2855" t="s">
        <v>212</v>
      </c>
      <c r="C2855" s="16">
        <v>46244</v>
      </c>
      <c r="D2855" s="82">
        <v>0</v>
      </c>
    </row>
    <row r="2856" spans="1:4" x14ac:dyDescent="0.3">
      <c r="A2856" t="s">
        <v>199</v>
      </c>
      <c r="C2856" s="16">
        <v>46244</v>
      </c>
      <c r="D2856" s="82">
        <v>0</v>
      </c>
    </row>
    <row r="2857" spans="1:4" x14ac:dyDescent="0.3">
      <c r="A2857" t="s">
        <v>216</v>
      </c>
      <c r="C2857" s="16">
        <v>46244</v>
      </c>
      <c r="D2857" s="82">
        <v>0</v>
      </c>
    </row>
    <row r="2858" spans="1:4" x14ac:dyDescent="0.3">
      <c r="A2858" t="s">
        <v>17</v>
      </c>
      <c r="C2858" s="16">
        <v>46245</v>
      </c>
      <c r="D2858" s="82">
        <v>1260076.9800000002</v>
      </c>
    </row>
    <row r="2859" spans="1:4" x14ac:dyDescent="0.3">
      <c r="A2859" t="s">
        <v>18</v>
      </c>
      <c r="C2859" s="16">
        <v>46245</v>
      </c>
      <c r="D2859" s="82">
        <v>83211.250000000175</v>
      </c>
    </row>
    <row r="2860" spans="1:4" x14ac:dyDescent="0.3">
      <c r="A2860" t="s">
        <v>19</v>
      </c>
      <c r="C2860" s="16">
        <v>46245</v>
      </c>
      <c r="D2860" s="82">
        <v>1669.89</v>
      </c>
    </row>
    <row r="2861" spans="1:4" x14ac:dyDescent="0.3">
      <c r="A2861" t="s">
        <v>20</v>
      </c>
      <c r="C2861" s="16">
        <v>46245</v>
      </c>
      <c r="D2861" s="82">
        <v>1349451.94</v>
      </c>
    </row>
    <row r="2862" spans="1:4" x14ac:dyDescent="0.3">
      <c r="A2862" t="s">
        <v>21</v>
      </c>
      <c r="C2862" s="16">
        <v>46245</v>
      </c>
      <c r="D2862" s="82">
        <v>1622920.8199999996</v>
      </c>
    </row>
    <row r="2863" spans="1:4" x14ac:dyDescent="0.3">
      <c r="A2863" t="s">
        <v>22</v>
      </c>
      <c r="C2863" s="16">
        <v>46245</v>
      </c>
      <c r="D2863" s="82">
        <v>171496.38</v>
      </c>
    </row>
    <row r="2864" spans="1:4" x14ac:dyDescent="0.3">
      <c r="A2864" t="s">
        <v>23</v>
      </c>
      <c r="C2864" s="16">
        <v>46245</v>
      </c>
      <c r="D2864" s="82">
        <v>207582.47</v>
      </c>
    </row>
    <row r="2865" spans="1:4" x14ac:dyDescent="0.3">
      <c r="A2865" t="s">
        <v>24</v>
      </c>
      <c r="C2865" s="16">
        <v>46245</v>
      </c>
      <c r="D2865" s="82">
        <v>13270.02</v>
      </c>
    </row>
    <row r="2866" spans="1:4" x14ac:dyDescent="0.3">
      <c r="A2866" t="s">
        <v>25</v>
      </c>
      <c r="C2866" s="16">
        <v>46245</v>
      </c>
      <c r="D2866" s="82">
        <v>24.450000000000003</v>
      </c>
    </row>
    <row r="2867" spans="1:4" x14ac:dyDescent="0.3">
      <c r="A2867" t="s">
        <v>26</v>
      </c>
      <c r="C2867" s="16">
        <v>46245</v>
      </c>
      <c r="D2867" s="82">
        <v>2177.87</v>
      </c>
    </row>
    <row r="2868" spans="1:4" x14ac:dyDescent="0.3">
      <c r="A2868" t="s">
        <v>27</v>
      </c>
      <c r="C2868" s="16">
        <v>46245</v>
      </c>
      <c r="D2868" s="82">
        <v>1454589.72</v>
      </c>
    </row>
    <row r="2869" spans="1:4" x14ac:dyDescent="0.3">
      <c r="A2869" t="s">
        <v>28</v>
      </c>
      <c r="C2869" s="16">
        <v>46245</v>
      </c>
      <c r="D2869" s="82">
        <v>1968.99</v>
      </c>
    </row>
    <row r="2870" spans="1:4" x14ac:dyDescent="0.3">
      <c r="A2870" t="s">
        <v>29</v>
      </c>
      <c r="C2870" s="16">
        <v>46245</v>
      </c>
      <c r="D2870" s="82">
        <v>901.34</v>
      </c>
    </row>
    <row r="2871" spans="1:4" x14ac:dyDescent="0.3">
      <c r="A2871" t="s">
        <v>30</v>
      </c>
      <c r="C2871" s="16">
        <v>46245</v>
      </c>
      <c r="D2871" s="82">
        <v>1396.08</v>
      </c>
    </row>
    <row r="2872" spans="1:4" x14ac:dyDescent="0.3">
      <c r="A2872" t="s">
        <v>31</v>
      </c>
      <c r="C2872" s="16">
        <v>46245</v>
      </c>
      <c r="D2872" s="82">
        <v>3700.7099999999591</v>
      </c>
    </row>
    <row r="2873" spans="1:4" x14ac:dyDescent="0.3">
      <c r="A2873" t="s">
        <v>32</v>
      </c>
      <c r="C2873" s="16">
        <v>46245</v>
      </c>
      <c r="D2873" s="82">
        <v>8724.1700000000037</v>
      </c>
    </row>
    <row r="2874" spans="1:4" x14ac:dyDescent="0.3">
      <c r="A2874" t="s">
        <v>33</v>
      </c>
      <c r="C2874" s="16">
        <v>46245</v>
      </c>
      <c r="D2874" s="82">
        <v>19442.439999999995</v>
      </c>
    </row>
    <row r="2875" spans="1:4" x14ac:dyDescent="0.3">
      <c r="A2875" t="s">
        <v>34</v>
      </c>
      <c r="C2875" s="16">
        <v>46245</v>
      </c>
      <c r="D2875" s="82">
        <v>345</v>
      </c>
    </row>
    <row r="2876" spans="1:4" x14ac:dyDescent="0.3">
      <c r="A2876" t="s">
        <v>35</v>
      </c>
      <c r="C2876" s="16">
        <v>46245</v>
      </c>
      <c r="D2876" s="82">
        <v>12470.040000000003</v>
      </c>
    </row>
    <row r="2877" spans="1:4" x14ac:dyDescent="0.3">
      <c r="A2877" t="s">
        <v>193</v>
      </c>
      <c r="C2877" s="16">
        <v>46245</v>
      </c>
      <c r="D2877" s="82">
        <v>0</v>
      </c>
    </row>
    <row r="2878" spans="1:4" x14ac:dyDescent="0.3">
      <c r="A2878" t="s">
        <v>214</v>
      </c>
      <c r="C2878" s="16">
        <v>46245</v>
      </c>
      <c r="D2878" s="82">
        <v>0</v>
      </c>
    </row>
    <row r="2879" spans="1:4" x14ac:dyDescent="0.3">
      <c r="A2879" t="s">
        <v>194</v>
      </c>
      <c r="C2879" s="16">
        <v>46245</v>
      </c>
      <c r="D2879" s="82">
        <v>0</v>
      </c>
    </row>
    <row r="2880" spans="1:4" x14ac:dyDescent="0.3">
      <c r="A2880" t="s">
        <v>195</v>
      </c>
      <c r="C2880" s="16">
        <v>46245</v>
      </c>
      <c r="D2880" s="82">
        <v>0</v>
      </c>
    </row>
    <row r="2881" spans="1:4" x14ac:dyDescent="0.3">
      <c r="A2881" t="s">
        <v>196</v>
      </c>
      <c r="C2881" s="16">
        <v>46245</v>
      </c>
      <c r="D2881" s="82">
        <v>0</v>
      </c>
    </row>
    <row r="2882" spans="1:4" x14ac:dyDescent="0.3">
      <c r="A2882" t="s">
        <v>197</v>
      </c>
      <c r="C2882" s="16">
        <v>46245</v>
      </c>
      <c r="D2882" s="82">
        <v>0</v>
      </c>
    </row>
    <row r="2883" spans="1:4" x14ac:dyDescent="0.3">
      <c r="A2883" t="s">
        <v>212</v>
      </c>
      <c r="C2883" s="16">
        <v>46245</v>
      </c>
      <c r="D2883" s="82">
        <v>0</v>
      </c>
    </row>
    <row r="2884" spans="1:4" x14ac:dyDescent="0.3">
      <c r="A2884" t="s">
        <v>199</v>
      </c>
      <c r="C2884" s="16">
        <v>46245</v>
      </c>
      <c r="D2884" s="82">
        <v>0</v>
      </c>
    </row>
    <row r="2885" spans="1:4" x14ac:dyDescent="0.3">
      <c r="A2885" t="s">
        <v>216</v>
      </c>
      <c r="C2885" s="16">
        <v>46245</v>
      </c>
      <c r="D2885" s="82">
        <v>0</v>
      </c>
    </row>
    <row r="2886" spans="1:4" x14ac:dyDescent="0.3">
      <c r="A2886" t="s">
        <v>17</v>
      </c>
      <c r="C2886" s="16">
        <v>46246</v>
      </c>
      <c r="D2886" s="82">
        <v>1260076.9800000002</v>
      </c>
    </row>
    <row r="2887" spans="1:4" x14ac:dyDescent="0.3">
      <c r="A2887" t="s">
        <v>18</v>
      </c>
      <c r="C2887" s="16">
        <v>46246</v>
      </c>
      <c r="D2887" s="82">
        <v>83211.250000000175</v>
      </c>
    </row>
    <row r="2888" spans="1:4" x14ac:dyDescent="0.3">
      <c r="A2888" t="s">
        <v>19</v>
      </c>
      <c r="C2888" s="16">
        <v>46246</v>
      </c>
      <c r="D2888" s="82">
        <v>1669.89</v>
      </c>
    </row>
    <row r="2889" spans="1:4" x14ac:dyDescent="0.3">
      <c r="A2889" t="s">
        <v>20</v>
      </c>
      <c r="C2889" s="16">
        <v>46246</v>
      </c>
      <c r="D2889" s="82">
        <v>1349451.94</v>
      </c>
    </row>
    <row r="2890" spans="1:4" x14ac:dyDescent="0.3">
      <c r="A2890" t="s">
        <v>21</v>
      </c>
      <c r="C2890" s="16">
        <v>46246</v>
      </c>
      <c r="D2890" s="82">
        <v>1622914.8199999996</v>
      </c>
    </row>
    <row r="2891" spans="1:4" x14ac:dyDescent="0.3">
      <c r="A2891" t="s">
        <v>22</v>
      </c>
      <c r="C2891" s="16">
        <v>46246</v>
      </c>
      <c r="D2891" s="82">
        <v>731496.38</v>
      </c>
    </row>
    <row r="2892" spans="1:4" x14ac:dyDescent="0.3">
      <c r="A2892" t="s">
        <v>23</v>
      </c>
      <c r="C2892" s="16">
        <v>46246</v>
      </c>
      <c r="D2892" s="82">
        <v>277582.47000000003</v>
      </c>
    </row>
    <row r="2893" spans="1:4" x14ac:dyDescent="0.3">
      <c r="A2893" t="s">
        <v>24</v>
      </c>
      <c r="C2893" s="16">
        <v>46246</v>
      </c>
      <c r="D2893" s="82">
        <v>13270.02</v>
      </c>
    </row>
    <row r="2894" spans="1:4" x14ac:dyDescent="0.3">
      <c r="A2894" t="s">
        <v>25</v>
      </c>
      <c r="C2894" s="16">
        <v>46246</v>
      </c>
      <c r="D2894" s="82">
        <v>24.450000000000003</v>
      </c>
    </row>
    <row r="2895" spans="1:4" x14ac:dyDescent="0.3">
      <c r="A2895" t="s">
        <v>26</v>
      </c>
      <c r="C2895" s="16">
        <v>46246</v>
      </c>
      <c r="D2895" s="82">
        <v>2177.87</v>
      </c>
    </row>
    <row r="2896" spans="1:4" x14ac:dyDescent="0.3">
      <c r="A2896" t="s">
        <v>27</v>
      </c>
      <c r="C2896" s="16">
        <v>46246</v>
      </c>
      <c r="D2896" s="82">
        <v>754424.72</v>
      </c>
    </row>
    <row r="2897" spans="1:4" x14ac:dyDescent="0.3">
      <c r="A2897" t="s">
        <v>28</v>
      </c>
      <c r="C2897" s="16">
        <v>46246</v>
      </c>
      <c r="D2897" s="82">
        <v>1968.99</v>
      </c>
    </row>
    <row r="2898" spans="1:4" x14ac:dyDescent="0.3">
      <c r="A2898" t="s">
        <v>29</v>
      </c>
      <c r="C2898" s="16">
        <v>46246</v>
      </c>
      <c r="D2898" s="82">
        <v>901.34</v>
      </c>
    </row>
    <row r="2899" spans="1:4" x14ac:dyDescent="0.3">
      <c r="A2899" t="s">
        <v>30</v>
      </c>
      <c r="C2899" s="16">
        <v>46246</v>
      </c>
      <c r="D2899" s="82">
        <v>1396.08</v>
      </c>
    </row>
    <row r="2900" spans="1:4" x14ac:dyDescent="0.3">
      <c r="A2900" t="s">
        <v>31</v>
      </c>
      <c r="C2900" s="16">
        <v>46246</v>
      </c>
      <c r="D2900" s="82">
        <v>3700.7099999999591</v>
      </c>
    </row>
    <row r="2901" spans="1:4" x14ac:dyDescent="0.3">
      <c r="A2901" t="s">
        <v>32</v>
      </c>
      <c r="C2901" s="16">
        <v>46246</v>
      </c>
      <c r="D2901" s="82">
        <v>8724.1700000000037</v>
      </c>
    </row>
    <row r="2902" spans="1:4" x14ac:dyDescent="0.3">
      <c r="A2902" t="s">
        <v>33</v>
      </c>
      <c r="C2902" s="16">
        <v>46246</v>
      </c>
      <c r="D2902" s="82">
        <v>19336.039999999997</v>
      </c>
    </row>
    <row r="2903" spans="1:4" x14ac:dyDescent="0.3">
      <c r="A2903" t="s">
        <v>34</v>
      </c>
      <c r="C2903" s="16">
        <v>46246</v>
      </c>
      <c r="D2903" s="82">
        <v>345</v>
      </c>
    </row>
    <row r="2904" spans="1:4" x14ac:dyDescent="0.3">
      <c r="A2904" t="s">
        <v>35</v>
      </c>
      <c r="C2904" s="16">
        <v>46246</v>
      </c>
      <c r="D2904" s="82">
        <v>12470.040000000003</v>
      </c>
    </row>
    <row r="2905" spans="1:4" x14ac:dyDescent="0.3">
      <c r="A2905" t="s">
        <v>193</v>
      </c>
      <c r="C2905" s="16">
        <v>46246</v>
      </c>
      <c r="D2905" s="82">
        <v>0</v>
      </c>
    </row>
    <row r="2906" spans="1:4" x14ac:dyDescent="0.3">
      <c r="A2906" t="s">
        <v>214</v>
      </c>
      <c r="C2906" s="16">
        <v>46246</v>
      </c>
      <c r="D2906" s="82">
        <v>0</v>
      </c>
    </row>
    <row r="2907" spans="1:4" x14ac:dyDescent="0.3">
      <c r="A2907" t="s">
        <v>194</v>
      </c>
      <c r="C2907" s="16">
        <v>46246</v>
      </c>
      <c r="D2907" s="82">
        <v>0</v>
      </c>
    </row>
    <row r="2908" spans="1:4" x14ac:dyDescent="0.3">
      <c r="A2908" t="s">
        <v>195</v>
      </c>
      <c r="C2908" s="16">
        <v>46246</v>
      </c>
      <c r="D2908" s="82">
        <v>0</v>
      </c>
    </row>
    <row r="2909" spans="1:4" x14ac:dyDescent="0.3">
      <c r="A2909" t="s">
        <v>196</v>
      </c>
      <c r="C2909" s="16">
        <v>46246</v>
      </c>
      <c r="D2909" s="82">
        <v>0</v>
      </c>
    </row>
    <row r="2910" spans="1:4" x14ac:dyDescent="0.3">
      <c r="A2910" t="s">
        <v>197</v>
      </c>
      <c r="C2910" s="16">
        <v>46246</v>
      </c>
      <c r="D2910" s="82">
        <v>0</v>
      </c>
    </row>
    <row r="2911" spans="1:4" x14ac:dyDescent="0.3">
      <c r="A2911" t="s">
        <v>212</v>
      </c>
      <c r="C2911" s="16">
        <v>46246</v>
      </c>
      <c r="D2911" s="82">
        <v>0</v>
      </c>
    </row>
    <row r="2912" spans="1:4" x14ac:dyDescent="0.3">
      <c r="A2912" t="s">
        <v>199</v>
      </c>
      <c r="C2912" s="16">
        <v>46246</v>
      </c>
      <c r="D2912" s="82">
        <v>0</v>
      </c>
    </row>
    <row r="2913" spans="1:4" x14ac:dyDescent="0.3">
      <c r="A2913" t="s">
        <v>216</v>
      </c>
      <c r="C2913" s="16">
        <v>46246</v>
      </c>
      <c r="D2913" s="82">
        <v>0</v>
      </c>
    </row>
    <row r="2914" spans="1:4" x14ac:dyDescent="0.3">
      <c r="A2914" t="s">
        <v>17</v>
      </c>
      <c r="C2914" s="16">
        <v>46247</v>
      </c>
      <c r="D2914" s="82">
        <v>1041223.5800000004</v>
      </c>
    </row>
    <row r="2915" spans="1:4" x14ac:dyDescent="0.3">
      <c r="A2915" t="s">
        <v>18</v>
      </c>
      <c r="C2915" s="16">
        <v>46247</v>
      </c>
      <c r="D2915" s="82">
        <v>83211.250000000175</v>
      </c>
    </row>
    <row r="2916" spans="1:4" x14ac:dyDescent="0.3">
      <c r="A2916" t="s">
        <v>19</v>
      </c>
      <c r="C2916" s="16">
        <v>46247</v>
      </c>
      <c r="D2916" s="82">
        <v>1669.89</v>
      </c>
    </row>
    <row r="2917" spans="1:4" x14ac:dyDescent="0.3">
      <c r="A2917" t="s">
        <v>20</v>
      </c>
      <c r="C2917" s="16">
        <v>46247</v>
      </c>
      <c r="D2917" s="82">
        <v>1289451.94</v>
      </c>
    </row>
    <row r="2918" spans="1:4" x14ac:dyDescent="0.3">
      <c r="A2918" t="s">
        <v>21</v>
      </c>
      <c r="C2918" s="16">
        <v>46247</v>
      </c>
      <c r="D2918" s="82">
        <v>1418808.6399999997</v>
      </c>
    </row>
    <row r="2919" spans="1:4" x14ac:dyDescent="0.3">
      <c r="A2919" t="s">
        <v>22</v>
      </c>
      <c r="C2919" s="16">
        <v>46247</v>
      </c>
      <c r="D2919" s="82">
        <v>221496.38</v>
      </c>
    </row>
    <row r="2920" spans="1:4" x14ac:dyDescent="0.3">
      <c r="A2920" t="s">
        <v>23</v>
      </c>
      <c r="C2920" s="16">
        <v>46247</v>
      </c>
      <c r="D2920" s="82">
        <v>277582.47000000003</v>
      </c>
    </row>
    <row r="2921" spans="1:4" x14ac:dyDescent="0.3">
      <c r="A2921" t="s">
        <v>24</v>
      </c>
      <c r="C2921" s="16">
        <v>46247</v>
      </c>
      <c r="D2921" s="82">
        <v>13270.02</v>
      </c>
    </row>
    <row r="2922" spans="1:4" x14ac:dyDescent="0.3">
      <c r="A2922" t="s">
        <v>25</v>
      </c>
      <c r="C2922" s="16">
        <v>46247</v>
      </c>
      <c r="D2922" s="82">
        <v>24.450000000000003</v>
      </c>
    </row>
    <row r="2923" spans="1:4" x14ac:dyDescent="0.3">
      <c r="A2923" t="s">
        <v>26</v>
      </c>
      <c r="C2923" s="16">
        <v>46247</v>
      </c>
      <c r="D2923" s="82">
        <v>2177.87</v>
      </c>
    </row>
    <row r="2924" spans="1:4" x14ac:dyDescent="0.3">
      <c r="A2924" t="s">
        <v>27</v>
      </c>
      <c r="C2924" s="16">
        <v>46247</v>
      </c>
      <c r="D2924" s="82">
        <v>754424.72</v>
      </c>
    </row>
    <row r="2925" spans="1:4" x14ac:dyDescent="0.3">
      <c r="A2925" t="s">
        <v>28</v>
      </c>
      <c r="C2925" s="16">
        <v>46247</v>
      </c>
      <c r="D2925" s="82">
        <v>1968.99</v>
      </c>
    </row>
    <row r="2926" spans="1:4" x14ac:dyDescent="0.3">
      <c r="A2926" t="s">
        <v>29</v>
      </c>
      <c r="C2926" s="16">
        <v>46247</v>
      </c>
      <c r="D2926" s="82">
        <v>901.34</v>
      </c>
    </row>
    <row r="2927" spans="1:4" x14ac:dyDescent="0.3">
      <c r="A2927" t="s">
        <v>30</v>
      </c>
      <c r="C2927" s="16">
        <v>46247</v>
      </c>
      <c r="D2927" s="82">
        <v>1396.08</v>
      </c>
    </row>
    <row r="2928" spans="1:4" x14ac:dyDescent="0.3">
      <c r="A2928" t="s">
        <v>31</v>
      </c>
      <c r="C2928" s="16">
        <v>46247</v>
      </c>
      <c r="D2928" s="82">
        <v>13700.709999999959</v>
      </c>
    </row>
    <row r="2929" spans="1:4" x14ac:dyDescent="0.3">
      <c r="A2929" t="s">
        <v>32</v>
      </c>
      <c r="C2929" s="16">
        <v>46247</v>
      </c>
      <c r="D2929" s="82">
        <v>8724.1700000000037</v>
      </c>
    </row>
    <row r="2930" spans="1:4" x14ac:dyDescent="0.3">
      <c r="A2930" t="s">
        <v>33</v>
      </c>
      <c r="C2930" s="16">
        <v>46247</v>
      </c>
      <c r="D2930" s="82">
        <v>19336.039999999997</v>
      </c>
    </row>
    <row r="2931" spans="1:4" x14ac:dyDescent="0.3">
      <c r="A2931" t="s">
        <v>34</v>
      </c>
      <c r="C2931" s="16">
        <v>46247</v>
      </c>
      <c r="D2931" s="82">
        <v>345</v>
      </c>
    </row>
    <row r="2932" spans="1:4" x14ac:dyDescent="0.3">
      <c r="A2932" t="s">
        <v>35</v>
      </c>
      <c r="C2932" s="16">
        <v>46247</v>
      </c>
      <c r="D2932" s="82">
        <v>14740.900000000001</v>
      </c>
    </row>
    <row r="2933" spans="1:4" x14ac:dyDescent="0.3">
      <c r="A2933" t="s">
        <v>193</v>
      </c>
      <c r="C2933" s="16">
        <v>46247</v>
      </c>
      <c r="D2933" s="82">
        <v>0</v>
      </c>
    </row>
    <row r="2934" spans="1:4" x14ac:dyDescent="0.3">
      <c r="A2934" t="s">
        <v>214</v>
      </c>
      <c r="C2934" s="16">
        <v>46247</v>
      </c>
      <c r="D2934" s="82">
        <v>0</v>
      </c>
    </row>
    <row r="2935" spans="1:4" x14ac:dyDescent="0.3">
      <c r="A2935" t="s">
        <v>194</v>
      </c>
      <c r="C2935" s="16">
        <v>46247</v>
      </c>
      <c r="D2935" s="82">
        <v>0</v>
      </c>
    </row>
    <row r="2936" spans="1:4" x14ac:dyDescent="0.3">
      <c r="A2936" t="s">
        <v>195</v>
      </c>
      <c r="C2936" s="16">
        <v>46247</v>
      </c>
      <c r="D2936" s="82">
        <v>0</v>
      </c>
    </row>
    <row r="2937" spans="1:4" x14ac:dyDescent="0.3">
      <c r="A2937" t="s">
        <v>196</v>
      </c>
      <c r="C2937" s="16">
        <v>46247</v>
      </c>
      <c r="D2937" s="82">
        <v>0</v>
      </c>
    </row>
    <row r="2938" spans="1:4" x14ac:dyDescent="0.3">
      <c r="A2938" t="s">
        <v>197</v>
      </c>
      <c r="C2938" s="16">
        <v>46247</v>
      </c>
      <c r="D2938" s="82">
        <v>0</v>
      </c>
    </row>
    <row r="2939" spans="1:4" x14ac:dyDescent="0.3">
      <c r="A2939" t="s">
        <v>212</v>
      </c>
      <c r="C2939" s="16">
        <v>46247</v>
      </c>
      <c r="D2939" s="82">
        <v>0</v>
      </c>
    </row>
    <row r="2940" spans="1:4" x14ac:dyDescent="0.3">
      <c r="A2940" t="s">
        <v>199</v>
      </c>
      <c r="C2940" s="16">
        <v>46247</v>
      </c>
      <c r="D2940" s="82">
        <v>0</v>
      </c>
    </row>
    <row r="2941" spans="1:4" x14ac:dyDescent="0.3">
      <c r="A2941" t="s">
        <v>216</v>
      </c>
      <c r="C2941" s="16">
        <v>46247</v>
      </c>
      <c r="D2941" s="82">
        <v>0</v>
      </c>
    </row>
    <row r="2942" spans="1:4" x14ac:dyDescent="0.3">
      <c r="A2942" t="s">
        <v>17</v>
      </c>
      <c r="C2942" s="16">
        <v>46248</v>
      </c>
      <c r="D2942" s="82">
        <v>941223.58000000042</v>
      </c>
    </row>
    <row r="2943" spans="1:4" x14ac:dyDescent="0.3">
      <c r="A2943" t="s">
        <v>18</v>
      </c>
      <c r="C2943" s="16">
        <v>46248</v>
      </c>
      <c r="D2943" s="82">
        <v>83211.250000000175</v>
      </c>
    </row>
    <row r="2944" spans="1:4" x14ac:dyDescent="0.3">
      <c r="A2944" t="s">
        <v>19</v>
      </c>
      <c r="C2944" s="16">
        <v>46248</v>
      </c>
      <c r="D2944" s="82">
        <v>1669.89</v>
      </c>
    </row>
    <row r="2945" spans="1:4" x14ac:dyDescent="0.3">
      <c r="A2945" t="s">
        <v>20</v>
      </c>
      <c r="C2945" s="16">
        <v>46248</v>
      </c>
      <c r="D2945" s="82">
        <v>1289451.94</v>
      </c>
    </row>
    <row r="2946" spans="1:4" x14ac:dyDescent="0.3">
      <c r="A2946" t="s">
        <v>21</v>
      </c>
      <c r="C2946" s="16">
        <v>46248</v>
      </c>
      <c r="D2946" s="82">
        <v>1418808.6399999997</v>
      </c>
    </row>
    <row r="2947" spans="1:4" x14ac:dyDescent="0.3">
      <c r="A2947" t="s">
        <v>22</v>
      </c>
      <c r="C2947" s="16">
        <v>46248</v>
      </c>
      <c r="D2947" s="82">
        <v>221496.38</v>
      </c>
    </row>
    <row r="2948" spans="1:4" x14ac:dyDescent="0.3">
      <c r="A2948" t="s">
        <v>23</v>
      </c>
      <c r="C2948" s="16">
        <v>46248</v>
      </c>
      <c r="D2948" s="82">
        <v>277586.34000000003</v>
      </c>
    </row>
    <row r="2949" spans="1:4" x14ac:dyDescent="0.3">
      <c r="A2949" t="s">
        <v>24</v>
      </c>
      <c r="C2949" s="16">
        <v>46248</v>
      </c>
      <c r="D2949" s="82">
        <v>13270.02</v>
      </c>
    </row>
    <row r="2950" spans="1:4" x14ac:dyDescent="0.3">
      <c r="A2950" t="s">
        <v>25</v>
      </c>
      <c r="C2950" s="16">
        <v>46248</v>
      </c>
      <c r="D2950" s="82">
        <v>24.450000000000003</v>
      </c>
    </row>
    <row r="2951" spans="1:4" x14ac:dyDescent="0.3">
      <c r="A2951" t="s">
        <v>26</v>
      </c>
      <c r="C2951" s="16">
        <v>46248</v>
      </c>
      <c r="D2951" s="82">
        <v>2177.87</v>
      </c>
    </row>
    <row r="2952" spans="1:4" x14ac:dyDescent="0.3">
      <c r="A2952" t="s">
        <v>27</v>
      </c>
      <c r="C2952" s="16">
        <v>46248</v>
      </c>
      <c r="D2952" s="82">
        <v>754424.72</v>
      </c>
    </row>
    <row r="2953" spans="1:4" x14ac:dyDescent="0.3">
      <c r="A2953" t="s">
        <v>28</v>
      </c>
      <c r="C2953" s="16">
        <v>46248</v>
      </c>
      <c r="D2953" s="82">
        <v>1968.99</v>
      </c>
    </row>
    <row r="2954" spans="1:4" x14ac:dyDescent="0.3">
      <c r="A2954" t="s">
        <v>29</v>
      </c>
      <c r="C2954" s="16">
        <v>46248</v>
      </c>
      <c r="D2954" s="82">
        <v>901.34</v>
      </c>
    </row>
    <row r="2955" spans="1:4" x14ac:dyDescent="0.3">
      <c r="A2955" t="s">
        <v>30</v>
      </c>
      <c r="C2955" s="16">
        <v>46248</v>
      </c>
      <c r="D2955" s="82">
        <v>1396.08</v>
      </c>
    </row>
    <row r="2956" spans="1:4" x14ac:dyDescent="0.3">
      <c r="A2956" t="s">
        <v>31</v>
      </c>
      <c r="C2956" s="16">
        <v>46248</v>
      </c>
      <c r="D2956" s="82">
        <v>13685.709999999959</v>
      </c>
    </row>
    <row r="2957" spans="1:4" x14ac:dyDescent="0.3">
      <c r="A2957" t="s">
        <v>32</v>
      </c>
      <c r="C2957" s="16">
        <v>46248</v>
      </c>
      <c r="D2957" s="82">
        <v>8724.1700000000037</v>
      </c>
    </row>
    <row r="2958" spans="1:4" x14ac:dyDescent="0.3">
      <c r="A2958" t="s">
        <v>33</v>
      </c>
      <c r="C2958" s="16">
        <v>46248</v>
      </c>
      <c r="D2958" s="82">
        <v>19336.039999999997</v>
      </c>
    </row>
    <row r="2959" spans="1:4" x14ac:dyDescent="0.3">
      <c r="A2959" t="s">
        <v>34</v>
      </c>
      <c r="C2959" s="16">
        <v>46248</v>
      </c>
      <c r="D2959" s="82">
        <v>345</v>
      </c>
    </row>
    <row r="2960" spans="1:4" x14ac:dyDescent="0.3">
      <c r="A2960" t="s">
        <v>35</v>
      </c>
      <c r="C2960" s="16">
        <v>46248</v>
      </c>
      <c r="D2960" s="82">
        <v>14740.900000000001</v>
      </c>
    </row>
    <row r="2961" spans="1:4" x14ac:dyDescent="0.3">
      <c r="A2961" t="s">
        <v>193</v>
      </c>
      <c r="C2961" s="16">
        <v>46248</v>
      </c>
      <c r="D2961" s="82">
        <v>0</v>
      </c>
    </row>
    <row r="2962" spans="1:4" x14ac:dyDescent="0.3">
      <c r="A2962" t="s">
        <v>214</v>
      </c>
      <c r="C2962" s="16">
        <v>46248</v>
      </c>
      <c r="D2962" s="82">
        <v>0</v>
      </c>
    </row>
    <row r="2963" spans="1:4" x14ac:dyDescent="0.3">
      <c r="A2963" t="s">
        <v>194</v>
      </c>
      <c r="C2963" s="16">
        <v>46248</v>
      </c>
      <c r="D2963" s="82">
        <v>0</v>
      </c>
    </row>
    <row r="2964" spans="1:4" x14ac:dyDescent="0.3">
      <c r="A2964" t="s">
        <v>195</v>
      </c>
      <c r="C2964" s="16">
        <v>46248</v>
      </c>
      <c r="D2964" s="82">
        <v>0</v>
      </c>
    </row>
    <row r="2965" spans="1:4" x14ac:dyDescent="0.3">
      <c r="A2965" t="s">
        <v>196</v>
      </c>
      <c r="C2965" s="16">
        <v>46248</v>
      </c>
      <c r="D2965" s="82">
        <v>0</v>
      </c>
    </row>
    <row r="2966" spans="1:4" x14ac:dyDescent="0.3">
      <c r="A2966" t="s">
        <v>197</v>
      </c>
      <c r="C2966" s="16">
        <v>46248</v>
      </c>
      <c r="D2966" s="82">
        <v>0</v>
      </c>
    </row>
    <row r="2967" spans="1:4" x14ac:dyDescent="0.3">
      <c r="A2967" t="s">
        <v>212</v>
      </c>
      <c r="C2967" s="16">
        <v>46248</v>
      </c>
      <c r="D2967" s="82">
        <v>0</v>
      </c>
    </row>
    <row r="2968" spans="1:4" x14ac:dyDescent="0.3">
      <c r="A2968" t="s">
        <v>199</v>
      </c>
      <c r="C2968" s="16">
        <v>46248</v>
      </c>
      <c r="D2968" s="82">
        <v>0</v>
      </c>
    </row>
    <row r="2969" spans="1:4" x14ac:dyDescent="0.3">
      <c r="A2969" t="s">
        <v>216</v>
      </c>
      <c r="C2969" s="16">
        <v>46248</v>
      </c>
      <c r="D2969" s="82">
        <v>0</v>
      </c>
    </row>
    <row r="2970" spans="1:4" x14ac:dyDescent="0.3">
      <c r="A2970" t="s">
        <v>17</v>
      </c>
      <c r="C2970" s="16">
        <v>46249</v>
      </c>
      <c r="D2970" s="82">
        <v>941223.58000000042</v>
      </c>
    </row>
    <row r="2971" spans="1:4" x14ac:dyDescent="0.3">
      <c r="A2971" t="s">
        <v>18</v>
      </c>
      <c r="C2971" s="16">
        <v>46249</v>
      </c>
      <c r="D2971" s="82">
        <v>83211.250000000175</v>
      </c>
    </row>
    <row r="2972" spans="1:4" x14ac:dyDescent="0.3">
      <c r="A2972" t="s">
        <v>19</v>
      </c>
      <c r="C2972" s="16">
        <v>46249</v>
      </c>
      <c r="D2972" s="82">
        <v>1669.89</v>
      </c>
    </row>
    <row r="2973" spans="1:4" x14ac:dyDescent="0.3">
      <c r="A2973" t="s">
        <v>20</v>
      </c>
      <c r="C2973" s="16">
        <v>46249</v>
      </c>
      <c r="D2973" s="82">
        <v>1289451.94</v>
      </c>
    </row>
    <row r="2974" spans="1:4" x14ac:dyDescent="0.3">
      <c r="A2974" t="s">
        <v>21</v>
      </c>
      <c r="C2974" s="16">
        <v>46249</v>
      </c>
      <c r="D2974" s="82">
        <v>1418808.6399999997</v>
      </c>
    </row>
    <row r="2975" spans="1:4" x14ac:dyDescent="0.3">
      <c r="A2975" t="s">
        <v>22</v>
      </c>
      <c r="C2975" s="16">
        <v>46249</v>
      </c>
      <c r="D2975" s="82">
        <v>221496.38</v>
      </c>
    </row>
    <row r="2976" spans="1:4" x14ac:dyDescent="0.3">
      <c r="A2976" t="s">
        <v>23</v>
      </c>
      <c r="C2976" s="16">
        <v>46249</v>
      </c>
      <c r="D2976" s="82">
        <v>277586.34000000003</v>
      </c>
    </row>
    <row r="2977" spans="1:4" x14ac:dyDescent="0.3">
      <c r="A2977" t="s">
        <v>24</v>
      </c>
      <c r="C2977" s="16">
        <v>46249</v>
      </c>
      <c r="D2977" s="82">
        <v>13270.02</v>
      </c>
    </row>
    <row r="2978" spans="1:4" x14ac:dyDescent="0.3">
      <c r="A2978" t="s">
        <v>25</v>
      </c>
      <c r="C2978" s="16">
        <v>46249</v>
      </c>
      <c r="D2978" s="82">
        <v>24.450000000000003</v>
      </c>
    </row>
    <row r="2979" spans="1:4" x14ac:dyDescent="0.3">
      <c r="A2979" t="s">
        <v>26</v>
      </c>
      <c r="C2979" s="16">
        <v>46249</v>
      </c>
      <c r="D2979" s="82">
        <v>2177.87</v>
      </c>
    </row>
    <row r="2980" spans="1:4" x14ac:dyDescent="0.3">
      <c r="A2980" t="s">
        <v>27</v>
      </c>
      <c r="C2980" s="16">
        <v>46249</v>
      </c>
      <c r="D2980" s="82">
        <v>754424.72</v>
      </c>
    </row>
    <row r="2981" spans="1:4" x14ac:dyDescent="0.3">
      <c r="A2981" t="s">
        <v>28</v>
      </c>
      <c r="C2981" s="16">
        <v>46249</v>
      </c>
      <c r="D2981" s="82">
        <v>1968.99</v>
      </c>
    </row>
    <row r="2982" spans="1:4" x14ac:dyDescent="0.3">
      <c r="A2982" t="s">
        <v>29</v>
      </c>
      <c r="C2982" s="16">
        <v>46249</v>
      </c>
      <c r="D2982" s="82">
        <v>901.34</v>
      </c>
    </row>
    <row r="2983" spans="1:4" x14ac:dyDescent="0.3">
      <c r="A2983" t="s">
        <v>30</v>
      </c>
      <c r="C2983" s="16">
        <v>46249</v>
      </c>
      <c r="D2983" s="82">
        <v>1396.08</v>
      </c>
    </row>
    <row r="2984" spans="1:4" x14ac:dyDescent="0.3">
      <c r="A2984" t="s">
        <v>31</v>
      </c>
      <c r="C2984" s="16">
        <v>46249</v>
      </c>
      <c r="D2984" s="82">
        <v>13685.709999999959</v>
      </c>
    </row>
    <row r="2985" spans="1:4" x14ac:dyDescent="0.3">
      <c r="A2985" t="s">
        <v>32</v>
      </c>
      <c r="C2985" s="16">
        <v>46249</v>
      </c>
      <c r="D2985" s="82">
        <v>8724.1700000000037</v>
      </c>
    </row>
    <row r="2986" spans="1:4" x14ac:dyDescent="0.3">
      <c r="A2986" t="s">
        <v>33</v>
      </c>
      <c r="C2986" s="16">
        <v>46249</v>
      </c>
      <c r="D2986" s="82">
        <v>19336.039999999997</v>
      </c>
    </row>
    <row r="2987" spans="1:4" x14ac:dyDescent="0.3">
      <c r="A2987" t="s">
        <v>34</v>
      </c>
      <c r="C2987" s="16">
        <v>46249</v>
      </c>
      <c r="D2987" s="82">
        <v>345</v>
      </c>
    </row>
    <row r="2988" spans="1:4" x14ac:dyDescent="0.3">
      <c r="A2988" t="s">
        <v>35</v>
      </c>
      <c r="C2988" s="16">
        <v>46249</v>
      </c>
      <c r="D2988" s="82">
        <v>14740.900000000001</v>
      </c>
    </row>
    <row r="2989" spans="1:4" x14ac:dyDescent="0.3">
      <c r="A2989" t="s">
        <v>193</v>
      </c>
      <c r="C2989" s="16">
        <v>46249</v>
      </c>
      <c r="D2989" s="82">
        <v>0</v>
      </c>
    </row>
    <row r="2990" spans="1:4" x14ac:dyDescent="0.3">
      <c r="A2990" t="s">
        <v>214</v>
      </c>
      <c r="C2990" s="16">
        <v>46249</v>
      </c>
      <c r="D2990" s="82">
        <v>0</v>
      </c>
    </row>
    <row r="2991" spans="1:4" x14ac:dyDescent="0.3">
      <c r="A2991" t="s">
        <v>194</v>
      </c>
      <c r="C2991" s="16">
        <v>46249</v>
      </c>
      <c r="D2991" s="82">
        <v>0</v>
      </c>
    </row>
    <row r="2992" spans="1:4" x14ac:dyDescent="0.3">
      <c r="A2992" t="s">
        <v>195</v>
      </c>
      <c r="C2992" s="16">
        <v>46249</v>
      </c>
      <c r="D2992" s="82">
        <v>0</v>
      </c>
    </row>
    <row r="2993" spans="1:4" x14ac:dyDescent="0.3">
      <c r="A2993" t="s">
        <v>196</v>
      </c>
      <c r="C2993" s="16">
        <v>46249</v>
      </c>
      <c r="D2993" s="82">
        <v>0</v>
      </c>
    </row>
    <row r="2994" spans="1:4" x14ac:dyDescent="0.3">
      <c r="A2994" t="s">
        <v>197</v>
      </c>
      <c r="C2994" s="16">
        <v>46249</v>
      </c>
      <c r="D2994" s="82">
        <v>0</v>
      </c>
    </row>
    <row r="2995" spans="1:4" x14ac:dyDescent="0.3">
      <c r="A2995" t="s">
        <v>212</v>
      </c>
      <c r="C2995" s="16">
        <v>46249</v>
      </c>
      <c r="D2995" s="82">
        <v>0</v>
      </c>
    </row>
    <row r="2996" spans="1:4" x14ac:dyDescent="0.3">
      <c r="A2996" t="s">
        <v>199</v>
      </c>
      <c r="C2996" s="16">
        <v>46249</v>
      </c>
      <c r="D2996" s="82">
        <v>0</v>
      </c>
    </row>
    <row r="2997" spans="1:4" x14ac:dyDescent="0.3">
      <c r="A2997" t="s">
        <v>216</v>
      </c>
      <c r="C2997" s="16">
        <v>46249</v>
      </c>
      <c r="D2997" s="82">
        <v>0</v>
      </c>
    </row>
    <row r="2998" spans="1:4" x14ac:dyDescent="0.3">
      <c r="A2998" t="s">
        <v>17</v>
      </c>
      <c r="C2998" s="16">
        <v>46250</v>
      </c>
      <c r="D2998" s="82">
        <v>941223.58000000042</v>
      </c>
    </row>
    <row r="2999" spans="1:4" x14ac:dyDescent="0.3">
      <c r="A2999" t="s">
        <v>18</v>
      </c>
      <c r="C2999" s="16">
        <v>46250</v>
      </c>
      <c r="D2999" s="82">
        <v>83211.250000000175</v>
      </c>
    </row>
    <row r="3000" spans="1:4" x14ac:dyDescent="0.3">
      <c r="A3000" t="s">
        <v>19</v>
      </c>
      <c r="C3000" s="16">
        <v>46250</v>
      </c>
      <c r="D3000" s="82">
        <v>1669.89</v>
      </c>
    </row>
    <row r="3001" spans="1:4" x14ac:dyDescent="0.3">
      <c r="A3001" t="s">
        <v>20</v>
      </c>
      <c r="C3001" s="16">
        <v>46250</v>
      </c>
      <c r="D3001" s="82">
        <v>1289451.94</v>
      </c>
    </row>
    <row r="3002" spans="1:4" x14ac:dyDescent="0.3">
      <c r="A3002" t="s">
        <v>21</v>
      </c>
      <c r="C3002" s="16">
        <v>46250</v>
      </c>
      <c r="D3002" s="82">
        <v>1418808.6399999997</v>
      </c>
    </row>
    <row r="3003" spans="1:4" x14ac:dyDescent="0.3">
      <c r="A3003" t="s">
        <v>22</v>
      </c>
      <c r="C3003" s="16">
        <v>46250</v>
      </c>
      <c r="D3003" s="82">
        <v>221496.38</v>
      </c>
    </row>
    <row r="3004" spans="1:4" x14ac:dyDescent="0.3">
      <c r="A3004" t="s">
        <v>23</v>
      </c>
      <c r="C3004" s="16">
        <v>46250</v>
      </c>
      <c r="D3004" s="82">
        <v>277586.34000000003</v>
      </c>
    </row>
    <row r="3005" spans="1:4" x14ac:dyDescent="0.3">
      <c r="A3005" t="s">
        <v>24</v>
      </c>
      <c r="C3005" s="16">
        <v>46250</v>
      </c>
      <c r="D3005" s="82">
        <v>13270.02</v>
      </c>
    </row>
    <row r="3006" spans="1:4" x14ac:dyDescent="0.3">
      <c r="A3006" t="s">
        <v>25</v>
      </c>
      <c r="C3006" s="16">
        <v>46250</v>
      </c>
      <c r="D3006" s="82">
        <v>24.450000000000003</v>
      </c>
    </row>
    <row r="3007" spans="1:4" x14ac:dyDescent="0.3">
      <c r="A3007" t="s">
        <v>26</v>
      </c>
      <c r="C3007" s="16">
        <v>46250</v>
      </c>
      <c r="D3007" s="82">
        <v>2177.87</v>
      </c>
    </row>
    <row r="3008" spans="1:4" x14ac:dyDescent="0.3">
      <c r="A3008" t="s">
        <v>27</v>
      </c>
      <c r="C3008" s="16">
        <v>46250</v>
      </c>
      <c r="D3008" s="82">
        <v>754424.72</v>
      </c>
    </row>
    <row r="3009" spans="1:4" x14ac:dyDescent="0.3">
      <c r="A3009" t="s">
        <v>28</v>
      </c>
      <c r="C3009" s="16">
        <v>46250</v>
      </c>
      <c r="D3009" s="82">
        <v>1968.99</v>
      </c>
    </row>
    <row r="3010" spans="1:4" x14ac:dyDescent="0.3">
      <c r="A3010" t="s">
        <v>29</v>
      </c>
      <c r="C3010" s="16">
        <v>46250</v>
      </c>
      <c r="D3010" s="82">
        <v>901.34</v>
      </c>
    </row>
    <row r="3011" spans="1:4" x14ac:dyDescent="0.3">
      <c r="A3011" t="s">
        <v>30</v>
      </c>
      <c r="C3011" s="16">
        <v>46250</v>
      </c>
      <c r="D3011" s="82">
        <v>1396.08</v>
      </c>
    </row>
    <row r="3012" spans="1:4" x14ac:dyDescent="0.3">
      <c r="A3012" t="s">
        <v>31</v>
      </c>
      <c r="C3012" s="16">
        <v>46250</v>
      </c>
      <c r="D3012" s="82">
        <v>13685.709999999959</v>
      </c>
    </row>
    <row r="3013" spans="1:4" x14ac:dyDescent="0.3">
      <c r="A3013" t="s">
        <v>32</v>
      </c>
      <c r="C3013" s="16">
        <v>46250</v>
      </c>
      <c r="D3013" s="82">
        <v>8724.1700000000037</v>
      </c>
    </row>
    <row r="3014" spans="1:4" x14ac:dyDescent="0.3">
      <c r="A3014" t="s">
        <v>33</v>
      </c>
      <c r="C3014" s="16">
        <v>46250</v>
      </c>
      <c r="D3014" s="82">
        <v>19336.039999999997</v>
      </c>
    </row>
    <row r="3015" spans="1:4" x14ac:dyDescent="0.3">
      <c r="A3015" t="s">
        <v>34</v>
      </c>
      <c r="C3015" s="16">
        <v>46250</v>
      </c>
      <c r="D3015" s="82">
        <v>345</v>
      </c>
    </row>
    <row r="3016" spans="1:4" x14ac:dyDescent="0.3">
      <c r="A3016" t="s">
        <v>35</v>
      </c>
      <c r="C3016" s="16">
        <v>46250</v>
      </c>
      <c r="D3016" s="82">
        <v>14740.900000000001</v>
      </c>
    </row>
    <row r="3017" spans="1:4" x14ac:dyDescent="0.3">
      <c r="A3017" t="s">
        <v>193</v>
      </c>
      <c r="C3017" s="16">
        <v>46250</v>
      </c>
      <c r="D3017" s="82">
        <v>0</v>
      </c>
    </row>
    <row r="3018" spans="1:4" x14ac:dyDescent="0.3">
      <c r="A3018" t="s">
        <v>214</v>
      </c>
      <c r="C3018" s="16">
        <v>46250</v>
      </c>
      <c r="D3018" s="82">
        <v>0</v>
      </c>
    </row>
    <row r="3019" spans="1:4" x14ac:dyDescent="0.3">
      <c r="A3019" t="s">
        <v>194</v>
      </c>
      <c r="C3019" s="16">
        <v>46250</v>
      </c>
      <c r="D3019" s="82">
        <v>0</v>
      </c>
    </row>
    <row r="3020" spans="1:4" x14ac:dyDescent="0.3">
      <c r="A3020" t="s">
        <v>195</v>
      </c>
      <c r="C3020" s="16">
        <v>46250</v>
      </c>
      <c r="D3020" s="82">
        <v>0</v>
      </c>
    </row>
    <row r="3021" spans="1:4" x14ac:dyDescent="0.3">
      <c r="A3021" t="s">
        <v>196</v>
      </c>
      <c r="C3021" s="16">
        <v>46250</v>
      </c>
      <c r="D3021" s="82">
        <v>0</v>
      </c>
    </row>
    <row r="3022" spans="1:4" x14ac:dyDescent="0.3">
      <c r="A3022" t="s">
        <v>197</v>
      </c>
      <c r="C3022" s="16">
        <v>46250</v>
      </c>
      <c r="D3022" s="82">
        <v>0</v>
      </c>
    </row>
    <row r="3023" spans="1:4" x14ac:dyDescent="0.3">
      <c r="A3023" t="s">
        <v>212</v>
      </c>
      <c r="C3023" s="16">
        <v>46250</v>
      </c>
      <c r="D3023" s="82">
        <v>0</v>
      </c>
    </row>
    <row r="3024" spans="1:4" x14ac:dyDescent="0.3">
      <c r="A3024" t="s">
        <v>199</v>
      </c>
      <c r="C3024" s="16">
        <v>46250</v>
      </c>
      <c r="D3024" s="82">
        <v>0</v>
      </c>
    </row>
    <row r="3025" spans="1:4" x14ac:dyDescent="0.3">
      <c r="A3025" t="s">
        <v>216</v>
      </c>
      <c r="C3025" s="16">
        <v>46250</v>
      </c>
      <c r="D3025" s="82">
        <v>0</v>
      </c>
    </row>
    <row r="3026" spans="1:4" x14ac:dyDescent="0.3">
      <c r="A3026" t="s">
        <v>17</v>
      </c>
      <c r="C3026" s="16">
        <v>46251</v>
      </c>
      <c r="D3026" s="82">
        <v>941223.58000000042</v>
      </c>
    </row>
    <row r="3027" spans="1:4" x14ac:dyDescent="0.3">
      <c r="A3027" t="s">
        <v>18</v>
      </c>
      <c r="C3027" s="16">
        <v>46251</v>
      </c>
      <c r="D3027" s="82">
        <v>83211.250000000175</v>
      </c>
    </row>
    <row r="3028" spans="1:4" x14ac:dyDescent="0.3">
      <c r="A3028" t="s">
        <v>19</v>
      </c>
      <c r="C3028" s="16">
        <v>46251</v>
      </c>
      <c r="D3028" s="82">
        <v>1669.89</v>
      </c>
    </row>
    <row r="3029" spans="1:4" x14ac:dyDescent="0.3">
      <c r="A3029" t="s">
        <v>20</v>
      </c>
      <c r="C3029" s="16">
        <v>46251</v>
      </c>
      <c r="D3029" s="82">
        <v>1289031.3399999999</v>
      </c>
    </row>
    <row r="3030" spans="1:4" x14ac:dyDescent="0.3">
      <c r="A3030" t="s">
        <v>21</v>
      </c>
      <c r="C3030" s="16">
        <v>46251</v>
      </c>
      <c r="D3030" s="82">
        <v>1383977.5499999996</v>
      </c>
    </row>
    <row r="3031" spans="1:4" x14ac:dyDescent="0.3">
      <c r="A3031" t="s">
        <v>22</v>
      </c>
      <c r="C3031" s="16">
        <v>46251</v>
      </c>
      <c r="D3031" s="82">
        <v>221496.38</v>
      </c>
    </row>
    <row r="3032" spans="1:4" x14ac:dyDescent="0.3">
      <c r="A3032" t="s">
        <v>23</v>
      </c>
      <c r="C3032" s="16">
        <v>46251</v>
      </c>
      <c r="D3032" s="82">
        <v>277586.34000000003</v>
      </c>
    </row>
    <row r="3033" spans="1:4" x14ac:dyDescent="0.3">
      <c r="A3033" t="s">
        <v>24</v>
      </c>
      <c r="C3033" s="16">
        <v>46251</v>
      </c>
      <c r="D3033" s="82">
        <v>13270.02</v>
      </c>
    </row>
    <row r="3034" spans="1:4" x14ac:dyDescent="0.3">
      <c r="A3034" t="s">
        <v>25</v>
      </c>
      <c r="C3034" s="16">
        <v>46251</v>
      </c>
      <c r="D3034" s="82">
        <v>24.450000000000003</v>
      </c>
    </row>
    <row r="3035" spans="1:4" x14ac:dyDescent="0.3">
      <c r="A3035" t="s">
        <v>26</v>
      </c>
      <c r="C3035" s="16">
        <v>46251</v>
      </c>
      <c r="D3035" s="82">
        <v>2177.87</v>
      </c>
    </row>
    <row r="3036" spans="1:4" x14ac:dyDescent="0.3">
      <c r="A3036" t="s">
        <v>27</v>
      </c>
      <c r="C3036" s="16">
        <v>46251</v>
      </c>
      <c r="D3036" s="82">
        <v>754424.72</v>
      </c>
    </row>
    <row r="3037" spans="1:4" x14ac:dyDescent="0.3">
      <c r="A3037" t="s">
        <v>28</v>
      </c>
      <c r="C3037" s="16">
        <v>46251</v>
      </c>
      <c r="D3037" s="82">
        <v>1968.99</v>
      </c>
    </row>
    <row r="3038" spans="1:4" x14ac:dyDescent="0.3">
      <c r="A3038" t="s">
        <v>29</v>
      </c>
      <c r="C3038" s="16">
        <v>46251</v>
      </c>
      <c r="D3038" s="82">
        <v>901.34</v>
      </c>
    </row>
    <row r="3039" spans="1:4" x14ac:dyDescent="0.3">
      <c r="A3039" t="s">
        <v>30</v>
      </c>
      <c r="C3039" s="16">
        <v>46251</v>
      </c>
      <c r="D3039" s="82">
        <v>1396.08</v>
      </c>
    </row>
    <row r="3040" spans="1:4" x14ac:dyDescent="0.3">
      <c r="A3040" t="s">
        <v>31</v>
      </c>
      <c r="C3040" s="16">
        <v>46251</v>
      </c>
      <c r="D3040" s="82">
        <v>13685.709999999959</v>
      </c>
    </row>
    <row r="3041" spans="1:4" x14ac:dyDescent="0.3">
      <c r="A3041" t="s">
        <v>32</v>
      </c>
      <c r="C3041" s="16">
        <v>46251</v>
      </c>
      <c r="D3041" s="82">
        <v>8724.1700000000037</v>
      </c>
    </row>
    <row r="3042" spans="1:4" x14ac:dyDescent="0.3">
      <c r="A3042" t="s">
        <v>33</v>
      </c>
      <c r="C3042" s="16">
        <v>46251</v>
      </c>
      <c r="D3042" s="82">
        <v>19336.039999999997</v>
      </c>
    </row>
    <row r="3043" spans="1:4" x14ac:dyDescent="0.3">
      <c r="A3043" t="s">
        <v>34</v>
      </c>
      <c r="C3043" s="16">
        <v>46251</v>
      </c>
      <c r="D3043" s="82">
        <v>345</v>
      </c>
    </row>
    <row r="3044" spans="1:4" x14ac:dyDescent="0.3">
      <c r="A3044" t="s">
        <v>35</v>
      </c>
      <c r="C3044" s="16">
        <v>46251</v>
      </c>
      <c r="D3044" s="82">
        <v>14565.900000000001</v>
      </c>
    </row>
    <row r="3045" spans="1:4" x14ac:dyDescent="0.3">
      <c r="A3045" t="s">
        <v>193</v>
      </c>
      <c r="C3045" s="16">
        <v>46251</v>
      </c>
      <c r="D3045" s="82">
        <v>0</v>
      </c>
    </row>
    <row r="3046" spans="1:4" x14ac:dyDescent="0.3">
      <c r="A3046" t="s">
        <v>214</v>
      </c>
      <c r="C3046" s="16">
        <v>46251</v>
      </c>
      <c r="D3046" s="82">
        <v>0</v>
      </c>
    </row>
    <row r="3047" spans="1:4" x14ac:dyDescent="0.3">
      <c r="A3047" t="s">
        <v>194</v>
      </c>
      <c r="C3047" s="16">
        <v>46251</v>
      </c>
      <c r="D3047" s="82">
        <v>0</v>
      </c>
    </row>
    <row r="3048" spans="1:4" x14ac:dyDescent="0.3">
      <c r="A3048" t="s">
        <v>195</v>
      </c>
      <c r="C3048" s="16">
        <v>46251</v>
      </c>
      <c r="D3048" s="82">
        <v>0</v>
      </c>
    </row>
    <row r="3049" spans="1:4" x14ac:dyDescent="0.3">
      <c r="A3049" t="s">
        <v>196</v>
      </c>
      <c r="C3049" s="16">
        <v>46251</v>
      </c>
      <c r="D3049" s="82">
        <v>0</v>
      </c>
    </row>
    <row r="3050" spans="1:4" x14ac:dyDescent="0.3">
      <c r="A3050" t="s">
        <v>197</v>
      </c>
      <c r="C3050" s="16">
        <v>46251</v>
      </c>
      <c r="D3050" s="82">
        <v>0</v>
      </c>
    </row>
    <row r="3051" spans="1:4" x14ac:dyDescent="0.3">
      <c r="A3051" t="s">
        <v>212</v>
      </c>
      <c r="C3051" s="16">
        <v>46251</v>
      </c>
      <c r="D3051" s="82">
        <v>0</v>
      </c>
    </row>
    <row r="3052" spans="1:4" x14ac:dyDescent="0.3">
      <c r="A3052" t="s">
        <v>199</v>
      </c>
      <c r="C3052" s="16">
        <v>46251</v>
      </c>
      <c r="D3052" s="82">
        <v>0</v>
      </c>
    </row>
    <row r="3053" spans="1:4" x14ac:dyDescent="0.3">
      <c r="A3053" t="s">
        <v>216</v>
      </c>
      <c r="C3053" s="16">
        <v>46251</v>
      </c>
      <c r="D3053" s="82">
        <v>0</v>
      </c>
    </row>
    <row r="3054" spans="1:4" x14ac:dyDescent="0.3">
      <c r="A3054" t="s">
        <v>17</v>
      </c>
      <c r="C3054" s="16">
        <v>46252</v>
      </c>
      <c r="D3054" s="82">
        <v>1047085.3600000005</v>
      </c>
    </row>
    <row r="3055" spans="1:4" x14ac:dyDescent="0.3">
      <c r="A3055" t="s">
        <v>18</v>
      </c>
      <c r="C3055" s="16">
        <v>46252</v>
      </c>
      <c r="D3055" s="82">
        <v>83211.250000000175</v>
      </c>
    </row>
    <row r="3056" spans="1:4" x14ac:dyDescent="0.3">
      <c r="A3056" t="s">
        <v>19</v>
      </c>
      <c r="C3056" s="16">
        <v>46252</v>
      </c>
      <c r="D3056" s="82">
        <v>1669.89</v>
      </c>
    </row>
    <row r="3057" spans="1:4" x14ac:dyDescent="0.3">
      <c r="A3057" t="s">
        <v>20</v>
      </c>
      <c r="C3057" s="16">
        <v>46252</v>
      </c>
      <c r="D3057" s="82">
        <v>1289031.3399999999</v>
      </c>
    </row>
    <row r="3058" spans="1:4" x14ac:dyDescent="0.3">
      <c r="A3058" t="s">
        <v>21</v>
      </c>
      <c r="C3058" s="16">
        <v>46252</v>
      </c>
      <c r="D3058" s="82">
        <v>1381487.1899999995</v>
      </c>
    </row>
    <row r="3059" spans="1:4" x14ac:dyDescent="0.3">
      <c r="A3059" t="s">
        <v>22</v>
      </c>
      <c r="C3059" s="16">
        <v>46252</v>
      </c>
      <c r="D3059" s="82">
        <v>221496.38</v>
      </c>
    </row>
    <row r="3060" spans="1:4" x14ac:dyDescent="0.3">
      <c r="A3060" t="s">
        <v>23</v>
      </c>
      <c r="C3060" s="16">
        <v>46252</v>
      </c>
      <c r="D3060" s="82">
        <v>277586.34000000003</v>
      </c>
    </row>
    <row r="3061" spans="1:4" x14ac:dyDescent="0.3">
      <c r="A3061" t="s">
        <v>24</v>
      </c>
      <c r="C3061" s="16">
        <v>46252</v>
      </c>
      <c r="D3061" s="82">
        <v>13270.02</v>
      </c>
    </row>
    <row r="3062" spans="1:4" x14ac:dyDescent="0.3">
      <c r="A3062" t="s">
        <v>25</v>
      </c>
      <c r="C3062" s="16">
        <v>46252</v>
      </c>
      <c r="D3062" s="82">
        <v>24.450000000000003</v>
      </c>
    </row>
    <row r="3063" spans="1:4" x14ac:dyDescent="0.3">
      <c r="A3063" t="s">
        <v>26</v>
      </c>
      <c r="C3063" s="16">
        <v>46252</v>
      </c>
      <c r="D3063" s="82">
        <v>2177.87</v>
      </c>
    </row>
    <row r="3064" spans="1:4" x14ac:dyDescent="0.3">
      <c r="A3064" t="s">
        <v>27</v>
      </c>
      <c r="C3064" s="16">
        <v>46252</v>
      </c>
      <c r="D3064" s="82">
        <v>754424.72</v>
      </c>
    </row>
    <row r="3065" spans="1:4" x14ac:dyDescent="0.3">
      <c r="A3065" t="s">
        <v>28</v>
      </c>
      <c r="C3065" s="16">
        <v>46252</v>
      </c>
      <c r="D3065" s="82">
        <v>1968.99</v>
      </c>
    </row>
    <row r="3066" spans="1:4" x14ac:dyDescent="0.3">
      <c r="A3066" t="s">
        <v>29</v>
      </c>
      <c r="C3066" s="16">
        <v>46252</v>
      </c>
      <c r="D3066" s="82">
        <v>901.34</v>
      </c>
    </row>
    <row r="3067" spans="1:4" x14ac:dyDescent="0.3">
      <c r="A3067" t="s">
        <v>30</v>
      </c>
      <c r="C3067" s="16">
        <v>46252</v>
      </c>
      <c r="D3067" s="82">
        <v>1396.08</v>
      </c>
    </row>
    <row r="3068" spans="1:4" x14ac:dyDescent="0.3">
      <c r="A3068" t="s">
        <v>31</v>
      </c>
      <c r="C3068" s="16">
        <v>46252</v>
      </c>
      <c r="D3068" s="82">
        <v>13685.709999999959</v>
      </c>
    </row>
    <row r="3069" spans="1:4" x14ac:dyDescent="0.3">
      <c r="A3069" t="s">
        <v>32</v>
      </c>
      <c r="C3069" s="16">
        <v>46252</v>
      </c>
      <c r="D3069" s="82">
        <v>8724.1700000000037</v>
      </c>
    </row>
    <row r="3070" spans="1:4" x14ac:dyDescent="0.3">
      <c r="A3070" t="s">
        <v>33</v>
      </c>
      <c r="C3070" s="16">
        <v>46252</v>
      </c>
      <c r="D3070" s="82">
        <v>19336.039999999997</v>
      </c>
    </row>
    <row r="3071" spans="1:4" x14ac:dyDescent="0.3">
      <c r="A3071" t="s">
        <v>34</v>
      </c>
      <c r="C3071" s="16">
        <v>46252</v>
      </c>
      <c r="D3071" s="82">
        <v>345</v>
      </c>
    </row>
    <row r="3072" spans="1:4" x14ac:dyDescent="0.3">
      <c r="A3072" t="s">
        <v>35</v>
      </c>
      <c r="C3072" s="16">
        <v>46252</v>
      </c>
      <c r="D3072" s="82">
        <v>14565.900000000001</v>
      </c>
    </row>
    <row r="3073" spans="1:4" x14ac:dyDescent="0.3">
      <c r="A3073" t="s">
        <v>193</v>
      </c>
      <c r="C3073" s="16">
        <v>46252</v>
      </c>
      <c r="D3073" s="82">
        <v>0</v>
      </c>
    </row>
    <row r="3074" spans="1:4" x14ac:dyDescent="0.3">
      <c r="A3074" t="s">
        <v>214</v>
      </c>
      <c r="C3074" s="16">
        <v>46252</v>
      </c>
      <c r="D3074" s="82">
        <v>0</v>
      </c>
    </row>
    <row r="3075" spans="1:4" x14ac:dyDescent="0.3">
      <c r="A3075" t="s">
        <v>194</v>
      </c>
      <c r="C3075" s="16">
        <v>46252</v>
      </c>
      <c r="D3075" s="82">
        <v>0</v>
      </c>
    </row>
    <row r="3076" spans="1:4" x14ac:dyDescent="0.3">
      <c r="A3076" t="s">
        <v>195</v>
      </c>
      <c r="C3076" s="16">
        <v>46252</v>
      </c>
      <c r="D3076" s="82">
        <v>0</v>
      </c>
    </row>
    <row r="3077" spans="1:4" x14ac:dyDescent="0.3">
      <c r="A3077" t="s">
        <v>196</v>
      </c>
      <c r="C3077" s="16">
        <v>46252</v>
      </c>
      <c r="D3077" s="82">
        <v>0</v>
      </c>
    </row>
    <row r="3078" spans="1:4" x14ac:dyDescent="0.3">
      <c r="A3078" t="s">
        <v>197</v>
      </c>
      <c r="C3078" s="16">
        <v>46252</v>
      </c>
      <c r="D3078" s="82">
        <v>0</v>
      </c>
    </row>
    <row r="3079" spans="1:4" x14ac:dyDescent="0.3">
      <c r="A3079" t="s">
        <v>212</v>
      </c>
      <c r="C3079" s="16">
        <v>46252</v>
      </c>
      <c r="D3079" s="82">
        <v>0</v>
      </c>
    </row>
    <row r="3080" spans="1:4" x14ac:dyDescent="0.3">
      <c r="A3080" t="s">
        <v>199</v>
      </c>
      <c r="C3080" s="16">
        <v>46252</v>
      </c>
      <c r="D3080" s="82">
        <v>0</v>
      </c>
    </row>
    <row r="3081" spans="1:4" x14ac:dyDescent="0.3">
      <c r="A3081" t="s">
        <v>216</v>
      </c>
      <c r="C3081" s="16">
        <v>46252</v>
      </c>
      <c r="D3081" s="82">
        <v>0</v>
      </c>
    </row>
    <row r="3082" spans="1:4" x14ac:dyDescent="0.3">
      <c r="A3082" t="s">
        <v>17</v>
      </c>
      <c r="C3082" s="16">
        <v>46253</v>
      </c>
      <c r="D3082" s="82">
        <v>1047085.3600000005</v>
      </c>
    </row>
    <row r="3083" spans="1:4" x14ac:dyDescent="0.3">
      <c r="A3083" t="s">
        <v>18</v>
      </c>
      <c r="C3083" s="16">
        <v>46253</v>
      </c>
      <c r="D3083" s="82">
        <v>83211.250000000175</v>
      </c>
    </row>
    <row r="3084" spans="1:4" x14ac:dyDescent="0.3">
      <c r="A3084" t="s">
        <v>19</v>
      </c>
      <c r="C3084" s="16">
        <v>46253</v>
      </c>
      <c r="D3084" s="82">
        <v>1669.89</v>
      </c>
    </row>
    <row r="3085" spans="1:4" x14ac:dyDescent="0.3">
      <c r="A3085" t="s">
        <v>20</v>
      </c>
      <c r="C3085" s="16">
        <v>46253</v>
      </c>
      <c r="D3085" s="82">
        <v>1289031.3399999999</v>
      </c>
    </row>
    <row r="3086" spans="1:4" x14ac:dyDescent="0.3">
      <c r="A3086" t="s">
        <v>21</v>
      </c>
      <c r="C3086" s="16">
        <v>46253</v>
      </c>
      <c r="D3086" s="82">
        <v>1880583.4899999998</v>
      </c>
    </row>
    <row r="3087" spans="1:4" x14ac:dyDescent="0.3">
      <c r="A3087" t="s">
        <v>22</v>
      </c>
      <c r="C3087" s="16">
        <v>46253</v>
      </c>
      <c r="D3087" s="82">
        <v>221496.38</v>
      </c>
    </row>
    <row r="3088" spans="1:4" x14ac:dyDescent="0.3">
      <c r="A3088" t="s">
        <v>23</v>
      </c>
      <c r="C3088" s="16">
        <v>46253</v>
      </c>
      <c r="D3088" s="82">
        <v>277586.34000000003</v>
      </c>
    </row>
    <row r="3089" spans="1:4" x14ac:dyDescent="0.3">
      <c r="A3089" t="s">
        <v>24</v>
      </c>
      <c r="C3089" s="16">
        <v>46253</v>
      </c>
      <c r="D3089" s="82">
        <v>13270.02</v>
      </c>
    </row>
    <row r="3090" spans="1:4" x14ac:dyDescent="0.3">
      <c r="A3090" t="s">
        <v>25</v>
      </c>
      <c r="C3090" s="16">
        <v>46253</v>
      </c>
      <c r="D3090" s="82">
        <v>24.450000000000003</v>
      </c>
    </row>
    <row r="3091" spans="1:4" x14ac:dyDescent="0.3">
      <c r="A3091" t="s">
        <v>26</v>
      </c>
      <c r="C3091" s="16">
        <v>46253</v>
      </c>
      <c r="D3091" s="82">
        <v>2177.87</v>
      </c>
    </row>
    <row r="3092" spans="1:4" x14ac:dyDescent="0.3">
      <c r="A3092" t="s">
        <v>27</v>
      </c>
      <c r="C3092" s="16">
        <v>46253</v>
      </c>
      <c r="D3092" s="82">
        <v>754424.72</v>
      </c>
    </row>
    <row r="3093" spans="1:4" x14ac:dyDescent="0.3">
      <c r="A3093" t="s">
        <v>28</v>
      </c>
      <c r="C3093" s="16">
        <v>46253</v>
      </c>
      <c r="D3093" s="82">
        <v>1968.99</v>
      </c>
    </row>
    <row r="3094" spans="1:4" x14ac:dyDescent="0.3">
      <c r="A3094" t="s">
        <v>29</v>
      </c>
      <c r="C3094" s="16">
        <v>46253</v>
      </c>
      <c r="D3094" s="82">
        <v>901.34</v>
      </c>
    </row>
    <row r="3095" spans="1:4" x14ac:dyDescent="0.3">
      <c r="A3095" t="s">
        <v>30</v>
      </c>
      <c r="C3095" s="16">
        <v>46253</v>
      </c>
      <c r="D3095" s="82">
        <v>1396.08</v>
      </c>
    </row>
    <row r="3096" spans="1:4" x14ac:dyDescent="0.3">
      <c r="A3096" t="s">
        <v>31</v>
      </c>
      <c r="C3096" s="16">
        <v>46253</v>
      </c>
      <c r="D3096" s="82">
        <v>13685.709999999959</v>
      </c>
    </row>
    <row r="3097" spans="1:4" x14ac:dyDescent="0.3">
      <c r="A3097" t="s">
        <v>32</v>
      </c>
      <c r="C3097" s="16">
        <v>46253</v>
      </c>
      <c r="D3097" s="82">
        <v>8724.1700000000037</v>
      </c>
    </row>
    <row r="3098" spans="1:4" x14ac:dyDescent="0.3">
      <c r="A3098" t="s">
        <v>33</v>
      </c>
      <c r="C3098" s="16">
        <v>46253</v>
      </c>
      <c r="D3098" s="82">
        <v>19336.039999999997</v>
      </c>
    </row>
    <row r="3099" spans="1:4" x14ac:dyDescent="0.3">
      <c r="A3099" t="s">
        <v>34</v>
      </c>
      <c r="C3099" s="16">
        <v>46253</v>
      </c>
      <c r="D3099" s="82">
        <v>345</v>
      </c>
    </row>
    <row r="3100" spans="1:4" x14ac:dyDescent="0.3">
      <c r="A3100" t="s">
        <v>35</v>
      </c>
      <c r="C3100" s="16">
        <v>46253</v>
      </c>
      <c r="D3100" s="82">
        <v>14565.900000000001</v>
      </c>
    </row>
    <row r="3101" spans="1:4" x14ac:dyDescent="0.3">
      <c r="A3101" t="s">
        <v>193</v>
      </c>
      <c r="C3101" s="16">
        <v>46253</v>
      </c>
      <c r="D3101" s="82">
        <v>0</v>
      </c>
    </row>
    <row r="3102" spans="1:4" x14ac:dyDescent="0.3">
      <c r="A3102" t="s">
        <v>214</v>
      </c>
      <c r="C3102" s="16">
        <v>46253</v>
      </c>
      <c r="D3102" s="82">
        <v>0</v>
      </c>
    </row>
    <row r="3103" spans="1:4" x14ac:dyDescent="0.3">
      <c r="A3103" t="s">
        <v>194</v>
      </c>
      <c r="C3103" s="16">
        <v>46253</v>
      </c>
      <c r="D3103" s="82">
        <v>0</v>
      </c>
    </row>
    <row r="3104" spans="1:4" x14ac:dyDescent="0.3">
      <c r="A3104" t="s">
        <v>195</v>
      </c>
      <c r="C3104" s="16">
        <v>46253</v>
      </c>
      <c r="D3104" s="82">
        <v>0</v>
      </c>
    </row>
    <row r="3105" spans="1:4" x14ac:dyDescent="0.3">
      <c r="A3105" t="s">
        <v>196</v>
      </c>
      <c r="C3105" s="16">
        <v>46253</v>
      </c>
      <c r="D3105" s="82">
        <v>0</v>
      </c>
    </row>
    <row r="3106" spans="1:4" x14ac:dyDescent="0.3">
      <c r="A3106" t="s">
        <v>197</v>
      </c>
      <c r="C3106" s="16">
        <v>46253</v>
      </c>
      <c r="D3106" s="82">
        <v>0</v>
      </c>
    </row>
    <row r="3107" spans="1:4" x14ac:dyDescent="0.3">
      <c r="A3107" t="s">
        <v>212</v>
      </c>
      <c r="C3107" s="16">
        <v>46253</v>
      </c>
      <c r="D3107" s="82">
        <v>0</v>
      </c>
    </row>
    <row r="3108" spans="1:4" x14ac:dyDescent="0.3">
      <c r="A3108" t="s">
        <v>199</v>
      </c>
      <c r="C3108" s="16">
        <v>46253</v>
      </c>
      <c r="D3108" s="82">
        <v>0</v>
      </c>
    </row>
    <row r="3109" spans="1:4" x14ac:dyDescent="0.3">
      <c r="A3109" t="s">
        <v>216</v>
      </c>
      <c r="C3109" s="16">
        <v>46253</v>
      </c>
      <c r="D3109" s="82">
        <v>0</v>
      </c>
    </row>
    <row r="3110" spans="1:4" x14ac:dyDescent="0.3">
      <c r="A3110" t="s">
        <v>17</v>
      </c>
      <c r="C3110" s="16">
        <v>46254</v>
      </c>
      <c r="D3110" s="82">
        <v>702210.36000000045</v>
      </c>
    </row>
    <row r="3111" spans="1:4" x14ac:dyDescent="0.3">
      <c r="A3111" t="s">
        <v>18</v>
      </c>
      <c r="C3111" s="16">
        <v>46254</v>
      </c>
      <c r="D3111" s="82">
        <v>83211.250000000175</v>
      </c>
    </row>
    <row r="3112" spans="1:4" x14ac:dyDescent="0.3">
      <c r="A3112" t="s">
        <v>19</v>
      </c>
      <c r="C3112" s="16">
        <v>46254</v>
      </c>
      <c r="D3112" s="82">
        <v>1669.89</v>
      </c>
    </row>
    <row r="3113" spans="1:4" x14ac:dyDescent="0.3">
      <c r="A3113" t="s">
        <v>20</v>
      </c>
      <c r="C3113" s="16">
        <v>46254</v>
      </c>
      <c r="D3113" s="82">
        <v>1229031.3399999999</v>
      </c>
    </row>
    <row r="3114" spans="1:4" x14ac:dyDescent="0.3">
      <c r="A3114" t="s">
        <v>21</v>
      </c>
      <c r="C3114" s="16">
        <v>46254</v>
      </c>
      <c r="D3114" s="82">
        <v>1744052.5799999996</v>
      </c>
    </row>
    <row r="3115" spans="1:4" x14ac:dyDescent="0.3">
      <c r="A3115" t="s">
        <v>22</v>
      </c>
      <c r="C3115" s="16">
        <v>46254</v>
      </c>
      <c r="D3115" s="82">
        <v>221496.38</v>
      </c>
    </row>
    <row r="3116" spans="1:4" x14ac:dyDescent="0.3">
      <c r="A3116" t="s">
        <v>23</v>
      </c>
      <c r="C3116" s="16">
        <v>46254</v>
      </c>
      <c r="D3116" s="82">
        <v>277586.34000000003</v>
      </c>
    </row>
    <row r="3117" spans="1:4" x14ac:dyDescent="0.3">
      <c r="A3117" t="s">
        <v>24</v>
      </c>
      <c r="C3117" s="16">
        <v>46254</v>
      </c>
      <c r="D3117" s="82">
        <v>13270.02</v>
      </c>
    </row>
    <row r="3118" spans="1:4" x14ac:dyDescent="0.3">
      <c r="A3118" t="s">
        <v>25</v>
      </c>
      <c r="C3118" s="16">
        <v>46254</v>
      </c>
      <c r="D3118" s="82">
        <v>24.450000000000003</v>
      </c>
    </row>
    <row r="3119" spans="1:4" x14ac:dyDescent="0.3">
      <c r="A3119" t="s">
        <v>26</v>
      </c>
      <c r="C3119" s="16">
        <v>46254</v>
      </c>
      <c r="D3119" s="82">
        <v>2177.87</v>
      </c>
    </row>
    <row r="3120" spans="1:4" x14ac:dyDescent="0.3">
      <c r="A3120" t="s">
        <v>27</v>
      </c>
      <c r="C3120" s="16">
        <v>46254</v>
      </c>
      <c r="D3120" s="82">
        <v>754424.72</v>
      </c>
    </row>
    <row r="3121" spans="1:4" x14ac:dyDescent="0.3">
      <c r="A3121" t="s">
        <v>28</v>
      </c>
      <c r="C3121" s="16">
        <v>46254</v>
      </c>
      <c r="D3121" s="82">
        <v>1968.99</v>
      </c>
    </row>
    <row r="3122" spans="1:4" x14ac:dyDescent="0.3">
      <c r="A3122" t="s">
        <v>29</v>
      </c>
      <c r="C3122" s="16">
        <v>46254</v>
      </c>
      <c r="D3122" s="82">
        <v>901.34</v>
      </c>
    </row>
    <row r="3123" spans="1:4" x14ac:dyDescent="0.3">
      <c r="A3123" t="s">
        <v>30</v>
      </c>
      <c r="C3123" s="16">
        <v>46254</v>
      </c>
      <c r="D3123" s="82">
        <v>1396.08</v>
      </c>
    </row>
    <row r="3124" spans="1:4" x14ac:dyDescent="0.3">
      <c r="A3124" t="s">
        <v>31</v>
      </c>
      <c r="C3124" s="16">
        <v>46254</v>
      </c>
      <c r="D3124" s="82">
        <v>13685.709999999959</v>
      </c>
    </row>
    <row r="3125" spans="1:4" x14ac:dyDescent="0.3">
      <c r="A3125" t="s">
        <v>32</v>
      </c>
      <c r="C3125" s="16">
        <v>46254</v>
      </c>
      <c r="D3125" s="82">
        <v>8724.1700000000037</v>
      </c>
    </row>
    <row r="3126" spans="1:4" x14ac:dyDescent="0.3">
      <c r="A3126" t="s">
        <v>33</v>
      </c>
      <c r="C3126" s="16">
        <v>46254</v>
      </c>
      <c r="D3126" s="82">
        <v>19336.039999999997</v>
      </c>
    </row>
    <row r="3127" spans="1:4" x14ac:dyDescent="0.3">
      <c r="A3127" t="s">
        <v>34</v>
      </c>
      <c r="C3127" s="16">
        <v>46254</v>
      </c>
      <c r="D3127" s="82">
        <v>345</v>
      </c>
    </row>
    <row r="3128" spans="1:4" x14ac:dyDescent="0.3">
      <c r="A3128" t="s">
        <v>35</v>
      </c>
      <c r="C3128" s="16">
        <v>46254</v>
      </c>
      <c r="D3128" s="82">
        <v>12741.780000000002</v>
      </c>
    </row>
    <row r="3129" spans="1:4" x14ac:dyDescent="0.3">
      <c r="A3129" t="s">
        <v>193</v>
      </c>
      <c r="C3129" s="16">
        <v>46254</v>
      </c>
      <c r="D3129" s="82">
        <v>0</v>
      </c>
    </row>
    <row r="3130" spans="1:4" x14ac:dyDescent="0.3">
      <c r="A3130" t="s">
        <v>214</v>
      </c>
      <c r="C3130" s="16">
        <v>46254</v>
      </c>
      <c r="D3130" s="82">
        <v>0</v>
      </c>
    </row>
    <row r="3131" spans="1:4" x14ac:dyDescent="0.3">
      <c r="A3131" t="s">
        <v>194</v>
      </c>
      <c r="C3131" s="16">
        <v>46254</v>
      </c>
      <c r="D3131" s="82">
        <v>0</v>
      </c>
    </row>
    <row r="3132" spans="1:4" x14ac:dyDescent="0.3">
      <c r="A3132" t="s">
        <v>195</v>
      </c>
      <c r="C3132" s="16">
        <v>46254</v>
      </c>
      <c r="D3132" s="82">
        <v>0</v>
      </c>
    </row>
    <row r="3133" spans="1:4" x14ac:dyDescent="0.3">
      <c r="A3133" t="s">
        <v>196</v>
      </c>
      <c r="C3133" s="16">
        <v>46254</v>
      </c>
      <c r="D3133" s="82">
        <v>0</v>
      </c>
    </row>
    <row r="3134" spans="1:4" x14ac:dyDescent="0.3">
      <c r="A3134" t="s">
        <v>197</v>
      </c>
      <c r="C3134" s="16">
        <v>46254</v>
      </c>
      <c r="D3134" s="82">
        <v>0</v>
      </c>
    </row>
    <row r="3135" spans="1:4" x14ac:dyDescent="0.3">
      <c r="A3135" t="s">
        <v>212</v>
      </c>
      <c r="C3135" s="16">
        <v>46254</v>
      </c>
      <c r="D3135" s="82">
        <v>0</v>
      </c>
    </row>
    <row r="3136" spans="1:4" x14ac:dyDescent="0.3">
      <c r="A3136" t="s">
        <v>199</v>
      </c>
      <c r="C3136" s="16">
        <v>46254</v>
      </c>
      <c r="D3136" s="82">
        <v>0</v>
      </c>
    </row>
    <row r="3137" spans="1:4" x14ac:dyDescent="0.3">
      <c r="A3137" t="s">
        <v>216</v>
      </c>
      <c r="C3137" s="16">
        <v>46254</v>
      </c>
      <c r="D3137" s="82">
        <v>0</v>
      </c>
    </row>
    <row r="3138" spans="1:4" x14ac:dyDescent="0.3">
      <c r="A3138" t="s">
        <v>17</v>
      </c>
      <c r="C3138" s="16">
        <v>46255</v>
      </c>
      <c r="D3138" s="82">
        <v>702210.36000000045</v>
      </c>
    </row>
    <row r="3139" spans="1:4" x14ac:dyDescent="0.3">
      <c r="A3139" t="s">
        <v>18</v>
      </c>
      <c r="C3139" s="16">
        <v>46255</v>
      </c>
      <c r="D3139" s="82">
        <v>83211.250000000175</v>
      </c>
    </row>
    <row r="3140" spans="1:4" x14ac:dyDescent="0.3">
      <c r="A3140" t="s">
        <v>19</v>
      </c>
      <c r="C3140" s="16">
        <v>46255</v>
      </c>
      <c r="D3140" s="82">
        <v>1669.89</v>
      </c>
    </row>
    <row r="3141" spans="1:4" x14ac:dyDescent="0.3">
      <c r="A3141" t="s">
        <v>20</v>
      </c>
      <c r="C3141" s="16">
        <v>46255</v>
      </c>
      <c r="D3141" s="82">
        <v>1229031.3399999999</v>
      </c>
    </row>
    <row r="3142" spans="1:4" x14ac:dyDescent="0.3">
      <c r="A3142" t="s">
        <v>21</v>
      </c>
      <c r="C3142" s="16">
        <v>46255</v>
      </c>
      <c r="D3142" s="82">
        <v>1744052.5799999996</v>
      </c>
    </row>
    <row r="3143" spans="1:4" x14ac:dyDescent="0.3">
      <c r="A3143" t="s">
        <v>22</v>
      </c>
      <c r="C3143" s="16">
        <v>46255</v>
      </c>
      <c r="D3143" s="82">
        <v>221496.38</v>
      </c>
    </row>
    <row r="3144" spans="1:4" x14ac:dyDescent="0.3">
      <c r="A3144" t="s">
        <v>23</v>
      </c>
      <c r="C3144" s="16">
        <v>46255</v>
      </c>
      <c r="D3144" s="82">
        <v>277586.34000000003</v>
      </c>
    </row>
    <row r="3145" spans="1:4" x14ac:dyDescent="0.3">
      <c r="A3145" t="s">
        <v>24</v>
      </c>
      <c r="C3145" s="16">
        <v>46255</v>
      </c>
      <c r="D3145" s="82">
        <v>13270.02</v>
      </c>
    </row>
    <row r="3146" spans="1:4" x14ac:dyDescent="0.3">
      <c r="A3146" t="s">
        <v>25</v>
      </c>
      <c r="C3146" s="16">
        <v>46255</v>
      </c>
      <c r="D3146" s="82">
        <v>24.450000000000003</v>
      </c>
    </row>
    <row r="3147" spans="1:4" x14ac:dyDescent="0.3">
      <c r="A3147" t="s">
        <v>26</v>
      </c>
      <c r="C3147" s="16">
        <v>46255</v>
      </c>
      <c r="D3147" s="82">
        <v>2177.87</v>
      </c>
    </row>
    <row r="3148" spans="1:4" x14ac:dyDescent="0.3">
      <c r="A3148" t="s">
        <v>27</v>
      </c>
      <c r="C3148" s="16">
        <v>46255</v>
      </c>
      <c r="D3148" s="82">
        <v>754424.72</v>
      </c>
    </row>
    <row r="3149" spans="1:4" x14ac:dyDescent="0.3">
      <c r="A3149" t="s">
        <v>28</v>
      </c>
      <c r="C3149" s="16">
        <v>46255</v>
      </c>
      <c r="D3149" s="82">
        <v>1968.99</v>
      </c>
    </row>
    <row r="3150" spans="1:4" x14ac:dyDescent="0.3">
      <c r="A3150" t="s">
        <v>29</v>
      </c>
      <c r="C3150" s="16">
        <v>46255</v>
      </c>
      <c r="D3150" s="82">
        <v>901.34</v>
      </c>
    </row>
    <row r="3151" spans="1:4" x14ac:dyDescent="0.3">
      <c r="A3151" t="s">
        <v>30</v>
      </c>
      <c r="C3151" s="16">
        <v>46255</v>
      </c>
      <c r="D3151" s="82">
        <v>1396.08</v>
      </c>
    </row>
    <row r="3152" spans="1:4" x14ac:dyDescent="0.3">
      <c r="A3152" t="s">
        <v>31</v>
      </c>
      <c r="C3152" s="16">
        <v>46255</v>
      </c>
      <c r="D3152" s="82">
        <v>13685.709999999959</v>
      </c>
    </row>
    <row r="3153" spans="1:4" x14ac:dyDescent="0.3">
      <c r="A3153" t="s">
        <v>32</v>
      </c>
      <c r="C3153" s="16">
        <v>46255</v>
      </c>
      <c r="D3153" s="82">
        <v>8724.1700000000037</v>
      </c>
    </row>
    <row r="3154" spans="1:4" x14ac:dyDescent="0.3">
      <c r="A3154" t="s">
        <v>33</v>
      </c>
      <c r="C3154" s="16">
        <v>46255</v>
      </c>
      <c r="D3154" s="82">
        <v>19336.039999999997</v>
      </c>
    </row>
    <row r="3155" spans="1:4" x14ac:dyDescent="0.3">
      <c r="A3155" t="s">
        <v>34</v>
      </c>
      <c r="C3155" s="16">
        <v>46255</v>
      </c>
      <c r="D3155" s="82">
        <v>345</v>
      </c>
    </row>
    <row r="3156" spans="1:4" x14ac:dyDescent="0.3">
      <c r="A3156" t="s">
        <v>35</v>
      </c>
      <c r="C3156" s="16">
        <v>46255</v>
      </c>
      <c r="D3156" s="82">
        <v>12541.790000000003</v>
      </c>
    </row>
    <row r="3157" spans="1:4" x14ac:dyDescent="0.3">
      <c r="A3157" t="s">
        <v>193</v>
      </c>
      <c r="C3157" s="16">
        <v>46255</v>
      </c>
      <c r="D3157" s="82">
        <v>0</v>
      </c>
    </row>
    <row r="3158" spans="1:4" x14ac:dyDescent="0.3">
      <c r="A3158" t="s">
        <v>214</v>
      </c>
      <c r="C3158" s="16">
        <v>46255</v>
      </c>
      <c r="D3158" s="82">
        <v>0</v>
      </c>
    </row>
    <row r="3159" spans="1:4" x14ac:dyDescent="0.3">
      <c r="A3159" t="s">
        <v>194</v>
      </c>
      <c r="C3159" s="16">
        <v>46255</v>
      </c>
      <c r="D3159" s="82">
        <v>0</v>
      </c>
    </row>
    <row r="3160" spans="1:4" x14ac:dyDescent="0.3">
      <c r="A3160" t="s">
        <v>195</v>
      </c>
      <c r="C3160" s="16">
        <v>46255</v>
      </c>
      <c r="D3160" s="82">
        <v>0</v>
      </c>
    </row>
    <row r="3161" spans="1:4" x14ac:dyDescent="0.3">
      <c r="A3161" t="s">
        <v>196</v>
      </c>
      <c r="C3161" s="16">
        <v>46255</v>
      </c>
      <c r="D3161" s="82">
        <v>0</v>
      </c>
    </row>
    <row r="3162" spans="1:4" x14ac:dyDescent="0.3">
      <c r="A3162" t="s">
        <v>197</v>
      </c>
      <c r="C3162" s="16">
        <v>46255</v>
      </c>
      <c r="D3162" s="82">
        <v>0</v>
      </c>
    </row>
    <row r="3163" spans="1:4" x14ac:dyDescent="0.3">
      <c r="A3163" t="s">
        <v>212</v>
      </c>
      <c r="C3163" s="16">
        <v>46255</v>
      </c>
      <c r="D3163" s="82">
        <v>0</v>
      </c>
    </row>
    <row r="3164" spans="1:4" x14ac:dyDescent="0.3">
      <c r="A3164" t="s">
        <v>199</v>
      </c>
      <c r="C3164" s="16">
        <v>46255</v>
      </c>
      <c r="D3164" s="82">
        <v>0</v>
      </c>
    </row>
    <row r="3165" spans="1:4" x14ac:dyDescent="0.3">
      <c r="A3165" t="s">
        <v>216</v>
      </c>
      <c r="C3165" s="16">
        <v>46255</v>
      </c>
      <c r="D3165" s="82">
        <v>0</v>
      </c>
    </row>
    <row r="3166" spans="1:4" x14ac:dyDescent="0.3">
      <c r="A3166" t="s">
        <v>17</v>
      </c>
      <c r="C3166" s="16">
        <v>46256</v>
      </c>
      <c r="D3166" s="82">
        <v>702210.36000000045</v>
      </c>
    </row>
    <row r="3167" spans="1:4" x14ac:dyDescent="0.3">
      <c r="A3167" t="s">
        <v>18</v>
      </c>
      <c r="C3167" s="16">
        <v>46256</v>
      </c>
      <c r="D3167" s="82">
        <v>83211.250000000175</v>
      </c>
    </row>
    <row r="3168" spans="1:4" x14ac:dyDescent="0.3">
      <c r="A3168" t="s">
        <v>19</v>
      </c>
      <c r="C3168" s="16">
        <v>46256</v>
      </c>
      <c r="D3168" s="82">
        <v>1669.89</v>
      </c>
    </row>
    <row r="3169" spans="1:4" x14ac:dyDescent="0.3">
      <c r="A3169" t="s">
        <v>20</v>
      </c>
      <c r="C3169" s="16">
        <v>46256</v>
      </c>
      <c r="D3169" s="82">
        <v>1229031.3399999999</v>
      </c>
    </row>
    <row r="3170" spans="1:4" x14ac:dyDescent="0.3">
      <c r="A3170" t="s">
        <v>21</v>
      </c>
      <c r="C3170" s="16">
        <v>46256</v>
      </c>
      <c r="D3170" s="82">
        <v>1744052.5799999996</v>
      </c>
    </row>
    <row r="3171" spans="1:4" x14ac:dyDescent="0.3">
      <c r="A3171" t="s">
        <v>22</v>
      </c>
      <c r="C3171" s="16">
        <v>46256</v>
      </c>
      <c r="D3171" s="82">
        <v>221496.38</v>
      </c>
    </row>
    <row r="3172" spans="1:4" x14ac:dyDescent="0.3">
      <c r="A3172" t="s">
        <v>23</v>
      </c>
      <c r="C3172" s="16">
        <v>46256</v>
      </c>
      <c r="D3172" s="82">
        <v>277586.34000000003</v>
      </c>
    </row>
    <row r="3173" spans="1:4" x14ac:dyDescent="0.3">
      <c r="A3173" t="s">
        <v>24</v>
      </c>
      <c r="C3173" s="16">
        <v>46256</v>
      </c>
      <c r="D3173" s="82">
        <v>13270.02</v>
      </c>
    </row>
    <row r="3174" spans="1:4" x14ac:dyDescent="0.3">
      <c r="A3174" t="s">
        <v>25</v>
      </c>
      <c r="C3174" s="16">
        <v>46256</v>
      </c>
      <c r="D3174" s="82">
        <v>24.450000000000003</v>
      </c>
    </row>
    <row r="3175" spans="1:4" x14ac:dyDescent="0.3">
      <c r="A3175" t="s">
        <v>26</v>
      </c>
      <c r="C3175" s="16">
        <v>46256</v>
      </c>
      <c r="D3175" s="82">
        <v>2177.87</v>
      </c>
    </row>
    <row r="3176" spans="1:4" x14ac:dyDescent="0.3">
      <c r="A3176" t="s">
        <v>27</v>
      </c>
      <c r="C3176" s="16">
        <v>46256</v>
      </c>
      <c r="D3176" s="82">
        <v>754424.72</v>
      </c>
    </row>
    <row r="3177" spans="1:4" x14ac:dyDescent="0.3">
      <c r="A3177" t="s">
        <v>28</v>
      </c>
      <c r="C3177" s="16">
        <v>46256</v>
      </c>
      <c r="D3177" s="82">
        <v>1968.99</v>
      </c>
    </row>
    <row r="3178" spans="1:4" x14ac:dyDescent="0.3">
      <c r="A3178" t="s">
        <v>29</v>
      </c>
      <c r="C3178" s="16">
        <v>46256</v>
      </c>
      <c r="D3178" s="82">
        <v>901.34</v>
      </c>
    </row>
    <row r="3179" spans="1:4" x14ac:dyDescent="0.3">
      <c r="A3179" t="s">
        <v>30</v>
      </c>
      <c r="C3179" s="16">
        <v>46256</v>
      </c>
      <c r="D3179" s="82">
        <v>1396.08</v>
      </c>
    </row>
    <row r="3180" spans="1:4" x14ac:dyDescent="0.3">
      <c r="A3180" t="s">
        <v>31</v>
      </c>
      <c r="C3180" s="16">
        <v>46256</v>
      </c>
      <c r="D3180" s="82">
        <v>13685.709999999959</v>
      </c>
    </row>
    <row r="3181" spans="1:4" x14ac:dyDescent="0.3">
      <c r="A3181" t="s">
        <v>32</v>
      </c>
      <c r="C3181" s="16">
        <v>46256</v>
      </c>
      <c r="D3181" s="82">
        <v>8724.1700000000037</v>
      </c>
    </row>
    <row r="3182" spans="1:4" x14ac:dyDescent="0.3">
      <c r="A3182" t="s">
        <v>33</v>
      </c>
      <c r="C3182" s="16">
        <v>46256</v>
      </c>
      <c r="D3182" s="82">
        <v>19336.039999999997</v>
      </c>
    </row>
    <row r="3183" spans="1:4" x14ac:dyDescent="0.3">
      <c r="A3183" t="s">
        <v>34</v>
      </c>
      <c r="C3183" s="16">
        <v>46256</v>
      </c>
      <c r="D3183" s="82">
        <v>345</v>
      </c>
    </row>
    <row r="3184" spans="1:4" x14ac:dyDescent="0.3">
      <c r="A3184" t="s">
        <v>35</v>
      </c>
      <c r="C3184" s="16">
        <v>46256</v>
      </c>
      <c r="D3184" s="82">
        <v>12541.790000000003</v>
      </c>
    </row>
    <row r="3185" spans="1:4" x14ac:dyDescent="0.3">
      <c r="A3185" t="s">
        <v>193</v>
      </c>
      <c r="C3185" s="16">
        <v>46256</v>
      </c>
      <c r="D3185" s="82">
        <v>0</v>
      </c>
    </row>
    <row r="3186" spans="1:4" x14ac:dyDescent="0.3">
      <c r="A3186" t="s">
        <v>214</v>
      </c>
      <c r="C3186" s="16">
        <v>46256</v>
      </c>
      <c r="D3186" s="82">
        <v>0</v>
      </c>
    </row>
    <row r="3187" spans="1:4" x14ac:dyDescent="0.3">
      <c r="A3187" t="s">
        <v>194</v>
      </c>
      <c r="C3187" s="16">
        <v>46256</v>
      </c>
      <c r="D3187" s="82">
        <v>0</v>
      </c>
    </row>
    <row r="3188" spans="1:4" x14ac:dyDescent="0.3">
      <c r="A3188" t="s">
        <v>195</v>
      </c>
      <c r="C3188" s="16">
        <v>46256</v>
      </c>
      <c r="D3188" s="82">
        <v>0</v>
      </c>
    </row>
    <row r="3189" spans="1:4" x14ac:dyDescent="0.3">
      <c r="A3189" t="s">
        <v>196</v>
      </c>
      <c r="C3189" s="16">
        <v>46256</v>
      </c>
      <c r="D3189" s="82">
        <v>0</v>
      </c>
    </row>
    <row r="3190" spans="1:4" x14ac:dyDescent="0.3">
      <c r="A3190" t="s">
        <v>197</v>
      </c>
      <c r="C3190" s="16">
        <v>46256</v>
      </c>
      <c r="D3190" s="82">
        <v>0</v>
      </c>
    </row>
    <row r="3191" spans="1:4" x14ac:dyDescent="0.3">
      <c r="A3191" t="s">
        <v>212</v>
      </c>
      <c r="C3191" s="16">
        <v>46256</v>
      </c>
      <c r="D3191" s="82">
        <v>0</v>
      </c>
    </row>
    <row r="3192" spans="1:4" x14ac:dyDescent="0.3">
      <c r="A3192" t="s">
        <v>199</v>
      </c>
      <c r="C3192" s="16">
        <v>46256</v>
      </c>
      <c r="D3192" s="82">
        <v>0</v>
      </c>
    </row>
    <row r="3193" spans="1:4" x14ac:dyDescent="0.3">
      <c r="A3193" t="s">
        <v>216</v>
      </c>
      <c r="C3193" s="16">
        <v>46256</v>
      </c>
      <c r="D3193" s="82">
        <v>0</v>
      </c>
    </row>
    <row r="3194" spans="1:4" x14ac:dyDescent="0.3">
      <c r="A3194" t="s">
        <v>17</v>
      </c>
      <c r="C3194" s="16">
        <v>46257</v>
      </c>
      <c r="D3194" s="82">
        <v>702210.36000000045</v>
      </c>
    </row>
    <row r="3195" spans="1:4" x14ac:dyDescent="0.3">
      <c r="A3195" t="s">
        <v>18</v>
      </c>
      <c r="C3195" s="16">
        <v>46257</v>
      </c>
      <c r="D3195" s="82">
        <v>83211.250000000175</v>
      </c>
    </row>
    <row r="3196" spans="1:4" x14ac:dyDescent="0.3">
      <c r="A3196" t="s">
        <v>19</v>
      </c>
      <c r="C3196" s="16">
        <v>46257</v>
      </c>
      <c r="D3196" s="82">
        <v>1669.89</v>
      </c>
    </row>
    <row r="3197" spans="1:4" x14ac:dyDescent="0.3">
      <c r="A3197" t="s">
        <v>20</v>
      </c>
      <c r="C3197" s="16">
        <v>46257</v>
      </c>
      <c r="D3197" s="82">
        <v>1229031.3399999999</v>
      </c>
    </row>
    <row r="3198" spans="1:4" x14ac:dyDescent="0.3">
      <c r="A3198" t="s">
        <v>21</v>
      </c>
      <c r="C3198" s="16">
        <v>46257</v>
      </c>
      <c r="D3198" s="82">
        <v>1744052.5799999996</v>
      </c>
    </row>
    <row r="3199" spans="1:4" x14ac:dyDescent="0.3">
      <c r="A3199" t="s">
        <v>22</v>
      </c>
      <c r="C3199" s="16">
        <v>46257</v>
      </c>
      <c r="D3199" s="82">
        <v>221496.38</v>
      </c>
    </row>
    <row r="3200" spans="1:4" x14ac:dyDescent="0.3">
      <c r="A3200" t="s">
        <v>23</v>
      </c>
      <c r="C3200" s="16">
        <v>46257</v>
      </c>
      <c r="D3200" s="82">
        <v>277586.34000000003</v>
      </c>
    </row>
    <row r="3201" spans="1:4" x14ac:dyDescent="0.3">
      <c r="A3201" t="s">
        <v>24</v>
      </c>
      <c r="C3201" s="16">
        <v>46257</v>
      </c>
      <c r="D3201" s="82">
        <v>13270.02</v>
      </c>
    </row>
    <row r="3202" spans="1:4" x14ac:dyDescent="0.3">
      <c r="A3202" t="s">
        <v>25</v>
      </c>
      <c r="C3202" s="16">
        <v>46257</v>
      </c>
      <c r="D3202" s="82">
        <v>24.450000000000003</v>
      </c>
    </row>
    <row r="3203" spans="1:4" x14ac:dyDescent="0.3">
      <c r="A3203" t="s">
        <v>26</v>
      </c>
      <c r="C3203" s="16">
        <v>46257</v>
      </c>
      <c r="D3203" s="82">
        <v>2177.87</v>
      </c>
    </row>
    <row r="3204" spans="1:4" x14ac:dyDescent="0.3">
      <c r="A3204" t="s">
        <v>27</v>
      </c>
      <c r="C3204" s="16">
        <v>46257</v>
      </c>
      <c r="D3204" s="82">
        <v>754424.72</v>
      </c>
    </row>
    <row r="3205" spans="1:4" x14ac:dyDescent="0.3">
      <c r="A3205" t="s">
        <v>28</v>
      </c>
      <c r="C3205" s="16">
        <v>46257</v>
      </c>
      <c r="D3205" s="82">
        <v>1968.99</v>
      </c>
    </row>
    <row r="3206" spans="1:4" x14ac:dyDescent="0.3">
      <c r="A3206" t="s">
        <v>29</v>
      </c>
      <c r="C3206" s="16">
        <v>46257</v>
      </c>
      <c r="D3206" s="82">
        <v>901.34</v>
      </c>
    </row>
    <row r="3207" spans="1:4" x14ac:dyDescent="0.3">
      <c r="A3207" t="s">
        <v>30</v>
      </c>
      <c r="C3207" s="16">
        <v>46257</v>
      </c>
      <c r="D3207" s="82">
        <v>1396.08</v>
      </c>
    </row>
    <row r="3208" spans="1:4" x14ac:dyDescent="0.3">
      <c r="A3208" t="s">
        <v>31</v>
      </c>
      <c r="C3208" s="16">
        <v>46257</v>
      </c>
      <c r="D3208" s="82">
        <v>13685.709999999959</v>
      </c>
    </row>
    <row r="3209" spans="1:4" x14ac:dyDescent="0.3">
      <c r="A3209" t="s">
        <v>32</v>
      </c>
      <c r="C3209" s="16">
        <v>46257</v>
      </c>
      <c r="D3209" s="82">
        <v>8724.1700000000037</v>
      </c>
    </row>
    <row r="3210" spans="1:4" x14ac:dyDescent="0.3">
      <c r="A3210" t="s">
        <v>33</v>
      </c>
      <c r="C3210" s="16">
        <v>46257</v>
      </c>
      <c r="D3210" s="82">
        <v>19336.039999999997</v>
      </c>
    </row>
    <row r="3211" spans="1:4" x14ac:dyDescent="0.3">
      <c r="A3211" t="s">
        <v>34</v>
      </c>
      <c r="C3211" s="16">
        <v>46257</v>
      </c>
      <c r="D3211" s="82">
        <v>345</v>
      </c>
    </row>
    <row r="3212" spans="1:4" x14ac:dyDescent="0.3">
      <c r="A3212" t="s">
        <v>35</v>
      </c>
      <c r="C3212" s="16">
        <v>46257</v>
      </c>
      <c r="D3212" s="82">
        <v>12541.790000000003</v>
      </c>
    </row>
    <row r="3213" spans="1:4" x14ac:dyDescent="0.3">
      <c r="A3213" t="s">
        <v>193</v>
      </c>
      <c r="C3213" s="16">
        <v>46257</v>
      </c>
      <c r="D3213" s="82">
        <v>0</v>
      </c>
    </row>
    <row r="3214" spans="1:4" x14ac:dyDescent="0.3">
      <c r="A3214" t="s">
        <v>214</v>
      </c>
      <c r="C3214" s="16">
        <v>46257</v>
      </c>
      <c r="D3214" s="82">
        <v>0</v>
      </c>
    </row>
    <row r="3215" spans="1:4" x14ac:dyDescent="0.3">
      <c r="A3215" t="s">
        <v>194</v>
      </c>
      <c r="C3215" s="16">
        <v>46257</v>
      </c>
      <c r="D3215" s="82">
        <v>0</v>
      </c>
    </row>
    <row r="3216" spans="1:4" x14ac:dyDescent="0.3">
      <c r="A3216" t="s">
        <v>195</v>
      </c>
      <c r="C3216" s="16">
        <v>46257</v>
      </c>
      <c r="D3216" s="82">
        <v>0</v>
      </c>
    </row>
    <row r="3217" spans="1:4" x14ac:dyDescent="0.3">
      <c r="A3217" t="s">
        <v>196</v>
      </c>
      <c r="C3217" s="16">
        <v>46257</v>
      </c>
      <c r="D3217" s="82">
        <v>0</v>
      </c>
    </row>
    <row r="3218" spans="1:4" x14ac:dyDescent="0.3">
      <c r="A3218" t="s">
        <v>197</v>
      </c>
      <c r="C3218" s="16">
        <v>46257</v>
      </c>
      <c r="D3218" s="82">
        <v>0</v>
      </c>
    </row>
    <row r="3219" spans="1:4" x14ac:dyDescent="0.3">
      <c r="A3219" t="s">
        <v>212</v>
      </c>
      <c r="C3219" s="16">
        <v>46257</v>
      </c>
      <c r="D3219" s="82">
        <v>0</v>
      </c>
    </row>
    <row r="3220" spans="1:4" x14ac:dyDescent="0.3">
      <c r="A3220" t="s">
        <v>199</v>
      </c>
      <c r="C3220" s="16">
        <v>46257</v>
      </c>
      <c r="D3220" s="82">
        <v>0</v>
      </c>
    </row>
    <row r="3221" spans="1:4" x14ac:dyDescent="0.3">
      <c r="A3221" t="s">
        <v>216</v>
      </c>
      <c r="C3221" s="16">
        <v>46257</v>
      </c>
      <c r="D3221" s="82">
        <v>0</v>
      </c>
    </row>
    <row r="3222" spans="1:4" x14ac:dyDescent="0.3">
      <c r="A3222" t="s">
        <v>17</v>
      </c>
      <c r="C3222" s="16">
        <v>46258</v>
      </c>
      <c r="D3222" s="82">
        <v>372210.36000000045</v>
      </c>
    </row>
    <row r="3223" spans="1:4" x14ac:dyDescent="0.3">
      <c r="A3223" t="s">
        <v>18</v>
      </c>
      <c r="C3223" s="16">
        <v>46258</v>
      </c>
      <c r="D3223" s="82">
        <v>83668.990000000165</v>
      </c>
    </row>
    <row r="3224" spans="1:4" x14ac:dyDescent="0.3">
      <c r="A3224" t="s">
        <v>19</v>
      </c>
      <c r="C3224" s="16">
        <v>46258</v>
      </c>
      <c r="D3224" s="82">
        <v>1669.89</v>
      </c>
    </row>
    <row r="3225" spans="1:4" x14ac:dyDescent="0.3">
      <c r="A3225" t="s">
        <v>20</v>
      </c>
      <c r="C3225" s="16">
        <v>46258</v>
      </c>
      <c r="D3225" s="82">
        <v>1234763.3299999998</v>
      </c>
    </row>
    <row r="3226" spans="1:4" x14ac:dyDescent="0.3">
      <c r="A3226" t="s">
        <v>21</v>
      </c>
      <c r="C3226" s="16">
        <v>46258</v>
      </c>
      <c r="D3226" s="82">
        <v>1743289.5899999996</v>
      </c>
    </row>
    <row r="3227" spans="1:4" x14ac:dyDescent="0.3">
      <c r="A3227" t="s">
        <v>22</v>
      </c>
      <c r="C3227" s="16">
        <v>46258</v>
      </c>
      <c r="D3227" s="82">
        <v>221496.38</v>
      </c>
    </row>
    <row r="3228" spans="1:4" x14ac:dyDescent="0.3">
      <c r="A3228" t="s">
        <v>23</v>
      </c>
      <c r="C3228" s="16">
        <v>46258</v>
      </c>
      <c r="D3228" s="82">
        <v>277586.34000000003</v>
      </c>
    </row>
    <row r="3229" spans="1:4" x14ac:dyDescent="0.3">
      <c r="A3229" t="s">
        <v>24</v>
      </c>
      <c r="C3229" s="16">
        <v>46258</v>
      </c>
      <c r="D3229" s="82">
        <v>13270.02</v>
      </c>
    </row>
    <row r="3230" spans="1:4" x14ac:dyDescent="0.3">
      <c r="A3230" t="s">
        <v>25</v>
      </c>
      <c r="C3230" s="16">
        <v>46258</v>
      </c>
      <c r="D3230" s="82">
        <v>24.450000000000003</v>
      </c>
    </row>
    <row r="3231" spans="1:4" x14ac:dyDescent="0.3">
      <c r="A3231" t="s">
        <v>26</v>
      </c>
      <c r="C3231" s="16">
        <v>46258</v>
      </c>
      <c r="D3231" s="82">
        <v>2177.87</v>
      </c>
    </row>
    <row r="3232" spans="1:4" x14ac:dyDescent="0.3">
      <c r="A3232" t="s">
        <v>27</v>
      </c>
      <c r="C3232" s="16">
        <v>46258</v>
      </c>
      <c r="D3232" s="82">
        <v>754424.72</v>
      </c>
    </row>
    <row r="3233" spans="1:4" x14ac:dyDescent="0.3">
      <c r="A3233" t="s">
        <v>28</v>
      </c>
      <c r="C3233" s="16">
        <v>46258</v>
      </c>
      <c r="D3233" s="82">
        <v>1968.99</v>
      </c>
    </row>
    <row r="3234" spans="1:4" x14ac:dyDescent="0.3">
      <c r="A3234" t="s">
        <v>29</v>
      </c>
      <c r="C3234" s="16">
        <v>46258</v>
      </c>
      <c r="D3234" s="82">
        <v>901.34</v>
      </c>
    </row>
    <row r="3235" spans="1:4" x14ac:dyDescent="0.3">
      <c r="A3235" t="s">
        <v>30</v>
      </c>
      <c r="C3235" s="16">
        <v>46258</v>
      </c>
      <c r="D3235" s="82">
        <v>1396.08</v>
      </c>
    </row>
    <row r="3236" spans="1:4" x14ac:dyDescent="0.3">
      <c r="A3236" t="s">
        <v>31</v>
      </c>
      <c r="C3236" s="16">
        <v>46258</v>
      </c>
      <c r="D3236" s="82">
        <v>13685.709999999959</v>
      </c>
    </row>
    <row r="3237" spans="1:4" x14ac:dyDescent="0.3">
      <c r="A3237" t="s">
        <v>32</v>
      </c>
      <c r="C3237" s="16">
        <v>46258</v>
      </c>
      <c r="D3237" s="82">
        <v>8724.1700000000037</v>
      </c>
    </row>
    <row r="3238" spans="1:4" x14ac:dyDescent="0.3">
      <c r="A3238" t="s">
        <v>33</v>
      </c>
      <c r="C3238" s="16">
        <v>46258</v>
      </c>
      <c r="D3238" s="82">
        <v>19336.039999999997</v>
      </c>
    </row>
    <row r="3239" spans="1:4" x14ac:dyDescent="0.3">
      <c r="A3239" t="s">
        <v>34</v>
      </c>
      <c r="C3239" s="16">
        <v>46258</v>
      </c>
      <c r="D3239" s="82">
        <v>345</v>
      </c>
    </row>
    <row r="3240" spans="1:4" x14ac:dyDescent="0.3">
      <c r="A3240" t="s">
        <v>35</v>
      </c>
      <c r="C3240" s="16">
        <v>46258</v>
      </c>
      <c r="D3240" s="82">
        <v>12519.840000000004</v>
      </c>
    </row>
    <row r="3241" spans="1:4" x14ac:dyDescent="0.3">
      <c r="A3241" t="s">
        <v>193</v>
      </c>
      <c r="C3241" s="16">
        <v>46258</v>
      </c>
      <c r="D3241" s="82">
        <v>0</v>
      </c>
    </row>
    <row r="3242" spans="1:4" x14ac:dyDescent="0.3">
      <c r="A3242" t="s">
        <v>214</v>
      </c>
      <c r="C3242" s="16">
        <v>46258</v>
      </c>
      <c r="D3242" s="82">
        <v>0</v>
      </c>
    </row>
    <row r="3243" spans="1:4" x14ac:dyDescent="0.3">
      <c r="A3243" t="s">
        <v>194</v>
      </c>
      <c r="C3243" s="16">
        <v>46258</v>
      </c>
      <c r="D3243" s="82">
        <v>0</v>
      </c>
    </row>
    <row r="3244" spans="1:4" x14ac:dyDescent="0.3">
      <c r="A3244" t="s">
        <v>195</v>
      </c>
      <c r="C3244" s="16">
        <v>46258</v>
      </c>
      <c r="D3244" s="82">
        <v>0</v>
      </c>
    </row>
    <row r="3245" spans="1:4" x14ac:dyDescent="0.3">
      <c r="A3245" t="s">
        <v>196</v>
      </c>
      <c r="C3245" s="16">
        <v>46258</v>
      </c>
      <c r="D3245" s="82">
        <v>0</v>
      </c>
    </row>
    <row r="3246" spans="1:4" x14ac:dyDescent="0.3">
      <c r="A3246" t="s">
        <v>197</v>
      </c>
      <c r="C3246" s="16">
        <v>46258</v>
      </c>
      <c r="D3246" s="82">
        <v>0</v>
      </c>
    </row>
    <row r="3247" spans="1:4" x14ac:dyDescent="0.3">
      <c r="A3247" t="s">
        <v>212</v>
      </c>
      <c r="C3247" s="16">
        <v>46258</v>
      </c>
      <c r="D3247" s="82">
        <v>0</v>
      </c>
    </row>
    <row r="3248" spans="1:4" x14ac:dyDescent="0.3">
      <c r="A3248" t="s">
        <v>199</v>
      </c>
      <c r="C3248" s="16">
        <v>46258</v>
      </c>
      <c r="D3248" s="82">
        <v>0</v>
      </c>
    </row>
    <row r="3249" spans="1:4" x14ac:dyDescent="0.3">
      <c r="A3249" t="s">
        <v>216</v>
      </c>
      <c r="C3249" s="16">
        <v>46258</v>
      </c>
      <c r="D3249" s="82">
        <v>0</v>
      </c>
    </row>
    <row r="3250" spans="1:4" x14ac:dyDescent="0.3">
      <c r="A3250" t="s">
        <v>17</v>
      </c>
      <c r="C3250" s="16">
        <v>46259</v>
      </c>
      <c r="D3250" s="82">
        <v>526096.53000000049</v>
      </c>
    </row>
    <row r="3251" spans="1:4" x14ac:dyDescent="0.3">
      <c r="A3251" t="s">
        <v>18</v>
      </c>
      <c r="C3251" s="16">
        <v>46259</v>
      </c>
      <c r="D3251" s="82">
        <v>90643.10000000018</v>
      </c>
    </row>
    <row r="3252" spans="1:4" x14ac:dyDescent="0.3">
      <c r="A3252" t="s">
        <v>19</v>
      </c>
      <c r="C3252" s="16">
        <v>46259</v>
      </c>
      <c r="D3252" s="82">
        <v>1669.89</v>
      </c>
    </row>
    <row r="3253" spans="1:4" x14ac:dyDescent="0.3">
      <c r="A3253" t="s">
        <v>20</v>
      </c>
      <c r="C3253" s="16">
        <v>46259</v>
      </c>
      <c r="D3253" s="82">
        <v>1252108.94</v>
      </c>
    </row>
    <row r="3254" spans="1:4" x14ac:dyDescent="0.3">
      <c r="A3254" t="s">
        <v>21</v>
      </c>
      <c r="C3254" s="16">
        <v>46259</v>
      </c>
      <c r="D3254" s="82">
        <v>1743289.5899999996</v>
      </c>
    </row>
    <row r="3255" spans="1:4" x14ac:dyDescent="0.3">
      <c r="A3255" t="s">
        <v>22</v>
      </c>
      <c r="C3255" s="16">
        <v>46259</v>
      </c>
      <c r="D3255" s="82">
        <v>221496.38</v>
      </c>
    </row>
    <row r="3256" spans="1:4" x14ac:dyDescent="0.3">
      <c r="A3256" t="s">
        <v>23</v>
      </c>
      <c r="C3256" s="16">
        <v>46259</v>
      </c>
      <c r="D3256" s="82">
        <v>277586.34000000003</v>
      </c>
    </row>
    <row r="3257" spans="1:4" x14ac:dyDescent="0.3">
      <c r="A3257" t="s">
        <v>24</v>
      </c>
      <c r="C3257" s="16">
        <v>46259</v>
      </c>
      <c r="D3257" s="82">
        <v>13270.02</v>
      </c>
    </row>
    <row r="3258" spans="1:4" x14ac:dyDescent="0.3">
      <c r="A3258" t="s">
        <v>25</v>
      </c>
      <c r="C3258" s="16">
        <v>46259</v>
      </c>
      <c r="D3258" s="82">
        <v>24.450000000000003</v>
      </c>
    </row>
    <row r="3259" spans="1:4" x14ac:dyDescent="0.3">
      <c r="A3259" t="s">
        <v>26</v>
      </c>
      <c r="C3259" s="16">
        <v>46259</v>
      </c>
      <c r="D3259" s="82">
        <v>2177.87</v>
      </c>
    </row>
    <row r="3260" spans="1:4" x14ac:dyDescent="0.3">
      <c r="A3260" t="s">
        <v>27</v>
      </c>
      <c r="C3260" s="16">
        <v>46259</v>
      </c>
      <c r="D3260" s="82">
        <v>754424.72</v>
      </c>
    </row>
    <row r="3261" spans="1:4" x14ac:dyDescent="0.3">
      <c r="A3261" t="s">
        <v>28</v>
      </c>
      <c r="C3261" s="16">
        <v>46259</v>
      </c>
      <c r="D3261" s="82">
        <v>1968.99</v>
      </c>
    </row>
    <row r="3262" spans="1:4" x14ac:dyDescent="0.3">
      <c r="A3262" t="s">
        <v>29</v>
      </c>
      <c r="C3262" s="16">
        <v>46259</v>
      </c>
      <c r="D3262" s="82">
        <v>901.34</v>
      </c>
    </row>
    <row r="3263" spans="1:4" x14ac:dyDescent="0.3">
      <c r="A3263" t="s">
        <v>30</v>
      </c>
      <c r="C3263" s="16">
        <v>46259</v>
      </c>
      <c r="D3263" s="82">
        <v>1396.08</v>
      </c>
    </row>
    <row r="3264" spans="1:4" x14ac:dyDescent="0.3">
      <c r="A3264" t="s">
        <v>31</v>
      </c>
      <c r="C3264" s="16">
        <v>46259</v>
      </c>
      <c r="D3264" s="82">
        <v>13685.709999999959</v>
      </c>
    </row>
    <row r="3265" spans="1:4" x14ac:dyDescent="0.3">
      <c r="A3265" t="s">
        <v>32</v>
      </c>
      <c r="C3265" s="16">
        <v>46259</v>
      </c>
      <c r="D3265" s="82">
        <v>8724.1700000000037</v>
      </c>
    </row>
    <row r="3266" spans="1:4" x14ac:dyDescent="0.3">
      <c r="A3266" t="s">
        <v>33</v>
      </c>
      <c r="C3266" s="16">
        <v>46259</v>
      </c>
      <c r="D3266" s="82">
        <v>19336.039999999997</v>
      </c>
    </row>
    <row r="3267" spans="1:4" x14ac:dyDescent="0.3">
      <c r="A3267" t="s">
        <v>34</v>
      </c>
      <c r="C3267" s="16">
        <v>46259</v>
      </c>
      <c r="D3267" s="82">
        <v>345</v>
      </c>
    </row>
    <row r="3268" spans="1:4" x14ac:dyDescent="0.3">
      <c r="A3268" t="s">
        <v>35</v>
      </c>
      <c r="C3268" s="16">
        <v>46259</v>
      </c>
      <c r="D3268" s="82">
        <v>12519.840000000004</v>
      </c>
    </row>
    <row r="3269" spans="1:4" x14ac:dyDescent="0.3">
      <c r="A3269" t="s">
        <v>193</v>
      </c>
      <c r="C3269" s="16">
        <v>46259</v>
      </c>
      <c r="D3269" s="82">
        <v>0</v>
      </c>
    </row>
    <row r="3270" spans="1:4" x14ac:dyDescent="0.3">
      <c r="A3270" t="s">
        <v>214</v>
      </c>
      <c r="C3270" s="16">
        <v>46259</v>
      </c>
      <c r="D3270" s="82">
        <v>0</v>
      </c>
    </row>
    <row r="3271" spans="1:4" x14ac:dyDescent="0.3">
      <c r="A3271" t="s">
        <v>194</v>
      </c>
      <c r="C3271" s="16">
        <v>46259</v>
      </c>
      <c r="D3271" s="82">
        <v>0</v>
      </c>
    </row>
    <row r="3272" spans="1:4" x14ac:dyDescent="0.3">
      <c r="A3272" t="s">
        <v>195</v>
      </c>
      <c r="C3272" s="16">
        <v>46259</v>
      </c>
      <c r="D3272" s="82">
        <v>0</v>
      </c>
    </row>
    <row r="3273" spans="1:4" x14ac:dyDescent="0.3">
      <c r="A3273" t="s">
        <v>196</v>
      </c>
      <c r="C3273" s="16">
        <v>46259</v>
      </c>
      <c r="D3273" s="82">
        <v>0</v>
      </c>
    </row>
    <row r="3274" spans="1:4" x14ac:dyDescent="0.3">
      <c r="A3274" t="s">
        <v>197</v>
      </c>
      <c r="C3274" s="16">
        <v>46259</v>
      </c>
      <c r="D3274" s="82">
        <v>0</v>
      </c>
    </row>
    <row r="3275" spans="1:4" x14ac:dyDescent="0.3">
      <c r="A3275" t="s">
        <v>212</v>
      </c>
      <c r="C3275" s="16">
        <v>46259</v>
      </c>
      <c r="D3275" s="82">
        <v>0</v>
      </c>
    </row>
    <row r="3276" spans="1:4" x14ac:dyDescent="0.3">
      <c r="A3276" t="s">
        <v>199</v>
      </c>
      <c r="C3276" s="16">
        <v>46259</v>
      </c>
      <c r="D3276" s="82">
        <v>0</v>
      </c>
    </row>
    <row r="3277" spans="1:4" x14ac:dyDescent="0.3">
      <c r="A3277" t="s">
        <v>216</v>
      </c>
      <c r="C3277" s="16">
        <v>46259</v>
      </c>
      <c r="D3277" s="82">
        <v>0</v>
      </c>
    </row>
    <row r="3278" spans="1:4" x14ac:dyDescent="0.3">
      <c r="A3278" t="s">
        <v>17</v>
      </c>
      <c r="C3278" s="16">
        <v>46260</v>
      </c>
      <c r="D3278" s="82">
        <v>526096.53000000049</v>
      </c>
    </row>
    <row r="3279" spans="1:4" x14ac:dyDescent="0.3">
      <c r="A3279" t="s">
        <v>18</v>
      </c>
      <c r="C3279" s="16">
        <v>46260</v>
      </c>
      <c r="D3279" s="82">
        <v>90643.10000000018</v>
      </c>
    </row>
    <row r="3280" spans="1:4" x14ac:dyDescent="0.3">
      <c r="A3280" t="s">
        <v>19</v>
      </c>
      <c r="C3280" s="16">
        <v>46260</v>
      </c>
      <c r="D3280" s="82">
        <v>1669.89</v>
      </c>
    </row>
    <row r="3281" spans="1:4" x14ac:dyDescent="0.3">
      <c r="A3281" t="s">
        <v>20</v>
      </c>
      <c r="C3281" s="16">
        <v>46260</v>
      </c>
      <c r="D3281" s="82">
        <v>1269654.47</v>
      </c>
    </row>
    <row r="3282" spans="1:4" x14ac:dyDescent="0.3">
      <c r="A3282" t="s">
        <v>21</v>
      </c>
      <c r="C3282" s="16">
        <v>46260</v>
      </c>
      <c r="D3282" s="82">
        <v>1743289.5899999996</v>
      </c>
    </row>
    <row r="3283" spans="1:4" x14ac:dyDescent="0.3">
      <c r="A3283" t="s">
        <v>22</v>
      </c>
      <c r="C3283" s="16">
        <v>46260</v>
      </c>
      <c r="D3283" s="82">
        <v>221496.38</v>
      </c>
    </row>
    <row r="3284" spans="1:4" x14ac:dyDescent="0.3">
      <c r="A3284" t="s">
        <v>23</v>
      </c>
      <c r="C3284" s="16">
        <v>46260</v>
      </c>
      <c r="D3284" s="82">
        <v>277586.34000000003</v>
      </c>
    </row>
    <row r="3285" spans="1:4" x14ac:dyDescent="0.3">
      <c r="A3285" t="s">
        <v>24</v>
      </c>
      <c r="C3285" s="16">
        <v>46260</v>
      </c>
      <c r="D3285" s="82">
        <v>13270.02</v>
      </c>
    </row>
    <row r="3286" spans="1:4" x14ac:dyDescent="0.3">
      <c r="A3286" t="s">
        <v>25</v>
      </c>
      <c r="C3286" s="16">
        <v>46260</v>
      </c>
      <c r="D3286" s="82">
        <v>24.450000000000003</v>
      </c>
    </row>
    <row r="3287" spans="1:4" x14ac:dyDescent="0.3">
      <c r="A3287" t="s">
        <v>26</v>
      </c>
      <c r="C3287" s="16">
        <v>46260</v>
      </c>
      <c r="D3287" s="82">
        <v>2177.87</v>
      </c>
    </row>
    <row r="3288" spans="1:4" x14ac:dyDescent="0.3">
      <c r="A3288" t="s">
        <v>27</v>
      </c>
      <c r="C3288" s="16">
        <v>46260</v>
      </c>
      <c r="D3288" s="82">
        <v>754424.72</v>
      </c>
    </row>
    <row r="3289" spans="1:4" x14ac:dyDescent="0.3">
      <c r="A3289" t="s">
        <v>28</v>
      </c>
      <c r="C3289" s="16">
        <v>46260</v>
      </c>
      <c r="D3289" s="82">
        <v>1968.99</v>
      </c>
    </row>
    <row r="3290" spans="1:4" x14ac:dyDescent="0.3">
      <c r="A3290" t="s">
        <v>29</v>
      </c>
      <c r="C3290" s="16">
        <v>46260</v>
      </c>
      <c r="D3290" s="82">
        <v>901.34</v>
      </c>
    </row>
    <row r="3291" spans="1:4" x14ac:dyDescent="0.3">
      <c r="A3291" t="s">
        <v>30</v>
      </c>
      <c r="C3291" s="16">
        <v>46260</v>
      </c>
      <c r="D3291" s="82">
        <v>1396.08</v>
      </c>
    </row>
    <row r="3292" spans="1:4" x14ac:dyDescent="0.3">
      <c r="A3292" t="s">
        <v>31</v>
      </c>
      <c r="C3292" s="16">
        <v>46260</v>
      </c>
      <c r="D3292" s="82">
        <v>13685.709999999959</v>
      </c>
    </row>
    <row r="3293" spans="1:4" x14ac:dyDescent="0.3">
      <c r="A3293" t="s">
        <v>32</v>
      </c>
      <c r="C3293" s="16">
        <v>46260</v>
      </c>
      <c r="D3293" s="82">
        <v>8724.1700000000037</v>
      </c>
    </row>
    <row r="3294" spans="1:4" x14ac:dyDescent="0.3">
      <c r="A3294" t="s">
        <v>33</v>
      </c>
      <c r="C3294" s="16">
        <v>46260</v>
      </c>
      <c r="D3294" s="82">
        <v>19336.039999999997</v>
      </c>
    </row>
    <row r="3295" spans="1:4" x14ac:dyDescent="0.3">
      <c r="A3295" t="s">
        <v>34</v>
      </c>
      <c r="C3295" s="16">
        <v>46260</v>
      </c>
      <c r="D3295" s="82">
        <v>345</v>
      </c>
    </row>
    <row r="3296" spans="1:4" x14ac:dyDescent="0.3">
      <c r="A3296" t="s">
        <v>35</v>
      </c>
      <c r="C3296" s="16">
        <v>46260</v>
      </c>
      <c r="D3296" s="82">
        <v>12519.840000000004</v>
      </c>
    </row>
    <row r="3297" spans="1:4" x14ac:dyDescent="0.3">
      <c r="A3297" t="s">
        <v>193</v>
      </c>
      <c r="C3297" s="16">
        <v>46260</v>
      </c>
      <c r="D3297" s="82">
        <v>0</v>
      </c>
    </row>
    <row r="3298" spans="1:4" x14ac:dyDescent="0.3">
      <c r="A3298" t="s">
        <v>214</v>
      </c>
      <c r="C3298" s="16">
        <v>46260</v>
      </c>
      <c r="D3298" s="82">
        <v>0</v>
      </c>
    </row>
    <row r="3299" spans="1:4" x14ac:dyDescent="0.3">
      <c r="A3299" t="s">
        <v>194</v>
      </c>
      <c r="C3299" s="16">
        <v>46260</v>
      </c>
      <c r="D3299" s="82">
        <v>0</v>
      </c>
    </row>
    <row r="3300" spans="1:4" x14ac:dyDescent="0.3">
      <c r="A3300" t="s">
        <v>195</v>
      </c>
      <c r="C3300" s="16">
        <v>46260</v>
      </c>
      <c r="D3300" s="82">
        <v>0</v>
      </c>
    </row>
    <row r="3301" spans="1:4" x14ac:dyDescent="0.3">
      <c r="A3301" t="s">
        <v>196</v>
      </c>
      <c r="C3301" s="16">
        <v>46260</v>
      </c>
      <c r="D3301" s="82">
        <v>0</v>
      </c>
    </row>
    <row r="3302" spans="1:4" x14ac:dyDescent="0.3">
      <c r="A3302" t="s">
        <v>197</v>
      </c>
      <c r="C3302" s="16">
        <v>46260</v>
      </c>
      <c r="D3302" s="82">
        <v>0</v>
      </c>
    </row>
    <row r="3303" spans="1:4" x14ac:dyDescent="0.3">
      <c r="A3303" t="s">
        <v>212</v>
      </c>
      <c r="C3303" s="16">
        <v>46260</v>
      </c>
      <c r="D3303" s="82">
        <v>0</v>
      </c>
    </row>
    <row r="3304" spans="1:4" x14ac:dyDescent="0.3">
      <c r="A3304" t="s">
        <v>199</v>
      </c>
      <c r="C3304" s="16">
        <v>46260</v>
      </c>
      <c r="D3304" s="82">
        <v>0</v>
      </c>
    </row>
    <row r="3305" spans="1:4" x14ac:dyDescent="0.3">
      <c r="A3305" t="s">
        <v>216</v>
      </c>
      <c r="C3305" s="16">
        <v>46260</v>
      </c>
      <c r="D3305" s="82">
        <v>0</v>
      </c>
    </row>
    <row r="3306" spans="1:4" x14ac:dyDescent="0.3">
      <c r="A3306" t="s">
        <v>17</v>
      </c>
      <c r="C3306" s="16">
        <v>46261</v>
      </c>
      <c r="D3306" s="82">
        <v>578093.59000000043</v>
      </c>
    </row>
    <row r="3307" spans="1:4" x14ac:dyDescent="0.3">
      <c r="A3307" t="s">
        <v>18</v>
      </c>
      <c r="C3307" s="16">
        <v>46261</v>
      </c>
      <c r="D3307" s="82">
        <v>90643.10000000018</v>
      </c>
    </row>
    <row r="3308" spans="1:4" x14ac:dyDescent="0.3">
      <c r="A3308" t="s">
        <v>19</v>
      </c>
      <c r="C3308" s="16">
        <v>46261</v>
      </c>
      <c r="D3308" s="82">
        <v>1669.89</v>
      </c>
    </row>
    <row r="3309" spans="1:4" x14ac:dyDescent="0.3">
      <c r="A3309" t="s">
        <v>20</v>
      </c>
      <c r="C3309" s="16">
        <v>46261</v>
      </c>
      <c r="D3309" s="82">
        <v>1394654.47</v>
      </c>
    </row>
    <row r="3310" spans="1:4" x14ac:dyDescent="0.3">
      <c r="A3310" t="s">
        <v>21</v>
      </c>
      <c r="C3310" s="16">
        <v>46261</v>
      </c>
      <c r="D3310" s="82">
        <v>1719364.7199999997</v>
      </c>
    </row>
    <row r="3311" spans="1:4" x14ac:dyDescent="0.3">
      <c r="A3311" t="s">
        <v>22</v>
      </c>
      <c r="C3311" s="16">
        <v>46261</v>
      </c>
      <c r="D3311" s="82">
        <v>221496.38</v>
      </c>
    </row>
    <row r="3312" spans="1:4" x14ac:dyDescent="0.3">
      <c r="A3312" t="s">
        <v>23</v>
      </c>
      <c r="C3312" s="16">
        <v>46261</v>
      </c>
      <c r="D3312" s="82">
        <v>277586.34000000003</v>
      </c>
    </row>
    <row r="3313" spans="1:4" x14ac:dyDescent="0.3">
      <c r="A3313" t="s">
        <v>24</v>
      </c>
      <c r="C3313" s="16">
        <v>46261</v>
      </c>
      <c r="D3313" s="82">
        <v>13270.02</v>
      </c>
    </row>
    <row r="3314" spans="1:4" x14ac:dyDescent="0.3">
      <c r="A3314" t="s">
        <v>25</v>
      </c>
      <c r="C3314" s="16">
        <v>46261</v>
      </c>
      <c r="D3314" s="82">
        <v>124.45</v>
      </c>
    </row>
    <row r="3315" spans="1:4" x14ac:dyDescent="0.3">
      <c r="A3315" t="s">
        <v>26</v>
      </c>
      <c r="C3315" s="16">
        <v>46261</v>
      </c>
      <c r="D3315" s="82">
        <v>2177.87</v>
      </c>
    </row>
    <row r="3316" spans="1:4" x14ac:dyDescent="0.3">
      <c r="A3316" t="s">
        <v>27</v>
      </c>
      <c r="C3316" s="16">
        <v>46261</v>
      </c>
      <c r="D3316" s="82">
        <v>754424.72</v>
      </c>
    </row>
    <row r="3317" spans="1:4" x14ac:dyDescent="0.3">
      <c r="A3317" t="s">
        <v>28</v>
      </c>
      <c r="C3317" s="16">
        <v>46261</v>
      </c>
      <c r="D3317" s="82">
        <v>1968.99</v>
      </c>
    </row>
    <row r="3318" spans="1:4" x14ac:dyDescent="0.3">
      <c r="A3318" t="s">
        <v>29</v>
      </c>
      <c r="C3318" s="16">
        <v>46261</v>
      </c>
      <c r="D3318" s="82">
        <v>901.34</v>
      </c>
    </row>
    <row r="3319" spans="1:4" x14ac:dyDescent="0.3">
      <c r="A3319" t="s">
        <v>30</v>
      </c>
      <c r="C3319" s="16">
        <v>46261</v>
      </c>
      <c r="D3319" s="82">
        <v>1396.08</v>
      </c>
    </row>
    <row r="3320" spans="1:4" x14ac:dyDescent="0.3">
      <c r="A3320" t="s">
        <v>31</v>
      </c>
      <c r="C3320" s="16">
        <v>46261</v>
      </c>
      <c r="D3320" s="82">
        <v>33685.709999999963</v>
      </c>
    </row>
    <row r="3321" spans="1:4" x14ac:dyDescent="0.3">
      <c r="A3321" t="s">
        <v>32</v>
      </c>
      <c r="C3321" s="16">
        <v>46261</v>
      </c>
      <c r="D3321" s="82">
        <v>29724.170000000006</v>
      </c>
    </row>
    <row r="3322" spans="1:4" x14ac:dyDescent="0.3">
      <c r="A3322" t="s">
        <v>33</v>
      </c>
      <c r="C3322" s="16">
        <v>46261</v>
      </c>
      <c r="D3322" s="82">
        <v>19336.039999999997</v>
      </c>
    </row>
    <row r="3323" spans="1:4" x14ac:dyDescent="0.3">
      <c r="A3323" t="s">
        <v>34</v>
      </c>
      <c r="C3323" s="16">
        <v>46261</v>
      </c>
      <c r="D3323" s="82">
        <v>345</v>
      </c>
    </row>
    <row r="3324" spans="1:4" x14ac:dyDescent="0.3">
      <c r="A3324" t="s">
        <v>35</v>
      </c>
      <c r="C3324" s="16">
        <v>46261</v>
      </c>
      <c r="D3324" s="82">
        <v>9608.7000000000025</v>
      </c>
    </row>
    <row r="3325" spans="1:4" x14ac:dyDescent="0.3">
      <c r="A3325" t="s">
        <v>193</v>
      </c>
      <c r="C3325" s="16">
        <v>46261</v>
      </c>
      <c r="D3325" s="82">
        <v>0</v>
      </c>
    </row>
    <row r="3326" spans="1:4" x14ac:dyDescent="0.3">
      <c r="A3326" t="s">
        <v>214</v>
      </c>
      <c r="C3326" s="16">
        <v>46261</v>
      </c>
      <c r="D3326" s="82">
        <v>0</v>
      </c>
    </row>
    <row r="3327" spans="1:4" x14ac:dyDescent="0.3">
      <c r="A3327" t="s">
        <v>194</v>
      </c>
      <c r="C3327" s="16">
        <v>46261</v>
      </c>
      <c r="D3327" s="82">
        <v>0</v>
      </c>
    </row>
    <row r="3328" spans="1:4" x14ac:dyDescent="0.3">
      <c r="A3328" t="s">
        <v>195</v>
      </c>
      <c r="C3328" s="16">
        <v>46261</v>
      </c>
      <c r="D3328" s="82">
        <v>0</v>
      </c>
    </row>
    <row r="3329" spans="1:4" x14ac:dyDescent="0.3">
      <c r="A3329" t="s">
        <v>196</v>
      </c>
      <c r="C3329" s="16">
        <v>46261</v>
      </c>
      <c r="D3329" s="82">
        <v>0</v>
      </c>
    </row>
    <row r="3330" spans="1:4" x14ac:dyDescent="0.3">
      <c r="A3330" t="s">
        <v>197</v>
      </c>
      <c r="C3330" s="16">
        <v>46261</v>
      </c>
      <c r="D3330" s="82">
        <v>0</v>
      </c>
    </row>
    <row r="3331" spans="1:4" x14ac:dyDescent="0.3">
      <c r="A3331" t="s">
        <v>212</v>
      </c>
      <c r="C3331" s="16">
        <v>46261</v>
      </c>
      <c r="D3331" s="82">
        <v>0</v>
      </c>
    </row>
    <row r="3332" spans="1:4" x14ac:dyDescent="0.3">
      <c r="A3332" t="s">
        <v>199</v>
      </c>
      <c r="C3332" s="16">
        <v>46261</v>
      </c>
      <c r="D3332" s="82">
        <v>0</v>
      </c>
    </row>
    <row r="3333" spans="1:4" x14ac:dyDescent="0.3">
      <c r="A3333" t="s">
        <v>216</v>
      </c>
      <c r="C3333" s="16">
        <v>46261</v>
      </c>
      <c r="D3333" s="82">
        <v>0</v>
      </c>
    </row>
    <row r="3334" spans="1:4" x14ac:dyDescent="0.3">
      <c r="A3334" t="s">
        <v>17</v>
      </c>
      <c r="C3334" s="16">
        <v>46262</v>
      </c>
      <c r="D3334" s="82">
        <v>743430.83000000054</v>
      </c>
    </row>
    <row r="3335" spans="1:4" x14ac:dyDescent="0.3">
      <c r="A3335" t="s">
        <v>18</v>
      </c>
      <c r="C3335" s="16">
        <v>46262</v>
      </c>
      <c r="D3335" s="82">
        <v>93280.230000000171</v>
      </c>
    </row>
    <row r="3336" spans="1:4" x14ac:dyDescent="0.3">
      <c r="A3336" t="s">
        <v>19</v>
      </c>
      <c r="C3336" s="16">
        <v>46262</v>
      </c>
      <c r="D3336" s="82">
        <v>1669.89</v>
      </c>
    </row>
    <row r="3337" spans="1:4" x14ac:dyDescent="0.3">
      <c r="A3337" t="s">
        <v>20</v>
      </c>
      <c r="C3337" s="16">
        <v>46262</v>
      </c>
      <c r="D3337" s="82">
        <v>1418445.91</v>
      </c>
    </row>
    <row r="3338" spans="1:4" x14ac:dyDescent="0.3">
      <c r="A3338" t="s">
        <v>21</v>
      </c>
      <c r="C3338" s="16">
        <v>46262</v>
      </c>
      <c r="D3338" s="82">
        <v>1553167.1899999995</v>
      </c>
    </row>
    <row r="3339" spans="1:4" x14ac:dyDescent="0.3">
      <c r="A3339" t="s">
        <v>22</v>
      </c>
      <c r="C3339" s="16">
        <v>46262</v>
      </c>
      <c r="D3339" s="82">
        <v>221496.38</v>
      </c>
    </row>
    <row r="3340" spans="1:4" x14ac:dyDescent="0.3">
      <c r="A3340" t="s">
        <v>23</v>
      </c>
      <c r="C3340" s="16">
        <v>46262</v>
      </c>
      <c r="D3340" s="82">
        <v>217684.34</v>
      </c>
    </row>
    <row r="3341" spans="1:4" x14ac:dyDescent="0.3">
      <c r="A3341" t="s">
        <v>24</v>
      </c>
      <c r="C3341" s="16">
        <v>46262</v>
      </c>
      <c r="D3341" s="82">
        <v>13270.02</v>
      </c>
    </row>
    <row r="3342" spans="1:4" x14ac:dyDescent="0.3">
      <c r="A3342" t="s">
        <v>25</v>
      </c>
      <c r="C3342" s="16">
        <v>46262</v>
      </c>
      <c r="D3342" s="82">
        <v>124.45</v>
      </c>
    </row>
    <row r="3343" spans="1:4" x14ac:dyDescent="0.3">
      <c r="A3343" t="s">
        <v>26</v>
      </c>
      <c r="C3343" s="16">
        <v>46262</v>
      </c>
      <c r="D3343" s="82">
        <v>2177.87</v>
      </c>
    </row>
    <row r="3344" spans="1:4" x14ac:dyDescent="0.3">
      <c r="A3344" t="s">
        <v>27</v>
      </c>
      <c r="C3344" s="16">
        <v>46262</v>
      </c>
      <c r="D3344" s="82">
        <v>754424.72</v>
      </c>
    </row>
    <row r="3345" spans="1:4" x14ac:dyDescent="0.3">
      <c r="A3345" t="s">
        <v>28</v>
      </c>
      <c r="C3345" s="16">
        <v>46262</v>
      </c>
      <c r="D3345" s="82">
        <v>1968.99</v>
      </c>
    </row>
    <row r="3346" spans="1:4" x14ac:dyDescent="0.3">
      <c r="A3346" t="s">
        <v>29</v>
      </c>
      <c r="C3346" s="16">
        <v>46262</v>
      </c>
      <c r="D3346" s="82">
        <v>901.34</v>
      </c>
    </row>
    <row r="3347" spans="1:4" x14ac:dyDescent="0.3">
      <c r="A3347" t="s">
        <v>30</v>
      </c>
      <c r="C3347" s="16">
        <v>46262</v>
      </c>
      <c r="D3347" s="82">
        <v>1396.08</v>
      </c>
    </row>
    <row r="3348" spans="1:4" x14ac:dyDescent="0.3">
      <c r="A3348" t="s">
        <v>31</v>
      </c>
      <c r="C3348" s="16">
        <v>46262</v>
      </c>
      <c r="D3348" s="82">
        <v>33670.709999999963</v>
      </c>
    </row>
    <row r="3349" spans="1:4" x14ac:dyDescent="0.3">
      <c r="A3349" t="s">
        <v>32</v>
      </c>
      <c r="C3349" s="16">
        <v>46262</v>
      </c>
      <c r="D3349" s="82">
        <v>29709.170000000006</v>
      </c>
    </row>
    <row r="3350" spans="1:4" x14ac:dyDescent="0.3">
      <c r="A3350" t="s">
        <v>33</v>
      </c>
      <c r="C3350" s="16">
        <v>46262</v>
      </c>
      <c r="D3350" s="82">
        <v>19336.039999999997</v>
      </c>
    </row>
    <row r="3351" spans="1:4" x14ac:dyDescent="0.3">
      <c r="A3351" t="s">
        <v>34</v>
      </c>
      <c r="C3351" s="16">
        <v>46262</v>
      </c>
      <c r="D3351" s="82">
        <v>345</v>
      </c>
    </row>
    <row r="3352" spans="1:4" x14ac:dyDescent="0.3">
      <c r="A3352" t="s">
        <v>35</v>
      </c>
      <c r="C3352" s="16">
        <v>46262</v>
      </c>
      <c r="D3352" s="82">
        <v>9560.0000000000018</v>
      </c>
    </row>
    <row r="3353" spans="1:4" x14ac:dyDescent="0.3">
      <c r="A3353" t="s">
        <v>193</v>
      </c>
      <c r="C3353" s="16">
        <v>46262</v>
      </c>
      <c r="D3353" s="82">
        <v>0</v>
      </c>
    </row>
    <row r="3354" spans="1:4" x14ac:dyDescent="0.3">
      <c r="A3354" t="s">
        <v>214</v>
      </c>
      <c r="C3354" s="16">
        <v>46262</v>
      </c>
      <c r="D3354" s="82">
        <v>0</v>
      </c>
    </row>
    <row r="3355" spans="1:4" x14ac:dyDescent="0.3">
      <c r="A3355" t="s">
        <v>194</v>
      </c>
      <c r="C3355" s="16">
        <v>46262</v>
      </c>
      <c r="D3355" s="82">
        <v>0</v>
      </c>
    </row>
    <row r="3356" spans="1:4" x14ac:dyDescent="0.3">
      <c r="A3356" t="s">
        <v>195</v>
      </c>
      <c r="C3356" s="16">
        <v>46262</v>
      </c>
      <c r="D3356" s="82">
        <v>0</v>
      </c>
    </row>
    <row r="3357" spans="1:4" x14ac:dyDescent="0.3">
      <c r="A3357" t="s">
        <v>196</v>
      </c>
      <c r="C3357" s="16">
        <v>46262</v>
      </c>
      <c r="D3357" s="82">
        <v>0</v>
      </c>
    </row>
    <row r="3358" spans="1:4" x14ac:dyDescent="0.3">
      <c r="A3358" t="s">
        <v>197</v>
      </c>
      <c r="C3358" s="16">
        <v>46262</v>
      </c>
      <c r="D3358" s="82">
        <v>0</v>
      </c>
    </row>
    <row r="3359" spans="1:4" x14ac:dyDescent="0.3">
      <c r="A3359" t="s">
        <v>212</v>
      </c>
      <c r="C3359" s="16">
        <v>46262</v>
      </c>
      <c r="D3359" s="82">
        <v>0</v>
      </c>
    </row>
    <row r="3360" spans="1:4" x14ac:dyDescent="0.3">
      <c r="A3360" t="s">
        <v>199</v>
      </c>
      <c r="C3360" s="16">
        <v>46262</v>
      </c>
      <c r="D3360" s="82">
        <v>0</v>
      </c>
    </row>
    <row r="3361" spans="1:4" x14ac:dyDescent="0.3">
      <c r="A3361" t="s">
        <v>216</v>
      </c>
      <c r="C3361" s="16">
        <v>46262</v>
      </c>
      <c r="D3361" s="82">
        <v>0</v>
      </c>
    </row>
    <row r="3362" spans="1:4" x14ac:dyDescent="0.3">
      <c r="A3362" t="s">
        <v>17</v>
      </c>
      <c r="C3362" s="16">
        <v>46263</v>
      </c>
      <c r="D3362" s="82">
        <v>743430.83000000054</v>
      </c>
    </row>
    <row r="3363" spans="1:4" x14ac:dyDescent="0.3">
      <c r="A3363" t="s">
        <v>18</v>
      </c>
      <c r="C3363" s="16">
        <v>46263</v>
      </c>
      <c r="D3363" s="82">
        <v>93280.230000000171</v>
      </c>
    </row>
    <row r="3364" spans="1:4" x14ac:dyDescent="0.3">
      <c r="A3364" t="s">
        <v>19</v>
      </c>
      <c r="C3364" s="16">
        <v>46263</v>
      </c>
      <c r="D3364" s="82">
        <v>1669.89</v>
      </c>
    </row>
    <row r="3365" spans="1:4" x14ac:dyDescent="0.3">
      <c r="A3365" t="s">
        <v>20</v>
      </c>
      <c r="C3365" s="16">
        <v>46263</v>
      </c>
      <c r="D3365" s="82">
        <v>1418445.91</v>
      </c>
    </row>
    <row r="3366" spans="1:4" x14ac:dyDescent="0.3">
      <c r="A3366" t="s">
        <v>21</v>
      </c>
      <c r="C3366" s="16">
        <v>46263</v>
      </c>
      <c r="D3366" s="82">
        <v>1553167.1899999995</v>
      </c>
    </row>
    <row r="3367" spans="1:4" x14ac:dyDescent="0.3">
      <c r="A3367" t="s">
        <v>22</v>
      </c>
      <c r="C3367" s="16">
        <v>46263</v>
      </c>
      <c r="D3367" s="82">
        <v>221496.38</v>
      </c>
    </row>
    <row r="3368" spans="1:4" x14ac:dyDescent="0.3">
      <c r="A3368" t="s">
        <v>23</v>
      </c>
      <c r="C3368" s="16">
        <v>46263</v>
      </c>
      <c r="D3368" s="82">
        <v>217684.34</v>
      </c>
    </row>
    <row r="3369" spans="1:4" x14ac:dyDescent="0.3">
      <c r="A3369" t="s">
        <v>24</v>
      </c>
      <c r="C3369" s="16">
        <v>46263</v>
      </c>
      <c r="D3369" s="82">
        <v>13270.02</v>
      </c>
    </row>
    <row r="3370" spans="1:4" x14ac:dyDescent="0.3">
      <c r="A3370" t="s">
        <v>25</v>
      </c>
      <c r="C3370" s="16">
        <v>46263</v>
      </c>
      <c r="D3370" s="82">
        <v>124.45</v>
      </c>
    </row>
    <row r="3371" spans="1:4" x14ac:dyDescent="0.3">
      <c r="A3371" t="s">
        <v>26</v>
      </c>
      <c r="C3371" s="16">
        <v>46263</v>
      </c>
      <c r="D3371" s="82">
        <v>2177.87</v>
      </c>
    </row>
    <row r="3372" spans="1:4" x14ac:dyDescent="0.3">
      <c r="A3372" t="s">
        <v>27</v>
      </c>
      <c r="C3372" s="16">
        <v>46263</v>
      </c>
      <c r="D3372" s="82">
        <v>754424.72</v>
      </c>
    </row>
    <row r="3373" spans="1:4" x14ac:dyDescent="0.3">
      <c r="A3373" t="s">
        <v>28</v>
      </c>
      <c r="C3373" s="16">
        <v>46263</v>
      </c>
      <c r="D3373" s="82">
        <v>1968.99</v>
      </c>
    </row>
    <row r="3374" spans="1:4" x14ac:dyDescent="0.3">
      <c r="A3374" t="s">
        <v>29</v>
      </c>
      <c r="C3374" s="16">
        <v>46263</v>
      </c>
      <c r="D3374" s="82">
        <v>901.34</v>
      </c>
    </row>
    <row r="3375" spans="1:4" x14ac:dyDescent="0.3">
      <c r="A3375" t="s">
        <v>30</v>
      </c>
      <c r="C3375" s="16">
        <v>46263</v>
      </c>
      <c r="D3375" s="82">
        <v>1396.08</v>
      </c>
    </row>
    <row r="3376" spans="1:4" x14ac:dyDescent="0.3">
      <c r="A3376" t="s">
        <v>31</v>
      </c>
      <c r="C3376" s="16">
        <v>46263</v>
      </c>
      <c r="D3376" s="82">
        <v>33670.709999999963</v>
      </c>
    </row>
    <row r="3377" spans="1:4" x14ac:dyDescent="0.3">
      <c r="A3377" t="s">
        <v>32</v>
      </c>
      <c r="C3377" s="16">
        <v>46263</v>
      </c>
      <c r="D3377" s="82">
        <v>29709.170000000006</v>
      </c>
    </row>
    <row r="3378" spans="1:4" x14ac:dyDescent="0.3">
      <c r="A3378" t="s">
        <v>33</v>
      </c>
      <c r="C3378" s="16">
        <v>46263</v>
      </c>
      <c r="D3378" s="82">
        <v>19336.039999999997</v>
      </c>
    </row>
    <row r="3379" spans="1:4" x14ac:dyDescent="0.3">
      <c r="A3379" t="s">
        <v>34</v>
      </c>
      <c r="C3379" s="16">
        <v>46263</v>
      </c>
      <c r="D3379" s="82">
        <v>345</v>
      </c>
    </row>
    <row r="3380" spans="1:4" x14ac:dyDescent="0.3">
      <c r="A3380" t="s">
        <v>35</v>
      </c>
      <c r="C3380" s="16">
        <v>46263</v>
      </c>
      <c r="D3380" s="82">
        <v>9560.0000000000018</v>
      </c>
    </row>
    <row r="3381" spans="1:4" x14ac:dyDescent="0.3">
      <c r="A3381" t="s">
        <v>193</v>
      </c>
      <c r="C3381" s="16">
        <v>46263</v>
      </c>
      <c r="D3381" s="82">
        <v>0</v>
      </c>
    </row>
    <row r="3382" spans="1:4" x14ac:dyDescent="0.3">
      <c r="A3382" t="s">
        <v>214</v>
      </c>
      <c r="C3382" s="16">
        <v>46263</v>
      </c>
      <c r="D3382" s="82">
        <v>0</v>
      </c>
    </row>
    <row r="3383" spans="1:4" x14ac:dyDescent="0.3">
      <c r="A3383" t="s">
        <v>194</v>
      </c>
      <c r="C3383" s="16">
        <v>46263</v>
      </c>
      <c r="D3383" s="82">
        <v>0</v>
      </c>
    </row>
    <row r="3384" spans="1:4" x14ac:dyDescent="0.3">
      <c r="A3384" t="s">
        <v>195</v>
      </c>
      <c r="C3384" s="16">
        <v>46263</v>
      </c>
      <c r="D3384" s="82">
        <v>0</v>
      </c>
    </row>
    <row r="3385" spans="1:4" x14ac:dyDescent="0.3">
      <c r="A3385" t="s">
        <v>196</v>
      </c>
      <c r="C3385" s="16">
        <v>46263</v>
      </c>
      <c r="D3385" s="82">
        <v>0</v>
      </c>
    </row>
    <row r="3386" spans="1:4" x14ac:dyDescent="0.3">
      <c r="A3386" t="s">
        <v>197</v>
      </c>
      <c r="C3386" s="16">
        <v>46263</v>
      </c>
      <c r="D3386" s="82">
        <v>0</v>
      </c>
    </row>
    <row r="3387" spans="1:4" x14ac:dyDescent="0.3">
      <c r="A3387" t="s">
        <v>212</v>
      </c>
      <c r="C3387" s="16">
        <v>46263</v>
      </c>
      <c r="D3387" s="82">
        <v>0</v>
      </c>
    </row>
    <row r="3388" spans="1:4" x14ac:dyDescent="0.3">
      <c r="A3388" t="s">
        <v>199</v>
      </c>
      <c r="C3388" s="16">
        <v>46263</v>
      </c>
      <c r="D3388" s="82">
        <v>0</v>
      </c>
    </row>
    <row r="3389" spans="1:4" x14ac:dyDescent="0.3">
      <c r="A3389" t="s">
        <v>216</v>
      </c>
      <c r="C3389" s="16">
        <v>46263</v>
      </c>
      <c r="D3389" s="82">
        <v>0</v>
      </c>
    </row>
    <row r="3390" spans="1:4" x14ac:dyDescent="0.3">
      <c r="A3390" t="s">
        <v>17</v>
      </c>
      <c r="C3390" s="16">
        <v>46264</v>
      </c>
      <c r="D3390" s="82">
        <v>743430.83000000054</v>
      </c>
    </row>
    <row r="3391" spans="1:4" x14ac:dyDescent="0.3">
      <c r="A3391" t="s">
        <v>18</v>
      </c>
      <c r="C3391" s="16">
        <v>46264</v>
      </c>
      <c r="D3391" s="82">
        <v>93280.230000000171</v>
      </c>
    </row>
    <row r="3392" spans="1:4" x14ac:dyDescent="0.3">
      <c r="A3392" t="s">
        <v>19</v>
      </c>
      <c r="C3392" s="16">
        <v>46264</v>
      </c>
      <c r="D3392" s="82">
        <v>1669.89</v>
      </c>
    </row>
    <row r="3393" spans="1:4" x14ac:dyDescent="0.3">
      <c r="A3393" t="s">
        <v>20</v>
      </c>
      <c r="C3393" s="16">
        <v>46264</v>
      </c>
      <c r="D3393" s="82">
        <v>1418445.91</v>
      </c>
    </row>
    <row r="3394" spans="1:4" x14ac:dyDescent="0.3">
      <c r="A3394" t="s">
        <v>21</v>
      </c>
      <c r="C3394" s="16">
        <v>46264</v>
      </c>
      <c r="D3394" s="82">
        <v>1553167.1899999995</v>
      </c>
    </row>
    <row r="3395" spans="1:4" x14ac:dyDescent="0.3">
      <c r="A3395" t="s">
        <v>22</v>
      </c>
      <c r="C3395" s="16">
        <v>46264</v>
      </c>
      <c r="D3395" s="82">
        <v>221496.38</v>
      </c>
    </row>
    <row r="3396" spans="1:4" x14ac:dyDescent="0.3">
      <c r="A3396" t="s">
        <v>23</v>
      </c>
      <c r="C3396" s="16">
        <v>46264</v>
      </c>
      <c r="D3396" s="82">
        <v>217684.34</v>
      </c>
    </row>
    <row r="3397" spans="1:4" x14ac:dyDescent="0.3">
      <c r="A3397" t="s">
        <v>24</v>
      </c>
      <c r="C3397" s="16">
        <v>46264</v>
      </c>
      <c r="D3397" s="82">
        <v>13270.02</v>
      </c>
    </row>
    <row r="3398" spans="1:4" x14ac:dyDescent="0.3">
      <c r="A3398" t="s">
        <v>25</v>
      </c>
      <c r="C3398" s="16">
        <v>46264</v>
      </c>
      <c r="D3398" s="82">
        <v>124.45</v>
      </c>
    </row>
    <row r="3399" spans="1:4" x14ac:dyDescent="0.3">
      <c r="A3399" t="s">
        <v>26</v>
      </c>
      <c r="C3399" s="16">
        <v>46264</v>
      </c>
      <c r="D3399" s="82">
        <v>2177.87</v>
      </c>
    </row>
    <row r="3400" spans="1:4" x14ac:dyDescent="0.3">
      <c r="A3400" t="s">
        <v>27</v>
      </c>
      <c r="C3400" s="16">
        <v>46264</v>
      </c>
      <c r="D3400" s="82">
        <v>754424.72</v>
      </c>
    </row>
    <row r="3401" spans="1:4" x14ac:dyDescent="0.3">
      <c r="A3401" t="s">
        <v>28</v>
      </c>
      <c r="C3401" s="16">
        <v>46264</v>
      </c>
      <c r="D3401" s="82">
        <v>1968.99</v>
      </c>
    </row>
    <row r="3402" spans="1:4" x14ac:dyDescent="0.3">
      <c r="A3402" t="s">
        <v>29</v>
      </c>
      <c r="C3402" s="16">
        <v>46264</v>
      </c>
      <c r="D3402" s="82">
        <v>901.34</v>
      </c>
    </row>
    <row r="3403" spans="1:4" x14ac:dyDescent="0.3">
      <c r="A3403" t="s">
        <v>30</v>
      </c>
      <c r="C3403" s="16">
        <v>46264</v>
      </c>
      <c r="D3403" s="82">
        <v>1396.08</v>
      </c>
    </row>
    <row r="3404" spans="1:4" x14ac:dyDescent="0.3">
      <c r="A3404" t="s">
        <v>31</v>
      </c>
      <c r="C3404" s="16">
        <v>46264</v>
      </c>
      <c r="D3404" s="82">
        <v>33670.709999999963</v>
      </c>
    </row>
    <row r="3405" spans="1:4" x14ac:dyDescent="0.3">
      <c r="A3405" t="s">
        <v>32</v>
      </c>
      <c r="C3405" s="16">
        <v>46264</v>
      </c>
      <c r="D3405" s="82">
        <v>29709.170000000006</v>
      </c>
    </row>
    <row r="3406" spans="1:4" x14ac:dyDescent="0.3">
      <c r="A3406" t="s">
        <v>33</v>
      </c>
      <c r="C3406" s="16">
        <v>46264</v>
      </c>
      <c r="D3406" s="82">
        <v>19336.039999999997</v>
      </c>
    </row>
    <row r="3407" spans="1:4" x14ac:dyDescent="0.3">
      <c r="A3407" t="s">
        <v>34</v>
      </c>
      <c r="C3407" s="16">
        <v>46264</v>
      </c>
      <c r="D3407" s="82">
        <v>345</v>
      </c>
    </row>
    <row r="3408" spans="1:4" x14ac:dyDescent="0.3">
      <c r="A3408" t="s">
        <v>35</v>
      </c>
      <c r="C3408" s="16">
        <v>46264</v>
      </c>
      <c r="D3408" s="82">
        <v>9560.0000000000018</v>
      </c>
    </row>
    <row r="3409" spans="1:4" x14ac:dyDescent="0.3">
      <c r="A3409" t="s">
        <v>193</v>
      </c>
      <c r="C3409" s="16">
        <v>46264</v>
      </c>
      <c r="D3409" s="82">
        <v>0</v>
      </c>
    </row>
    <row r="3410" spans="1:4" x14ac:dyDescent="0.3">
      <c r="A3410" t="s">
        <v>214</v>
      </c>
      <c r="C3410" s="16">
        <v>46264</v>
      </c>
      <c r="D3410" s="82">
        <v>0</v>
      </c>
    </row>
    <row r="3411" spans="1:4" x14ac:dyDescent="0.3">
      <c r="A3411" t="s">
        <v>194</v>
      </c>
      <c r="C3411" s="16">
        <v>46264</v>
      </c>
      <c r="D3411" s="82">
        <v>0</v>
      </c>
    </row>
    <row r="3412" spans="1:4" x14ac:dyDescent="0.3">
      <c r="A3412" t="s">
        <v>195</v>
      </c>
      <c r="C3412" s="16">
        <v>46264</v>
      </c>
      <c r="D3412" s="82">
        <v>0</v>
      </c>
    </row>
    <row r="3413" spans="1:4" x14ac:dyDescent="0.3">
      <c r="A3413" t="s">
        <v>196</v>
      </c>
      <c r="C3413" s="16">
        <v>46264</v>
      </c>
      <c r="D3413" s="82">
        <v>0</v>
      </c>
    </row>
    <row r="3414" spans="1:4" x14ac:dyDescent="0.3">
      <c r="A3414" t="s">
        <v>197</v>
      </c>
      <c r="C3414" s="16">
        <v>46264</v>
      </c>
      <c r="D3414" s="82">
        <v>0</v>
      </c>
    </row>
    <row r="3415" spans="1:4" x14ac:dyDescent="0.3">
      <c r="A3415" t="s">
        <v>212</v>
      </c>
      <c r="C3415" s="16">
        <v>46264</v>
      </c>
      <c r="D3415" s="82">
        <v>0</v>
      </c>
    </row>
    <row r="3416" spans="1:4" x14ac:dyDescent="0.3">
      <c r="A3416" t="s">
        <v>199</v>
      </c>
      <c r="C3416" s="16">
        <v>46264</v>
      </c>
      <c r="D3416" s="82">
        <v>0</v>
      </c>
    </row>
    <row r="3417" spans="1:4" x14ac:dyDescent="0.3">
      <c r="A3417" t="s">
        <v>216</v>
      </c>
      <c r="C3417" s="16">
        <v>46264</v>
      </c>
      <c r="D3417" s="82">
        <v>0</v>
      </c>
    </row>
    <row r="3418" spans="1:4" x14ac:dyDescent="0.3">
      <c r="A3418" t="s">
        <v>17</v>
      </c>
      <c r="C3418" s="16">
        <v>46265</v>
      </c>
      <c r="D3418" s="82">
        <v>740452.88000000059</v>
      </c>
    </row>
    <row r="3419" spans="1:4" x14ac:dyDescent="0.3">
      <c r="A3419" t="s">
        <v>18</v>
      </c>
      <c r="C3419" s="16">
        <v>46265</v>
      </c>
      <c r="D3419" s="82">
        <v>93280.230000000171</v>
      </c>
    </row>
    <row r="3420" spans="1:4" x14ac:dyDescent="0.3">
      <c r="A3420" t="s">
        <v>19</v>
      </c>
      <c r="C3420" s="16">
        <v>46265</v>
      </c>
      <c r="D3420" s="82">
        <v>1669.89</v>
      </c>
    </row>
    <row r="3421" spans="1:4" x14ac:dyDescent="0.3">
      <c r="A3421" t="s">
        <v>20</v>
      </c>
      <c r="C3421" s="16">
        <v>46265</v>
      </c>
      <c r="D3421" s="82">
        <v>1419898.24</v>
      </c>
    </row>
    <row r="3422" spans="1:4" x14ac:dyDescent="0.3">
      <c r="A3422" t="s">
        <v>21</v>
      </c>
      <c r="C3422" s="16">
        <v>46265</v>
      </c>
      <c r="D3422" s="82">
        <v>1555601.2099999995</v>
      </c>
    </row>
    <row r="3423" spans="1:4" x14ac:dyDescent="0.3">
      <c r="A3423" t="s">
        <v>22</v>
      </c>
      <c r="C3423" s="16">
        <v>46265</v>
      </c>
      <c r="D3423" s="82">
        <v>221496.38</v>
      </c>
    </row>
    <row r="3424" spans="1:4" x14ac:dyDescent="0.3">
      <c r="A3424" t="s">
        <v>23</v>
      </c>
      <c r="C3424" s="16">
        <v>46265</v>
      </c>
      <c r="D3424" s="82">
        <v>217684.34</v>
      </c>
    </row>
    <row r="3425" spans="1:4" x14ac:dyDescent="0.3">
      <c r="A3425" t="s">
        <v>24</v>
      </c>
      <c r="C3425" s="16">
        <v>46265</v>
      </c>
      <c r="D3425" s="82">
        <v>13270.02</v>
      </c>
    </row>
    <row r="3426" spans="1:4" x14ac:dyDescent="0.3">
      <c r="A3426" t="s">
        <v>25</v>
      </c>
      <c r="C3426" s="16">
        <v>46265</v>
      </c>
      <c r="D3426" s="82">
        <v>124.45</v>
      </c>
    </row>
    <row r="3427" spans="1:4" x14ac:dyDescent="0.3">
      <c r="A3427" t="s">
        <v>26</v>
      </c>
      <c r="C3427" s="16">
        <v>46265</v>
      </c>
      <c r="D3427" s="82">
        <v>2177.87</v>
      </c>
    </row>
    <row r="3428" spans="1:4" x14ac:dyDescent="0.3">
      <c r="A3428" t="s">
        <v>27</v>
      </c>
      <c r="C3428" s="16">
        <v>46265</v>
      </c>
      <c r="D3428" s="82">
        <v>754424.72</v>
      </c>
    </row>
    <row r="3429" spans="1:4" x14ac:dyDescent="0.3">
      <c r="A3429" t="s">
        <v>28</v>
      </c>
      <c r="C3429" s="16">
        <v>46265</v>
      </c>
      <c r="D3429" s="82">
        <v>1968.99</v>
      </c>
    </row>
    <row r="3430" spans="1:4" x14ac:dyDescent="0.3">
      <c r="A3430" t="s">
        <v>29</v>
      </c>
      <c r="C3430" s="16">
        <v>46265</v>
      </c>
      <c r="D3430" s="82">
        <v>901.34</v>
      </c>
    </row>
    <row r="3431" spans="1:4" x14ac:dyDescent="0.3">
      <c r="A3431" t="s">
        <v>30</v>
      </c>
      <c r="C3431" s="16">
        <v>46265</v>
      </c>
      <c r="D3431" s="82">
        <v>1396.08</v>
      </c>
    </row>
    <row r="3432" spans="1:4" x14ac:dyDescent="0.3">
      <c r="A3432" t="s">
        <v>31</v>
      </c>
      <c r="C3432" s="16">
        <v>46265</v>
      </c>
      <c r="D3432" s="82">
        <v>33570.709999999963</v>
      </c>
    </row>
    <row r="3433" spans="1:4" x14ac:dyDescent="0.3">
      <c r="A3433" t="s">
        <v>32</v>
      </c>
      <c r="C3433" s="16">
        <v>46265</v>
      </c>
      <c r="D3433" s="82">
        <v>26559.170000000006</v>
      </c>
    </row>
    <row r="3434" spans="1:4" x14ac:dyDescent="0.3">
      <c r="A3434" t="s">
        <v>33</v>
      </c>
      <c r="C3434" s="16">
        <v>46265</v>
      </c>
      <c r="D3434" s="82">
        <v>23736.039999999997</v>
      </c>
    </row>
    <row r="3435" spans="1:4" x14ac:dyDescent="0.3">
      <c r="A3435" t="s">
        <v>34</v>
      </c>
      <c r="C3435" s="16">
        <v>46265</v>
      </c>
      <c r="D3435" s="82">
        <v>345</v>
      </c>
    </row>
    <row r="3436" spans="1:4" x14ac:dyDescent="0.3">
      <c r="A3436" t="s">
        <v>35</v>
      </c>
      <c r="C3436" s="16">
        <v>46265</v>
      </c>
      <c r="D3436" s="82">
        <v>9560.0000000000018</v>
      </c>
    </row>
    <row r="3437" spans="1:4" x14ac:dyDescent="0.3">
      <c r="A3437" t="s">
        <v>193</v>
      </c>
      <c r="C3437" s="16">
        <v>46265</v>
      </c>
      <c r="D3437" s="82">
        <v>0</v>
      </c>
    </row>
    <row r="3438" spans="1:4" x14ac:dyDescent="0.3">
      <c r="A3438" t="s">
        <v>214</v>
      </c>
      <c r="C3438" s="16">
        <v>46265</v>
      </c>
      <c r="D3438" s="82">
        <v>0</v>
      </c>
    </row>
    <row r="3439" spans="1:4" x14ac:dyDescent="0.3">
      <c r="A3439" t="s">
        <v>194</v>
      </c>
      <c r="C3439" s="16">
        <v>46265</v>
      </c>
      <c r="D3439" s="82">
        <v>0</v>
      </c>
    </row>
    <row r="3440" spans="1:4" x14ac:dyDescent="0.3">
      <c r="A3440" t="s">
        <v>195</v>
      </c>
      <c r="C3440" s="16">
        <v>46265</v>
      </c>
      <c r="D3440" s="82">
        <v>0</v>
      </c>
    </row>
    <row r="3441" spans="1:4" x14ac:dyDescent="0.3">
      <c r="A3441" t="s">
        <v>196</v>
      </c>
      <c r="C3441" s="16">
        <v>46265</v>
      </c>
      <c r="D3441" s="82">
        <v>0</v>
      </c>
    </row>
    <row r="3442" spans="1:4" x14ac:dyDescent="0.3">
      <c r="A3442" t="s">
        <v>197</v>
      </c>
      <c r="C3442" s="16">
        <v>46265</v>
      </c>
      <c r="D3442" s="82">
        <v>0</v>
      </c>
    </row>
    <row r="3443" spans="1:4" x14ac:dyDescent="0.3">
      <c r="A3443" t="s">
        <v>212</v>
      </c>
      <c r="C3443" s="16">
        <v>46265</v>
      </c>
      <c r="D3443" s="82">
        <v>0</v>
      </c>
    </row>
    <row r="3444" spans="1:4" x14ac:dyDescent="0.3">
      <c r="A3444" t="s">
        <v>199</v>
      </c>
      <c r="C3444" s="16">
        <v>46265</v>
      </c>
      <c r="D3444" s="82">
        <v>0</v>
      </c>
    </row>
    <row r="3445" spans="1:4" x14ac:dyDescent="0.3">
      <c r="A3445" t="s">
        <v>216</v>
      </c>
      <c r="C3445" s="16">
        <v>46265</v>
      </c>
      <c r="D3445" s="82">
        <v>0</v>
      </c>
    </row>
    <row r="3446" spans="1:4" x14ac:dyDescent="0.3">
      <c r="A3446" t="s">
        <v>17</v>
      </c>
      <c r="C3446" s="16">
        <v>46266</v>
      </c>
      <c r="D3446" s="82">
        <v>757677.3900000006</v>
      </c>
    </row>
    <row r="3447" spans="1:4" x14ac:dyDescent="0.3">
      <c r="A3447" t="s">
        <v>18</v>
      </c>
      <c r="C3447" s="16">
        <v>46266</v>
      </c>
      <c r="D3447" s="82">
        <v>93280.230000000171</v>
      </c>
    </row>
    <row r="3448" spans="1:4" x14ac:dyDescent="0.3">
      <c r="A3448" t="s">
        <v>19</v>
      </c>
      <c r="C3448" s="16">
        <v>46266</v>
      </c>
      <c r="D3448" s="82">
        <v>1669.89</v>
      </c>
    </row>
    <row r="3449" spans="1:4" x14ac:dyDescent="0.3">
      <c r="A3449" t="s">
        <v>20</v>
      </c>
      <c r="C3449" s="16">
        <v>46266</v>
      </c>
      <c r="D3449" s="82">
        <v>1419898.24</v>
      </c>
    </row>
    <row r="3450" spans="1:4" x14ac:dyDescent="0.3">
      <c r="A3450" t="s">
        <v>21</v>
      </c>
      <c r="C3450" s="16">
        <v>46266</v>
      </c>
      <c r="D3450" s="82">
        <v>1484962.6199999996</v>
      </c>
    </row>
    <row r="3451" spans="1:4" x14ac:dyDescent="0.3">
      <c r="A3451" t="s">
        <v>22</v>
      </c>
      <c r="C3451" s="16">
        <v>46266</v>
      </c>
      <c r="D3451" s="82">
        <v>215496.38</v>
      </c>
    </row>
    <row r="3452" spans="1:4" x14ac:dyDescent="0.3">
      <c r="A3452" t="s">
        <v>23</v>
      </c>
      <c r="C3452" s="16">
        <v>46266</v>
      </c>
      <c r="D3452" s="82">
        <v>217684.34</v>
      </c>
    </row>
    <row r="3453" spans="1:4" x14ac:dyDescent="0.3">
      <c r="A3453" t="s">
        <v>24</v>
      </c>
      <c r="C3453" s="16">
        <v>46266</v>
      </c>
      <c r="D3453" s="82">
        <v>13054.880000000001</v>
      </c>
    </row>
    <row r="3454" spans="1:4" x14ac:dyDescent="0.3">
      <c r="A3454" t="s">
        <v>25</v>
      </c>
      <c r="C3454" s="16">
        <v>46266</v>
      </c>
      <c r="D3454" s="82">
        <v>94.5</v>
      </c>
    </row>
    <row r="3455" spans="1:4" x14ac:dyDescent="0.3">
      <c r="A3455" t="s">
        <v>26</v>
      </c>
      <c r="C3455" s="16">
        <v>46266</v>
      </c>
      <c r="D3455" s="82">
        <v>2147.92</v>
      </c>
    </row>
    <row r="3456" spans="1:4" x14ac:dyDescent="0.3">
      <c r="A3456" t="s">
        <v>27</v>
      </c>
      <c r="C3456" s="16">
        <v>46266</v>
      </c>
      <c r="D3456" s="82">
        <v>754424.72</v>
      </c>
    </row>
    <row r="3457" spans="1:4" x14ac:dyDescent="0.3">
      <c r="A3457" t="s">
        <v>28</v>
      </c>
      <c r="C3457" s="16">
        <v>46266</v>
      </c>
      <c r="D3457" s="82">
        <v>1968.99</v>
      </c>
    </row>
    <row r="3458" spans="1:4" x14ac:dyDescent="0.3">
      <c r="A3458" t="s">
        <v>29</v>
      </c>
      <c r="C3458" s="16">
        <v>46266</v>
      </c>
      <c r="D3458" s="82">
        <v>901.34</v>
      </c>
    </row>
    <row r="3459" spans="1:4" x14ac:dyDescent="0.3">
      <c r="A3459" t="s">
        <v>30</v>
      </c>
      <c r="C3459" s="16">
        <v>46266</v>
      </c>
      <c r="D3459" s="82">
        <v>1380.08</v>
      </c>
    </row>
    <row r="3460" spans="1:4" x14ac:dyDescent="0.3">
      <c r="A3460" t="s">
        <v>31</v>
      </c>
      <c r="C3460" s="16">
        <v>46266</v>
      </c>
      <c r="D3460" s="82">
        <v>25027.379999999961</v>
      </c>
    </row>
    <row r="3461" spans="1:4" x14ac:dyDescent="0.3">
      <c r="A3461" t="s">
        <v>32</v>
      </c>
      <c r="C3461" s="16">
        <v>46266</v>
      </c>
      <c r="D3461" s="82">
        <v>16760.540000000008</v>
      </c>
    </row>
    <row r="3462" spans="1:4" x14ac:dyDescent="0.3">
      <c r="A3462" t="s">
        <v>33</v>
      </c>
      <c r="C3462" s="16">
        <v>46266</v>
      </c>
      <c r="D3462" s="82">
        <v>14962.999999999996</v>
      </c>
    </row>
    <row r="3463" spans="1:4" x14ac:dyDescent="0.3">
      <c r="A3463" t="s">
        <v>34</v>
      </c>
      <c r="C3463" s="16">
        <v>46266</v>
      </c>
      <c r="D3463" s="82">
        <v>345</v>
      </c>
    </row>
    <row r="3464" spans="1:4" x14ac:dyDescent="0.3">
      <c r="A3464" t="s">
        <v>35</v>
      </c>
      <c r="C3464" s="16">
        <v>46266</v>
      </c>
      <c r="D3464" s="82">
        <v>9549.7500000000018</v>
      </c>
    </row>
    <row r="3465" spans="1:4" x14ac:dyDescent="0.3">
      <c r="A3465" t="s">
        <v>193</v>
      </c>
      <c r="C3465" s="16">
        <v>46266</v>
      </c>
      <c r="D3465" s="82">
        <v>301167.45</v>
      </c>
    </row>
    <row r="3466" spans="1:4" x14ac:dyDescent="0.3">
      <c r="A3466" t="s">
        <v>214</v>
      </c>
      <c r="C3466" s="16">
        <v>46266</v>
      </c>
      <c r="D3466" s="82">
        <v>20642.07</v>
      </c>
    </row>
    <row r="3467" spans="1:4" x14ac:dyDescent="0.3">
      <c r="A3467" t="s">
        <v>194</v>
      </c>
      <c r="C3467" s="16">
        <v>46266</v>
      </c>
      <c r="D3467" s="82">
        <v>3631.96</v>
      </c>
    </row>
    <row r="3468" spans="1:4" x14ac:dyDescent="0.3">
      <c r="A3468" t="s">
        <v>195</v>
      </c>
      <c r="C3468" s="16">
        <v>46266</v>
      </c>
      <c r="D3468" s="82">
        <v>2303.4300000000003</v>
      </c>
    </row>
    <row r="3469" spans="1:4" x14ac:dyDescent="0.3">
      <c r="A3469" t="s">
        <v>196</v>
      </c>
      <c r="C3469" s="16">
        <v>46266</v>
      </c>
      <c r="D3469" s="82">
        <v>92112.919999999969</v>
      </c>
    </row>
    <row r="3470" spans="1:4" x14ac:dyDescent="0.3">
      <c r="A3470" t="s">
        <v>197</v>
      </c>
      <c r="C3470" s="16">
        <v>46266</v>
      </c>
      <c r="D3470" s="82">
        <v>794.01</v>
      </c>
    </row>
    <row r="3471" spans="1:4" x14ac:dyDescent="0.3">
      <c r="A3471" t="s">
        <v>212</v>
      </c>
      <c r="C3471" s="16">
        <v>46266</v>
      </c>
      <c r="D3471" s="82">
        <v>5445.57</v>
      </c>
    </row>
    <row r="3472" spans="1:4" x14ac:dyDescent="0.3">
      <c r="A3472" t="s">
        <v>199</v>
      </c>
      <c r="C3472" s="16">
        <v>46266</v>
      </c>
      <c r="D3472" s="82">
        <v>241342.91999999998</v>
      </c>
    </row>
    <row r="3473" spans="1:4" x14ac:dyDescent="0.3">
      <c r="A3473" t="s">
        <v>216</v>
      </c>
      <c r="C3473" s="16">
        <v>46266</v>
      </c>
      <c r="D3473" s="82">
        <v>303874.71999999997</v>
      </c>
    </row>
    <row r="3474" spans="1:4" x14ac:dyDescent="0.3">
      <c r="A3474" t="s">
        <v>17</v>
      </c>
      <c r="C3474" s="16">
        <v>46267</v>
      </c>
      <c r="D3474" s="82">
        <v>1468396.1200000006</v>
      </c>
    </row>
    <row r="3475" spans="1:4" x14ac:dyDescent="0.3">
      <c r="A3475" t="s">
        <v>18</v>
      </c>
      <c r="C3475" s="16">
        <v>46267</v>
      </c>
      <c r="D3475" s="82">
        <v>93280.230000000171</v>
      </c>
    </row>
    <row r="3476" spans="1:4" x14ac:dyDescent="0.3">
      <c r="A3476" t="s">
        <v>19</v>
      </c>
      <c r="C3476" s="16">
        <v>46267</v>
      </c>
      <c r="D3476" s="82">
        <v>1669.89</v>
      </c>
    </row>
    <row r="3477" spans="1:4" x14ac:dyDescent="0.3">
      <c r="A3477" t="s">
        <v>20</v>
      </c>
      <c r="C3477" s="16">
        <v>46267</v>
      </c>
      <c r="D3477" s="82">
        <v>1419898.24</v>
      </c>
    </row>
    <row r="3478" spans="1:4" x14ac:dyDescent="0.3">
      <c r="A3478" t="s">
        <v>21</v>
      </c>
      <c r="C3478" s="16">
        <v>46267</v>
      </c>
      <c r="D3478" s="82">
        <v>1484962.6199999996</v>
      </c>
    </row>
    <row r="3479" spans="1:4" x14ac:dyDescent="0.3">
      <c r="A3479" t="s">
        <v>22</v>
      </c>
      <c r="C3479" s="16">
        <v>46267</v>
      </c>
      <c r="D3479" s="82">
        <v>249778.14</v>
      </c>
    </row>
    <row r="3480" spans="1:4" x14ac:dyDescent="0.3">
      <c r="A3480" t="s">
        <v>23</v>
      </c>
      <c r="C3480" s="16">
        <v>46267</v>
      </c>
      <c r="D3480" s="82">
        <v>217684.34</v>
      </c>
    </row>
    <row r="3481" spans="1:4" x14ac:dyDescent="0.3">
      <c r="A3481" t="s">
        <v>24</v>
      </c>
      <c r="C3481" s="16">
        <v>46267</v>
      </c>
      <c r="D3481" s="82">
        <v>13054.880000000001</v>
      </c>
    </row>
    <row r="3482" spans="1:4" x14ac:dyDescent="0.3">
      <c r="A3482" t="s">
        <v>25</v>
      </c>
      <c r="C3482" s="16">
        <v>46267</v>
      </c>
      <c r="D3482" s="82">
        <v>94.5</v>
      </c>
    </row>
    <row r="3483" spans="1:4" x14ac:dyDescent="0.3">
      <c r="A3483" t="s">
        <v>26</v>
      </c>
      <c r="C3483" s="16">
        <v>46267</v>
      </c>
      <c r="D3483" s="82">
        <v>2147.92</v>
      </c>
    </row>
    <row r="3484" spans="1:4" x14ac:dyDescent="0.3">
      <c r="A3484" t="s">
        <v>27</v>
      </c>
      <c r="C3484" s="16">
        <v>46267</v>
      </c>
      <c r="D3484" s="82">
        <v>17895.290000000015</v>
      </c>
    </row>
    <row r="3485" spans="1:4" x14ac:dyDescent="0.3">
      <c r="A3485" t="s">
        <v>28</v>
      </c>
      <c r="C3485" s="16">
        <v>46267</v>
      </c>
      <c r="D3485" s="82">
        <v>1968.99</v>
      </c>
    </row>
    <row r="3486" spans="1:4" x14ac:dyDescent="0.3">
      <c r="A3486" t="s">
        <v>29</v>
      </c>
      <c r="C3486" s="16">
        <v>46267</v>
      </c>
      <c r="D3486" s="82">
        <v>901.34</v>
      </c>
    </row>
    <row r="3487" spans="1:4" x14ac:dyDescent="0.3">
      <c r="A3487" t="s">
        <v>30</v>
      </c>
      <c r="C3487" s="16">
        <v>46267</v>
      </c>
      <c r="D3487" s="82">
        <v>1380.08</v>
      </c>
    </row>
    <row r="3488" spans="1:4" x14ac:dyDescent="0.3">
      <c r="A3488" t="s">
        <v>31</v>
      </c>
      <c r="C3488" s="16">
        <v>46267</v>
      </c>
      <c r="D3488" s="82">
        <v>25027.379999999961</v>
      </c>
    </row>
    <row r="3489" spans="1:4" x14ac:dyDescent="0.3">
      <c r="A3489" t="s">
        <v>32</v>
      </c>
      <c r="C3489" s="16">
        <v>46267</v>
      </c>
      <c r="D3489" s="82">
        <v>16760.540000000008</v>
      </c>
    </row>
    <row r="3490" spans="1:4" x14ac:dyDescent="0.3">
      <c r="A3490" t="s">
        <v>33</v>
      </c>
      <c r="C3490" s="16">
        <v>46267</v>
      </c>
      <c r="D3490" s="82">
        <v>14162.999999999996</v>
      </c>
    </row>
    <row r="3491" spans="1:4" x14ac:dyDescent="0.3">
      <c r="A3491" t="s">
        <v>34</v>
      </c>
      <c r="C3491" s="16">
        <v>46267</v>
      </c>
      <c r="D3491" s="82">
        <v>345</v>
      </c>
    </row>
    <row r="3492" spans="1:4" x14ac:dyDescent="0.3">
      <c r="A3492" t="s">
        <v>35</v>
      </c>
      <c r="C3492" s="16">
        <v>46267</v>
      </c>
      <c r="D3492" s="82">
        <v>5861.1200000000026</v>
      </c>
    </row>
    <row r="3493" spans="1:4" x14ac:dyDescent="0.3">
      <c r="A3493" t="s">
        <v>193</v>
      </c>
      <c r="C3493" s="16">
        <v>46267</v>
      </c>
      <c r="D3493" s="82">
        <v>301167.45</v>
      </c>
    </row>
    <row r="3494" spans="1:4" x14ac:dyDescent="0.3">
      <c r="A3494" t="s">
        <v>214</v>
      </c>
      <c r="C3494" s="16">
        <v>46267</v>
      </c>
      <c r="D3494" s="82">
        <v>20642.07</v>
      </c>
    </row>
    <row r="3495" spans="1:4" x14ac:dyDescent="0.3">
      <c r="A3495" t="s">
        <v>194</v>
      </c>
      <c r="C3495" s="16">
        <v>46267</v>
      </c>
      <c r="D3495" s="82">
        <v>3631.96</v>
      </c>
    </row>
    <row r="3496" spans="1:4" x14ac:dyDescent="0.3">
      <c r="A3496" t="s">
        <v>195</v>
      </c>
      <c r="C3496" s="16">
        <v>46267</v>
      </c>
      <c r="D3496" s="82">
        <v>2303.4300000000003</v>
      </c>
    </row>
    <row r="3497" spans="1:4" x14ac:dyDescent="0.3">
      <c r="A3497" t="s">
        <v>196</v>
      </c>
      <c r="C3497" s="16">
        <v>46267</v>
      </c>
      <c r="D3497" s="82">
        <v>92112.919999999969</v>
      </c>
    </row>
    <row r="3498" spans="1:4" x14ac:dyDescent="0.3">
      <c r="A3498" t="s">
        <v>197</v>
      </c>
      <c r="C3498" s="16">
        <v>46267</v>
      </c>
      <c r="D3498" s="82">
        <v>794.01</v>
      </c>
    </row>
    <row r="3499" spans="1:4" x14ac:dyDescent="0.3">
      <c r="A3499" t="s">
        <v>212</v>
      </c>
      <c r="C3499" s="16">
        <v>46267</v>
      </c>
      <c r="D3499" s="82">
        <v>5445.57</v>
      </c>
    </row>
    <row r="3500" spans="1:4" x14ac:dyDescent="0.3">
      <c r="A3500" t="s">
        <v>199</v>
      </c>
      <c r="C3500" s="16">
        <v>46267</v>
      </c>
      <c r="D3500" s="82">
        <v>241674.28999999998</v>
      </c>
    </row>
    <row r="3501" spans="1:4" x14ac:dyDescent="0.3">
      <c r="A3501" t="s">
        <v>216</v>
      </c>
      <c r="C3501" s="16">
        <v>46267</v>
      </c>
      <c r="D3501" s="82">
        <v>303874.71999999997</v>
      </c>
    </row>
    <row r="3502" spans="1:4" x14ac:dyDescent="0.3">
      <c r="A3502" t="s">
        <v>17</v>
      </c>
      <c r="C3502" s="16">
        <v>46268</v>
      </c>
      <c r="D3502" s="82">
        <v>1053254.4500000007</v>
      </c>
    </row>
    <row r="3503" spans="1:4" x14ac:dyDescent="0.3">
      <c r="A3503" t="s">
        <v>18</v>
      </c>
      <c r="C3503" s="16">
        <v>46268</v>
      </c>
      <c r="D3503" s="82">
        <v>93280.230000000171</v>
      </c>
    </row>
    <row r="3504" spans="1:4" x14ac:dyDescent="0.3">
      <c r="A3504" t="s">
        <v>19</v>
      </c>
      <c r="C3504" s="16">
        <v>46268</v>
      </c>
      <c r="D3504" s="82">
        <v>1669.89</v>
      </c>
    </row>
    <row r="3505" spans="1:4" x14ac:dyDescent="0.3">
      <c r="A3505" t="s">
        <v>20</v>
      </c>
      <c r="C3505" s="16">
        <v>46268</v>
      </c>
      <c r="D3505" s="82">
        <v>1250938</v>
      </c>
    </row>
    <row r="3506" spans="1:4" x14ac:dyDescent="0.3">
      <c r="A3506" t="s">
        <v>21</v>
      </c>
      <c r="C3506" s="16">
        <v>46268</v>
      </c>
      <c r="D3506" s="82">
        <v>1500228.9099999997</v>
      </c>
    </row>
    <row r="3507" spans="1:4" x14ac:dyDescent="0.3">
      <c r="A3507" t="s">
        <v>22</v>
      </c>
      <c r="C3507" s="16">
        <v>46268</v>
      </c>
      <c r="D3507" s="82">
        <v>249778.14</v>
      </c>
    </row>
    <row r="3508" spans="1:4" x14ac:dyDescent="0.3">
      <c r="A3508" t="s">
        <v>23</v>
      </c>
      <c r="C3508" s="16">
        <v>46268</v>
      </c>
      <c r="D3508" s="82">
        <v>217684.34</v>
      </c>
    </row>
    <row r="3509" spans="1:4" x14ac:dyDescent="0.3">
      <c r="A3509" t="s">
        <v>24</v>
      </c>
      <c r="C3509" s="16">
        <v>46268</v>
      </c>
      <c r="D3509" s="82">
        <v>13014.880000000001</v>
      </c>
    </row>
    <row r="3510" spans="1:4" x14ac:dyDescent="0.3">
      <c r="A3510" t="s">
        <v>25</v>
      </c>
      <c r="C3510" s="16">
        <v>46268</v>
      </c>
      <c r="D3510" s="82">
        <v>94.5</v>
      </c>
    </row>
    <row r="3511" spans="1:4" x14ac:dyDescent="0.3">
      <c r="A3511" t="s">
        <v>26</v>
      </c>
      <c r="C3511" s="16">
        <v>46268</v>
      </c>
      <c r="D3511" s="82">
        <v>2147.92</v>
      </c>
    </row>
    <row r="3512" spans="1:4" x14ac:dyDescent="0.3">
      <c r="A3512" t="s">
        <v>27</v>
      </c>
      <c r="C3512" s="16">
        <v>46268</v>
      </c>
      <c r="D3512" s="82">
        <v>17895.290000000015</v>
      </c>
    </row>
    <row r="3513" spans="1:4" x14ac:dyDescent="0.3">
      <c r="A3513" t="s">
        <v>28</v>
      </c>
      <c r="C3513" s="16">
        <v>46268</v>
      </c>
      <c r="D3513" s="82">
        <v>1968.99</v>
      </c>
    </row>
    <row r="3514" spans="1:4" x14ac:dyDescent="0.3">
      <c r="A3514" t="s">
        <v>29</v>
      </c>
      <c r="C3514" s="16">
        <v>46268</v>
      </c>
      <c r="D3514" s="82">
        <v>901.34</v>
      </c>
    </row>
    <row r="3515" spans="1:4" x14ac:dyDescent="0.3">
      <c r="A3515" t="s">
        <v>30</v>
      </c>
      <c r="C3515" s="16">
        <v>46268</v>
      </c>
      <c r="D3515" s="82">
        <v>1380.08</v>
      </c>
    </row>
    <row r="3516" spans="1:4" x14ac:dyDescent="0.3">
      <c r="A3516" t="s">
        <v>31</v>
      </c>
      <c r="C3516" s="16">
        <v>46268</v>
      </c>
      <c r="D3516" s="82">
        <v>25027.379999999961</v>
      </c>
    </row>
    <row r="3517" spans="1:4" x14ac:dyDescent="0.3">
      <c r="A3517" t="s">
        <v>32</v>
      </c>
      <c r="C3517" s="16">
        <v>46268</v>
      </c>
      <c r="D3517" s="82">
        <v>16760.540000000008</v>
      </c>
    </row>
    <row r="3518" spans="1:4" x14ac:dyDescent="0.3">
      <c r="A3518" t="s">
        <v>33</v>
      </c>
      <c r="C3518" s="16">
        <v>46268</v>
      </c>
      <c r="D3518" s="82">
        <v>14162.999999999996</v>
      </c>
    </row>
    <row r="3519" spans="1:4" x14ac:dyDescent="0.3">
      <c r="A3519" t="s">
        <v>34</v>
      </c>
      <c r="C3519" s="16">
        <v>46268</v>
      </c>
      <c r="D3519" s="82">
        <v>345</v>
      </c>
    </row>
    <row r="3520" spans="1:4" x14ac:dyDescent="0.3">
      <c r="A3520" t="s">
        <v>35</v>
      </c>
      <c r="C3520" s="16">
        <v>46268</v>
      </c>
      <c r="D3520" s="82">
        <v>5861.1200000000026</v>
      </c>
    </row>
    <row r="3521" spans="1:4" x14ac:dyDescent="0.3">
      <c r="A3521" t="s">
        <v>193</v>
      </c>
      <c r="C3521" s="16">
        <v>46268</v>
      </c>
      <c r="D3521" s="82">
        <v>299174.44</v>
      </c>
    </row>
    <row r="3522" spans="1:4" x14ac:dyDescent="0.3">
      <c r="A3522" t="s">
        <v>214</v>
      </c>
      <c r="C3522" s="16">
        <v>46268</v>
      </c>
      <c r="D3522" s="82">
        <v>20547.07</v>
      </c>
    </row>
    <row r="3523" spans="1:4" x14ac:dyDescent="0.3">
      <c r="A3523" t="s">
        <v>194</v>
      </c>
      <c r="C3523" s="16">
        <v>46268</v>
      </c>
      <c r="D3523" s="82">
        <v>3631.96</v>
      </c>
    </row>
    <row r="3524" spans="1:4" x14ac:dyDescent="0.3">
      <c r="A3524" t="s">
        <v>195</v>
      </c>
      <c r="C3524" s="16">
        <v>46268</v>
      </c>
      <c r="D3524" s="82">
        <v>604.80000000000018</v>
      </c>
    </row>
    <row r="3525" spans="1:4" x14ac:dyDescent="0.3">
      <c r="A3525" t="s">
        <v>196</v>
      </c>
      <c r="C3525" s="16">
        <v>46268</v>
      </c>
      <c r="D3525" s="82">
        <v>92112.919999999969</v>
      </c>
    </row>
    <row r="3526" spans="1:4" x14ac:dyDescent="0.3">
      <c r="A3526" t="s">
        <v>197</v>
      </c>
      <c r="C3526" s="16">
        <v>46268</v>
      </c>
      <c r="D3526" s="82">
        <v>794.01</v>
      </c>
    </row>
    <row r="3527" spans="1:4" x14ac:dyDescent="0.3">
      <c r="A3527" t="s">
        <v>212</v>
      </c>
      <c r="C3527" s="16">
        <v>46268</v>
      </c>
      <c r="D3527" s="82">
        <v>5445.57</v>
      </c>
    </row>
    <row r="3528" spans="1:4" x14ac:dyDescent="0.3">
      <c r="A3528" t="s">
        <v>199</v>
      </c>
      <c r="C3528" s="16">
        <v>46268</v>
      </c>
      <c r="D3528" s="82">
        <v>241819.28999999998</v>
      </c>
    </row>
    <row r="3529" spans="1:4" x14ac:dyDescent="0.3">
      <c r="A3529" t="s">
        <v>216</v>
      </c>
      <c r="C3529" s="16">
        <v>46268</v>
      </c>
      <c r="D3529" s="82">
        <v>303874.71999999997</v>
      </c>
    </row>
    <row r="3530" spans="1:4" x14ac:dyDescent="0.3">
      <c r="A3530" t="s">
        <v>17</v>
      </c>
      <c r="C3530" s="16">
        <v>46269</v>
      </c>
      <c r="D3530" s="82">
        <v>1549729.4500000007</v>
      </c>
    </row>
    <row r="3531" spans="1:4" x14ac:dyDescent="0.3">
      <c r="A3531" t="s">
        <v>18</v>
      </c>
      <c r="C3531" s="16">
        <v>46269</v>
      </c>
      <c r="D3531" s="82">
        <v>93280.230000000171</v>
      </c>
    </row>
    <row r="3532" spans="1:4" x14ac:dyDescent="0.3">
      <c r="A3532" t="s">
        <v>19</v>
      </c>
      <c r="C3532" s="16">
        <v>46269</v>
      </c>
      <c r="D3532" s="82">
        <v>1669.89</v>
      </c>
    </row>
    <row r="3533" spans="1:4" x14ac:dyDescent="0.3">
      <c r="A3533" t="s">
        <v>20</v>
      </c>
      <c r="C3533" s="16">
        <v>46269</v>
      </c>
      <c r="D3533" s="82">
        <v>1250938</v>
      </c>
    </row>
    <row r="3534" spans="1:4" x14ac:dyDescent="0.3">
      <c r="A3534" t="s">
        <v>21</v>
      </c>
      <c r="C3534" s="16">
        <v>46269</v>
      </c>
      <c r="D3534" s="82">
        <v>1499204.7399999998</v>
      </c>
    </row>
    <row r="3535" spans="1:4" x14ac:dyDescent="0.3">
      <c r="A3535" t="s">
        <v>22</v>
      </c>
      <c r="C3535" s="16">
        <v>46269</v>
      </c>
      <c r="D3535" s="82">
        <v>249778.14</v>
      </c>
    </row>
    <row r="3536" spans="1:4" x14ac:dyDescent="0.3">
      <c r="A3536" t="s">
        <v>23</v>
      </c>
      <c r="C3536" s="16">
        <v>46269</v>
      </c>
      <c r="D3536" s="82">
        <v>217684.34</v>
      </c>
    </row>
    <row r="3537" spans="1:4" x14ac:dyDescent="0.3">
      <c r="A3537" t="s">
        <v>24</v>
      </c>
      <c r="C3537" s="16">
        <v>46269</v>
      </c>
      <c r="D3537" s="82">
        <v>13014.880000000001</v>
      </c>
    </row>
    <row r="3538" spans="1:4" x14ac:dyDescent="0.3">
      <c r="A3538" t="s">
        <v>25</v>
      </c>
      <c r="C3538" s="16">
        <v>46269</v>
      </c>
      <c r="D3538" s="82">
        <v>94.5</v>
      </c>
    </row>
    <row r="3539" spans="1:4" x14ac:dyDescent="0.3">
      <c r="A3539" t="s">
        <v>26</v>
      </c>
      <c r="C3539" s="16">
        <v>46269</v>
      </c>
      <c r="D3539" s="82">
        <v>2147.92</v>
      </c>
    </row>
    <row r="3540" spans="1:4" x14ac:dyDescent="0.3">
      <c r="A3540" t="s">
        <v>27</v>
      </c>
      <c r="C3540" s="16">
        <v>46269</v>
      </c>
      <c r="D3540" s="82">
        <v>17895.290000000015</v>
      </c>
    </row>
    <row r="3541" spans="1:4" x14ac:dyDescent="0.3">
      <c r="A3541" t="s">
        <v>28</v>
      </c>
      <c r="C3541" s="16">
        <v>46269</v>
      </c>
      <c r="D3541" s="82">
        <v>1968.99</v>
      </c>
    </row>
    <row r="3542" spans="1:4" x14ac:dyDescent="0.3">
      <c r="A3542" t="s">
        <v>29</v>
      </c>
      <c r="C3542" s="16">
        <v>46269</v>
      </c>
      <c r="D3542" s="82">
        <v>901.34</v>
      </c>
    </row>
    <row r="3543" spans="1:4" x14ac:dyDescent="0.3">
      <c r="A3543" t="s">
        <v>30</v>
      </c>
      <c r="C3543" s="16">
        <v>46269</v>
      </c>
      <c r="D3543" s="82">
        <v>1380.08</v>
      </c>
    </row>
    <row r="3544" spans="1:4" x14ac:dyDescent="0.3">
      <c r="A3544" t="s">
        <v>31</v>
      </c>
      <c r="C3544" s="16">
        <v>46269</v>
      </c>
      <c r="D3544" s="82">
        <v>25027.379999999961</v>
      </c>
    </row>
    <row r="3545" spans="1:4" x14ac:dyDescent="0.3">
      <c r="A3545" t="s">
        <v>32</v>
      </c>
      <c r="C3545" s="16">
        <v>46269</v>
      </c>
      <c r="D3545" s="82">
        <v>16760.540000000008</v>
      </c>
    </row>
    <row r="3546" spans="1:4" x14ac:dyDescent="0.3">
      <c r="A3546" t="s">
        <v>33</v>
      </c>
      <c r="C3546" s="16">
        <v>46269</v>
      </c>
      <c r="D3546" s="82">
        <v>14162.999999999996</v>
      </c>
    </row>
    <row r="3547" spans="1:4" x14ac:dyDescent="0.3">
      <c r="A3547" t="s">
        <v>34</v>
      </c>
      <c r="C3547" s="16">
        <v>46269</v>
      </c>
      <c r="D3547" s="82">
        <v>345</v>
      </c>
    </row>
    <row r="3548" spans="1:4" x14ac:dyDescent="0.3">
      <c r="A3548" t="s">
        <v>35</v>
      </c>
      <c r="C3548" s="16">
        <v>46269</v>
      </c>
      <c r="D3548" s="82">
        <v>5861.1200000000026</v>
      </c>
    </row>
    <row r="3549" spans="1:4" x14ac:dyDescent="0.3">
      <c r="A3549" t="s">
        <v>193</v>
      </c>
      <c r="C3549" s="16">
        <v>46269</v>
      </c>
      <c r="D3549" s="82">
        <v>299174.44</v>
      </c>
    </row>
    <row r="3550" spans="1:4" x14ac:dyDescent="0.3">
      <c r="A3550" t="s">
        <v>214</v>
      </c>
      <c r="C3550" s="16">
        <v>46269</v>
      </c>
      <c r="D3550" s="82">
        <v>20467.07</v>
      </c>
    </row>
    <row r="3551" spans="1:4" x14ac:dyDescent="0.3">
      <c r="A3551" t="s">
        <v>194</v>
      </c>
      <c r="C3551" s="16">
        <v>46269</v>
      </c>
      <c r="D3551" s="82">
        <v>3631.96</v>
      </c>
    </row>
    <row r="3552" spans="1:4" x14ac:dyDescent="0.3">
      <c r="A3552" t="s">
        <v>195</v>
      </c>
      <c r="C3552" s="16">
        <v>46269</v>
      </c>
      <c r="D3552" s="82">
        <v>604.80000000000018</v>
      </c>
    </row>
    <row r="3553" spans="1:4" x14ac:dyDescent="0.3">
      <c r="A3553" t="s">
        <v>196</v>
      </c>
      <c r="C3553" s="16">
        <v>46269</v>
      </c>
      <c r="D3553" s="82">
        <v>32112.919999999976</v>
      </c>
    </row>
    <row r="3554" spans="1:4" x14ac:dyDescent="0.3">
      <c r="A3554" t="s">
        <v>197</v>
      </c>
      <c r="C3554" s="16">
        <v>46269</v>
      </c>
      <c r="D3554" s="82">
        <v>794.01</v>
      </c>
    </row>
    <row r="3555" spans="1:4" x14ac:dyDescent="0.3">
      <c r="A3555" t="s">
        <v>212</v>
      </c>
      <c r="C3555" s="16">
        <v>46269</v>
      </c>
      <c r="D3555" s="82">
        <v>5445.57</v>
      </c>
    </row>
    <row r="3556" spans="1:4" x14ac:dyDescent="0.3">
      <c r="A3556" t="s">
        <v>199</v>
      </c>
      <c r="C3556" s="16">
        <v>46269</v>
      </c>
      <c r="D3556" s="82">
        <v>242034.28999999998</v>
      </c>
    </row>
    <row r="3557" spans="1:4" x14ac:dyDescent="0.3">
      <c r="A3557" t="s">
        <v>216</v>
      </c>
      <c r="C3557" s="16">
        <v>46269</v>
      </c>
      <c r="D3557" s="82">
        <v>303874.71999999997</v>
      </c>
    </row>
    <row r="3558" spans="1:4" x14ac:dyDescent="0.3">
      <c r="A3558" t="s">
        <v>17</v>
      </c>
      <c r="C3558" s="16">
        <v>46270</v>
      </c>
      <c r="D3558" s="82">
        <v>1549729.4500000007</v>
      </c>
    </row>
    <row r="3559" spans="1:4" x14ac:dyDescent="0.3">
      <c r="A3559" t="s">
        <v>18</v>
      </c>
      <c r="C3559" s="16">
        <v>46270</v>
      </c>
      <c r="D3559" s="82">
        <v>93280.230000000171</v>
      </c>
    </row>
    <row r="3560" spans="1:4" x14ac:dyDescent="0.3">
      <c r="A3560" t="s">
        <v>19</v>
      </c>
      <c r="C3560" s="16">
        <v>46270</v>
      </c>
      <c r="D3560" s="82">
        <v>1669.89</v>
      </c>
    </row>
    <row r="3561" spans="1:4" x14ac:dyDescent="0.3">
      <c r="A3561" t="s">
        <v>20</v>
      </c>
      <c r="C3561" s="16">
        <v>46270</v>
      </c>
      <c r="D3561" s="82">
        <v>1250938</v>
      </c>
    </row>
    <row r="3562" spans="1:4" x14ac:dyDescent="0.3">
      <c r="A3562" t="s">
        <v>21</v>
      </c>
      <c r="C3562" s="16">
        <v>46270</v>
      </c>
      <c r="D3562" s="82">
        <v>1499204.7399999998</v>
      </c>
    </row>
    <row r="3563" spans="1:4" x14ac:dyDescent="0.3">
      <c r="A3563" t="s">
        <v>22</v>
      </c>
      <c r="C3563" s="16">
        <v>46270</v>
      </c>
      <c r="D3563" s="82">
        <v>249778.14</v>
      </c>
    </row>
    <row r="3564" spans="1:4" x14ac:dyDescent="0.3">
      <c r="A3564" t="s">
        <v>23</v>
      </c>
      <c r="C3564" s="16">
        <v>46270</v>
      </c>
      <c r="D3564" s="82">
        <v>217684.34</v>
      </c>
    </row>
    <row r="3565" spans="1:4" x14ac:dyDescent="0.3">
      <c r="A3565" t="s">
        <v>24</v>
      </c>
      <c r="C3565" s="16">
        <v>46270</v>
      </c>
      <c r="D3565" s="82">
        <v>13014.880000000001</v>
      </c>
    </row>
    <row r="3566" spans="1:4" x14ac:dyDescent="0.3">
      <c r="A3566" t="s">
        <v>25</v>
      </c>
      <c r="C3566" s="16">
        <v>46270</v>
      </c>
      <c r="D3566" s="82">
        <v>94.5</v>
      </c>
    </row>
    <row r="3567" spans="1:4" x14ac:dyDescent="0.3">
      <c r="A3567" t="s">
        <v>26</v>
      </c>
      <c r="C3567" s="16">
        <v>46270</v>
      </c>
      <c r="D3567" s="82">
        <v>2147.92</v>
      </c>
    </row>
    <row r="3568" spans="1:4" x14ac:dyDescent="0.3">
      <c r="A3568" t="s">
        <v>27</v>
      </c>
      <c r="C3568" s="16">
        <v>46270</v>
      </c>
      <c r="D3568" s="82">
        <v>17895.290000000015</v>
      </c>
    </row>
    <row r="3569" spans="1:4" x14ac:dyDescent="0.3">
      <c r="A3569" t="s">
        <v>28</v>
      </c>
      <c r="C3569" s="16">
        <v>46270</v>
      </c>
      <c r="D3569" s="82">
        <v>1968.99</v>
      </c>
    </row>
    <row r="3570" spans="1:4" x14ac:dyDescent="0.3">
      <c r="A3570" t="s">
        <v>29</v>
      </c>
      <c r="C3570" s="16">
        <v>46270</v>
      </c>
      <c r="D3570" s="82">
        <v>901.34</v>
      </c>
    </row>
    <row r="3571" spans="1:4" x14ac:dyDescent="0.3">
      <c r="A3571" t="s">
        <v>30</v>
      </c>
      <c r="C3571" s="16">
        <v>46270</v>
      </c>
      <c r="D3571" s="82">
        <v>1380.08</v>
      </c>
    </row>
    <row r="3572" spans="1:4" x14ac:dyDescent="0.3">
      <c r="A3572" t="s">
        <v>31</v>
      </c>
      <c r="C3572" s="16">
        <v>46270</v>
      </c>
      <c r="D3572" s="82">
        <v>25027.379999999961</v>
      </c>
    </row>
    <row r="3573" spans="1:4" x14ac:dyDescent="0.3">
      <c r="A3573" t="s">
        <v>32</v>
      </c>
      <c r="C3573" s="16">
        <v>46270</v>
      </c>
      <c r="D3573" s="82">
        <v>16760.540000000008</v>
      </c>
    </row>
    <row r="3574" spans="1:4" x14ac:dyDescent="0.3">
      <c r="A3574" t="s">
        <v>33</v>
      </c>
      <c r="C3574" s="16">
        <v>46270</v>
      </c>
      <c r="D3574" s="82">
        <v>14162.999999999996</v>
      </c>
    </row>
    <row r="3575" spans="1:4" x14ac:dyDescent="0.3">
      <c r="A3575" t="s">
        <v>34</v>
      </c>
      <c r="C3575" s="16">
        <v>46270</v>
      </c>
      <c r="D3575" s="82">
        <v>345</v>
      </c>
    </row>
    <row r="3576" spans="1:4" x14ac:dyDescent="0.3">
      <c r="A3576" t="s">
        <v>35</v>
      </c>
      <c r="C3576" s="16">
        <v>46270</v>
      </c>
      <c r="D3576" s="82">
        <v>5861.1200000000026</v>
      </c>
    </row>
    <row r="3577" spans="1:4" x14ac:dyDescent="0.3">
      <c r="A3577" t="s">
        <v>193</v>
      </c>
      <c r="C3577" s="16">
        <v>46270</v>
      </c>
      <c r="D3577" s="82">
        <v>299174.44</v>
      </c>
    </row>
    <row r="3578" spans="1:4" x14ac:dyDescent="0.3">
      <c r="A3578" t="s">
        <v>214</v>
      </c>
      <c r="C3578" s="16">
        <v>46270</v>
      </c>
      <c r="D3578" s="82">
        <v>20467.07</v>
      </c>
    </row>
    <row r="3579" spans="1:4" x14ac:dyDescent="0.3">
      <c r="A3579" t="s">
        <v>194</v>
      </c>
      <c r="C3579" s="16">
        <v>46270</v>
      </c>
      <c r="D3579" s="82">
        <v>3631.96</v>
      </c>
    </row>
    <row r="3580" spans="1:4" x14ac:dyDescent="0.3">
      <c r="A3580" t="s">
        <v>195</v>
      </c>
      <c r="C3580" s="16">
        <v>46270</v>
      </c>
      <c r="D3580" s="82">
        <v>604.80000000000018</v>
      </c>
    </row>
    <row r="3581" spans="1:4" x14ac:dyDescent="0.3">
      <c r="A3581" t="s">
        <v>196</v>
      </c>
      <c r="C3581" s="16">
        <v>46270</v>
      </c>
      <c r="D3581" s="82">
        <v>32112.919999999976</v>
      </c>
    </row>
    <row r="3582" spans="1:4" x14ac:dyDescent="0.3">
      <c r="A3582" t="s">
        <v>197</v>
      </c>
      <c r="C3582" s="16">
        <v>46270</v>
      </c>
      <c r="D3582" s="82">
        <v>794.01</v>
      </c>
    </row>
    <row r="3583" spans="1:4" x14ac:dyDescent="0.3">
      <c r="A3583" t="s">
        <v>212</v>
      </c>
      <c r="C3583" s="16">
        <v>46270</v>
      </c>
      <c r="D3583" s="82">
        <v>5445.57</v>
      </c>
    </row>
    <row r="3584" spans="1:4" x14ac:dyDescent="0.3">
      <c r="A3584" t="s">
        <v>199</v>
      </c>
      <c r="C3584" s="16">
        <v>46270</v>
      </c>
      <c r="D3584" s="82">
        <v>242034.28999999998</v>
      </c>
    </row>
    <row r="3585" spans="1:4" x14ac:dyDescent="0.3">
      <c r="A3585" t="s">
        <v>216</v>
      </c>
      <c r="C3585" s="16">
        <v>46270</v>
      </c>
      <c r="D3585" s="82">
        <v>303874.71999999997</v>
      </c>
    </row>
    <row r="3586" spans="1:4" x14ac:dyDescent="0.3">
      <c r="A3586" t="s">
        <v>17</v>
      </c>
      <c r="C3586" s="16">
        <v>46271</v>
      </c>
      <c r="D3586" s="82">
        <v>1549729.4500000007</v>
      </c>
    </row>
    <row r="3587" spans="1:4" x14ac:dyDescent="0.3">
      <c r="A3587" t="s">
        <v>18</v>
      </c>
      <c r="C3587" s="16">
        <v>46271</v>
      </c>
      <c r="D3587" s="82">
        <v>93280.230000000171</v>
      </c>
    </row>
    <row r="3588" spans="1:4" x14ac:dyDescent="0.3">
      <c r="A3588" t="s">
        <v>19</v>
      </c>
      <c r="C3588" s="16">
        <v>46271</v>
      </c>
      <c r="D3588" s="82">
        <v>1669.89</v>
      </c>
    </row>
    <row r="3589" spans="1:4" x14ac:dyDescent="0.3">
      <c r="A3589" t="s">
        <v>20</v>
      </c>
      <c r="C3589" s="16">
        <v>46271</v>
      </c>
      <c r="D3589" s="82">
        <v>1250938</v>
      </c>
    </row>
    <row r="3590" spans="1:4" x14ac:dyDescent="0.3">
      <c r="A3590" t="s">
        <v>21</v>
      </c>
      <c r="C3590" s="16">
        <v>46271</v>
      </c>
      <c r="D3590" s="82">
        <v>1499204.7399999998</v>
      </c>
    </row>
    <row r="3591" spans="1:4" x14ac:dyDescent="0.3">
      <c r="A3591" t="s">
        <v>22</v>
      </c>
      <c r="C3591" s="16">
        <v>46271</v>
      </c>
      <c r="D3591" s="82">
        <v>249778.14</v>
      </c>
    </row>
    <row r="3592" spans="1:4" x14ac:dyDescent="0.3">
      <c r="A3592" t="s">
        <v>23</v>
      </c>
      <c r="C3592" s="16">
        <v>46271</v>
      </c>
      <c r="D3592" s="82">
        <v>217684.34</v>
      </c>
    </row>
    <row r="3593" spans="1:4" x14ac:dyDescent="0.3">
      <c r="A3593" t="s">
        <v>24</v>
      </c>
      <c r="C3593" s="16">
        <v>46271</v>
      </c>
      <c r="D3593" s="82">
        <v>13014.880000000001</v>
      </c>
    </row>
    <row r="3594" spans="1:4" x14ac:dyDescent="0.3">
      <c r="A3594" t="s">
        <v>25</v>
      </c>
      <c r="C3594" s="16">
        <v>46271</v>
      </c>
      <c r="D3594" s="82">
        <v>94.5</v>
      </c>
    </row>
    <row r="3595" spans="1:4" x14ac:dyDescent="0.3">
      <c r="A3595" t="s">
        <v>26</v>
      </c>
      <c r="C3595" s="16">
        <v>46271</v>
      </c>
      <c r="D3595" s="82">
        <v>2147.92</v>
      </c>
    </row>
    <row r="3596" spans="1:4" x14ac:dyDescent="0.3">
      <c r="A3596" t="s">
        <v>27</v>
      </c>
      <c r="C3596" s="16">
        <v>46271</v>
      </c>
      <c r="D3596" s="82">
        <v>17895.290000000015</v>
      </c>
    </row>
    <row r="3597" spans="1:4" x14ac:dyDescent="0.3">
      <c r="A3597" t="s">
        <v>28</v>
      </c>
      <c r="C3597" s="16">
        <v>46271</v>
      </c>
      <c r="D3597" s="82">
        <v>1968.99</v>
      </c>
    </row>
    <row r="3598" spans="1:4" x14ac:dyDescent="0.3">
      <c r="A3598" t="s">
        <v>29</v>
      </c>
      <c r="C3598" s="16">
        <v>46271</v>
      </c>
      <c r="D3598" s="82">
        <v>901.34</v>
      </c>
    </row>
    <row r="3599" spans="1:4" x14ac:dyDescent="0.3">
      <c r="A3599" t="s">
        <v>30</v>
      </c>
      <c r="C3599" s="16">
        <v>46271</v>
      </c>
      <c r="D3599" s="82">
        <v>1380.08</v>
      </c>
    </row>
    <row r="3600" spans="1:4" x14ac:dyDescent="0.3">
      <c r="A3600" t="s">
        <v>31</v>
      </c>
      <c r="C3600" s="16">
        <v>46271</v>
      </c>
      <c r="D3600" s="82">
        <v>25027.379999999961</v>
      </c>
    </row>
    <row r="3601" spans="1:4" x14ac:dyDescent="0.3">
      <c r="A3601" t="s">
        <v>32</v>
      </c>
      <c r="C3601" s="16">
        <v>46271</v>
      </c>
      <c r="D3601" s="82">
        <v>16760.540000000008</v>
      </c>
    </row>
    <row r="3602" spans="1:4" x14ac:dyDescent="0.3">
      <c r="A3602" t="s">
        <v>33</v>
      </c>
      <c r="C3602" s="16">
        <v>46271</v>
      </c>
      <c r="D3602" s="82">
        <v>14162.999999999996</v>
      </c>
    </row>
    <row r="3603" spans="1:4" x14ac:dyDescent="0.3">
      <c r="A3603" t="s">
        <v>34</v>
      </c>
      <c r="C3603" s="16">
        <v>46271</v>
      </c>
      <c r="D3603" s="82">
        <v>345</v>
      </c>
    </row>
    <row r="3604" spans="1:4" x14ac:dyDescent="0.3">
      <c r="A3604" t="s">
        <v>35</v>
      </c>
      <c r="C3604" s="16">
        <v>46271</v>
      </c>
      <c r="D3604" s="82">
        <v>5861.1200000000026</v>
      </c>
    </row>
    <row r="3605" spans="1:4" x14ac:dyDescent="0.3">
      <c r="A3605" t="s">
        <v>193</v>
      </c>
      <c r="C3605" s="16">
        <v>46271</v>
      </c>
      <c r="D3605" s="82">
        <v>299174.44</v>
      </c>
    </row>
    <row r="3606" spans="1:4" x14ac:dyDescent="0.3">
      <c r="A3606" t="s">
        <v>214</v>
      </c>
      <c r="C3606" s="16">
        <v>46271</v>
      </c>
      <c r="D3606" s="82">
        <v>20467.07</v>
      </c>
    </row>
    <row r="3607" spans="1:4" x14ac:dyDescent="0.3">
      <c r="A3607" t="s">
        <v>194</v>
      </c>
      <c r="C3607" s="16">
        <v>46271</v>
      </c>
      <c r="D3607" s="82">
        <v>3631.96</v>
      </c>
    </row>
    <row r="3608" spans="1:4" x14ac:dyDescent="0.3">
      <c r="A3608" t="s">
        <v>195</v>
      </c>
      <c r="C3608" s="16">
        <v>46271</v>
      </c>
      <c r="D3608" s="82">
        <v>604.80000000000018</v>
      </c>
    </row>
    <row r="3609" spans="1:4" x14ac:dyDescent="0.3">
      <c r="A3609" t="s">
        <v>196</v>
      </c>
      <c r="C3609" s="16">
        <v>46271</v>
      </c>
      <c r="D3609" s="82">
        <v>32112.919999999976</v>
      </c>
    </row>
    <row r="3610" spans="1:4" x14ac:dyDescent="0.3">
      <c r="A3610" t="s">
        <v>197</v>
      </c>
      <c r="C3610" s="16">
        <v>46271</v>
      </c>
      <c r="D3610" s="82">
        <v>794.01</v>
      </c>
    </row>
    <row r="3611" spans="1:4" x14ac:dyDescent="0.3">
      <c r="A3611" t="s">
        <v>212</v>
      </c>
      <c r="C3611" s="16">
        <v>46271</v>
      </c>
      <c r="D3611" s="82">
        <v>5445.57</v>
      </c>
    </row>
    <row r="3612" spans="1:4" x14ac:dyDescent="0.3">
      <c r="A3612" t="s">
        <v>199</v>
      </c>
      <c r="C3612" s="16">
        <v>46271</v>
      </c>
      <c r="D3612" s="82">
        <v>242034.28999999998</v>
      </c>
    </row>
    <row r="3613" spans="1:4" x14ac:dyDescent="0.3">
      <c r="A3613" t="s">
        <v>216</v>
      </c>
      <c r="C3613" s="16">
        <v>46271</v>
      </c>
      <c r="D3613" s="82">
        <v>303874.71999999997</v>
      </c>
    </row>
    <row r="3614" spans="1:4" x14ac:dyDescent="0.3">
      <c r="A3614" t="s">
        <v>17</v>
      </c>
      <c r="C3614" s="16">
        <v>46272</v>
      </c>
      <c r="D3614" s="82">
        <v>1549729.4500000007</v>
      </c>
    </row>
    <row r="3615" spans="1:4" x14ac:dyDescent="0.3">
      <c r="A3615" t="s">
        <v>18</v>
      </c>
      <c r="C3615" s="16">
        <v>46272</v>
      </c>
      <c r="D3615" s="82">
        <v>93280.230000000171</v>
      </c>
    </row>
    <row r="3616" spans="1:4" x14ac:dyDescent="0.3">
      <c r="A3616" t="s">
        <v>19</v>
      </c>
      <c r="C3616" s="16">
        <v>46272</v>
      </c>
      <c r="D3616" s="82">
        <v>1669.89</v>
      </c>
    </row>
    <row r="3617" spans="1:4" x14ac:dyDescent="0.3">
      <c r="A3617" t="s">
        <v>20</v>
      </c>
      <c r="C3617" s="16">
        <v>46272</v>
      </c>
      <c r="D3617" s="82">
        <v>1250938</v>
      </c>
    </row>
    <row r="3618" spans="1:4" x14ac:dyDescent="0.3">
      <c r="A3618" t="s">
        <v>21</v>
      </c>
      <c r="C3618" s="16">
        <v>46272</v>
      </c>
      <c r="D3618" s="82">
        <v>1499204.7399999998</v>
      </c>
    </row>
    <row r="3619" spans="1:4" x14ac:dyDescent="0.3">
      <c r="A3619" t="s">
        <v>22</v>
      </c>
      <c r="C3619" s="16">
        <v>46272</v>
      </c>
      <c r="D3619" s="82">
        <v>249778.14</v>
      </c>
    </row>
    <row r="3620" spans="1:4" x14ac:dyDescent="0.3">
      <c r="A3620" t="s">
        <v>23</v>
      </c>
      <c r="C3620" s="16">
        <v>46272</v>
      </c>
      <c r="D3620" s="82">
        <v>217684.34</v>
      </c>
    </row>
    <row r="3621" spans="1:4" x14ac:dyDescent="0.3">
      <c r="A3621" t="s">
        <v>24</v>
      </c>
      <c r="C3621" s="16">
        <v>46272</v>
      </c>
      <c r="D3621" s="82">
        <v>13014.880000000001</v>
      </c>
    </row>
    <row r="3622" spans="1:4" x14ac:dyDescent="0.3">
      <c r="A3622" t="s">
        <v>25</v>
      </c>
      <c r="C3622" s="16">
        <v>46272</v>
      </c>
      <c r="D3622" s="82">
        <v>94.5</v>
      </c>
    </row>
    <row r="3623" spans="1:4" x14ac:dyDescent="0.3">
      <c r="A3623" t="s">
        <v>26</v>
      </c>
      <c r="C3623" s="16">
        <v>46272</v>
      </c>
      <c r="D3623" s="82">
        <v>2147.92</v>
      </c>
    </row>
    <row r="3624" spans="1:4" x14ac:dyDescent="0.3">
      <c r="A3624" t="s">
        <v>27</v>
      </c>
      <c r="C3624" s="16">
        <v>46272</v>
      </c>
      <c r="D3624" s="82">
        <v>17895.290000000015</v>
      </c>
    </row>
    <row r="3625" spans="1:4" x14ac:dyDescent="0.3">
      <c r="A3625" t="s">
        <v>28</v>
      </c>
      <c r="C3625" s="16">
        <v>46272</v>
      </c>
      <c r="D3625" s="82">
        <v>1968.99</v>
      </c>
    </row>
    <row r="3626" spans="1:4" x14ac:dyDescent="0.3">
      <c r="A3626" t="s">
        <v>29</v>
      </c>
      <c r="C3626" s="16">
        <v>46272</v>
      </c>
      <c r="D3626" s="82">
        <v>901.34</v>
      </c>
    </row>
    <row r="3627" spans="1:4" x14ac:dyDescent="0.3">
      <c r="A3627" t="s">
        <v>30</v>
      </c>
      <c r="C3627" s="16">
        <v>46272</v>
      </c>
      <c r="D3627" s="82">
        <v>1380.08</v>
      </c>
    </row>
    <row r="3628" spans="1:4" x14ac:dyDescent="0.3">
      <c r="A3628" t="s">
        <v>31</v>
      </c>
      <c r="C3628" s="16">
        <v>46272</v>
      </c>
      <c r="D3628" s="82">
        <v>25027.379999999961</v>
      </c>
    </row>
    <row r="3629" spans="1:4" x14ac:dyDescent="0.3">
      <c r="A3629" t="s">
        <v>32</v>
      </c>
      <c r="C3629" s="16">
        <v>46272</v>
      </c>
      <c r="D3629" s="82">
        <v>16760.540000000008</v>
      </c>
    </row>
    <row r="3630" spans="1:4" x14ac:dyDescent="0.3">
      <c r="A3630" t="s">
        <v>33</v>
      </c>
      <c r="C3630" s="16">
        <v>46272</v>
      </c>
      <c r="D3630" s="82">
        <v>14162.999999999996</v>
      </c>
    </row>
    <row r="3631" spans="1:4" x14ac:dyDescent="0.3">
      <c r="A3631" t="s">
        <v>34</v>
      </c>
      <c r="C3631" s="16">
        <v>46272</v>
      </c>
      <c r="D3631" s="82">
        <v>345</v>
      </c>
    </row>
    <row r="3632" spans="1:4" x14ac:dyDescent="0.3">
      <c r="A3632" t="s">
        <v>35</v>
      </c>
      <c r="C3632" s="16">
        <v>46272</v>
      </c>
      <c r="D3632" s="82">
        <v>5861.1200000000026</v>
      </c>
    </row>
    <row r="3633" spans="1:4" x14ac:dyDescent="0.3">
      <c r="A3633" t="s">
        <v>193</v>
      </c>
      <c r="C3633" s="16">
        <v>46272</v>
      </c>
      <c r="D3633" s="82">
        <v>299174.44</v>
      </c>
    </row>
    <row r="3634" spans="1:4" x14ac:dyDescent="0.3">
      <c r="A3634" t="s">
        <v>214</v>
      </c>
      <c r="C3634" s="16">
        <v>46272</v>
      </c>
      <c r="D3634" s="82">
        <v>20467.07</v>
      </c>
    </row>
    <row r="3635" spans="1:4" x14ac:dyDescent="0.3">
      <c r="A3635" t="s">
        <v>194</v>
      </c>
      <c r="C3635" s="16">
        <v>46272</v>
      </c>
      <c r="D3635" s="82">
        <v>3631.96</v>
      </c>
    </row>
    <row r="3636" spans="1:4" x14ac:dyDescent="0.3">
      <c r="A3636" t="s">
        <v>195</v>
      </c>
      <c r="C3636" s="16">
        <v>46272</v>
      </c>
      <c r="D3636" s="82">
        <v>604.80000000000018</v>
      </c>
    </row>
    <row r="3637" spans="1:4" x14ac:dyDescent="0.3">
      <c r="A3637" t="s">
        <v>196</v>
      </c>
      <c r="C3637" s="16">
        <v>46272</v>
      </c>
      <c r="D3637" s="82">
        <v>32112.919999999976</v>
      </c>
    </row>
    <row r="3638" spans="1:4" x14ac:dyDescent="0.3">
      <c r="A3638" t="s">
        <v>197</v>
      </c>
      <c r="C3638" s="16">
        <v>46272</v>
      </c>
      <c r="D3638" s="82">
        <v>794.01</v>
      </c>
    </row>
    <row r="3639" spans="1:4" x14ac:dyDescent="0.3">
      <c r="A3639" t="s">
        <v>212</v>
      </c>
      <c r="C3639" s="16">
        <v>46272</v>
      </c>
      <c r="D3639" s="82">
        <v>5445.57</v>
      </c>
    </row>
    <row r="3640" spans="1:4" x14ac:dyDescent="0.3">
      <c r="A3640" t="s">
        <v>199</v>
      </c>
      <c r="C3640" s="16">
        <v>46272</v>
      </c>
      <c r="D3640" s="82">
        <v>242034.28999999998</v>
      </c>
    </row>
    <row r="3641" spans="1:4" x14ac:dyDescent="0.3">
      <c r="A3641" t="s">
        <v>216</v>
      </c>
      <c r="C3641" s="16">
        <v>46272</v>
      </c>
      <c r="D3641" s="82">
        <v>303874.71999999997</v>
      </c>
    </row>
    <row r="3642" spans="1:4" x14ac:dyDescent="0.3">
      <c r="A3642" t="s">
        <v>17</v>
      </c>
      <c r="C3642" s="16">
        <v>46273</v>
      </c>
      <c r="D3642" s="82">
        <v>1805955.2800000007</v>
      </c>
    </row>
    <row r="3643" spans="1:4" x14ac:dyDescent="0.3">
      <c r="A3643" t="s">
        <v>18</v>
      </c>
      <c r="C3643" s="16">
        <v>46273</v>
      </c>
      <c r="D3643" s="82">
        <v>93737.970000000176</v>
      </c>
    </row>
    <row r="3644" spans="1:4" x14ac:dyDescent="0.3">
      <c r="A3644" t="s">
        <v>19</v>
      </c>
      <c r="C3644" s="16">
        <v>46273</v>
      </c>
      <c r="D3644" s="82">
        <v>1669.89</v>
      </c>
    </row>
    <row r="3645" spans="1:4" x14ac:dyDescent="0.3">
      <c r="A3645" t="s">
        <v>20</v>
      </c>
      <c r="C3645" s="16">
        <v>46273</v>
      </c>
      <c r="D3645" s="82">
        <v>1256669.99</v>
      </c>
    </row>
    <row r="3646" spans="1:4" x14ac:dyDescent="0.3">
      <c r="A3646" t="s">
        <v>21</v>
      </c>
      <c r="C3646" s="16">
        <v>46273</v>
      </c>
      <c r="D3646" s="82">
        <v>1490233.3099999996</v>
      </c>
    </row>
    <row r="3647" spans="1:4" x14ac:dyDescent="0.3">
      <c r="A3647" t="s">
        <v>22</v>
      </c>
      <c r="C3647" s="16">
        <v>46273</v>
      </c>
      <c r="D3647" s="82">
        <v>249778.14</v>
      </c>
    </row>
    <row r="3648" spans="1:4" x14ac:dyDescent="0.3">
      <c r="A3648" t="s">
        <v>23</v>
      </c>
      <c r="C3648" s="16">
        <v>46273</v>
      </c>
      <c r="D3648" s="82">
        <v>217684.34</v>
      </c>
    </row>
    <row r="3649" spans="1:4" x14ac:dyDescent="0.3">
      <c r="A3649" t="s">
        <v>24</v>
      </c>
      <c r="C3649" s="16">
        <v>46273</v>
      </c>
      <c r="D3649" s="82">
        <v>11744.75</v>
      </c>
    </row>
    <row r="3650" spans="1:4" x14ac:dyDescent="0.3">
      <c r="A3650" t="s">
        <v>25</v>
      </c>
      <c r="C3650" s="16">
        <v>46273</v>
      </c>
      <c r="D3650" s="82">
        <v>94.5</v>
      </c>
    </row>
    <row r="3651" spans="1:4" x14ac:dyDescent="0.3">
      <c r="A3651" t="s">
        <v>26</v>
      </c>
      <c r="C3651" s="16">
        <v>46273</v>
      </c>
      <c r="D3651" s="82">
        <v>2147.92</v>
      </c>
    </row>
    <row r="3652" spans="1:4" x14ac:dyDescent="0.3">
      <c r="A3652" t="s">
        <v>27</v>
      </c>
      <c r="C3652" s="16">
        <v>46273</v>
      </c>
      <c r="D3652" s="82">
        <v>17895.290000000015</v>
      </c>
    </row>
    <row r="3653" spans="1:4" x14ac:dyDescent="0.3">
      <c r="A3653" t="s">
        <v>28</v>
      </c>
      <c r="C3653" s="16">
        <v>46273</v>
      </c>
      <c r="D3653" s="82">
        <v>1968.99</v>
      </c>
    </row>
    <row r="3654" spans="1:4" x14ac:dyDescent="0.3">
      <c r="A3654" t="s">
        <v>29</v>
      </c>
      <c r="C3654" s="16">
        <v>46273</v>
      </c>
      <c r="D3654" s="82">
        <v>901.34</v>
      </c>
    </row>
    <row r="3655" spans="1:4" x14ac:dyDescent="0.3">
      <c r="A3655" t="s">
        <v>30</v>
      </c>
      <c r="C3655" s="16">
        <v>46273</v>
      </c>
      <c r="D3655" s="82">
        <v>1380.08</v>
      </c>
    </row>
    <row r="3656" spans="1:4" x14ac:dyDescent="0.3">
      <c r="A3656" t="s">
        <v>31</v>
      </c>
      <c r="C3656" s="16">
        <v>46273</v>
      </c>
      <c r="D3656" s="82">
        <v>25027.379999999961</v>
      </c>
    </row>
    <row r="3657" spans="1:4" x14ac:dyDescent="0.3">
      <c r="A3657" t="s">
        <v>32</v>
      </c>
      <c r="C3657" s="16">
        <v>46273</v>
      </c>
      <c r="D3657" s="82">
        <v>16760.540000000008</v>
      </c>
    </row>
    <row r="3658" spans="1:4" x14ac:dyDescent="0.3">
      <c r="A3658" t="s">
        <v>33</v>
      </c>
      <c r="C3658" s="16">
        <v>46273</v>
      </c>
      <c r="D3658" s="82">
        <v>14162.999999999996</v>
      </c>
    </row>
    <row r="3659" spans="1:4" x14ac:dyDescent="0.3">
      <c r="A3659" t="s">
        <v>34</v>
      </c>
      <c r="C3659" s="16">
        <v>46273</v>
      </c>
      <c r="D3659" s="82">
        <v>345</v>
      </c>
    </row>
    <row r="3660" spans="1:4" x14ac:dyDescent="0.3">
      <c r="A3660" t="s">
        <v>35</v>
      </c>
      <c r="C3660" s="16">
        <v>46273</v>
      </c>
      <c r="D3660" s="82">
        <v>5861.1200000000026</v>
      </c>
    </row>
    <row r="3661" spans="1:4" x14ac:dyDescent="0.3">
      <c r="A3661" t="s">
        <v>193</v>
      </c>
      <c r="C3661" s="16">
        <v>46273</v>
      </c>
      <c r="D3661" s="82">
        <v>298843.33</v>
      </c>
    </row>
    <row r="3662" spans="1:4" x14ac:dyDescent="0.3">
      <c r="A3662" t="s">
        <v>214</v>
      </c>
      <c r="C3662" s="16">
        <v>46273</v>
      </c>
      <c r="D3662" s="82">
        <v>19563.12</v>
      </c>
    </row>
    <row r="3663" spans="1:4" x14ac:dyDescent="0.3">
      <c r="A3663" t="s">
        <v>194</v>
      </c>
      <c r="C3663" s="16">
        <v>46273</v>
      </c>
      <c r="D3663" s="82">
        <v>3631.96</v>
      </c>
    </row>
    <row r="3664" spans="1:4" x14ac:dyDescent="0.3">
      <c r="A3664" t="s">
        <v>195</v>
      </c>
      <c r="C3664" s="16">
        <v>46273</v>
      </c>
      <c r="D3664" s="82">
        <v>604.80000000000018</v>
      </c>
    </row>
    <row r="3665" spans="1:4" x14ac:dyDescent="0.3">
      <c r="A3665" t="s">
        <v>196</v>
      </c>
      <c r="C3665" s="16">
        <v>46273</v>
      </c>
      <c r="D3665" s="82">
        <v>32112.919999999976</v>
      </c>
    </row>
    <row r="3666" spans="1:4" x14ac:dyDescent="0.3">
      <c r="A3666" t="s">
        <v>197</v>
      </c>
      <c r="C3666" s="16">
        <v>46273</v>
      </c>
      <c r="D3666" s="82">
        <v>794.01</v>
      </c>
    </row>
    <row r="3667" spans="1:4" x14ac:dyDescent="0.3">
      <c r="A3667" t="s">
        <v>212</v>
      </c>
      <c r="C3667" s="16">
        <v>46273</v>
      </c>
      <c r="D3667" s="82">
        <v>5445.57</v>
      </c>
    </row>
    <row r="3668" spans="1:4" x14ac:dyDescent="0.3">
      <c r="A3668" t="s">
        <v>199</v>
      </c>
      <c r="C3668" s="16">
        <v>46273</v>
      </c>
      <c r="D3668" s="82">
        <v>241987.22999999998</v>
      </c>
    </row>
    <row r="3669" spans="1:4" x14ac:dyDescent="0.3">
      <c r="A3669" t="s">
        <v>216</v>
      </c>
      <c r="C3669" s="16">
        <v>46273</v>
      </c>
      <c r="D3669" s="82">
        <v>303874.71999999997</v>
      </c>
    </row>
    <row r="3670" spans="1:4" x14ac:dyDescent="0.3">
      <c r="A3670" t="s">
        <v>17</v>
      </c>
      <c r="C3670" s="16">
        <v>46274</v>
      </c>
      <c r="D3670" s="82">
        <v>1805355.2800000007</v>
      </c>
    </row>
    <row r="3671" spans="1:4" x14ac:dyDescent="0.3">
      <c r="A3671" t="s">
        <v>18</v>
      </c>
      <c r="C3671" s="16">
        <v>46274</v>
      </c>
      <c r="D3671" s="82">
        <v>93737.970000000176</v>
      </c>
    </row>
    <row r="3672" spans="1:4" x14ac:dyDescent="0.3">
      <c r="A3672" t="s">
        <v>19</v>
      </c>
      <c r="C3672" s="16">
        <v>46274</v>
      </c>
      <c r="D3672" s="82">
        <v>1669.89</v>
      </c>
    </row>
    <row r="3673" spans="1:4" x14ac:dyDescent="0.3">
      <c r="A3673" t="s">
        <v>20</v>
      </c>
      <c r="C3673" s="16">
        <v>46274</v>
      </c>
      <c r="D3673" s="82">
        <v>1256669.99</v>
      </c>
    </row>
    <row r="3674" spans="1:4" x14ac:dyDescent="0.3">
      <c r="A3674" t="s">
        <v>21</v>
      </c>
      <c r="C3674" s="16">
        <v>46274</v>
      </c>
      <c r="D3674" s="82">
        <v>1487787.1299999997</v>
      </c>
    </row>
    <row r="3675" spans="1:4" x14ac:dyDescent="0.3">
      <c r="A3675" t="s">
        <v>22</v>
      </c>
      <c r="C3675" s="16">
        <v>46274</v>
      </c>
      <c r="D3675" s="82">
        <v>229778.14</v>
      </c>
    </row>
    <row r="3676" spans="1:4" x14ac:dyDescent="0.3">
      <c r="A3676" t="s">
        <v>23</v>
      </c>
      <c r="C3676" s="16">
        <v>46274</v>
      </c>
      <c r="D3676" s="82">
        <v>217684.34</v>
      </c>
    </row>
    <row r="3677" spans="1:4" x14ac:dyDescent="0.3">
      <c r="A3677" t="s">
        <v>24</v>
      </c>
      <c r="C3677" s="16">
        <v>46274</v>
      </c>
      <c r="D3677" s="82">
        <v>11744.75</v>
      </c>
    </row>
    <row r="3678" spans="1:4" x14ac:dyDescent="0.3">
      <c r="A3678" t="s">
        <v>25</v>
      </c>
      <c r="C3678" s="16">
        <v>46274</v>
      </c>
      <c r="D3678" s="82">
        <v>94.5</v>
      </c>
    </row>
    <row r="3679" spans="1:4" x14ac:dyDescent="0.3">
      <c r="A3679" t="s">
        <v>26</v>
      </c>
      <c r="C3679" s="16">
        <v>46274</v>
      </c>
      <c r="D3679" s="82">
        <v>2147.92</v>
      </c>
    </row>
    <row r="3680" spans="1:4" x14ac:dyDescent="0.3">
      <c r="A3680" t="s">
        <v>27</v>
      </c>
      <c r="C3680" s="16">
        <v>46274</v>
      </c>
      <c r="D3680" s="82">
        <v>17895.290000000015</v>
      </c>
    </row>
    <row r="3681" spans="1:4" x14ac:dyDescent="0.3">
      <c r="A3681" t="s">
        <v>28</v>
      </c>
      <c r="C3681" s="16">
        <v>46274</v>
      </c>
      <c r="D3681" s="82">
        <v>1968.99</v>
      </c>
    </row>
    <row r="3682" spans="1:4" x14ac:dyDescent="0.3">
      <c r="A3682" t="s">
        <v>29</v>
      </c>
      <c r="C3682" s="16">
        <v>46274</v>
      </c>
      <c r="D3682" s="82">
        <v>901.34</v>
      </c>
    </row>
    <row r="3683" spans="1:4" x14ac:dyDescent="0.3">
      <c r="A3683" t="s">
        <v>30</v>
      </c>
      <c r="C3683" s="16">
        <v>46274</v>
      </c>
      <c r="D3683" s="82">
        <v>1380.08</v>
      </c>
    </row>
    <row r="3684" spans="1:4" x14ac:dyDescent="0.3">
      <c r="A3684" t="s">
        <v>31</v>
      </c>
      <c r="C3684" s="16">
        <v>46274</v>
      </c>
      <c r="D3684" s="82">
        <v>25027.379999999961</v>
      </c>
    </row>
    <row r="3685" spans="1:4" x14ac:dyDescent="0.3">
      <c r="A3685" t="s">
        <v>32</v>
      </c>
      <c r="C3685" s="16">
        <v>46274</v>
      </c>
      <c r="D3685" s="82">
        <v>16760.540000000008</v>
      </c>
    </row>
    <row r="3686" spans="1:4" x14ac:dyDescent="0.3">
      <c r="A3686" t="s">
        <v>33</v>
      </c>
      <c r="C3686" s="16">
        <v>46274</v>
      </c>
      <c r="D3686" s="82">
        <v>14162.999999999996</v>
      </c>
    </row>
    <row r="3687" spans="1:4" x14ac:dyDescent="0.3">
      <c r="A3687" t="s">
        <v>34</v>
      </c>
      <c r="C3687" s="16">
        <v>46274</v>
      </c>
      <c r="D3687" s="82">
        <v>345</v>
      </c>
    </row>
    <row r="3688" spans="1:4" x14ac:dyDescent="0.3">
      <c r="A3688" t="s">
        <v>35</v>
      </c>
      <c r="C3688" s="16">
        <v>46274</v>
      </c>
      <c r="D3688" s="82">
        <v>25812.570000000003</v>
      </c>
    </row>
    <row r="3689" spans="1:4" x14ac:dyDescent="0.3">
      <c r="A3689" t="s">
        <v>193</v>
      </c>
      <c r="C3689" s="16">
        <v>46274</v>
      </c>
      <c r="D3689" s="82">
        <v>298792.34000000003</v>
      </c>
    </row>
    <row r="3690" spans="1:4" x14ac:dyDescent="0.3">
      <c r="A3690" t="s">
        <v>214</v>
      </c>
      <c r="C3690" s="16">
        <v>46274</v>
      </c>
      <c r="D3690" s="82">
        <v>18649.980000000003</v>
      </c>
    </row>
    <row r="3691" spans="1:4" x14ac:dyDescent="0.3">
      <c r="A3691" t="s">
        <v>194</v>
      </c>
      <c r="C3691" s="16">
        <v>46274</v>
      </c>
      <c r="D3691" s="82">
        <v>3631.96</v>
      </c>
    </row>
    <row r="3692" spans="1:4" x14ac:dyDescent="0.3">
      <c r="A3692" t="s">
        <v>195</v>
      </c>
      <c r="C3692" s="16">
        <v>46274</v>
      </c>
      <c r="D3692" s="82">
        <v>604.80000000000018</v>
      </c>
    </row>
    <row r="3693" spans="1:4" x14ac:dyDescent="0.3">
      <c r="A3693" t="s">
        <v>196</v>
      </c>
      <c r="C3693" s="16">
        <v>46274</v>
      </c>
      <c r="D3693" s="82">
        <v>32112.919999999976</v>
      </c>
    </row>
    <row r="3694" spans="1:4" x14ac:dyDescent="0.3">
      <c r="A3694" t="s">
        <v>197</v>
      </c>
      <c r="C3694" s="16">
        <v>46274</v>
      </c>
      <c r="D3694" s="82">
        <v>794.01</v>
      </c>
    </row>
    <row r="3695" spans="1:4" x14ac:dyDescent="0.3">
      <c r="A3695" t="s">
        <v>212</v>
      </c>
      <c r="C3695" s="16">
        <v>46274</v>
      </c>
      <c r="D3695" s="82">
        <v>5445.57</v>
      </c>
    </row>
    <row r="3696" spans="1:4" x14ac:dyDescent="0.3">
      <c r="A3696" t="s">
        <v>199</v>
      </c>
      <c r="C3696" s="16">
        <v>46274</v>
      </c>
      <c r="D3696" s="82">
        <v>241987.22999999998</v>
      </c>
    </row>
    <row r="3697" spans="1:4" x14ac:dyDescent="0.3">
      <c r="A3697" t="s">
        <v>216</v>
      </c>
      <c r="C3697" s="16">
        <v>46274</v>
      </c>
      <c r="D3697" s="82">
        <v>303874.71999999997</v>
      </c>
    </row>
    <row r="3698" spans="1:4" x14ac:dyDescent="0.3">
      <c r="A3698" t="s">
        <v>17</v>
      </c>
      <c r="C3698" s="16">
        <v>46275</v>
      </c>
      <c r="D3698" s="82">
        <v>1338116.3900000008</v>
      </c>
    </row>
    <row r="3699" spans="1:4" x14ac:dyDescent="0.3">
      <c r="A3699" t="s">
        <v>18</v>
      </c>
      <c r="C3699" s="16">
        <v>46275</v>
      </c>
      <c r="D3699" s="82">
        <v>93737.970000000176</v>
      </c>
    </row>
    <row r="3700" spans="1:4" x14ac:dyDescent="0.3">
      <c r="A3700" t="s">
        <v>19</v>
      </c>
      <c r="C3700" s="16">
        <v>46275</v>
      </c>
      <c r="D3700" s="82">
        <v>1669.89</v>
      </c>
    </row>
    <row r="3701" spans="1:4" x14ac:dyDescent="0.3">
      <c r="A3701" t="s">
        <v>20</v>
      </c>
      <c r="C3701" s="16">
        <v>46275</v>
      </c>
      <c r="D3701" s="82">
        <v>1089169.99</v>
      </c>
    </row>
    <row r="3702" spans="1:4" x14ac:dyDescent="0.3">
      <c r="A3702" t="s">
        <v>21</v>
      </c>
      <c r="C3702" s="16">
        <v>46275</v>
      </c>
      <c r="D3702" s="82">
        <v>1233789.9099999997</v>
      </c>
    </row>
    <row r="3703" spans="1:4" x14ac:dyDescent="0.3">
      <c r="A3703" t="s">
        <v>22</v>
      </c>
      <c r="C3703" s="16">
        <v>46275</v>
      </c>
      <c r="D3703" s="82">
        <v>229778.14</v>
      </c>
    </row>
    <row r="3704" spans="1:4" x14ac:dyDescent="0.3">
      <c r="A3704" t="s">
        <v>23</v>
      </c>
      <c r="C3704" s="16">
        <v>46275</v>
      </c>
      <c r="D3704" s="82">
        <v>217684.34</v>
      </c>
    </row>
    <row r="3705" spans="1:4" x14ac:dyDescent="0.3">
      <c r="A3705" t="s">
        <v>24</v>
      </c>
      <c r="C3705" s="16">
        <v>46275</v>
      </c>
      <c r="D3705" s="82">
        <v>11744.75</v>
      </c>
    </row>
    <row r="3706" spans="1:4" x14ac:dyDescent="0.3">
      <c r="A3706" t="s">
        <v>25</v>
      </c>
      <c r="C3706" s="16">
        <v>46275</v>
      </c>
      <c r="D3706" s="82">
        <v>94.5</v>
      </c>
    </row>
    <row r="3707" spans="1:4" x14ac:dyDescent="0.3">
      <c r="A3707" t="s">
        <v>26</v>
      </c>
      <c r="C3707" s="16">
        <v>46275</v>
      </c>
      <c r="D3707" s="82">
        <v>2147.92</v>
      </c>
    </row>
    <row r="3708" spans="1:4" x14ac:dyDescent="0.3">
      <c r="A3708" t="s">
        <v>27</v>
      </c>
      <c r="C3708" s="16">
        <v>46275</v>
      </c>
      <c r="D3708" s="82">
        <v>17895.290000000015</v>
      </c>
    </row>
    <row r="3709" spans="1:4" x14ac:dyDescent="0.3">
      <c r="A3709" t="s">
        <v>28</v>
      </c>
      <c r="C3709" s="16">
        <v>46275</v>
      </c>
      <c r="D3709" s="82">
        <v>1968.99</v>
      </c>
    </row>
    <row r="3710" spans="1:4" x14ac:dyDescent="0.3">
      <c r="A3710" t="s">
        <v>29</v>
      </c>
      <c r="C3710" s="16">
        <v>46275</v>
      </c>
      <c r="D3710" s="82">
        <v>901.34</v>
      </c>
    </row>
    <row r="3711" spans="1:4" x14ac:dyDescent="0.3">
      <c r="A3711" t="s">
        <v>30</v>
      </c>
      <c r="C3711" s="16">
        <v>46275</v>
      </c>
      <c r="D3711" s="82">
        <v>1380.08</v>
      </c>
    </row>
    <row r="3712" spans="1:4" x14ac:dyDescent="0.3">
      <c r="A3712" t="s">
        <v>31</v>
      </c>
      <c r="C3712" s="16">
        <v>46275</v>
      </c>
      <c r="D3712" s="82">
        <v>25027.379999999961</v>
      </c>
    </row>
    <row r="3713" spans="1:4" x14ac:dyDescent="0.3">
      <c r="A3713" t="s">
        <v>32</v>
      </c>
      <c r="C3713" s="16">
        <v>46275</v>
      </c>
      <c r="D3713" s="82">
        <v>16760.540000000008</v>
      </c>
    </row>
    <row r="3714" spans="1:4" x14ac:dyDescent="0.3">
      <c r="A3714" t="s">
        <v>33</v>
      </c>
      <c r="C3714" s="16">
        <v>46275</v>
      </c>
      <c r="D3714" s="82">
        <v>14162.999999999996</v>
      </c>
    </row>
    <row r="3715" spans="1:4" x14ac:dyDescent="0.3">
      <c r="A3715" t="s">
        <v>34</v>
      </c>
      <c r="C3715" s="16">
        <v>46275</v>
      </c>
      <c r="D3715" s="82">
        <v>345</v>
      </c>
    </row>
    <row r="3716" spans="1:4" x14ac:dyDescent="0.3">
      <c r="A3716" t="s">
        <v>35</v>
      </c>
      <c r="C3716" s="16">
        <v>46275</v>
      </c>
      <c r="D3716" s="82">
        <v>23159.510000000002</v>
      </c>
    </row>
    <row r="3717" spans="1:4" x14ac:dyDescent="0.3">
      <c r="A3717" t="s">
        <v>193</v>
      </c>
      <c r="C3717" s="16">
        <v>46275</v>
      </c>
      <c r="D3717" s="82">
        <v>298792.34000000003</v>
      </c>
    </row>
    <row r="3718" spans="1:4" x14ac:dyDescent="0.3">
      <c r="A3718" t="s">
        <v>214</v>
      </c>
      <c r="C3718" s="16">
        <v>46275</v>
      </c>
      <c r="D3718" s="82">
        <v>28004.970000000005</v>
      </c>
    </row>
    <row r="3719" spans="1:4" x14ac:dyDescent="0.3">
      <c r="A3719" t="s">
        <v>194</v>
      </c>
      <c r="C3719" s="16">
        <v>46275</v>
      </c>
      <c r="D3719" s="82">
        <v>3631.96</v>
      </c>
    </row>
    <row r="3720" spans="1:4" x14ac:dyDescent="0.3">
      <c r="A3720" t="s">
        <v>195</v>
      </c>
      <c r="C3720" s="16">
        <v>46275</v>
      </c>
      <c r="D3720" s="82">
        <v>604.80000000000018</v>
      </c>
    </row>
    <row r="3721" spans="1:4" x14ac:dyDescent="0.3">
      <c r="A3721" t="s">
        <v>196</v>
      </c>
      <c r="C3721" s="16">
        <v>46275</v>
      </c>
      <c r="D3721" s="82">
        <v>32112.919999999976</v>
      </c>
    </row>
    <row r="3722" spans="1:4" x14ac:dyDescent="0.3">
      <c r="A3722" t="s">
        <v>197</v>
      </c>
      <c r="C3722" s="16">
        <v>46275</v>
      </c>
      <c r="D3722" s="82">
        <v>794.01</v>
      </c>
    </row>
    <row r="3723" spans="1:4" x14ac:dyDescent="0.3">
      <c r="A3723" t="s">
        <v>212</v>
      </c>
      <c r="C3723" s="16">
        <v>46275</v>
      </c>
      <c r="D3723" s="82">
        <v>5445.57</v>
      </c>
    </row>
    <row r="3724" spans="1:4" x14ac:dyDescent="0.3">
      <c r="A3724" t="s">
        <v>199</v>
      </c>
      <c r="C3724" s="16">
        <v>46275</v>
      </c>
      <c r="D3724" s="82">
        <v>241889.38999999998</v>
      </c>
    </row>
    <row r="3725" spans="1:4" x14ac:dyDescent="0.3">
      <c r="A3725" t="s">
        <v>216</v>
      </c>
      <c r="C3725" s="16">
        <v>46275</v>
      </c>
      <c r="D3725" s="82">
        <v>327985.82999999996</v>
      </c>
    </row>
    <row r="3726" spans="1:4" x14ac:dyDescent="0.3">
      <c r="A3726" t="s">
        <v>17</v>
      </c>
      <c r="C3726" s="16">
        <v>46276</v>
      </c>
      <c r="D3726" s="82">
        <v>1892948.5900000008</v>
      </c>
    </row>
    <row r="3727" spans="1:4" x14ac:dyDescent="0.3">
      <c r="A3727" t="s">
        <v>18</v>
      </c>
      <c r="C3727" s="16">
        <v>46276</v>
      </c>
      <c r="D3727" s="82">
        <v>93737.970000000176</v>
      </c>
    </row>
    <row r="3728" spans="1:4" x14ac:dyDescent="0.3">
      <c r="A3728" t="s">
        <v>19</v>
      </c>
      <c r="C3728" s="16">
        <v>46276</v>
      </c>
      <c r="D3728" s="82">
        <v>1669.89</v>
      </c>
    </row>
    <row r="3729" spans="1:4" x14ac:dyDescent="0.3">
      <c r="A3729" t="s">
        <v>20</v>
      </c>
      <c r="C3729" s="16">
        <v>46276</v>
      </c>
      <c r="D3729" s="82">
        <v>1089124.99</v>
      </c>
    </row>
    <row r="3730" spans="1:4" x14ac:dyDescent="0.3">
      <c r="A3730" t="s">
        <v>21</v>
      </c>
      <c r="C3730" s="16">
        <v>46276</v>
      </c>
      <c r="D3730" s="82">
        <v>1233680.9399999995</v>
      </c>
    </row>
    <row r="3731" spans="1:4" x14ac:dyDescent="0.3">
      <c r="A3731" t="s">
        <v>22</v>
      </c>
      <c r="C3731" s="16">
        <v>46276</v>
      </c>
      <c r="D3731" s="82">
        <v>229778.14</v>
      </c>
    </row>
    <row r="3732" spans="1:4" x14ac:dyDescent="0.3">
      <c r="A3732" t="s">
        <v>23</v>
      </c>
      <c r="C3732" s="16">
        <v>46276</v>
      </c>
      <c r="D3732" s="82">
        <v>217684.34</v>
      </c>
    </row>
    <row r="3733" spans="1:4" x14ac:dyDescent="0.3">
      <c r="A3733" t="s">
        <v>24</v>
      </c>
      <c r="C3733" s="16">
        <v>46276</v>
      </c>
      <c r="D3733" s="82">
        <v>11744.75</v>
      </c>
    </row>
    <row r="3734" spans="1:4" x14ac:dyDescent="0.3">
      <c r="A3734" t="s">
        <v>25</v>
      </c>
      <c r="C3734" s="16">
        <v>46276</v>
      </c>
      <c r="D3734" s="82">
        <v>94.5</v>
      </c>
    </row>
    <row r="3735" spans="1:4" x14ac:dyDescent="0.3">
      <c r="A3735" t="s">
        <v>26</v>
      </c>
      <c r="C3735" s="16">
        <v>46276</v>
      </c>
      <c r="D3735" s="82">
        <v>2147.92</v>
      </c>
    </row>
    <row r="3736" spans="1:4" x14ac:dyDescent="0.3">
      <c r="A3736" t="s">
        <v>27</v>
      </c>
      <c r="C3736" s="16">
        <v>46276</v>
      </c>
      <c r="D3736" s="82">
        <v>17895.290000000015</v>
      </c>
    </row>
    <row r="3737" spans="1:4" x14ac:dyDescent="0.3">
      <c r="A3737" t="s">
        <v>28</v>
      </c>
      <c r="C3737" s="16">
        <v>46276</v>
      </c>
      <c r="D3737" s="82">
        <v>1968.99</v>
      </c>
    </row>
    <row r="3738" spans="1:4" x14ac:dyDescent="0.3">
      <c r="A3738" t="s">
        <v>29</v>
      </c>
      <c r="C3738" s="16">
        <v>46276</v>
      </c>
      <c r="D3738" s="82">
        <v>901.34</v>
      </c>
    </row>
    <row r="3739" spans="1:4" x14ac:dyDescent="0.3">
      <c r="A3739" t="s">
        <v>30</v>
      </c>
      <c r="C3739" s="16">
        <v>46276</v>
      </c>
      <c r="D3739" s="82">
        <v>1380.08</v>
      </c>
    </row>
    <row r="3740" spans="1:4" x14ac:dyDescent="0.3">
      <c r="A3740" t="s">
        <v>31</v>
      </c>
      <c r="C3740" s="16">
        <v>46276</v>
      </c>
      <c r="D3740" s="82">
        <v>25027.379999999961</v>
      </c>
    </row>
    <row r="3741" spans="1:4" x14ac:dyDescent="0.3">
      <c r="A3741" t="s">
        <v>32</v>
      </c>
      <c r="C3741" s="16">
        <v>46276</v>
      </c>
      <c r="D3741" s="82">
        <v>16282.630000000006</v>
      </c>
    </row>
    <row r="3742" spans="1:4" x14ac:dyDescent="0.3">
      <c r="A3742" t="s">
        <v>33</v>
      </c>
      <c r="C3742" s="16">
        <v>46276</v>
      </c>
      <c r="D3742" s="82">
        <v>13339.389999999996</v>
      </c>
    </row>
    <row r="3743" spans="1:4" x14ac:dyDescent="0.3">
      <c r="A3743" t="s">
        <v>34</v>
      </c>
      <c r="C3743" s="16">
        <v>46276</v>
      </c>
      <c r="D3743" s="82">
        <v>345</v>
      </c>
    </row>
    <row r="3744" spans="1:4" x14ac:dyDescent="0.3">
      <c r="A3744" t="s">
        <v>35</v>
      </c>
      <c r="C3744" s="16">
        <v>46276</v>
      </c>
      <c r="D3744" s="82">
        <v>23057.24</v>
      </c>
    </row>
    <row r="3745" spans="1:4" x14ac:dyDescent="0.3">
      <c r="A3745" t="s">
        <v>193</v>
      </c>
      <c r="C3745" s="16">
        <v>46276</v>
      </c>
      <c r="D3745" s="82">
        <v>298792.34000000003</v>
      </c>
    </row>
    <row r="3746" spans="1:4" x14ac:dyDescent="0.3">
      <c r="A3746" t="s">
        <v>214</v>
      </c>
      <c r="C3746" s="16">
        <v>46276</v>
      </c>
      <c r="D3746" s="82">
        <v>28004.970000000005</v>
      </c>
    </row>
    <row r="3747" spans="1:4" x14ac:dyDescent="0.3">
      <c r="A3747" t="s">
        <v>194</v>
      </c>
      <c r="C3747" s="16">
        <v>46276</v>
      </c>
      <c r="D3747" s="82">
        <v>3631.96</v>
      </c>
    </row>
    <row r="3748" spans="1:4" x14ac:dyDescent="0.3">
      <c r="A3748" t="s">
        <v>195</v>
      </c>
      <c r="C3748" s="16">
        <v>46276</v>
      </c>
      <c r="D3748" s="82">
        <v>604.80000000000018</v>
      </c>
    </row>
    <row r="3749" spans="1:4" x14ac:dyDescent="0.3">
      <c r="A3749" t="s">
        <v>196</v>
      </c>
      <c r="C3749" s="16">
        <v>46276</v>
      </c>
      <c r="D3749" s="82">
        <v>31621.50999999998</v>
      </c>
    </row>
    <row r="3750" spans="1:4" x14ac:dyDescent="0.3">
      <c r="A3750" t="s">
        <v>197</v>
      </c>
      <c r="C3750" s="16">
        <v>46276</v>
      </c>
      <c r="D3750" s="82">
        <v>794.01</v>
      </c>
    </row>
    <row r="3751" spans="1:4" x14ac:dyDescent="0.3">
      <c r="A3751" t="s">
        <v>212</v>
      </c>
      <c r="C3751" s="16">
        <v>46276</v>
      </c>
      <c r="D3751" s="82">
        <v>5445.57</v>
      </c>
    </row>
    <row r="3752" spans="1:4" x14ac:dyDescent="0.3">
      <c r="A3752" t="s">
        <v>199</v>
      </c>
      <c r="C3752" s="16">
        <v>46276</v>
      </c>
      <c r="D3752" s="82">
        <v>240458.22999999998</v>
      </c>
    </row>
    <row r="3753" spans="1:4" x14ac:dyDescent="0.3">
      <c r="A3753" t="s">
        <v>216</v>
      </c>
      <c r="C3753" s="16">
        <v>46276</v>
      </c>
      <c r="D3753" s="82">
        <v>327985.82999999996</v>
      </c>
    </row>
    <row r="3754" spans="1:4" x14ac:dyDescent="0.3">
      <c r="A3754" t="s">
        <v>17</v>
      </c>
      <c r="C3754" s="16">
        <v>46277</v>
      </c>
      <c r="D3754" s="82">
        <v>1892948.5900000008</v>
      </c>
    </row>
    <row r="3755" spans="1:4" x14ac:dyDescent="0.3">
      <c r="A3755" t="s">
        <v>18</v>
      </c>
      <c r="C3755" s="16">
        <v>46277</v>
      </c>
      <c r="D3755" s="82">
        <v>93737.970000000176</v>
      </c>
    </row>
    <row r="3756" spans="1:4" x14ac:dyDescent="0.3">
      <c r="A3756" t="s">
        <v>19</v>
      </c>
      <c r="C3756" s="16">
        <v>46277</v>
      </c>
      <c r="D3756" s="82">
        <v>1669.89</v>
      </c>
    </row>
    <row r="3757" spans="1:4" x14ac:dyDescent="0.3">
      <c r="A3757" t="s">
        <v>20</v>
      </c>
      <c r="C3757" s="16">
        <v>46277</v>
      </c>
      <c r="D3757" s="82">
        <v>1089124.99</v>
      </c>
    </row>
    <row r="3758" spans="1:4" x14ac:dyDescent="0.3">
      <c r="A3758" t="s">
        <v>21</v>
      </c>
      <c r="C3758" s="16">
        <v>46277</v>
      </c>
      <c r="D3758" s="82">
        <v>1233680.9399999995</v>
      </c>
    </row>
    <row r="3759" spans="1:4" x14ac:dyDescent="0.3">
      <c r="A3759" t="s">
        <v>22</v>
      </c>
      <c r="C3759" s="16">
        <v>46277</v>
      </c>
      <c r="D3759" s="82">
        <v>229778.14</v>
      </c>
    </row>
    <row r="3760" spans="1:4" x14ac:dyDescent="0.3">
      <c r="A3760" t="s">
        <v>23</v>
      </c>
      <c r="C3760" s="16">
        <v>46277</v>
      </c>
      <c r="D3760" s="82">
        <v>217684.34</v>
      </c>
    </row>
    <row r="3761" spans="1:4" x14ac:dyDescent="0.3">
      <c r="A3761" t="s">
        <v>24</v>
      </c>
      <c r="C3761" s="16">
        <v>46277</v>
      </c>
      <c r="D3761" s="82">
        <v>11744.75</v>
      </c>
    </row>
    <row r="3762" spans="1:4" x14ac:dyDescent="0.3">
      <c r="A3762" t="s">
        <v>25</v>
      </c>
      <c r="C3762" s="16">
        <v>46277</v>
      </c>
      <c r="D3762" s="82">
        <v>94.5</v>
      </c>
    </row>
    <row r="3763" spans="1:4" x14ac:dyDescent="0.3">
      <c r="A3763" t="s">
        <v>26</v>
      </c>
      <c r="C3763" s="16">
        <v>46277</v>
      </c>
      <c r="D3763" s="82">
        <v>2147.92</v>
      </c>
    </row>
    <row r="3764" spans="1:4" x14ac:dyDescent="0.3">
      <c r="A3764" t="s">
        <v>27</v>
      </c>
      <c r="C3764" s="16">
        <v>46277</v>
      </c>
      <c r="D3764" s="82">
        <v>17895.290000000015</v>
      </c>
    </row>
    <row r="3765" spans="1:4" x14ac:dyDescent="0.3">
      <c r="A3765" t="s">
        <v>28</v>
      </c>
      <c r="C3765" s="16">
        <v>46277</v>
      </c>
      <c r="D3765" s="82">
        <v>1968.99</v>
      </c>
    </row>
    <row r="3766" spans="1:4" x14ac:dyDescent="0.3">
      <c r="A3766" t="s">
        <v>29</v>
      </c>
      <c r="C3766" s="16">
        <v>46277</v>
      </c>
      <c r="D3766" s="82">
        <v>901.34</v>
      </c>
    </row>
    <row r="3767" spans="1:4" x14ac:dyDescent="0.3">
      <c r="A3767" t="s">
        <v>30</v>
      </c>
      <c r="C3767" s="16">
        <v>46277</v>
      </c>
      <c r="D3767" s="82">
        <v>1380.08</v>
      </c>
    </row>
    <row r="3768" spans="1:4" x14ac:dyDescent="0.3">
      <c r="A3768" t="s">
        <v>31</v>
      </c>
      <c r="C3768" s="16">
        <v>46277</v>
      </c>
      <c r="D3768" s="82">
        <v>25027.379999999961</v>
      </c>
    </row>
    <row r="3769" spans="1:4" x14ac:dyDescent="0.3">
      <c r="A3769" t="s">
        <v>32</v>
      </c>
      <c r="C3769" s="16">
        <v>46277</v>
      </c>
      <c r="D3769" s="82">
        <v>16282.630000000006</v>
      </c>
    </row>
    <row r="3770" spans="1:4" x14ac:dyDescent="0.3">
      <c r="A3770" t="s">
        <v>33</v>
      </c>
      <c r="C3770" s="16">
        <v>46277</v>
      </c>
      <c r="D3770" s="82">
        <v>13339.389999999996</v>
      </c>
    </row>
    <row r="3771" spans="1:4" x14ac:dyDescent="0.3">
      <c r="A3771" t="s">
        <v>34</v>
      </c>
      <c r="C3771" s="16">
        <v>46277</v>
      </c>
      <c r="D3771" s="82">
        <v>345</v>
      </c>
    </row>
    <row r="3772" spans="1:4" x14ac:dyDescent="0.3">
      <c r="A3772" t="s">
        <v>35</v>
      </c>
      <c r="C3772" s="16">
        <v>46277</v>
      </c>
      <c r="D3772" s="82">
        <v>23057.24</v>
      </c>
    </row>
    <row r="3773" spans="1:4" x14ac:dyDescent="0.3">
      <c r="A3773" t="s">
        <v>193</v>
      </c>
      <c r="C3773" s="16">
        <v>46277</v>
      </c>
      <c r="D3773" s="82">
        <v>298792.34000000003</v>
      </c>
    </row>
    <row r="3774" spans="1:4" x14ac:dyDescent="0.3">
      <c r="A3774" t="s">
        <v>214</v>
      </c>
      <c r="C3774" s="16">
        <v>46277</v>
      </c>
      <c r="D3774" s="82">
        <v>28004.970000000005</v>
      </c>
    </row>
    <row r="3775" spans="1:4" x14ac:dyDescent="0.3">
      <c r="A3775" t="s">
        <v>194</v>
      </c>
      <c r="C3775" s="16">
        <v>46277</v>
      </c>
      <c r="D3775" s="82">
        <v>3631.96</v>
      </c>
    </row>
    <row r="3776" spans="1:4" x14ac:dyDescent="0.3">
      <c r="A3776" t="s">
        <v>195</v>
      </c>
      <c r="C3776" s="16">
        <v>46277</v>
      </c>
      <c r="D3776" s="82">
        <v>604.80000000000018</v>
      </c>
    </row>
    <row r="3777" spans="1:4" x14ac:dyDescent="0.3">
      <c r="A3777" t="s">
        <v>196</v>
      </c>
      <c r="C3777" s="16">
        <v>46277</v>
      </c>
      <c r="D3777" s="82">
        <v>31621.50999999998</v>
      </c>
    </row>
    <row r="3778" spans="1:4" x14ac:dyDescent="0.3">
      <c r="A3778" t="s">
        <v>197</v>
      </c>
      <c r="C3778" s="16">
        <v>46277</v>
      </c>
      <c r="D3778" s="82">
        <v>794.01</v>
      </c>
    </row>
    <row r="3779" spans="1:4" x14ac:dyDescent="0.3">
      <c r="A3779" t="s">
        <v>212</v>
      </c>
      <c r="C3779" s="16">
        <v>46277</v>
      </c>
      <c r="D3779" s="82">
        <v>5445.57</v>
      </c>
    </row>
    <row r="3780" spans="1:4" x14ac:dyDescent="0.3">
      <c r="A3780" t="s">
        <v>199</v>
      </c>
      <c r="C3780" s="16">
        <v>46277</v>
      </c>
      <c r="D3780" s="82">
        <v>240458.22999999998</v>
      </c>
    </row>
    <row r="3781" spans="1:4" x14ac:dyDescent="0.3">
      <c r="A3781" t="s">
        <v>216</v>
      </c>
      <c r="C3781" s="16">
        <v>46277</v>
      </c>
      <c r="D3781" s="82">
        <v>327985.82999999996</v>
      </c>
    </row>
    <row r="3782" spans="1:4" x14ac:dyDescent="0.3">
      <c r="A3782" t="s">
        <v>17</v>
      </c>
      <c r="C3782" s="16">
        <v>46278</v>
      </c>
      <c r="D3782" s="82">
        <v>1892948.5900000008</v>
      </c>
    </row>
    <row r="3783" spans="1:4" x14ac:dyDescent="0.3">
      <c r="A3783" t="s">
        <v>18</v>
      </c>
      <c r="C3783" s="16">
        <v>46278</v>
      </c>
      <c r="D3783" s="82">
        <v>93737.970000000176</v>
      </c>
    </row>
    <row r="3784" spans="1:4" x14ac:dyDescent="0.3">
      <c r="A3784" t="s">
        <v>19</v>
      </c>
      <c r="C3784" s="16">
        <v>46278</v>
      </c>
      <c r="D3784" s="82">
        <v>1669.89</v>
      </c>
    </row>
    <row r="3785" spans="1:4" x14ac:dyDescent="0.3">
      <c r="A3785" t="s">
        <v>20</v>
      </c>
      <c r="C3785" s="16">
        <v>46278</v>
      </c>
      <c r="D3785" s="82">
        <v>1089124.99</v>
      </c>
    </row>
    <row r="3786" spans="1:4" x14ac:dyDescent="0.3">
      <c r="A3786" t="s">
        <v>21</v>
      </c>
      <c r="C3786" s="16">
        <v>46278</v>
      </c>
      <c r="D3786" s="82">
        <v>1233680.9399999995</v>
      </c>
    </row>
    <row r="3787" spans="1:4" x14ac:dyDescent="0.3">
      <c r="A3787" t="s">
        <v>22</v>
      </c>
      <c r="C3787" s="16">
        <v>46278</v>
      </c>
      <c r="D3787" s="82">
        <v>229778.14</v>
      </c>
    </row>
    <row r="3788" spans="1:4" x14ac:dyDescent="0.3">
      <c r="A3788" t="s">
        <v>23</v>
      </c>
      <c r="C3788" s="16">
        <v>46278</v>
      </c>
      <c r="D3788" s="82">
        <v>217684.34</v>
      </c>
    </row>
    <row r="3789" spans="1:4" x14ac:dyDescent="0.3">
      <c r="A3789" t="s">
        <v>24</v>
      </c>
      <c r="C3789" s="16">
        <v>46278</v>
      </c>
      <c r="D3789" s="82">
        <v>11744.75</v>
      </c>
    </row>
    <row r="3790" spans="1:4" x14ac:dyDescent="0.3">
      <c r="A3790" t="s">
        <v>25</v>
      </c>
      <c r="C3790" s="16">
        <v>46278</v>
      </c>
      <c r="D3790" s="82">
        <v>94.5</v>
      </c>
    </row>
    <row r="3791" spans="1:4" x14ac:dyDescent="0.3">
      <c r="A3791" t="s">
        <v>26</v>
      </c>
      <c r="C3791" s="16">
        <v>46278</v>
      </c>
      <c r="D3791" s="82">
        <v>2147.92</v>
      </c>
    </row>
    <row r="3792" spans="1:4" x14ac:dyDescent="0.3">
      <c r="A3792" t="s">
        <v>27</v>
      </c>
      <c r="C3792" s="16">
        <v>46278</v>
      </c>
      <c r="D3792" s="82">
        <v>17895.290000000015</v>
      </c>
    </row>
    <row r="3793" spans="1:4" x14ac:dyDescent="0.3">
      <c r="A3793" t="s">
        <v>28</v>
      </c>
      <c r="C3793" s="16">
        <v>46278</v>
      </c>
      <c r="D3793" s="82">
        <v>1968.99</v>
      </c>
    </row>
    <row r="3794" spans="1:4" x14ac:dyDescent="0.3">
      <c r="A3794" t="s">
        <v>29</v>
      </c>
      <c r="C3794" s="16">
        <v>46278</v>
      </c>
      <c r="D3794" s="82">
        <v>901.34</v>
      </c>
    </row>
    <row r="3795" spans="1:4" x14ac:dyDescent="0.3">
      <c r="A3795" t="s">
        <v>30</v>
      </c>
      <c r="C3795" s="16">
        <v>46278</v>
      </c>
      <c r="D3795" s="82">
        <v>1380.08</v>
      </c>
    </row>
    <row r="3796" spans="1:4" x14ac:dyDescent="0.3">
      <c r="A3796" t="s">
        <v>31</v>
      </c>
      <c r="C3796" s="16">
        <v>46278</v>
      </c>
      <c r="D3796" s="82">
        <v>25027.379999999961</v>
      </c>
    </row>
    <row r="3797" spans="1:4" x14ac:dyDescent="0.3">
      <c r="A3797" t="s">
        <v>32</v>
      </c>
      <c r="C3797" s="16">
        <v>46278</v>
      </c>
      <c r="D3797" s="82">
        <v>16282.630000000006</v>
      </c>
    </row>
    <row r="3798" spans="1:4" x14ac:dyDescent="0.3">
      <c r="A3798" t="s">
        <v>33</v>
      </c>
      <c r="C3798" s="16">
        <v>46278</v>
      </c>
      <c r="D3798" s="82">
        <v>13339.389999999996</v>
      </c>
    </row>
    <row r="3799" spans="1:4" x14ac:dyDescent="0.3">
      <c r="A3799" t="s">
        <v>34</v>
      </c>
      <c r="C3799" s="16">
        <v>46278</v>
      </c>
      <c r="D3799" s="82">
        <v>345</v>
      </c>
    </row>
    <row r="3800" spans="1:4" x14ac:dyDescent="0.3">
      <c r="A3800" t="s">
        <v>35</v>
      </c>
      <c r="C3800" s="16">
        <v>46278</v>
      </c>
      <c r="D3800" s="82">
        <v>23057.24</v>
      </c>
    </row>
    <row r="3801" spans="1:4" x14ac:dyDescent="0.3">
      <c r="A3801" t="s">
        <v>193</v>
      </c>
      <c r="C3801" s="16">
        <v>46278</v>
      </c>
      <c r="D3801" s="82">
        <v>298792.34000000003</v>
      </c>
    </row>
    <row r="3802" spans="1:4" x14ac:dyDescent="0.3">
      <c r="A3802" t="s">
        <v>214</v>
      </c>
      <c r="C3802" s="16">
        <v>46278</v>
      </c>
      <c r="D3802" s="82">
        <v>28004.970000000005</v>
      </c>
    </row>
    <row r="3803" spans="1:4" x14ac:dyDescent="0.3">
      <c r="A3803" t="s">
        <v>194</v>
      </c>
      <c r="C3803" s="16">
        <v>46278</v>
      </c>
      <c r="D3803" s="82">
        <v>3631.96</v>
      </c>
    </row>
    <row r="3804" spans="1:4" x14ac:dyDescent="0.3">
      <c r="A3804" t="s">
        <v>195</v>
      </c>
      <c r="C3804" s="16">
        <v>46278</v>
      </c>
      <c r="D3804" s="82">
        <v>604.80000000000018</v>
      </c>
    </row>
    <row r="3805" spans="1:4" x14ac:dyDescent="0.3">
      <c r="A3805" t="s">
        <v>196</v>
      </c>
      <c r="C3805" s="16">
        <v>46278</v>
      </c>
      <c r="D3805" s="82">
        <v>31621.50999999998</v>
      </c>
    </row>
    <row r="3806" spans="1:4" x14ac:dyDescent="0.3">
      <c r="A3806" t="s">
        <v>197</v>
      </c>
      <c r="C3806" s="16">
        <v>46278</v>
      </c>
      <c r="D3806" s="82">
        <v>794.01</v>
      </c>
    </row>
    <row r="3807" spans="1:4" x14ac:dyDescent="0.3">
      <c r="A3807" t="s">
        <v>212</v>
      </c>
      <c r="C3807" s="16">
        <v>46278</v>
      </c>
      <c r="D3807" s="82">
        <v>5445.57</v>
      </c>
    </row>
    <row r="3808" spans="1:4" x14ac:dyDescent="0.3">
      <c r="A3808" t="s">
        <v>199</v>
      </c>
      <c r="C3808" s="16">
        <v>46278</v>
      </c>
      <c r="D3808" s="82">
        <v>240458.22999999998</v>
      </c>
    </row>
    <row r="3809" spans="1:4" x14ac:dyDescent="0.3">
      <c r="A3809" t="s">
        <v>216</v>
      </c>
      <c r="C3809" s="16">
        <v>46278</v>
      </c>
      <c r="D3809" s="82">
        <v>327985.82999999996</v>
      </c>
    </row>
    <row r="3810" spans="1:4" x14ac:dyDescent="0.3">
      <c r="A3810" t="s">
        <v>17</v>
      </c>
      <c r="C3810" s="16">
        <v>46279</v>
      </c>
      <c r="D3810" s="82">
        <v>2042948.5900000008</v>
      </c>
    </row>
    <row r="3811" spans="1:4" x14ac:dyDescent="0.3">
      <c r="A3811" t="s">
        <v>18</v>
      </c>
      <c r="C3811" s="16">
        <v>46279</v>
      </c>
      <c r="D3811" s="82">
        <v>93737.970000000176</v>
      </c>
    </row>
    <row r="3812" spans="1:4" x14ac:dyDescent="0.3">
      <c r="A3812" t="s">
        <v>19</v>
      </c>
      <c r="C3812" s="16">
        <v>46279</v>
      </c>
      <c r="D3812" s="82">
        <v>1669.89</v>
      </c>
    </row>
    <row r="3813" spans="1:4" x14ac:dyDescent="0.3">
      <c r="A3813" t="s">
        <v>20</v>
      </c>
      <c r="C3813" s="16">
        <v>46279</v>
      </c>
      <c r="D3813" s="82">
        <v>1105910.26</v>
      </c>
    </row>
    <row r="3814" spans="1:4" x14ac:dyDescent="0.3">
      <c r="A3814" t="s">
        <v>21</v>
      </c>
      <c r="C3814" s="16">
        <v>46279</v>
      </c>
      <c r="D3814" s="82">
        <v>1191956.6299999997</v>
      </c>
    </row>
    <row r="3815" spans="1:4" x14ac:dyDescent="0.3">
      <c r="A3815" t="s">
        <v>22</v>
      </c>
      <c r="C3815" s="16">
        <v>46279</v>
      </c>
      <c r="D3815" s="82">
        <v>229778.14</v>
      </c>
    </row>
    <row r="3816" spans="1:4" x14ac:dyDescent="0.3">
      <c r="A3816" t="s">
        <v>23</v>
      </c>
      <c r="C3816" s="16">
        <v>46279</v>
      </c>
      <c r="D3816" s="82">
        <v>217684.34</v>
      </c>
    </row>
    <row r="3817" spans="1:4" x14ac:dyDescent="0.3">
      <c r="A3817" t="s">
        <v>24</v>
      </c>
      <c r="C3817" s="16">
        <v>46279</v>
      </c>
      <c r="D3817" s="82">
        <v>11744.75</v>
      </c>
    </row>
    <row r="3818" spans="1:4" x14ac:dyDescent="0.3">
      <c r="A3818" t="s">
        <v>25</v>
      </c>
      <c r="C3818" s="16">
        <v>46279</v>
      </c>
      <c r="D3818" s="82">
        <v>94.5</v>
      </c>
    </row>
    <row r="3819" spans="1:4" x14ac:dyDescent="0.3">
      <c r="A3819" t="s">
        <v>26</v>
      </c>
      <c r="C3819" s="16">
        <v>46279</v>
      </c>
      <c r="D3819" s="82">
        <v>2147.92</v>
      </c>
    </row>
    <row r="3820" spans="1:4" x14ac:dyDescent="0.3">
      <c r="A3820" t="s">
        <v>27</v>
      </c>
      <c r="C3820" s="16">
        <v>46279</v>
      </c>
      <c r="D3820" s="82">
        <v>17895.290000000015</v>
      </c>
    </row>
    <row r="3821" spans="1:4" x14ac:dyDescent="0.3">
      <c r="A3821" t="s">
        <v>28</v>
      </c>
      <c r="C3821" s="16">
        <v>46279</v>
      </c>
      <c r="D3821" s="82">
        <v>1968.99</v>
      </c>
    </row>
    <row r="3822" spans="1:4" x14ac:dyDescent="0.3">
      <c r="A3822" t="s">
        <v>29</v>
      </c>
      <c r="C3822" s="16">
        <v>46279</v>
      </c>
      <c r="D3822" s="82">
        <v>901.34</v>
      </c>
    </row>
    <row r="3823" spans="1:4" x14ac:dyDescent="0.3">
      <c r="A3823" t="s">
        <v>30</v>
      </c>
      <c r="C3823" s="16">
        <v>46279</v>
      </c>
      <c r="D3823" s="82">
        <v>1380.08</v>
      </c>
    </row>
    <row r="3824" spans="1:4" x14ac:dyDescent="0.3">
      <c r="A3824" t="s">
        <v>31</v>
      </c>
      <c r="C3824" s="16">
        <v>46279</v>
      </c>
      <c r="D3824" s="82">
        <v>25027.379999999961</v>
      </c>
    </row>
    <row r="3825" spans="1:4" x14ac:dyDescent="0.3">
      <c r="A3825" t="s">
        <v>32</v>
      </c>
      <c r="C3825" s="16">
        <v>46279</v>
      </c>
      <c r="D3825" s="82">
        <v>16282.630000000006</v>
      </c>
    </row>
    <row r="3826" spans="1:4" x14ac:dyDescent="0.3">
      <c r="A3826" t="s">
        <v>33</v>
      </c>
      <c r="C3826" s="16">
        <v>46279</v>
      </c>
      <c r="D3826" s="82">
        <v>13685.999999999996</v>
      </c>
    </row>
    <row r="3827" spans="1:4" x14ac:dyDescent="0.3">
      <c r="A3827" t="s">
        <v>34</v>
      </c>
      <c r="C3827" s="16">
        <v>46279</v>
      </c>
      <c r="D3827" s="82">
        <v>345</v>
      </c>
    </row>
    <row r="3828" spans="1:4" x14ac:dyDescent="0.3">
      <c r="A3828" t="s">
        <v>35</v>
      </c>
      <c r="C3828" s="16">
        <v>46279</v>
      </c>
      <c r="D3828" s="82">
        <v>16762.45</v>
      </c>
    </row>
    <row r="3829" spans="1:4" x14ac:dyDescent="0.3">
      <c r="A3829" t="s">
        <v>193</v>
      </c>
      <c r="C3829" s="16">
        <v>46279</v>
      </c>
      <c r="D3829" s="82">
        <v>298792.34000000003</v>
      </c>
    </row>
    <row r="3830" spans="1:4" x14ac:dyDescent="0.3">
      <c r="A3830" t="s">
        <v>214</v>
      </c>
      <c r="C3830" s="16">
        <v>46279</v>
      </c>
      <c r="D3830" s="82">
        <v>26893.080000000005</v>
      </c>
    </row>
    <row r="3831" spans="1:4" x14ac:dyDescent="0.3">
      <c r="A3831" t="s">
        <v>194</v>
      </c>
      <c r="C3831" s="16">
        <v>46279</v>
      </c>
      <c r="D3831" s="82">
        <v>3631.96</v>
      </c>
    </row>
    <row r="3832" spans="1:4" x14ac:dyDescent="0.3">
      <c r="A3832" t="s">
        <v>195</v>
      </c>
      <c r="C3832" s="16">
        <v>46279</v>
      </c>
      <c r="D3832" s="82">
        <v>604.80000000000018</v>
      </c>
    </row>
    <row r="3833" spans="1:4" x14ac:dyDescent="0.3">
      <c r="A3833" t="s">
        <v>196</v>
      </c>
      <c r="C3833" s="16">
        <v>46279</v>
      </c>
      <c r="D3833" s="82">
        <v>31107.189999999981</v>
      </c>
    </row>
    <row r="3834" spans="1:4" x14ac:dyDescent="0.3">
      <c r="A3834" t="s">
        <v>197</v>
      </c>
      <c r="C3834" s="16">
        <v>46279</v>
      </c>
      <c r="D3834" s="82">
        <v>794.01</v>
      </c>
    </row>
    <row r="3835" spans="1:4" x14ac:dyDescent="0.3">
      <c r="A3835" t="s">
        <v>212</v>
      </c>
      <c r="C3835" s="16">
        <v>46279</v>
      </c>
      <c r="D3835" s="82">
        <v>5445.57</v>
      </c>
    </row>
    <row r="3836" spans="1:4" x14ac:dyDescent="0.3">
      <c r="A3836" t="s">
        <v>199</v>
      </c>
      <c r="C3836" s="16">
        <v>46279</v>
      </c>
      <c r="D3836" s="82">
        <v>240356.58</v>
      </c>
    </row>
    <row r="3837" spans="1:4" x14ac:dyDescent="0.3">
      <c r="A3837" t="s">
        <v>216</v>
      </c>
      <c r="C3837" s="16">
        <v>46279</v>
      </c>
      <c r="D3837" s="82">
        <v>327985.82999999996</v>
      </c>
    </row>
    <row r="3838" spans="1:4" x14ac:dyDescent="0.3">
      <c r="A3838" t="s">
        <v>17</v>
      </c>
      <c r="C3838" s="16">
        <v>46280</v>
      </c>
      <c r="D3838" s="82">
        <v>2042948.5900000008</v>
      </c>
    </row>
    <row r="3839" spans="1:4" x14ac:dyDescent="0.3">
      <c r="A3839" t="s">
        <v>18</v>
      </c>
      <c r="C3839" s="16">
        <v>46280</v>
      </c>
      <c r="D3839" s="82">
        <v>100486.46000000017</v>
      </c>
    </row>
    <row r="3840" spans="1:4" x14ac:dyDescent="0.3">
      <c r="A3840" t="s">
        <v>19</v>
      </c>
      <c r="C3840" s="16">
        <v>46280</v>
      </c>
      <c r="D3840" s="82">
        <v>1669.89</v>
      </c>
    </row>
    <row r="3841" spans="1:4" x14ac:dyDescent="0.3">
      <c r="A3841" t="s">
        <v>20</v>
      </c>
      <c r="C3841" s="16">
        <v>46280</v>
      </c>
      <c r="D3841" s="82">
        <v>1105534.6399999999</v>
      </c>
    </row>
    <row r="3842" spans="1:4" x14ac:dyDescent="0.3">
      <c r="A3842" t="s">
        <v>21</v>
      </c>
      <c r="C3842" s="16">
        <v>46280</v>
      </c>
      <c r="D3842" s="82">
        <v>1191927.2199999995</v>
      </c>
    </row>
    <row r="3843" spans="1:4" x14ac:dyDescent="0.3">
      <c r="A3843" t="s">
        <v>22</v>
      </c>
      <c r="C3843" s="16">
        <v>46280</v>
      </c>
      <c r="D3843" s="82">
        <v>229778.14</v>
      </c>
    </row>
    <row r="3844" spans="1:4" x14ac:dyDescent="0.3">
      <c r="A3844" t="s">
        <v>23</v>
      </c>
      <c r="C3844" s="16">
        <v>46280</v>
      </c>
      <c r="D3844" s="82">
        <v>217688.58</v>
      </c>
    </row>
    <row r="3845" spans="1:4" x14ac:dyDescent="0.3">
      <c r="A3845" t="s">
        <v>24</v>
      </c>
      <c r="C3845" s="16">
        <v>46280</v>
      </c>
      <c r="D3845" s="82">
        <v>11744.75</v>
      </c>
    </row>
    <row r="3846" spans="1:4" x14ac:dyDescent="0.3">
      <c r="A3846" t="s">
        <v>25</v>
      </c>
      <c r="C3846" s="16">
        <v>46280</v>
      </c>
      <c r="D3846" s="82">
        <v>94.5</v>
      </c>
    </row>
    <row r="3847" spans="1:4" x14ac:dyDescent="0.3">
      <c r="A3847" t="s">
        <v>26</v>
      </c>
      <c r="C3847" s="16">
        <v>46280</v>
      </c>
      <c r="D3847" s="82">
        <v>2147.92</v>
      </c>
    </row>
    <row r="3848" spans="1:4" x14ac:dyDescent="0.3">
      <c r="A3848" t="s">
        <v>27</v>
      </c>
      <c r="C3848" s="16">
        <v>46280</v>
      </c>
      <c r="D3848" s="82">
        <v>17895.290000000015</v>
      </c>
    </row>
    <row r="3849" spans="1:4" x14ac:dyDescent="0.3">
      <c r="A3849" t="s">
        <v>28</v>
      </c>
      <c r="C3849" s="16">
        <v>46280</v>
      </c>
      <c r="D3849" s="82">
        <v>1968.99</v>
      </c>
    </row>
    <row r="3850" spans="1:4" x14ac:dyDescent="0.3">
      <c r="A3850" t="s">
        <v>29</v>
      </c>
      <c r="C3850" s="16">
        <v>46280</v>
      </c>
      <c r="D3850" s="82">
        <v>901.34</v>
      </c>
    </row>
    <row r="3851" spans="1:4" x14ac:dyDescent="0.3">
      <c r="A3851" t="s">
        <v>30</v>
      </c>
      <c r="C3851" s="16">
        <v>46280</v>
      </c>
      <c r="D3851" s="82">
        <v>1380.08</v>
      </c>
    </row>
    <row r="3852" spans="1:4" x14ac:dyDescent="0.3">
      <c r="A3852" t="s">
        <v>31</v>
      </c>
      <c r="C3852" s="16">
        <v>46280</v>
      </c>
      <c r="D3852" s="82">
        <v>25027.379999999961</v>
      </c>
    </row>
    <row r="3853" spans="1:4" x14ac:dyDescent="0.3">
      <c r="A3853" t="s">
        <v>32</v>
      </c>
      <c r="C3853" s="16">
        <v>46280</v>
      </c>
      <c r="D3853" s="82">
        <v>16282.630000000006</v>
      </c>
    </row>
    <row r="3854" spans="1:4" x14ac:dyDescent="0.3">
      <c r="A3854" t="s">
        <v>33</v>
      </c>
      <c r="C3854" s="16">
        <v>46280</v>
      </c>
      <c r="D3854" s="82">
        <v>13685.999999999996</v>
      </c>
    </row>
    <row r="3855" spans="1:4" x14ac:dyDescent="0.3">
      <c r="A3855" t="s">
        <v>34</v>
      </c>
      <c r="C3855" s="16">
        <v>46280</v>
      </c>
      <c r="D3855" s="82">
        <v>345</v>
      </c>
    </row>
    <row r="3856" spans="1:4" x14ac:dyDescent="0.3">
      <c r="A3856" t="s">
        <v>35</v>
      </c>
      <c r="C3856" s="16">
        <v>46280</v>
      </c>
      <c r="D3856" s="82">
        <v>16587.45</v>
      </c>
    </row>
    <row r="3857" spans="1:4" x14ac:dyDescent="0.3">
      <c r="A3857" t="s">
        <v>193</v>
      </c>
      <c r="C3857" s="16">
        <v>46280</v>
      </c>
      <c r="D3857" s="82">
        <v>298792.34000000003</v>
      </c>
    </row>
    <row r="3858" spans="1:4" x14ac:dyDescent="0.3">
      <c r="A3858" t="s">
        <v>214</v>
      </c>
      <c r="C3858" s="16">
        <v>46280</v>
      </c>
      <c r="D3858" s="82">
        <v>26893.080000000005</v>
      </c>
    </row>
    <row r="3859" spans="1:4" x14ac:dyDescent="0.3">
      <c r="A3859" t="s">
        <v>194</v>
      </c>
      <c r="C3859" s="16">
        <v>46280</v>
      </c>
      <c r="D3859" s="82">
        <v>3631.96</v>
      </c>
    </row>
    <row r="3860" spans="1:4" x14ac:dyDescent="0.3">
      <c r="A3860" t="s">
        <v>195</v>
      </c>
      <c r="C3860" s="16">
        <v>46280</v>
      </c>
      <c r="D3860" s="82">
        <v>604.80000000000018</v>
      </c>
    </row>
    <row r="3861" spans="1:4" x14ac:dyDescent="0.3">
      <c r="A3861" t="s">
        <v>196</v>
      </c>
      <c r="C3861" s="16">
        <v>46280</v>
      </c>
      <c r="D3861" s="82">
        <v>30592.869999999981</v>
      </c>
    </row>
    <row r="3862" spans="1:4" x14ac:dyDescent="0.3">
      <c r="A3862" t="s">
        <v>197</v>
      </c>
      <c r="C3862" s="16">
        <v>46280</v>
      </c>
      <c r="D3862" s="82">
        <v>794.01</v>
      </c>
    </row>
    <row r="3863" spans="1:4" x14ac:dyDescent="0.3">
      <c r="A3863" t="s">
        <v>212</v>
      </c>
      <c r="C3863" s="16">
        <v>46280</v>
      </c>
      <c r="D3863" s="82">
        <v>5445.57</v>
      </c>
    </row>
    <row r="3864" spans="1:4" x14ac:dyDescent="0.3">
      <c r="A3864" t="s">
        <v>199</v>
      </c>
      <c r="C3864" s="16">
        <v>46280</v>
      </c>
      <c r="D3864" s="82">
        <v>240356.58</v>
      </c>
    </row>
    <row r="3865" spans="1:4" x14ac:dyDescent="0.3">
      <c r="A3865" t="s">
        <v>216</v>
      </c>
      <c r="C3865" s="16">
        <v>46280</v>
      </c>
      <c r="D3865" s="82">
        <v>327985.82999999996</v>
      </c>
    </row>
    <row r="3866" spans="1:4" x14ac:dyDescent="0.3">
      <c r="A3866" t="s">
        <v>17</v>
      </c>
      <c r="C3866" s="16">
        <v>46281</v>
      </c>
      <c r="D3866" s="82">
        <v>2042948.5900000008</v>
      </c>
    </row>
    <row r="3867" spans="1:4" x14ac:dyDescent="0.3">
      <c r="A3867" t="s">
        <v>18</v>
      </c>
      <c r="C3867" s="16">
        <v>46281</v>
      </c>
      <c r="D3867" s="82">
        <v>100486.46000000017</v>
      </c>
    </row>
    <row r="3868" spans="1:4" x14ac:dyDescent="0.3">
      <c r="A3868" t="s">
        <v>19</v>
      </c>
      <c r="C3868" s="16">
        <v>46281</v>
      </c>
      <c r="D3868" s="82">
        <v>1669.89</v>
      </c>
    </row>
    <row r="3869" spans="1:4" x14ac:dyDescent="0.3">
      <c r="A3869" t="s">
        <v>20</v>
      </c>
      <c r="C3869" s="16">
        <v>46281</v>
      </c>
      <c r="D3869" s="82">
        <v>1105534.6399999999</v>
      </c>
    </row>
    <row r="3870" spans="1:4" x14ac:dyDescent="0.3">
      <c r="A3870" t="s">
        <v>21</v>
      </c>
      <c r="C3870" s="16">
        <v>46281</v>
      </c>
      <c r="D3870" s="82">
        <v>1189436.8599999996</v>
      </c>
    </row>
    <row r="3871" spans="1:4" x14ac:dyDescent="0.3">
      <c r="A3871" t="s">
        <v>22</v>
      </c>
      <c r="C3871" s="16">
        <v>46281</v>
      </c>
      <c r="D3871" s="82">
        <v>229778.14</v>
      </c>
    </row>
    <row r="3872" spans="1:4" x14ac:dyDescent="0.3">
      <c r="A3872" t="s">
        <v>23</v>
      </c>
      <c r="C3872" s="16">
        <v>46281</v>
      </c>
      <c r="D3872" s="82">
        <v>217688.58</v>
      </c>
    </row>
    <row r="3873" spans="1:4" x14ac:dyDescent="0.3">
      <c r="A3873" t="s">
        <v>24</v>
      </c>
      <c r="C3873" s="16">
        <v>46281</v>
      </c>
      <c r="D3873" s="82">
        <v>11744.75</v>
      </c>
    </row>
    <row r="3874" spans="1:4" x14ac:dyDescent="0.3">
      <c r="A3874" t="s">
        <v>25</v>
      </c>
      <c r="C3874" s="16">
        <v>46281</v>
      </c>
      <c r="D3874" s="82">
        <v>94.5</v>
      </c>
    </row>
    <row r="3875" spans="1:4" x14ac:dyDescent="0.3">
      <c r="A3875" t="s">
        <v>26</v>
      </c>
      <c r="C3875" s="16">
        <v>46281</v>
      </c>
      <c r="D3875" s="82">
        <v>2147.92</v>
      </c>
    </row>
    <row r="3876" spans="1:4" x14ac:dyDescent="0.3">
      <c r="A3876" t="s">
        <v>27</v>
      </c>
      <c r="C3876" s="16">
        <v>46281</v>
      </c>
      <c r="D3876" s="82">
        <v>17895.290000000015</v>
      </c>
    </row>
    <row r="3877" spans="1:4" x14ac:dyDescent="0.3">
      <c r="A3877" t="s">
        <v>28</v>
      </c>
      <c r="C3877" s="16">
        <v>46281</v>
      </c>
      <c r="D3877" s="82">
        <v>1968.99</v>
      </c>
    </row>
    <row r="3878" spans="1:4" x14ac:dyDescent="0.3">
      <c r="A3878" t="s">
        <v>29</v>
      </c>
      <c r="C3878" s="16">
        <v>46281</v>
      </c>
      <c r="D3878" s="82">
        <v>901.34</v>
      </c>
    </row>
    <row r="3879" spans="1:4" x14ac:dyDescent="0.3">
      <c r="A3879" t="s">
        <v>30</v>
      </c>
      <c r="C3879" s="16">
        <v>46281</v>
      </c>
      <c r="D3879" s="82">
        <v>1380.08</v>
      </c>
    </row>
    <row r="3880" spans="1:4" x14ac:dyDescent="0.3">
      <c r="A3880" t="s">
        <v>31</v>
      </c>
      <c r="C3880" s="16">
        <v>46281</v>
      </c>
      <c r="D3880" s="82">
        <v>25027.379999999961</v>
      </c>
    </row>
    <row r="3881" spans="1:4" x14ac:dyDescent="0.3">
      <c r="A3881" t="s">
        <v>32</v>
      </c>
      <c r="C3881" s="16">
        <v>46281</v>
      </c>
      <c r="D3881" s="82">
        <v>16282.630000000006</v>
      </c>
    </row>
    <row r="3882" spans="1:4" x14ac:dyDescent="0.3">
      <c r="A3882" t="s">
        <v>33</v>
      </c>
      <c r="C3882" s="16">
        <v>46281</v>
      </c>
      <c r="D3882" s="82">
        <v>13685.999999999996</v>
      </c>
    </row>
    <row r="3883" spans="1:4" x14ac:dyDescent="0.3">
      <c r="A3883" t="s">
        <v>34</v>
      </c>
      <c r="C3883" s="16">
        <v>46281</v>
      </c>
      <c r="D3883" s="82">
        <v>345</v>
      </c>
    </row>
    <row r="3884" spans="1:4" x14ac:dyDescent="0.3">
      <c r="A3884" t="s">
        <v>35</v>
      </c>
      <c r="C3884" s="16">
        <v>46281</v>
      </c>
      <c r="D3884" s="82">
        <v>16384.45</v>
      </c>
    </row>
    <row r="3885" spans="1:4" x14ac:dyDescent="0.3">
      <c r="A3885" t="s">
        <v>193</v>
      </c>
      <c r="C3885" s="16">
        <v>46281</v>
      </c>
      <c r="D3885" s="82">
        <v>298792.34000000003</v>
      </c>
    </row>
    <row r="3886" spans="1:4" x14ac:dyDescent="0.3">
      <c r="A3886" t="s">
        <v>214</v>
      </c>
      <c r="C3886" s="16">
        <v>46281</v>
      </c>
      <c r="D3886" s="82">
        <v>26893.080000000005</v>
      </c>
    </row>
    <row r="3887" spans="1:4" x14ac:dyDescent="0.3">
      <c r="A3887" t="s">
        <v>194</v>
      </c>
      <c r="C3887" s="16">
        <v>46281</v>
      </c>
      <c r="D3887" s="82">
        <v>3631.96</v>
      </c>
    </row>
    <row r="3888" spans="1:4" x14ac:dyDescent="0.3">
      <c r="A3888" t="s">
        <v>195</v>
      </c>
      <c r="C3888" s="16">
        <v>46281</v>
      </c>
      <c r="D3888" s="82">
        <v>604.80000000000018</v>
      </c>
    </row>
    <row r="3889" spans="1:4" x14ac:dyDescent="0.3">
      <c r="A3889" t="s">
        <v>196</v>
      </c>
      <c r="C3889" s="16">
        <v>46281</v>
      </c>
      <c r="D3889" s="82">
        <v>29877.869999999981</v>
      </c>
    </row>
    <row r="3890" spans="1:4" x14ac:dyDescent="0.3">
      <c r="A3890" t="s">
        <v>197</v>
      </c>
      <c r="C3890" s="16">
        <v>46281</v>
      </c>
      <c r="D3890" s="82">
        <v>794.01</v>
      </c>
    </row>
    <row r="3891" spans="1:4" x14ac:dyDescent="0.3">
      <c r="A3891" t="s">
        <v>212</v>
      </c>
      <c r="C3891" s="16">
        <v>46281</v>
      </c>
      <c r="D3891" s="82">
        <v>5445.57</v>
      </c>
    </row>
    <row r="3892" spans="1:4" x14ac:dyDescent="0.3">
      <c r="A3892" t="s">
        <v>199</v>
      </c>
      <c r="C3892" s="16">
        <v>46281</v>
      </c>
      <c r="D3892" s="82">
        <v>240356.58</v>
      </c>
    </row>
    <row r="3893" spans="1:4" x14ac:dyDescent="0.3">
      <c r="A3893" t="s">
        <v>216</v>
      </c>
      <c r="C3893" s="16">
        <v>46281</v>
      </c>
      <c r="D3893" s="82">
        <v>327985.82999999996</v>
      </c>
    </row>
    <row r="3894" spans="1:4" x14ac:dyDescent="0.3">
      <c r="A3894" t="s">
        <v>17</v>
      </c>
      <c r="C3894" s="16">
        <v>46282</v>
      </c>
      <c r="D3894" s="82">
        <v>1912320.2500000007</v>
      </c>
    </row>
    <row r="3895" spans="1:4" x14ac:dyDescent="0.3">
      <c r="A3895" t="s">
        <v>18</v>
      </c>
      <c r="C3895" s="16">
        <v>46282</v>
      </c>
      <c r="D3895" s="82">
        <v>100486.46000000017</v>
      </c>
    </row>
    <row r="3896" spans="1:4" x14ac:dyDescent="0.3">
      <c r="A3896" t="s">
        <v>19</v>
      </c>
      <c r="C3896" s="16">
        <v>46282</v>
      </c>
      <c r="D3896" s="82">
        <v>1669.89</v>
      </c>
    </row>
    <row r="3897" spans="1:4" x14ac:dyDescent="0.3">
      <c r="A3897" t="s">
        <v>20</v>
      </c>
      <c r="C3897" s="16">
        <v>46282</v>
      </c>
      <c r="D3897" s="82">
        <v>975534.6399999999</v>
      </c>
    </row>
    <row r="3898" spans="1:4" x14ac:dyDescent="0.3">
      <c r="A3898" t="s">
        <v>21</v>
      </c>
      <c r="C3898" s="16">
        <v>46282</v>
      </c>
      <c r="D3898" s="82">
        <v>1070645.1899999995</v>
      </c>
    </row>
    <row r="3899" spans="1:4" x14ac:dyDescent="0.3">
      <c r="A3899" t="s">
        <v>22</v>
      </c>
      <c r="C3899" s="16">
        <v>46282</v>
      </c>
      <c r="D3899" s="82">
        <v>229778.14</v>
      </c>
    </row>
    <row r="3900" spans="1:4" x14ac:dyDescent="0.3">
      <c r="A3900" t="s">
        <v>23</v>
      </c>
      <c r="C3900" s="16">
        <v>46282</v>
      </c>
      <c r="D3900" s="82">
        <v>217688.58</v>
      </c>
    </row>
    <row r="3901" spans="1:4" x14ac:dyDescent="0.3">
      <c r="A3901" t="s">
        <v>24</v>
      </c>
      <c r="C3901" s="16">
        <v>46282</v>
      </c>
      <c r="D3901" s="82">
        <v>11744.75</v>
      </c>
    </row>
    <row r="3902" spans="1:4" x14ac:dyDescent="0.3">
      <c r="A3902" t="s">
        <v>25</v>
      </c>
      <c r="C3902" s="16">
        <v>46282</v>
      </c>
      <c r="D3902" s="82">
        <v>94.5</v>
      </c>
    </row>
    <row r="3903" spans="1:4" x14ac:dyDescent="0.3">
      <c r="A3903" t="s">
        <v>26</v>
      </c>
      <c r="C3903" s="16">
        <v>46282</v>
      </c>
      <c r="D3903" s="82">
        <v>2147.92</v>
      </c>
    </row>
    <row r="3904" spans="1:4" x14ac:dyDescent="0.3">
      <c r="A3904" t="s">
        <v>27</v>
      </c>
      <c r="C3904" s="16">
        <v>46282</v>
      </c>
      <c r="D3904" s="82">
        <v>17895.290000000015</v>
      </c>
    </row>
    <row r="3905" spans="1:4" x14ac:dyDescent="0.3">
      <c r="A3905" t="s">
        <v>28</v>
      </c>
      <c r="C3905" s="16">
        <v>46282</v>
      </c>
      <c r="D3905" s="82">
        <v>1968.99</v>
      </c>
    </row>
    <row r="3906" spans="1:4" x14ac:dyDescent="0.3">
      <c r="A3906" t="s">
        <v>29</v>
      </c>
      <c r="C3906" s="16">
        <v>46282</v>
      </c>
      <c r="D3906" s="82">
        <v>901.34</v>
      </c>
    </row>
    <row r="3907" spans="1:4" x14ac:dyDescent="0.3">
      <c r="A3907" t="s">
        <v>30</v>
      </c>
      <c r="C3907" s="16">
        <v>46282</v>
      </c>
      <c r="D3907" s="82">
        <v>1380.08</v>
      </c>
    </row>
    <row r="3908" spans="1:4" x14ac:dyDescent="0.3">
      <c r="A3908" t="s">
        <v>31</v>
      </c>
      <c r="C3908" s="16">
        <v>46282</v>
      </c>
      <c r="D3908" s="82">
        <v>25027.379999999961</v>
      </c>
    </row>
    <row r="3909" spans="1:4" x14ac:dyDescent="0.3">
      <c r="A3909" t="s">
        <v>32</v>
      </c>
      <c r="C3909" s="16">
        <v>46282</v>
      </c>
      <c r="D3909" s="82">
        <v>16282.630000000006</v>
      </c>
    </row>
    <row r="3910" spans="1:4" x14ac:dyDescent="0.3">
      <c r="A3910" t="s">
        <v>33</v>
      </c>
      <c r="C3910" s="16">
        <v>46282</v>
      </c>
      <c r="D3910" s="82">
        <v>13685.999999999996</v>
      </c>
    </row>
    <row r="3911" spans="1:4" x14ac:dyDescent="0.3">
      <c r="A3911" t="s">
        <v>34</v>
      </c>
      <c r="C3911" s="16">
        <v>46282</v>
      </c>
      <c r="D3911" s="82">
        <v>345</v>
      </c>
    </row>
    <row r="3912" spans="1:4" x14ac:dyDescent="0.3">
      <c r="A3912" t="s">
        <v>35</v>
      </c>
      <c r="C3912" s="16">
        <v>46282</v>
      </c>
      <c r="D3912" s="82">
        <v>16164.440000000002</v>
      </c>
    </row>
    <row r="3913" spans="1:4" x14ac:dyDescent="0.3">
      <c r="A3913" t="s">
        <v>193</v>
      </c>
      <c r="C3913" s="16">
        <v>46282</v>
      </c>
      <c r="D3913" s="82">
        <v>312415.12000000005</v>
      </c>
    </row>
    <row r="3914" spans="1:4" x14ac:dyDescent="0.3">
      <c r="A3914" t="s">
        <v>214</v>
      </c>
      <c r="C3914" s="16">
        <v>46282</v>
      </c>
      <c r="D3914" s="82">
        <v>17125.350000000006</v>
      </c>
    </row>
    <row r="3915" spans="1:4" x14ac:dyDescent="0.3">
      <c r="A3915" t="s">
        <v>194</v>
      </c>
      <c r="C3915" s="16">
        <v>46282</v>
      </c>
      <c r="D3915" s="82">
        <v>3631.96</v>
      </c>
    </row>
    <row r="3916" spans="1:4" x14ac:dyDescent="0.3">
      <c r="A3916" t="s">
        <v>195</v>
      </c>
      <c r="C3916" s="16">
        <v>46282</v>
      </c>
      <c r="D3916" s="82">
        <v>604.80000000000018</v>
      </c>
    </row>
    <row r="3917" spans="1:4" x14ac:dyDescent="0.3">
      <c r="A3917" t="s">
        <v>196</v>
      </c>
      <c r="C3917" s="16">
        <v>46282</v>
      </c>
      <c r="D3917" s="82">
        <v>26755.729999999981</v>
      </c>
    </row>
    <row r="3918" spans="1:4" x14ac:dyDescent="0.3">
      <c r="A3918" t="s">
        <v>197</v>
      </c>
      <c r="C3918" s="16">
        <v>46282</v>
      </c>
      <c r="D3918" s="82">
        <v>794.01</v>
      </c>
    </row>
    <row r="3919" spans="1:4" x14ac:dyDescent="0.3">
      <c r="A3919" t="s">
        <v>212</v>
      </c>
      <c r="C3919" s="16">
        <v>46282</v>
      </c>
      <c r="D3919" s="82">
        <v>5445.57</v>
      </c>
    </row>
    <row r="3920" spans="1:4" x14ac:dyDescent="0.3">
      <c r="A3920" t="s">
        <v>199</v>
      </c>
      <c r="C3920" s="16">
        <v>46282</v>
      </c>
      <c r="D3920" s="82">
        <v>240356.58</v>
      </c>
    </row>
    <row r="3921" spans="1:4" x14ac:dyDescent="0.3">
      <c r="A3921" t="s">
        <v>216</v>
      </c>
      <c r="C3921" s="16">
        <v>46282</v>
      </c>
      <c r="D3921" s="82">
        <v>327985.82999999996</v>
      </c>
    </row>
    <row r="3922" spans="1:4" x14ac:dyDescent="0.3">
      <c r="A3922" t="s">
        <v>17</v>
      </c>
      <c r="C3922" s="16">
        <v>46283</v>
      </c>
      <c r="D3922" s="82">
        <v>2322320.2500000005</v>
      </c>
    </row>
    <row r="3923" spans="1:4" x14ac:dyDescent="0.3">
      <c r="A3923" t="s">
        <v>18</v>
      </c>
      <c r="C3923" s="16">
        <v>46283</v>
      </c>
      <c r="D3923" s="82">
        <v>100486.46000000017</v>
      </c>
    </row>
    <row r="3924" spans="1:4" x14ac:dyDescent="0.3">
      <c r="A3924" t="s">
        <v>19</v>
      </c>
      <c r="C3924" s="16">
        <v>46283</v>
      </c>
      <c r="D3924" s="82">
        <v>1669.89</v>
      </c>
    </row>
    <row r="3925" spans="1:4" x14ac:dyDescent="0.3">
      <c r="A3925" t="s">
        <v>20</v>
      </c>
      <c r="C3925" s="16">
        <v>46283</v>
      </c>
      <c r="D3925" s="82">
        <v>1425534.64</v>
      </c>
    </row>
    <row r="3926" spans="1:4" x14ac:dyDescent="0.3">
      <c r="A3926" t="s">
        <v>21</v>
      </c>
      <c r="C3926" s="16">
        <v>46283</v>
      </c>
      <c r="D3926" s="82">
        <v>1070478.5299999996</v>
      </c>
    </row>
    <row r="3927" spans="1:4" x14ac:dyDescent="0.3">
      <c r="A3927" t="s">
        <v>22</v>
      </c>
      <c r="C3927" s="16">
        <v>46283</v>
      </c>
      <c r="D3927" s="82">
        <v>229778.14</v>
      </c>
    </row>
    <row r="3928" spans="1:4" x14ac:dyDescent="0.3">
      <c r="A3928" t="s">
        <v>23</v>
      </c>
      <c r="C3928" s="16">
        <v>46283</v>
      </c>
      <c r="D3928" s="82">
        <v>217688.58</v>
      </c>
    </row>
    <row r="3929" spans="1:4" x14ac:dyDescent="0.3">
      <c r="A3929" t="s">
        <v>24</v>
      </c>
      <c r="C3929" s="16">
        <v>46283</v>
      </c>
      <c r="D3929" s="82">
        <v>11744.75</v>
      </c>
    </row>
    <row r="3930" spans="1:4" x14ac:dyDescent="0.3">
      <c r="A3930" t="s">
        <v>25</v>
      </c>
      <c r="C3930" s="16">
        <v>46283</v>
      </c>
      <c r="D3930" s="82">
        <v>94.5</v>
      </c>
    </row>
    <row r="3931" spans="1:4" x14ac:dyDescent="0.3">
      <c r="A3931" t="s">
        <v>26</v>
      </c>
      <c r="C3931" s="16">
        <v>46283</v>
      </c>
      <c r="D3931" s="82">
        <v>2147.92</v>
      </c>
    </row>
    <row r="3932" spans="1:4" x14ac:dyDescent="0.3">
      <c r="A3932" t="s">
        <v>27</v>
      </c>
      <c r="C3932" s="16">
        <v>46283</v>
      </c>
      <c r="D3932" s="82">
        <v>17895.290000000015</v>
      </c>
    </row>
    <row r="3933" spans="1:4" x14ac:dyDescent="0.3">
      <c r="A3933" t="s">
        <v>28</v>
      </c>
      <c r="C3933" s="16">
        <v>46283</v>
      </c>
      <c r="D3933" s="82">
        <v>1968.99</v>
      </c>
    </row>
    <row r="3934" spans="1:4" x14ac:dyDescent="0.3">
      <c r="A3934" t="s">
        <v>29</v>
      </c>
      <c r="C3934" s="16">
        <v>46283</v>
      </c>
      <c r="D3934" s="82">
        <v>901.34</v>
      </c>
    </row>
    <row r="3935" spans="1:4" x14ac:dyDescent="0.3">
      <c r="A3935" t="s">
        <v>30</v>
      </c>
      <c r="C3935" s="16">
        <v>46283</v>
      </c>
      <c r="D3935" s="82">
        <v>1380.08</v>
      </c>
    </row>
    <row r="3936" spans="1:4" x14ac:dyDescent="0.3">
      <c r="A3936" t="s">
        <v>31</v>
      </c>
      <c r="C3936" s="16">
        <v>46283</v>
      </c>
      <c r="D3936" s="82">
        <v>30277.379999999961</v>
      </c>
    </row>
    <row r="3937" spans="1:4" x14ac:dyDescent="0.3">
      <c r="A3937" t="s">
        <v>32</v>
      </c>
      <c r="C3937" s="16">
        <v>46283</v>
      </c>
      <c r="D3937" s="82">
        <v>16282.630000000006</v>
      </c>
    </row>
    <row r="3938" spans="1:4" x14ac:dyDescent="0.3">
      <c r="A3938" t="s">
        <v>33</v>
      </c>
      <c r="C3938" s="16">
        <v>46283</v>
      </c>
      <c r="D3938" s="82">
        <v>13685.999999999996</v>
      </c>
    </row>
    <row r="3939" spans="1:4" x14ac:dyDescent="0.3">
      <c r="A3939" t="s">
        <v>34</v>
      </c>
      <c r="C3939" s="16">
        <v>46283</v>
      </c>
      <c r="D3939" s="82">
        <v>345</v>
      </c>
    </row>
    <row r="3940" spans="1:4" x14ac:dyDescent="0.3">
      <c r="A3940" t="s">
        <v>35</v>
      </c>
      <c r="C3940" s="16">
        <v>46283</v>
      </c>
      <c r="D3940" s="82">
        <v>16120.660000000002</v>
      </c>
    </row>
    <row r="3941" spans="1:4" x14ac:dyDescent="0.3">
      <c r="A3941" t="s">
        <v>193</v>
      </c>
      <c r="C3941" s="16">
        <v>46283</v>
      </c>
      <c r="D3941" s="82">
        <v>312415.12000000005</v>
      </c>
    </row>
    <row r="3942" spans="1:4" x14ac:dyDescent="0.3">
      <c r="A3942" t="s">
        <v>214</v>
      </c>
      <c r="C3942" s="16">
        <v>46283</v>
      </c>
      <c r="D3942" s="82">
        <v>103560.93000000001</v>
      </c>
    </row>
    <row r="3943" spans="1:4" x14ac:dyDescent="0.3">
      <c r="A3943" t="s">
        <v>194</v>
      </c>
      <c r="C3943" s="16">
        <v>46283</v>
      </c>
      <c r="D3943" s="82">
        <v>3631.96</v>
      </c>
    </row>
    <row r="3944" spans="1:4" x14ac:dyDescent="0.3">
      <c r="A3944" t="s">
        <v>195</v>
      </c>
      <c r="C3944" s="16">
        <v>46283</v>
      </c>
      <c r="D3944" s="82">
        <v>604.80000000000018</v>
      </c>
    </row>
    <row r="3945" spans="1:4" x14ac:dyDescent="0.3">
      <c r="A3945" t="s">
        <v>196</v>
      </c>
      <c r="C3945" s="16">
        <v>46283</v>
      </c>
      <c r="D3945" s="82">
        <v>26755.729999999981</v>
      </c>
    </row>
    <row r="3946" spans="1:4" x14ac:dyDescent="0.3">
      <c r="A3946" t="s">
        <v>197</v>
      </c>
      <c r="C3946" s="16">
        <v>46283</v>
      </c>
      <c r="D3946" s="82">
        <v>794.01</v>
      </c>
    </row>
    <row r="3947" spans="1:4" x14ac:dyDescent="0.3">
      <c r="A3947" t="s">
        <v>212</v>
      </c>
      <c r="C3947" s="16">
        <v>46283</v>
      </c>
      <c r="D3947" s="82">
        <v>5445.57</v>
      </c>
    </row>
    <row r="3948" spans="1:4" x14ac:dyDescent="0.3">
      <c r="A3948" t="s">
        <v>199</v>
      </c>
      <c r="C3948" s="16">
        <v>46283</v>
      </c>
      <c r="D3948" s="82">
        <v>240356.58</v>
      </c>
    </row>
    <row r="3949" spans="1:4" x14ac:dyDescent="0.3">
      <c r="A3949" t="s">
        <v>216</v>
      </c>
      <c r="C3949" s="16">
        <v>46283</v>
      </c>
      <c r="D3949" s="82">
        <v>327985.82999999996</v>
      </c>
    </row>
    <row r="3950" spans="1:4" x14ac:dyDescent="0.3">
      <c r="A3950" t="s">
        <v>17</v>
      </c>
      <c r="C3950" s="16">
        <v>46284</v>
      </c>
      <c r="D3950" s="82">
        <v>2322320.2500000005</v>
      </c>
    </row>
    <row r="3951" spans="1:4" x14ac:dyDescent="0.3">
      <c r="A3951" t="s">
        <v>18</v>
      </c>
      <c r="C3951" s="16">
        <v>46284</v>
      </c>
      <c r="D3951" s="82">
        <v>100486.46000000017</v>
      </c>
    </row>
    <row r="3952" spans="1:4" x14ac:dyDescent="0.3">
      <c r="A3952" t="s">
        <v>19</v>
      </c>
      <c r="C3952" s="16">
        <v>46284</v>
      </c>
      <c r="D3952" s="82">
        <v>1669.89</v>
      </c>
    </row>
    <row r="3953" spans="1:4" x14ac:dyDescent="0.3">
      <c r="A3953" t="s">
        <v>20</v>
      </c>
      <c r="C3953" s="16">
        <v>46284</v>
      </c>
      <c r="D3953" s="82">
        <v>1425534.64</v>
      </c>
    </row>
    <row r="3954" spans="1:4" x14ac:dyDescent="0.3">
      <c r="A3954" t="s">
        <v>21</v>
      </c>
      <c r="C3954" s="16">
        <v>46284</v>
      </c>
      <c r="D3954" s="82">
        <v>1070478.5299999996</v>
      </c>
    </row>
    <row r="3955" spans="1:4" x14ac:dyDescent="0.3">
      <c r="A3955" t="s">
        <v>22</v>
      </c>
      <c r="C3955" s="16">
        <v>46284</v>
      </c>
      <c r="D3955" s="82">
        <v>229778.14</v>
      </c>
    </row>
    <row r="3956" spans="1:4" x14ac:dyDescent="0.3">
      <c r="A3956" t="s">
        <v>23</v>
      </c>
      <c r="C3956" s="16">
        <v>46284</v>
      </c>
      <c r="D3956" s="82">
        <v>217688.58</v>
      </c>
    </row>
    <row r="3957" spans="1:4" x14ac:dyDescent="0.3">
      <c r="A3957" t="s">
        <v>24</v>
      </c>
      <c r="C3957" s="16">
        <v>46284</v>
      </c>
      <c r="D3957" s="82">
        <v>11744.75</v>
      </c>
    </row>
    <row r="3958" spans="1:4" x14ac:dyDescent="0.3">
      <c r="A3958" t="s">
        <v>25</v>
      </c>
      <c r="C3958" s="16">
        <v>46284</v>
      </c>
      <c r="D3958" s="82">
        <v>94.5</v>
      </c>
    </row>
    <row r="3959" spans="1:4" x14ac:dyDescent="0.3">
      <c r="A3959" t="s">
        <v>26</v>
      </c>
      <c r="C3959" s="16">
        <v>46284</v>
      </c>
      <c r="D3959" s="82">
        <v>2147.92</v>
      </c>
    </row>
    <row r="3960" spans="1:4" x14ac:dyDescent="0.3">
      <c r="A3960" t="s">
        <v>27</v>
      </c>
      <c r="C3960" s="16">
        <v>46284</v>
      </c>
      <c r="D3960" s="82">
        <v>17895.290000000015</v>
      </c>
    </row>
    <row r="3961" spans="1:4" x14ac:dyDescent="0.3">
      <c r="A3961" t="s">
        <v>28</v>
      </c>
      <c r="C3961" s="16">
        <v>46284</v>
      </c>
      <c r="D3961" s="82">
        <v>1968.99</v>
      </c>
    </row>
    <row r="3962" spans="1:4" x14ac:dyDescent="0.3">
      <c r="A3962" t="s">
        <v>29</v>
      </c>
      <c r="C3962" s="16">
        <v>46284</v>
      </c>
      <c r="D3962" s="82">
        <v>901.34</v>
      </c>
    </row>
    <row r="3963" spans="1:4" x14ac:dyDescent="0.3">
      <c r="A3963" t="s">
        <v>30</v>
      </c>
      <c r="C3963" s="16">
        <v>46284</v>
      </c>
      <c r="D3963" s="82">
        <v>1380.08</v>
      </c>
    </row>
    <row r="3964" spans="1:4" x14ac:dyDescent="0.3">
      <c r="A3964" t="s">
        <v>31</v>
      </c>
      <c r="C3964" s="16">
        <v>46284</v>
      </c>
      <c r="D3964" s="82">
        <v>30277.379999999961</v>
      </c>
    </row>
    <row r="3965" spans="1:4" x14ac:dyDescent="0.3">
      <c r="A3965" t="s">
        <v>32</v>
      </c>
      <c r="C3965" s="16">
        <v>46284</v>
      </c>
      <c r="D3965" s="82">
        <v>16282.630000000006</v>
      </c>
    </row>
    <row r="3966" spans="1:4" x14ac:dyDescent="0.3">
      <c r="A3966" t="s">
        <v>33</v>
      </c>
      <c r="C3966" s="16">
        <v>46284</v>
      </c>
      <c r="D3966" s="82">
        <v>13685.999999999996</v>
      </c>
    </row>
    <row r="3967" spans="1:4" x14ac:dyDescent="0.3">
      <c r="A3967" t="s">
        <v>34</v>
      </c>
      <c r="C3967" s="16">
        <v>46284</v>
      </c>
      <c r="D3967" s="82">
        <v>345</v>
      </c>
    </row>
    <row r="3968" spans="1:4" x14ac:dyDescent="0.3">
      <c r="A3968" t="s">
        <v>35</v>
      </c>
      <c r="C3968" s="16">
        <v>46284</v>
      </c>
      <c r="D3968" s="82">
        <v>16120.660000000002</v>
      </c>
    </row>
    <row r="3969" spans="1:4" x14ac:dyDescent="0.3">
      <c r="A3969" t="s">
        <v>193</v>
      </c>
      <c r="C3969" s="16">
        <v>46284</v>
      </c>
      <c r="D3969" s="82">
        <v>312415.12000000005</v>
      </c>
    </row>
    <row r="3970" spans="1:4" x14ac:dyDescent="0.3">
      <c r="A3970" t="s">
        <v>214</v>
      </c>
      <c r="C3970" s="16">
        <v>46284</v>
      </c>
      <c r="D3970" s="82">
        <v>103560.93000000001</v>
      </c>
    </row>
    <row r="3971" spans="1:4" x14ac:dyDescent="0.3">
      <c r="A3971" t="s">
        <v>194</v>
      </c>
      <c r="C3971" s="16">
        <v>46284</v>
      </c>
      <c r="D3971" s="82">
        <v>3631.96</v>
      </c>
    </row>
    <row r="3972" spans="1:4" x14ac:dyDescent="0.3">
      <c r="A3972" t="s">
        <v>195</v>
      </c>
      <c r="C3972" s="16">
        <v>46284</v>
      </c>
      <c r="D3972" s="82">
        <v>604.80000000000018</v>
      </c>
    </row>
    <row r="3973" spans="1:4" x14ac:dyDescent="0.3">
      <c r="A3973" t="s">
        <v>196</v>
      </c>
      <c r="C3973" s="16">
        <v>46284</v>
      </c>
      <c r="D3973" s="82">
        <v>26755.729999999981</v>
      </c>
    </row>
    <row r="3974" spans="1:4" x14ac:dyDescent="0.3">
      <c r="A3974" t="s">
        <v>197</v>
      </c>
      <c r="C3974" s="16">
        <v>46284</v>
      </c>
      <c r="D3974" s="82">
        <v>794.01</v>
      </c>
    </row>
    <row r="3975" spans="1:4" x14ac:dyDescent="0.3">
      <c r="A3975" t="s">
        <v>212</v>
      </c>
      <c r="C3975" s="16">
        <v>46284</v>
      </c>
      <c r="D3975" s="82">
        <v>5445.57</v>
      </c>
    </row>
    <row r="3976" spans="1:4" x14ac:dyDescent="0.3">
      <c r="A3976" t="s">
        <v>199</v>
      </c>
      <c r="C3976" s="16">
        <v>46284</v>
      </c>
      <c r="D3976" s="82">
        <v>240356.58</v>
      </c>
    </row>
    <row r="3977" spans="1:4" x14ac:dyDescent="0.3">
      <c r="A3977" t="s">
        <v>216</v>
      </c>
      <c r="C3977" s="16">
        <v>46284</v>
      </c>
      <c r="D3977" s="82">
        <v>327985.82999999996</v>
      </c>
    </row>
    <row r="3978" spans="1:4" x14ac:dyDescent="0.3">
      <c r="A3978" t="s">
        <v>17</v>
      </c>
      <c r="C3978" s="16">
        <v>46285</v>
      </c>
      <c r="D3978" s="82">
        <v>2322320.2500000005</v>
      </c>
    </row>
    <row r="3979" spans="1:4" x14ac:dyDescent="0.3">
      <c r="A3979" t="s">
        <v>18</v>
      </c>
      <c r="C3979" s="16">
        <v>46285</v>
      </c>
      <c r="D3979" s="82">
        <v>100486.46000000017</v>
      </c>
    </row>
    <row r="3980" spans="1:4" x14ac:dyDescent="0.3">
      <c r="A3980" t="s">
        <v>19</v>
      </c>
      <c r="C3980" s="16">
        <v>46285</v>
      </c>
      <c r="D3980" s="82">
        <v>1669.89</v>
      </c>
    </row>
    <row r="3981" spans="1:4" x14ac:dyDescent="0.3">
      <c r="A3981" t="s">
        <v>20</v>
      </c>
      <c r="C3981" s="16">
        <v>46285</v>
      </c>
      <c r="D3981" s="82">
        <v>1425534.64</v>
      </c>
    </row>
    <row r="3982" spans="1:4" x14ac:dyDescent="0.3">
      <c r="A3982" t="s">
        <v>21</v>
      </c>
      <c r="C3982" s="16">
        <v>46285</v>
      </c>
      <c r="D3982" s="82">
        <v>1070478.5299999996</v>
      </c>
    </row>
    <row r="3983" spans="1:4" x14ac:dyDescent="0.3">
      <c r="A3983" t="s">
        <v>22</v>
      </c>
      <c r="C3983" s="16">
        <v>46285</v>
      </c>
      <c r="D3983" s="82">
        <v>229778.14</v>
      </c>
    </row>
    <row r="3984" spans="1:4" x14ac:dyDescent="0.3">
      <c r="A3984" t="s">
        <v>23</v>
      </c>
      <c r="C3984" s="16">
        <v>46285</v>
      </c>
      <c r="D3984" s="82">
        <v>217688.58</v>
      </c>
    </row>
    <row r="3985" spans="1:4" x14ac:dyDescent="0.3">
      <c r="A3985" t="s">
        <v>24</v>
      </c>
      <c r="C3985" s="16">
        <v>46285</v>
      </c>
      <c r="D3985" s="82">
        <v>11744.75</v>
      </c>
    </row>
    <row r="3986" spans="1:4" x14ac:dyDescent="0.3">
      <c r="A3986" t="s">
        <v>25</v>
      </c>
      <c r="C3986" s="16">
        <v>46285</v>
      </c>
      <c r="D3986" s="82">
        <v>94.5</v>
      </c>
    </row>
    <row r="3987" spans="1:4" x14ac:dyDescent="0.3">
      <c r="A3987" t="s">
        <v>26</v>
      </c>
      <c r="C3987" s="16">
        <v>46285</v>
      </c>
      <c r="D3987" s="82">
        <v>2147.92</v>
      </c>
    </row>
    <row r="3988" spans="1:4" x14ac:dyDescent="0.3">
      <c r="A3988" t="s">
        <v>27</v>
      </c>
      <c r="C3988" s="16">
        <v>46285</v>
      </c>
      <c r="D3988" s="82">
        <v>17895.290000000015</v>
      </c>
    </row>
    <row r="3989" spans="1:4" x14ac:dyDescent="0.3">
      <c r="A3989" t="s">
        <v>28</v>
      </c>
      <c r="C3989" s="16">
        <v>46285</v>
      </c>
      <c r="D3989" s="82">
        <v>1968.99</v>
      </c>
    </row>
    <row r="3990" spans="1:4" x14ac:dyDescent="0.3">
      <c r="A3990" t="s">
        <v>29</v>
      </c>
      <c r="C3990" s="16">
        <v>46285</v>
      </c>
      <c r="D3990" s="82">
        <v>901.34</v>
      </c>
    </row>
    <row r="3991" spans="1:4" x14ac:dyDescent="0.3">
      <c r="A3991" t="s">
        <v>30</v>
      </c>
      <c r="C3991" s="16">
        <v>46285</v>
      </c>
      <c r="D3991" s="82">
        <v>1380.08</v>
      </c>
    </row>
    <row r="3992" spans="1:4" x14ac:dyDescent="0.3">
      <c r="A3992" t="s">
        <v>31</v>
      </c>
      <c r="C3992" s="16">
        <v>46285</v>
      </c>
      <c r="D3992" s="82">
        <v>30277.379999999961</v>
      </c>
    </row>
    <row r="3993" spans="1:4" x14ac:dyDescent="0.3">
      <c r="A3993" t="s">
        <v>32</v>
      </c>
      <c r="C3993" s="16">
        <v>46285</v>
      </c>
      <c r="D3993" s="82">
        <v>16282.630000000006</v>
      </c>
    </row>
    <row r="3994" spans="1:4" x14ac:dyDescent="0.3">
      <c r="A3994" t="s">
        <v>33</v>
      </c>
      <c r="C3994" s="16">
        <v>46285</v>
      </c>
      <c r="D3994" s="82">
        <v>13685.999999999996</v>
      </c>
    </row>
    <row r="3995" spans="1:4" x14ac:dyDescent="0.3">
      <c r="A3995" t="s">
        <v>34</v>
      </c>
      <c r="C3995" s="16">
        <v>46285</v>
      </c>
      <c r="D3995" s="82">
        <v>345</v>
      </c>
    </row>
    <row r="3996" spans="1:4" x14ac:dyDescent="0.3">
      <c r="A3996" t="s">
        <v>35</v>
      </c>
      <c r="C3996" s="16">
        <v>46285</v>
      </c>
      <c r="D3996" s="82">
        <v>16120.660000000002</v>
      </c>
    </row>
    <row r="3997" spans="1:4" x14ac:dyDescent="0.3">
      <c r="A3997" t="s">
        <v>193</v>
      </c>
      <c r="C3997" s="16">
        <v>46285</v>
      </c>
      <c r="D3997" s="82">
        <v>312415.12000000005</v>
      </c>
    </row>
    <row r="3998" spans="1:4" x14ac:dyDescent="0.3">
      <c r="A3998" t="s">
        <v>214</v>
      </c>
      <c r="C3998" s="16">
        <v>46285</v>
      </c>
      <c r="D3998" s="82">
        <v>103560.93000000001</v>
      </c>
    </row>
    <row r="3999" spans="1:4" x14ac:dyDescent="0.3">
      <c r="A3999" t="s">
        <v>194</v>
      </c>
      <c r="C3999" s="16">
        <v>46285</v>
      </c>
      <c r="D3999" s="82">
        <v>3631.96</v>
      </c>
    </row>
    <row r="4000" spans="1:4" x14ac:dyDescent="0.3">
      <c r="A4000" t="s">
        <v>195</v>
      </c>
      <c r="C4000" s="16">
        <v>46285</v>
      </c>
      <c r="D4000" s="82">
        <v>604.80000000000018</v>
      </c>
    </row>
    <row r="4001" spans="1:4" x14ac:dyDescent="0.3">
      <c r="A4001" t="s">
        <v>196</v>
      </c>
      <c r="C4001" s="16">
        <v>46285</v>
      </c>
      <c r="D4001" s="82">
        <v>26755.729999999981</v>
      </c>
    </row>
    <row r="4002" spans="1:4" x14ac:dyDescent="0.3">
      <c r="A4002" t="s">
        <v>197</v>
      </c>
      <c r="C4002" s="16">
        <v>46285</v>
      </c>
      <c r="D4002" s="82">
        <v>794.01</v>
      </c>
    </row>
    <row r="4003" spans="1:4" x14ac:dyDescent="0.3">
      <c r="A4003" t="s">
        <v>212</v>
      </c>
      <c r="C4003" s="16">
        <v>46285</v>
      </c>
      <c r="D4003" s="82">
        <v>5445.57</v>
      </c>
    </row>
    <row r="4004" spans="1:4" x14ac:dyDescent="0.3">
      <c r="A4004" t="s">
        <v>199</v>
      </c>
      <c r="C4004" s="16">
        <v>46285</v>
      </c>
      <c r="D4004" s="82">
        <v>240356.58</v>
      </c>
    </row>
    <row r="4005" spans="1:4" x14ac:dyDescent="0.3">
      <c r="A4005" t="s">
        <v>216</v>
      </c>
      <c r="C4005" s="16">
        <v>46285</v>
      </c>
      <c r="D4005" s="82">
        <v>327985.82999999996</v>
      </c>
    </row>
    <row r="4006" spans="1:4" x14ac:dyDescent="0.3">
      <c r="A4006" t="s">
        <v>17</v>
      </c>
      <c r="C4006" s="16">
        <v>46286</v>
      </c>
      <c r="D4006" s="82">
        <v>2322320.2500000005</v>
      </c>
    </row>
    <row r="4007" spans="1:4" x14ac:dyDescent="0.3">
      <c r="A4007" t="s">
        <v>18</v>
      </c>
      <c r="C4007" s="16">
        <v>46286</v>
      </c>
      <c r="D4007" s="82">
        <v>100486.46000000017</v>
      </c>
    </row>
    <row r="4008" spans="1:4" x14ac:dyDescent="0.3">
      <c r="A4008" t="s">
        <v>19</v>
      </c>
      <c r="C4008" s="16">
        <v>46286</v>
      </c>
      <c r="D4008" s="82">
        <v>1669.89</v>
      </c>
    </row>
    <row r="4009" spans="1:4" x14ac:dyDescent="0.3">
      <c r="A4009" t="s">
        <v>20</v>
      </c>
      <c r="C4009" s="16">
        <v>46286</v>
      </c>
      <c r="D4009" s="82">
        <v>1453603.3599999999</v>
      </c>
    </row>
    <row r="4010" spans="1:4" x14ac:dyDescent="0.3">
      <c r="A4010" t="s">
        <v>21</v>
      </c>
      <c r="C4010" s="16">
        <v>46286</v>
      </c>
      <c r="D4010" s="82">
        <v>1066496.7899999996</v>
      </c>
    </row>
    <row r="4011" spans="1:4" x14ac:dyDescent="0.3">
      <c r="A4011" t="s">
        <v>22</v>
      </c>
      <c r="C4011" s="16">
        <v>46286</v>
      </c>
      <c r="D4011" s="82">
        <v>229778.14</v>
      </c>
    </row>
    <row r="4012" spans="1:4" x14ac:dyDescent="0.3">
      <c r="A4012" t="s">
        <v>23</v>
      </c>
      <c r="C4012" s="16">
        <v>46286</v>
      </c>
      <c r="D4012" s="82">
        <v>217688.58</v>
      </c>
    </row>
    <row r="4013" spans="1:4" x14ac:dyDescent="0.3">
      <c r="A4013" t="s">
        <v>24</v>
      </c>
      <c r="C4013" s="16">
        <v>46286</v>
      </c>
      <c r="D4013" s="82">
        <v>11744.75</v>
      </c>
    </row>
    <row r="4014" spans="1:4" x14ac:dyDescent="0.3">
      <c r="A4014" t="s">
        <v>25</v>
      </c>
      <c r="C4014" s="16">
        <v>46286</v>
      </c>
      <c r="D4014" s="82">
        <v>94.5</v>
      </c>
    </row>
    <row r="4015" spans="1:4" x14ac:dyDescent="0.3">
      <c r="A4015" t="s">
        <v>26</v>
      </c>
      <c r="C4015" s="16">
        <v>46286</v>
      </c>
      <c r="D4015" s="82">
        <v>2147.92</v>
      </c>
    </row>
    <row r="4016" spans="1:4" x14ac:dyDescent="0.3">
      <c r="A4016" t="s">
        <v>27</v>
      </c>
      <c r="C4016" s="16">
        <v>46286</v>
      </c>
      <c r="D4016" s="82">
        <v>17895.290000000015</v>
      </c>
    </row>
    <row r="4017" spans="1:4" x14ac:dyDescent="0.3">
      <c r="A4017" t="s">
        <v>28</v>
      </c>
      <c r="C4017" s="16">
        <v>46286</v>
      </c>
      <c r="D4017" s="82">
        <v>1968.99</v>
      </c>
    </row>
    <row r="4018" spans="1:4" x14ac:dyDescent="0.3">
      <c r="A4018" t="s">
        <v>29</v>
      </c>
      <c r="C4018" s="16">
        <v>46286</v>
      </c>
      <c r="D4018" s="82">
        <v>901.34</v>
      </c>
    </row>
    <row r="4019" spans="1:4" x14ac:dyDescent="0.3">
      <c r="A4019" t="s">
        <v>30</v>
      </c>
      <c r="C4019" s="16">
        <v>46286</v>
      </c>
      <c r="D4019" s="82">
        <v>1380.08</v>
      </c>
    </row>
    <row r="4020" spans="1:4" x14ac:dyDescent="0.3">
      <c r="A4020" t="s">
        <v>31</v>
      </c>
      <c r="C4020" s="16">
        <v>46286</v>
      </c>
      <c r="D4020" s="82">
        <v>30277.379999999961</v>
      </c>
    </row>
    <row r="4021" spans="1:4" x14ac:dyDescent="0.3">
      <c r="A4021" t="s">
        <v>32</v>
      </c>
      <c r="C4021" s="16">
        <v>46286</v>
      </c>
      <c r="D4021" s="82">
        <v>16282.630000000006</v>
      </c>
    </row>
    <row r="4022" spans="1:4" x14ac:dyDescent="0.3">
      <c r="A4022" t="s">
        <v>33</v>
      </c>
      <c r="C4022" s="16">
        <v>46286</v>
      </c>
      <c r="D4022" s="82">
        <v>13685.999999999996</v>
      </c>
    </row>
    <row r="4023" spans="1:4" x14ac:dyDescent="0.3">
      <c r="A4023" t="s">
        <v>34</v>
      </c>
      <c r="C4023" s="16">
        <v>46286</v>
      </c>
      <c r="D4023" s="82">
        <v>345</v>
      </c>
    </row>
    <row r="4024" spans="1:4" x14ac:dyDescent="0.3">
      <c r="A4024" t="s">
        <v>35</v>
      </c>
      <c r="C4024" s="16">
        <v>46286</v>
      </c>
      <c r="D4024" s="82">
        <v>15349.190000000002</v>
      </c>
    </row>
    <row r="4025" spans="1:4" x14ac:dyDescent="0.3">
      <c r="A4025" t="s">
        <v>193</v>
      </c>
      <c r="C4025" s="16">
        <v>46286</v>
      </c>
      <c r="D4025" s="82">
        <v>312415.12000000005</v>
      </c>
    </row>
    <row r="4026" spans="1:4" x14ac:dyDescent="0.3">
      <c r="A4026" t="s">
        <v>214</v>
      </c>
      <c r="C4026" s="16">
        <v>46286</v>
      </c>
      <c r="D4026" s="82">
        <v>103560.93000000001</v>
      </c>
    </row>
    <row r="4027" spans="1:4" x14ac:dyDescent="0.3">
      <c r="A4027" t="s">
        <v>194</v>
      </c>
      <c r="C4027" s="16">
        <v>46286</v>
      </c>
      <c r="D4027" s="82">
        <v>3631.96</v>
      </c>
    </row>
    <row r="4028" spans="1:4" x14ac:dyDescent="0.3">
      <c r="A4028" t="s">
        <v>195</v>
      </c>
      <c r="C4028" s="16">
        <v>46286</v>
      </c>
      <c r="D4028" s="82">
        <v>604.80000000000018</v>
      </c>
    </row>
    <row r="4029" spans="1:4" x14ac:dyDescent="0.3">
      <c r="A4029" t="s">
        <v>196</v>
      </c>
      <c r="C4029" s="16">
        <v>46286</v>
      </c>
      <c r="D4029" s="82">
        <v>25507.15999999996</v>
      </c>
    </row>
    <row r="4030" spans="1:4" x14ac:dyDescent="0.3">
      <c r="A4030" t="s">
        <v>197</v>
      </c>
      <c r="C4030" s="16">
        <v>46286</v>
      </c>
      <c r="D4030" s="82">
        <v>794.01</v>
      </c>
    </row>
    <row r="4031" spans="1:4" x14ac:dyDescent="0.3">
      <c r="A4031" t="s">
        <v>212</v>
      </c>
      <c r="C4031" s="16">
        <v>46286</v>
      </c>
      <c r="D4031" s="82">
        <v>5445.57</v>
      </c>
    </row>
    <row r="4032" spans="1:4" x14ac:dyDescent="0.3">
      <c r="A4032" t="s">
        <v>199</v>
      </c>
      <c r="C4032" s="16">
        <v>46286</v>
      </c>
      <c r="D4032" s="82">
        <v>239950.84</v>
      </c>
    </row>
    <row r="4033" spans="1:4" x14ac:dyDescent="0.3">
      <c r="A4033" t="s">
        <v>216</v>
      </c>
      <c r="C4033" s="16">
        <v>46286</v>
      </c>
      <c r="D4033" s="82">
        <v>327985.82999999996</v>
      </c>
    </row>
    <row r="4034" spans="1:4" x14ac:dyDescent="0.3">
      <c r="A4034" t="s">
        <v>17</v>
      </c>
      <c r="C4034" s="16">
        <v>46287</v>
      </c>
      <c r="D4034" s="82">
        <v>2322320.2500000005</v>
      </c>
    </row>
    <row r="4035" spans="1:4" x14ac:dyDescent="0.3">
      <c r="A4035" t="s">
        <v>18</v>
      </c>
      <c r="C4035" s="16">
        <v>46287</v>
      </c>
      <c r="D4035" s="82">
        <v>100486.46000000017</v>
      </c>
    </row>
    <row r="4036" spans="1:4" x14ac:dyDescent="0.3">
      <c r="A4036" t="s">
        <v>19</v>
      </c>
      <c r="C4036" s="16">
        <v>46287</v>
      </c>
      <c r="D4036" s="82">
        <v>1669.89</v>
      </c>
    </row>
    <row r="4037" spans="1:4" x14ac:dyDescent="0.3">
      <c r="A4037" t="s">
        <v>20</v>
      </c>
      <c r="C4037" s="16">
        <v>46287</v>
      </c>
      <c r="D4037" s="82">
        <v>1453603.3599999999</v>
      </c>
    </row>
    <row r="4038" spans="1:4" x14ac:dyDescent="0.3">
      <c r="A4038" t="s">
        <v>21</v>
      </c>
      <c r="C4038" s="16">
        <v>46287</v>
      </c>
      <c r="D4038" s="82">
        <v>1065733.7999999996</v>
      </c>
    </row>
    <row r="4039" spans="1:4" x14ac:dyDescent="0.3">
      <c r="A4039" t="s">
        <v>22</v>
      </c>
      <c r="C4039" s="16">
        <v>46287</v>
      </c>
      <c r="D4039" s="82">
        <v>229778.14</v>
      </c>
    </row>
    <row r="4040" spans="1:4" x14ac:dyDescent="0.3">
      <c r="A4040" t="s">
        <v>23</v>
      </c>
      <c r="C4040" s="16">
        <v>46287</v>
      </c>
      <c r="D4040" s="82">
        <v>217688.58</v>
      </c>
    </row>
    <row r="4041" spans="1:4" x14ac:dyDescent="0.3">
      <c r="A4041" t="s">
        <v>24</v>
      </c>
      <c r="C4041" s="16">
        <v>46287</v>
      </c>
      <c r="D4041" s="82">
        <v>11744.75</v>
      </c>
    </row>
    <row r="4042" spans="1:4" x14ac:dyDescent="0.3">
      <c r="A4042" t="s">
        <v>25</v>
      </c>
      <c r="C4042" s="16">
        <v>46287</v>
      </c>
      <c r="D4042" s="82">
        <v>94.5</v>
      </c>
    </row>
    <row r="4043" spans="1:4" x14ac:dyDescent="0.3">
      <c r="A4043" t="s">
        <v>26</v>
      </c>
      <c r="C4043" s="16">
        <v>46287</v>
      </c>
      <c r="D4043" s="82">
        <v>2147.92</v>
      </c>
    </row>
    <row r="4044" spans="1:4" x14ac:dyDescent="0.3">
      <c r="A4044" t="s">
        <v>27</v>
      </c>
      <c r="C4044" s="16">
        <v>46287</v>
      </c>
      <c r="D4044" s="82">
        <v>17895.290000000015</v>
      </c>
    </row>
    <row r="4045" spans="1:4" x14ac:dyDescent="0.3">
      <c r="A4045" t="s">
        <v>28</v>
      </c>
      <c r="C4045" s="16">
        <v>46287</v>
      </c>
      <c r="D4045" s="82">
        <v>1968.99</v>
      </c>
    </row>
    <row r="4046" spans="1:4" x14ac:dyDescent="0.3">
      <c r="A4046" t="s">
        <v>29</v>
      </c>
      <c r="C4046" s="16">
        <v>46287</v>
      </c>
      <c r="D4046" s="82">
        <v>901.34</v>
      </c>
    </row>
    <row r="4047" spans="1:4" x14ac:dyDescent="0.3">
      <c r="A4047" t="s">
        <v>30</v>
      </c>
      <c r="C4047" s="16">
        <v>46287</v>
      </c>
      <c r="D4047" s="82">
        <v>1380.08</v>
      </c>
    </row>
    <row r="4048" spans="1:4" x14ac:dyDescent="0.3">
      <c r="A4048" t="s">
        <v>31</v>
      </c>
      <c r="C4048" s="16">
        <v>46287</v>
      </c>
      <c r="D4048" s="82">
        <v>28714.879999999961</v>
      </c>
    </row>
    <row r="4049" spans="1:4" x14ac:dyDescent="0.3">
      <c r="A4049" t="s">
        <v>32</v>
      </c>
      <c r="C4049" s="16">
        <v>46287</v>
      </c>
      <c r="D4049" s="82">
        <v>15162.600000000006</v>
      </c>
    </row>
    <row r="4050" spans="1:4" x14ac:dyDescent="0.3">
      <c r="A4050" t="s">
        <v>33</v>
      </c>
      <c r="C4050" s="16">
        <v>46287</v>
      </c>
      <c r="D4050" s="82">
        <v>12937.859999999997</v>
      </c>
    </row>
    <row r="4051" spans="1:4" x14ac:dyDescent="0.3">
      <c r="A4051" t="s">
        <v>34</v>
      </c>
      <c r="C4051" s="16">
        <v>46287</v>
      </c>
      <c r="D4051" s="82">
        <v>345</v>
      </c>
    </row>
    <row r="4052" spans="1:4" x14ac:dyDescent="0.3">
      <c r="A4052" t="s">
        <v>35</v>
      </c>
      <c r="C4052" s="16">
        <v>46287</v>
      </c>
      <c r="D4052" s="82">
        <v>15349.190000000002</v>
      </c>
    </row>
    <row r="4053" spans="1:4" x14ac:dyDescent="0.3">
      <c r="A4053" t="s">
        <v>193</v>
      </c>
      <c r="C4053" s="16">
        <v>46287</v>
      </c>
      <c r="D4053" s="82">
        <v>312415.12000000005</v>
      </c>
    </row>
    <row r="4054" spans="1:4" x14ac:dyDescent="0.3">
      <c r="A4054" t="s">
        <v>214</v>
      </c>
      <c r="C4054" s="16">
        <v>46287</v>
      </c>
      <c r="D4054" s="82">
        <v>103560.93000000001</v>
      </c>
    </row>
    <row r="4055" spans="1:4" x14ac:dyDescent="0.3">
      <c r="A4055" t="s">
        <v>194</v>
      </c>
      <c r="C4055" s="16">
        <v>46287</v>
      </c>
      <c r="D4055" s="82">
        <v>3631.96</v>
      </c>
    </row>
    <row r="4056" spans="1:4" x14ac:dyDescent="0.3">
      <c r="A4056" t="s">
        <v>195</v>
      </c>
      <c r="C4056" s="16">
        <v>46287</v>
      </c>
      <c r="D4056" s="82">
        <v>604.80000000000018</v>
      </c>
    </row>
    <row r="4057" spans="1:4" x14ac:dyDescent="0.3">
      <c r="A4057" t="s">
        <v>196</v>
      </c>
      <c r="C4057" s="16">
        <v>46287</v>
      </c>
      <c r="D4057" s="82">
        <v>24944.219999999972</v>
      </c>
    </row>
    <row r="4058" spans="1:4" x14ac:dyDescent="0.3">
      <c r="A4058" t="s">
        <v>197</v>
      </c>
      <c r="C4058" s="16">
        <v>46287</v>
      </c>
      <c r="D4058" s="82">
        <v>794.01</v>
      </c>
    </row>
    <row r="4059" spans="1:4" x14ac:dyDescent="0.3">
      <c r="A4059" t="s">
        <v>212</v>
      </c>
      <c r="C4059" s="16">
        <v>46287</v>
      </c>
      <c r="D4059" s="82">
        <v>5445.57</v>
      </c>
    </row>
    <row r="4060" spans="1:4" x14ac:dyDescent="0.3">
      <c r="A4060" t="s">
        <v>199</v>
      </c>
      <c r="C4060" s="16">
        <v>46287</v>
      </c>
      <c r="D4060" s="82">
        <v>234193.16999999998</v>
      </c>
    </row>
    <row r="4061" spans="1:4" x14ac:dyDescent="0.3">
      <c r="A4061" t="s">
        <v>216</v>
      </c>
      <c r="C4061" s="16">
        <v>46287</v>
      </c>
      <c r="D4061" s="82">
        <v>327985.82999999996</v>
      </c>
    </row>
    <row r="4062" spans="1:4" x14ac:dyDescent="0.3">
      <c r="A4062" t="s">
        <v>17</v>
      </c>
      <c r="C4062" s="16">
        <v>46288</v>
      </c>
      <c r="D4062" s="82">
        <v>2322320.2500000005</v>
      </c>
    </row>
    <row r="4063" spans="1:4" x14ac:dyDescent="0.3">
      <c r="A4063" t="s">
        <v>18</v>
      </c>
      <c r="C4063" s="16">
        <v>46288</v>
      </c>
      <c r="D4063" s="82">
        <v>100486.46000000017</v>
      </c>
    </row>
    <row r="4064" spans="1:4" x14ac:dyDescent="0.3">
      <c r="A4064" t="s">
        <v>19</v>
      </c>
      <c r="C4064" s="16">
        <v>46288</v>
      </c>
      <c r="D4064" s="82">
        <v>1669.89</v>
      </c>
    </row>
    <row r="4065" spans="1:4" x14ac:dyDescent="0.3">
      <c r="A4065" t="s">
        <v>20</v>
      </c>
      <c r="C4065" s="16">
        <v>46288</v>
      </c>
      <c r="D4065" s="82">
        <v>1453603.3599999999</v>
      </c>
    </row>
    <row r="4066" spans="1:4" x14ac:dyDescent="0.3">
      <c r="A4066" t="s">
        <v>21</v>
      </c>
      <c r="C4066" s="16">
        <v>46288</v>
      </c>
      <c r="D4066" s="82">
        <v>1065733.7999999996</v>
      </c>
    </row>
    <row r="4067" spans="1:4" x14ac:dyDescent="0.3">
      <c r="A4067" t="s">
        <v>22</v>
      </c>
      <c r="C4067" s="16">
        <v>46288</v>
      </c>
      <c r="D4067" s="82">
        <v>229778.14</v>
      </c>
    </row>
    <row r="4068" spans="1:4" x14ac:dyDescent="0.3">
      <c r="A4068" t="s">
        <v>23</v>
      </c>
      <c r="C4068" s="16">
        <v>46288</v>
      </c>
      <c r="D4068" s="82">
        <v>217688.58</v>
      </c>
    </row>
    <row r="4069" spans="1:4" x14ac:dyDescent="0.3">
      <c r="A4069" t="s">
        <v>24</v>
      </c>
      <c r="C4069" s="16">
        <v>46288</v>
      </c>
      <c r="D4069" s="82">
        <v>11744.75</v>
      </c>
    </row>
    <row r="4070" spans="1:4" x14ac:dyDescent="0.3">
      <c r="A4070" t="s">
        <v>25</v>
      </c>
      <c r="C4070" s="16">
        <v>46288</v>
      </c>
      <c r="D4070" s="82">
        <v>94.5</v>
      </c>
    </row>
    <row r="4071" spans="1:4" x14ac:dyDescent="0.3">
      <c r="A4071" t="s">
        <v>26</v>
      </c>
      <c r="C4071" s="16">
        <v>46288</v>
      </c>
      <c r="D4071" s="82">
        <v>2147.92</v>
      </c>
    </row>
    <row r="4072" spans="1:4" x14ac:dyDescent="0.3">
      <c r="A4072" t="s">
        <v>27</v>
      </c>
      <c r="C4072" s="16">
        <v>46288</v>
      </c>
      <c r="D4072" s="82">
        <v>17895.290000000015</v>
      </c>
    </row>
    <row r="4073" spans="1:4" x14ac:dyDescent="0.3">
      <c r="A4073" t="s">
        <v>28</v>
      </c>
      <c r="C4073" s="16">
        <v>46288</v>
      </c>
      <c r="D4073" s="82">
        <v>1968.99</v>
      </c>
    </row>
    <row r="4074" spans="1:4" x14ac:dyDescent="0.3">
      <c r="A4074" t="s">
        <v>29</v>
      </c>
      <c r="C4074" s="16">
        <v>46288</v>
      </c>
      <c r="D4074" s="82">
        <v>901.34</v>
      </c>
    </row>
    <row r="4075" spans="1:4" x14ac:dyDescent="0.3">
      <c r="A4075" t="s">
        <v>30</v>
      </c>
      <c r="C4075" s="16">
        <v>46288</v>
      </c>
      <c r="D4075" s="82">
        <v>1380.08</v>
      </c>
    </row>
    <row r="4076" spans="1:4" x14ac:dyDescent="0.3">
      <c r="A4076" t="s">
        <v>31</v>
      </c>
      <c r="C4076" s="16">
        <v>46288</v>
      </c>
      <c r="D4076" s="82">
        <v>28714.879999999961</v>
      </c>
    </row>
    <row r="4077" spans="1:4" x14ac:dyDescent="0.3">
      <c r="A4077" t="s">
        <v>32</v>
      </c>
      <c r="C4077" s="16">
        <v>46288</v>
      </c>
      <c r="D4077" s="82">
        <v>15162.600000000006</v>
      </c>
    </row>
    <row r="4078" spans="1:4" x14ac:dyDescent="0.3">
      <c r="A4078" t="s">
        <v>33</v>
      </c>
      <c r="C4078" s="16">
        <v>46288</v>
      </c>
      <c r="D4078" s="82">
        <v>12937.859999999997</v>
      </c>
    </row>
    <row r="4079" spans="1:4" x14ac:dyDescent="0.3">
      <c r="A4079" t="s">
        <v>34</v>
      </c>
      <c r="C4079" s="16">
        <v>46288</v>
      </c>
      <c r="D4079" s="82">
        <v>345</v>
      </c>
    </row>
    <row r="4080" spans="1:4" x14ac:dyDescent="0.3">
      <c r="A4080" t="s">
        <v>35</v>
      </c>
      <c r="C4080" s="16">
        <v>46288</v>
      </c>
      <c r="D4080" s="82">
        <v>15349.190000000002</v>
      </c>
    </row>
    <row r="4081" spans="1:4" x14ac:dyDescent="0.3">
      <c r="A4081" t="s">
        <v>193</v>
      </c>
      <c r="C4081" s="16">
        <v>46288</v>
      </c>
      <c r="D4081" s="82">
        <v>312415.12000000005</v>
      </c>
    </row>
    <row r="4082" spans="1:4" x14ac:dyDescent="0.3">
      <c r="A4082" t="s">
        <v>214</v>
      </c>
      <c r="C4082" s="16">
        <v>46288</v>
      </c>
      <c r="D4082" s="82">
        <v>103560.93000000001</v>
      </c>
    </row>
    <row r="4083" spans="1:4" x14ac:dyDescent="0.3">
      <c r="A4083" t="s">
        <v>194</v>
      </c>
      <c r="C4083" s="16">
        <v>46288</v>
      </c>
      <c r="D4083" s="82">
        <v>3631.96</v>
      </c>
    </row>
    <row r="4084" spans="1:4" x14ac:dyDescent="0.3">
      <c r="A4084" t="s">
        <v>195</v>
      </c>
      <c r="C4084" s="16">
        <v>46288</v>
      </c>
      <c r="D4084" s="82">
        <v>604.80000000000018</v>
      </c>
    </row>
    <row r="4085" spans="1:4" x14ac:dyDescent="0.3">
      <c r="A4085" t="s">
        <v>196</v>
      </c>
      <c r="C4085" s="16">
        <v>46288</v>
      </c>
      <c r="D4085" s="82">
        <v>24944.219999999972</v>
      </c>
    </row>
    <row r="4086" spans="1:4" x14ac:dyDescent="0.3">
      <c r="A4086" t="s">
        <v>197</v>
      </c>
      <c r="C4086" s="16">
        <v>46288</v>
      </c>
      <c r="D4086" s="82">
        <v>794.01</v>
      </c>
    </row>
    <row r="4087" spans="1:4" x14ac:dyDescent="0.3">
      <c r="A4087" t="s">
        <v>212</v>
      </c>
      <c r="C4087" s="16">
        <v>46288</v>
      </c>
      <c r="D4087" s="82">
        <v>5445.57</v>
      </c>
    </row>
    <row r="4088" spans="1:4" x14ac:dyDescent="0.3">
      <c r="A4088" t="s">
        <v>199</v>
      </c>
      <c r="C4088" s="16">
        <v>46288</v>
      </c>
      <c r="D4088" s="82">
        <v>236093.16999999998</v>
      </c>
    </row>
    <row r="4089" spans="1:4" x14ac:dyDescent="0.3">
      <c r="A4089" t="s">
        <v>216</v>
      </c>
      <c r="C4089" s="16">
        <v>46288</v>
      </c>
      <c r="D4089" s="82">
        <v>327985.82999999996</v>
      </c>
    </row>
    <row r="4090" spans="1:4" x14ac:dyDescent="0.3">
      <c r="A4090" t="s">
        <v>17</v>
      </c>
      <c r="C4090" s="16">
        <v>46289</v>
      </c>
      <c r="D4090" s="82">
        <v>2322320.2500000005</v>
      </c>
    </row>
    <row r="4091" spans="1:4" x14ac:dyDescent="0.3">
      <c r="A4091" t="s">
        <v>18</v>
      </c>
      <c r="C4091" s="16">
        <v>46289</v>
      </c>
      <c r="D4091" s="82">
        <v>100486.46000000017</v>
      </c>
    </row>
    <row r="4092" spans="1:4" x14ac:dyDescent="0.3">
      <c r="A4092" t="s">
        <v>19</v>
      </c>
      <c r="C4092" s="16">
        <v>46289</v>
      </c>
      <c r="D4092" s="82">
        <v>1669.89</v>
      </c>
    </row>
    <row r="4093" spans="1:4" x14ac:dyDescent="0.3">
      <c r="A4093" t="s">
        <v>20</v>
      </c>
      <c r="C4093" s="16">
        <v>46289</v>
      </c>
      <c r="D4093" s="82">
        <v>1453603.3599999999</v>
      </c>
    </row>
    <row r="4094" spans="1:4" x14ac:dyDescent="0.3">
      <c r="A4094" t="s">
        <v>21</v>
      </c>
      <c r="C4094" s="16">
        <v>46289</v>
      </c>
      <c r="D4094" s="82">
        <v>1065733.7999999996</v>
      </c>
    </row>
    <row r="4095" spans="1:4" x14ac:dyDescent="0.3">
      <c r="A4095" t="s">
        <v>22</v>
      </c>
      <c r="C4095" s="16">
        <v>46289</v>
      </c>
      <c r="D4095" s="82">
        <v>229778.14</v>
      </c>
    </row>
    <row r="4096" spans="1:4" x14ac:dyDescent="0.3">
      <c r="A4096" t="s">
        <v>23</v>
      </c>
      <c r="C4096" s="16">
        <v>46289</v>
      </c>
      <c r="D4096" s="82">
        <v>217688.58</v>
      </c>
    </row>
    <row r="4097" spans="1:4" x14ac:dyDescent="0.3">
      <c r="A4097" t="s">
        <v>24</v>
      </c>
      <c r="C4097" s="16">
        <v>46289</v>
      </c>
      <c r="D4097" s="82">
        <v>11744.75</v>
      </c>
    </row>
    <row r="4098" spans="1:4" x14ac:dyDescent="0.3">
      <c r="A4098" t="s">
        <v>25</v>
      </c>
      <c r="C4098" s="16">
        <v>46289</v>
      </c>
      <c r="D4098" s="82">
        <v>94.5</v>
      </c>
    </row>
    <row r="4099" spans="1:4" x14ac:dyDescent="0.3">
      <c r="A4099" t="s">
        <v>26</v>
      </c>
      <c r="C4099" s="16">
        <v>46289</v>
      </c>
      <c r="D4099" s="82">
        <v>2147.92</v>
      </c>
    </row>
    <row r="4100" spans="1:4" x14ac:dyDescent="0.3">
      <c r="A4100" t="s">
        <v>27</v>
      </c>
      <c r="C4100" s="16">
        <v>46289</v>
      </c>
      <c r="D4100" s="82">
        <v>17895.290000000015</v>
      </c>
    </row>
    <row r="4101" spans="1:4" x14ac:dyDescent="0.3">
      <c r="A4101" t="s">
        <v>28</v>
      </c>
      <c r="C4101" s="16">
        <v>46289</v>
      </c>
      <c r="D4101" s="82">
        <v>1968.99</v>
      </c>
    </row>
    <row r="4102" spans="1:4" x14ac:dyDescent="0.3">
      <c r="A4102" t="s">
        <v>29</v>
      </c>
      <c r="C4102" s="16">
        <v>46289</v>
      </c>
      <c r="D4102" s="82">
        <v>901.34</v>
      </c>
    </row>
    <row r="4103" spans="1:4" x14ac:dyDescent="0.3">
      <c r="A4103" t="s">
        <v>30</v>
      </c>
      <c r="C4103" s="16">
        <v>46289</v>
      </c>
      <c r="D4103" s="82">
        <v>1380.08</v>
      </c>
    </row>
    <row r="4104" spans="1:4" x14ac:dyDescent="0.3">
      <c r="A4104" t="s">
        <v>31</v>
      </c>
      <c r="C4104" s="16">
        <v>46289</v>
      </c>
      <c r="D4104" s="82">
        <v>28714.879999999961</v>
      </c>
    </row>
    <row r="4105" spans="1:4" x14ac:dyDescent="0.3">
      <c r="A4105" t="s">
        <v>32</v>
      </c>
      <c r="C4105" s="16">
        <v>46289</v>
      </c>
      <c r="D4105" s="82">
        <v>15162.600000000006</v>
      </c>
    </row>
    <row r="4106" spans="1:4" x14ac:dyDescent="0.3">
      <c r="A4106" t="s">
        <v>33</v>
      </c>
      <c r="C4106" s="16">
        <v>46289</v>
      </c>
      <c r="D4106" s="82">
        <v>12937.859999999997</v>
      </c>
    </row>
    <row r="4107" spans="1:4" x14ac:dyDescent="0.3">
      <c r="A4107" t="s">
        <v>34</v>
      </c>
      <c r="C4107" s="16">
        <v>46289</v>
      </c>
      <c r="D4107" s="82">
        <v>345</v>
      </c>
    </row>
    <row r="4108" spans="1:4" x14ac:dyDescent="0.3">
      <c r="A4108" t="s">
        <v>35</v>
      </c>
      <c r="C4108" s="16">
        <v>46289</v>
      </c>
      <c r="D4108" s="82">
        <v>15349.190000000002</v>
      </c>
    </row>
    <row r="4109" spans="1:4" x14ac:dyDescent="0.3">
      <c r="A4109" t="s">
        <v>193</v>
      </c>
      <c r="C4109" s="16">
        <v>46289</v>
      </c>
      <c r="D4109" s="82">
        <v>312415.12000000005</v>
      </c>
    </row>
    <row r="4110" spans="1:4" x14ac:dyDescent="0.3">
      <c r="A4110" t="s">
        <v>214</v>
      </c>
      <c r="C4110" s="16">
        <v>46289</v>
      </c>
      <c r="D4110" s="82">
        <v>103560.93000000001</v>
      </c>
    </row>
    <row r="4111" spans="1:4" x14ac:dyDescent="0.3">
      <c r="A4111" t="s">
        <v>194</v>
      </c>
      <c r="C4111" s="16">
        <v>46289</v>
      </c>
      <c r="D4111" s="82">
        <v>3631.96</v>
      </c>
    </row>
    <row r="4112" spans="1:4" x14ac:dyDescent="0.3">
      <c r="A4112" t="s">
        <v>195</v>
      </c>
      <c r="C4112" s="16">
        <v>46289</v>
      </c>
      <c r="D4112" s="82">
        <v>604.80000000000018</v>
      </c>
    </row>
    <row r="4113" spans="1:4" x14ac:dyDescent="0.3">
      <c r="A4113" t="s">
        <v>196</v>
      </c>
      <c r="C4113" s="16">
        <v>46289</v>
      </c>
      <c r="D4113" s="82">
        <v>24430.749999999971</v>
      </c>
    </row>
    <row r="4114" spans="1:4" x14ac:dyDescent="0.3">
      <c r="A4114" t="s">
        <v>197</v>
      </c>
      <c r="C4114" s="16">
        <v>46289</v>
      </c>
      <c r="D4114" s="82">
        <v>794.01</v>
      </c>
    </row>
    <row r="4115" spans="1:4" x14ac:dyDescent="0.3">
      <c r="A4115" t="s">
        <v>212</v>
      </c>
      <c r="C4115" s="16">
        <v>46289</v>
      </c>
      <c r="D4115" s="82">
        <v>5445.57</v>
      </c>
    </row>
    <row r="4116" spans="1:4" x14ac:dyDescent="0.3">
      <c r="A4116" t="s">
        <v>199</v>
      </c>
      <c r="C4116" s="16">
        <v>46289</v>
      </c>
      <c r="D4116" s="82">
        <v>236093.16999999998</v>
      </c>
    </row>
    <row r="4117" spans="1:4" x14ac:dyDescent="0.3">
      <c r="A4117" t="s">
        <v>216</v>
      </c>
      <c r="C4117" s="16">
        <v>46289</v>
      </c>
      <c r="D4117" s="82">
        <v>327985.82999999996</v>
      </c>
    </row>
    <row r="4118" spans="1:4" x14ac:dyDescent="0.3">
      <c r="A4118" t="s">
        <v>17</v>
      </c>
      <c r="C4118" s="16">
        <v>46290</v>
      </c>
      <c r="D4118" s="82">
        <v>1835826.1700000004</v>
      </c>
    </row>
    <row r="4119" spans="1:4" x14ac:dyDescent="0.3">
      <c r="A4119" t="s">
        <v>18</v>
      </c>
      <c r="C4119" s="16">
        <v>46290</v>
      </c>
      <c r="D4119" s="82">
        <v>100486.46000000017</v>
      </c>
    </row>
    <row r="4120" spans="1:4" x14ac:dyDescent="0.3">
      <c r="A4120" t="s">
        <v>19</v>
      </c>
      <c r="C4120" s="16">
        <v>46290</v>
      </c>
      <c r="D4120" s="82">
        <v>1669.89</v>
      </c>
    </row>
    <row r="4121" spans="1:4" x14ac:dyDescent="0.3">
      <c r="A4121" t="s">
        <v>20</v>
      </c>
      <c r="C4121" s="16">
        <v>46290</v>
      </c>
      <c r="D4121" s="82">
        <v>1313603.3599999999</v>
      </c>
    </row>
    <row r="4122" spans="1:4" x14ac:dyDescent="0.3">
      <c r="A4122" t="s">
        <v>21</v>
      </c>
      <c r="C4122" s="16">
        <v>46290</v>
      </c>
      <c r="D4122" s="82">
        <v>1350091.6599999997</v>
      </c>
    </row>
    <row r="4123" spans="1:4" x14ac:dyDescent="0.3">
      <c r="A4123" t="s">
        <v>22</v>
      </c>
      <c r="C4123" s="16">
        <v>46290</v>
      </c>
      <c r="D4123" s="82">
        <v>229778.14</v>
      </c>
    </row>
    <row r="4124" spans="1:4" x14ac:dyDescent="0.3">
      <c r="A4124" t="s">
        <v>23</v>
      </c>
      <c r="C4124" s="16">
        <v>46290</v>
      </c>
      <c r="D4124" s="82">
        <v>217688.58</v>
      </c>
    </row>
    <row r="4125" spans="1:4" x14ac:dyDescent="0.3">
      <c r="A4125" t="s">
        <v>24</v>
      </c>
      <c r="C4125" s="16">
        <v>46290</v>
      </c>
      <c r="D4125" s="82">
        <v>11744.75</v>
      </c>
    </row>
    <row r="4126" spans="1:4" x14ac:dyDescent="0.3">
      <c r="A4126" t="s">
        <v>25</v>
      </c>
      <c r="C4126" s="16">
        <v>46290</v>
      </c>
      <c r="D4126" s="82">
        <v>94.5</v>
      </c>
    </row>
    <row r="4127" spans="1:4" x14ac:dyDescent="0.3">
      <c r="A4127" t="s">
        <v>26</v>
      </c>
      <c r="C4127" s="16">
        <v>46290</v>
      </c>
      <c r="D4127" s="82">
        <v>2147.92</v>
      </c>
    </row>
    <row r="4128" spans="1:4" x14ac:dyDescent="0.3">
      <c r="A4128" t="s">
        <v>27</v>
      </c>
      <c r="C4128" s="16">
        <v>46290</v>
      </c>
      <c r="D4128" s="82">
        <v>17895.290000000015</v>
      </c>
    </row>
    <row r="4129" spans="1:4" x14ac:dyDescent="0.3">
      <c r="A4129" t="s">
        <v>28</v>
      </c>
      <c r="C4129" s="16">
        <v>46290</v>
      </c>
      <c r="D4129" s="82">
        <v>1968.99</v>
      </c>
    </row>
    <row r="4130" spans="1:4" x14ac:dyDescent="0.3">
      <c r="A4130" t="s">
        <v>29</v>
      </c>
      <c r="C4130" s="16">
        <v>46290</v>
      </c>
      <c r="D4130" s="82">
        <v>901.34</v>
      </c>
    </row>
    <row r="4131" spans="1:4" x14ac:dyDescent="0.3">
      <c r="A4131" t="s">
        <v>30</v>
      </c>
      <c r="C4131" s="16">
        <v>46290</v>
      </c>
      <c r="D4131" s="82">
        <v>1380.08</v>
      </c>
    </row>
    <row r="4132" spans="1:4" x14ac:dyDescent="0.3">
      <c r="A4132" t="s">
        <v>31</v>
      </c>
      <c r="C4132" s="16">
        <v>46290</v>
      </c>
      <c r="D4132" s="82">
        <v>28714.879999999961</v>
      </c>
    </row>
    <row r="4133" spans="1:4" x14ac:dyDescent="0.3">
      <c r="A4133" t="s">
        <v>32</v>
      </c>
      <c r="C4133" s="16">
        <v>46290</v>
      </c>
      <c r="D4133" s="82">
        <v>23389.690000000006</v>
      </c>
    </row>
    <row r="4134" spans="1:4" x14ac:dyDescent="0.3">
      <c r="A4134" t="s">
        <v>33</v>
      </c>
      <c r="C4134" s="16">
        <v>46290</v>
      </c>
      <c r="D4134" s="82">
        <v>16896.059999999998</v>
      </c>
    </row>
    <row r="4135" spans="1:4" x14ac:dyDescent="0.3">
      <c r="A4135" t="s">
        <v>34</v>
      </c>
      <c r="C4135" s="16">
        <v>46290</v>
      </c>
      <c r="D4135" s="82">
        <v>345</v>
      </c>
    </row>
    <row r="4136" spans="1:4" x14ac:dyDescent="0.3">
      <c r="A4136" t="s">
        <v>35</v>
      </c>
      <c r="C4136" s="16">
        <v>46290</v>
      </c>
      <c r="D4136" s="82">
        <v>12209.190000000002</v>
      </c>
    </row>
    <row r="4137" spans="1:4" x14ac:dyDescent="0.3">
      <c r="A4137" t="s">
        <v>193</v>
      </c>
      <c r="C4137" s="16">
        <v>46290</v>
      </c>
      <c r="D4137" s="82">
        <v>312314.37000000005</v>
      </c>
    </row>
    <row r="4138" spans="1:4" x14ac:dyDescent="0.3">
      <c r="A4138" t="s">
        <v>214</v>
      </c>
      <c r="C4138" s="16">
        <v>46290</v>
      </c>
      <c r="D4138" s="82">
        <v>103560.93000000001</v>
      </c>
    </row>
    <row r="4139" spans="1:4" x14ac:dyDescent="0.3">
      <c r="A4139" t="s">
        <v>194</v>
      </c>
      <c r="C4139" s="16">
        <v>46290</v>
      </c>
      <c r="D4139" s="82">
        <v>3631.96</v>
      </c>
    </row>
    <row r="4140" spans="1:4" x14ac:dyDescent="0.3">
      <c r="A4140" t="s">
        <v>195</v>
      </c>
      <c r="C4140" s="16">
        <v>46290</v>
      </c>
      <c r="D4140" s="82">
        <v>604.80000000000018</v>
      </c>
    </row>
    <row r="4141" spans="1:4" x14ac:dyDescent="0.3">
      <c r="A4141" t="s">
        <v>196</v>
      </c>
      <c r="C4141" s="16">
        <v>46290</v>
      </c>
      <c r="D4141" s="82">
        <v>22961.869999999966</v>
      </c>
    </row>
    <row r="4142" spans="1:4" x14ac:dyDescent="0.3">
      <c r="A4142" t="s">
        <v>197</v>
      </c>
      <c r="C4142" s="16">
        <v>46290</v>
      </c>
      <c r="D4142" s="82">
        <v>794.01</v>
      </c>
    </row>
    <row r="4143" spans="1:4" x14ac:dyDescent="0.3">
      <c r="A4143" t="s">
        <v>212</v>
      </c>
      <c r="C4143" s="16">
        <v>46290</v>
      </c>
      <c r="D4143" s="82">
        <v>5445.57</v>
      </c>
    </row>
    <row r="4144" spans="1:4" x14ac:dyDescent="0.3">
      <c r="A4144" t="s">
        <v>199</v>
      </c>
      <c r="C4144" s="16">
        <v>46290</v>
      </c>
      <c r="D4144" s="82">
        <v>236033.16999999998</v>
      </c>
    </row>
    <row r="4145" spans="1:4" x14ac:dyDescent="0.3">
      <c r="A4145" t="s">
        <v>216</v>
      </c>
      <c r="C4145" s="16">
        <v>46290</v>
      </c>
      <c r="D4145" s="82">
        <v>327985.82999999996</v>
      </c>
    </row>
    <row r="4146" spans="1:4" x14ac:dyDescent="0.3">
      <c r="A4146" t="s">
        <v>17</v>
      </c>
      <c r="C4146" s="16">
        <v>46291</v>
      </c>
      <c r="D4146" s="82">
        <v>1835826.1700000004</v>
      </c>
    </row>
    <row r="4147" spans="1:4" x14ac:dyDescent="0.3">
      <c r="A4147" t="s">
        <v>18</v>
      </c>
      <c r="C4147" s="16">
        <v>46291</v>
      </c>
      <c r="D4147" s="82">
        <v>100486.46000000017</v>
      </c>
    </row>
    <row r="4148" spans="1:4" x14ac:dyDescent="0.3">
      <c r="A4148" t="s">
        <v>19</v>
      </c>
      <c r="C4148" s="16">
        <v>46291</v>
      </c>
      <c r="D4148" s="82">
        <v>1669.89</v>
      </c>
    </row>
    <row r="4149" spans="1:4" x14ac:dyDescent="0.3">
      <c r="A4149" t="s">
        <v>20</v>
      </c>
      <c r="C4149" s="16">
        <v>46291</v>
      </c>
      <c r="D4149" s="82">
        <v>1313603.3599999999</v>
      </c>
    </row>
    <row r="4150" spans="1:4" x14ac:dyDescent="0.3">
      <c r="A4150" t="s">
        <v>21</v>
      </c>
      <c r="C4150" s="16">
        <v>46291</v>
      </c>
      <c r="D4150" s="82">
        <v>1350091.6599999997</v>
      </c>
    </row>
    <row r="4151" spans="1:4" x14ac:dyDescent="0.3">
      <c r="A4151" t="s">
        <v>22</v>
      </c>
      <c r="C4151" s="16">
        <v>46291</v>
      </c>
      <c r="D4151" s="82">
        <v>229778.14</v>
      </c>
    </row>
    <row r="4152" spans="1:4" x14ac:dyDescent="0.3">
      <c r="A4152" t="s">
        <v>23</v>
      </c>
      <c r="C4152" s="16">
        <v>46291</v>
      </c>
      <c r="D4152" s="82">
        <v>217688.58</v>
      </c>
    </row>
    <row r="4153" spans="1:4" x14ac:dyDescent="0.3">
      <c r="A4153" t="s">
        <v>24</v>
      </c>
      <c r="C4153" s="16">
        <v>46291</v>
      </c>
      <c r="D4153" s="82">
        <v>11744.75</v>
      </c>
    </row>
    <row r="4154" spans="1:4" x14ac:dyDescent="0.3">
      <c r="A4154" t="s">
        <v>25</v>
      </c>
      <c r="C4154" s="16">
        <v>46291</v>
      </c>
      <c r="D4154" s="82">
        <v>94.5</v>
      </c>
    </row>
    <row r="4155" spans="1:4" x14ac:dyDescent="0.3">
      <c r="A4155" t="s">
        <v>26</v>
      </c>
      <c r="C4155" s="16">
        <v>46291</v>
      </c>
      <c r="D4155" s="82">
        <v>2147.92</v>
      </c>
    </row>
    <row r="4156" spans="1:4" x14ac:dyDescent="0.3">
      <c r="A4156" t="s">
        <v>27</v>
      </c>
      <c r="C4156" s="16">
        <v>46291</v>
      </c>
      <c r="D4156" s="82">
        <v>17895.290000000015</v>
      </c>
    </row>
    <row r="4157" spans="1:4" x14ac:dyDescent="0.3">
      <c r="A4157" t="s">
        <v>28</v>
      </c>
      <c r="C4157" s="16">
        <v>46291</v>
      </c>
      <c r="D4157" s="82">
        <v>1968.99</v>
      </c>
    </row>
    <row r="4158" spans="1:4" x14ac:dyDescent="0.3">
      <c r="A4158" t="s">
        <v>29</v>
      </c>
      <c r="C4158" s="16">
        <v>46291</v>
      </c>
      <c r="D4158" s="82">
        <v>901.34</v>
      </c>
    </row>
    <row r="4159" spans="1:4" x14ac:dyDescent="0.3">
      <c r="A4159" t="s">
        <v>30</v>
      </c>
      <c r="C4159" s="16">
        <v>46291</v>
      </c>
      <c r="D4159" s="82">
        <v>1380.08</v>
      </c>
    </row>
    <row r="4160" spans="1:4" x14ac:dyDescent="0.3">
      <c r="A4160" t="s">
        <v>31</v>
      </c>
      <c r="C4160" s="16">
        <v>46291</v>
      </c>
      <c r="D4160" s="82">
        <v>28714.879999999961</v>
      </c>
    </row>
    <row r="4161" spans="1:4" x14ac:dyDescent="0.3">
      <c r="A4161" t="s">
        <v>32</v>
      </c>
      <c r="C4161" s="16">
        <v>46291</v>
      </c>
      <c r="D4161" s="82">
        <v>23389.690000000006</v>
      </c>
    </row>
    <row r="4162" spans="1:4" x14ac:dyDescent="0.3">
      <c r="A4162" t="s">
        <v>33</v>
      </c>
      <c r="C4162" s="16">
        <v>46291</v>
      </c>
      <c r="D4162" s="82">
        <v>16896.059999999998</v>
      </c>
    </row>
    <row r="4163" spans="1:4" x14ac:dyDescent="0.3">
      <c r="A4163" t="s">
        <v>34</v>
      </c>
      <c r="C4163" s="16">
        <v>46291</v>
      </c>
      <c r="D4163" s="82">
        <v>345</v>
      </c>
    </row>
    <row r="4164" spans="1:4" x14ac:dyDescent="0.3">
      <c r="A4164" t="s">
        <v>35</v>
      </c>
      <c r="C4164" s="16">
        <v>46291</v>
      </c>
      <c r="D4164" s="82">
        <v>12209.190000000002</v>
      </c>
    </row>
    <row r="4165" spans="1:4" x14ac:dyDescent="0.3">
      <c r="A4165" t="s">
        <v>193</v>
      </c>
      <c r="C4165" s="16">
        <v>46291</v>
      </c>
      <c r="D4165" s="82">
        <v>312314.37000000005</v>
      </c>
    </row>
    <row r="4166" spans="1:4" x14ac:dyDescent="0.3">
      <c r="A4166" t="s">
        <v>214</v>
      </c>
      <c r="C4166" s="16">
        <v>46291</v>
      </c>
      <c r="D4166" s="82">
        <v>103560.93000000001</v>
      </c>
    </row>
    <row r="4167" spans="1:4" x14ac:dyDescent="0.3">
      <c r="A4167" t="s">
        <v>194</v>
      </c>
      <c r="C4167" s="16">
        <v>46291</v>
      </c>
      <c r="D4167" s="82">
        <v>3631.96</v>
      </c>
    </row>
    <row r="4168" spans="1:4" x14ac:dyDescent="0.3">
      <c r="A4168" t="s">
        <v>195</v>
      </c>
      <c r="C4168" s="16">
        <v>46291</v>
      </c>
      <c r="D4168" s="82">
        <v>604.80000000000018</v>
      </c>
    </row>
    <row r="4169" spans="1:4" x14ac:dyDescent="0.3">
      <c r="A4169" t="s">
        <v>196</v>
      </c>
      <c r="C4169" s="16">
        <v>46291</v>
      </c>
      <c r="D4169" s="82">
        <v>22961.869999999966</v>
      </c>
    </row>
    <row r="4170" spans="1:4" x14ac:dyDescent="0.3">
      <c r="A4170" t="s">
        <v>197</v>
      </c>
      <c r="C4170" s="16">
        <v>46291</v>
      </c>
      <c r="D4170" s="82">
        <v>794.01</v>
      </c>
    </row>
    <row r="4171" spans="1:4" x14ac:dyDescent="0.3">
      <c r="A4171" t="s">
        <v>212</v>
      </c>
      <c r="C4171" s="16">
        <v>46291</v>
      </c>
      <c r="D4171" s="82">
        <v>5445.57</v>
      </c>
    </row>
    <row r="4172" spans="1:4" x14ac:dyDescent="0.3">
      <c r="A4172" t="s">
        <v>199</v>
      </c>
      <c r="C4172" s="16">
        <v>46291</v>
      </c>
      <c r="D4172" s="82">
        <v>236033.16999999998</v>
      </c>
    </row>
    <row r="4173" spans="1:4" x14ac:dyDescent="0.3">
      <c r="A4173" t="s">
        <v>216</v>
      </c>
      <c r="C4173" s="16">
        <v>46291</v>
      </c>
      <c r="D4173" s="82">
        <v>327985.82999999996</v>
      </c>
    </row>
    <row r="4174" spans="1:4" x14ac:dyDescent="0.3">
      <c r="A4174" t="s">
        <v>17</v>
      </c>
      <c r="C4174" s="16">
        <v>46292</v>
      </c>
      <c r="D4174" s="82">
        <v>1835826.1700000004</v>
      </c>
    </row>
    <row r="4175" spans="1:4" x14ac:dyDescent="0.3">
      <c r="A4175" t="s">
        <v>18</v>
      </c>
      <c r="C4175" s="16">
        <v>46292</v>
      </c>
      <c r="D4175" s="82">
        <v>100486.46000000017</v>
      </c>
    </row>
    <row r="4176" spans="1:4" x14ac:dyDescent="0.3">
      <c r="A4176" t="s">
        <v>19</v>
      </c>
      <c r="C4176" s="16">
        <v>46292</v>
      </c>
      <c r="D4176" s="82">
        <v>1669.89</v>
      </c>
    </row>
    <row r="4177" spans="1:4" x14ac:dyDescent="0.3">
      <c r="A4177" t="s">
        <v>20</v>
      </c>
      <c r="C4177" s="16">
        <v>46292</v>
      </c>
      <c r="D4177" s="82">
        <v>1313603.3599999999</v>
      </c>
    </row>
    <row r="4178" spans="1:4" x14ac:dyDescent="0.3">
      <c r="A4178" t="s">
        <v>21</v>
      </c>
      <c r="C4178" s="16">
        <v>46292</v>
      </c>
      <c r="D4178" s="82">
        <v>1350091.6599999997</v>
      </c>
    </row>
    <row r="4179" spans="1:4" x14ac:dyDescent="0.3">
      <c r="A4179" t="s">
        <v>22</v>
      </c>
      <c r="C4179" s="16">
        <v>46292</v>
      </c>
      <c r="D4179" s="82">
        <v>229778.14</v>
      </c>
    </row>
    <row r="4180" spans="1:4" x14ac:dyDescent="0.3">
      <c r="A4180" t="s">
        <v>23</v>
      </c>
      <c r="C4180" s="16">
        <v>46292</v>
      </c>
      <c r="D4180" s="82">
        <v>217688.58</v>
      </c>
    </row>
    <row r="4181" spans="1:4" x14ac:dyDescent="0.3">
      <c r="A4181" t="s">
        <v>24</v>
      </c>
      <c r="C4181" s="16">
        <v>46292</v>
      </c>
      <c r="D4181" s="82">
        <v>11744.75</v>
      </c>
    </row>
    <row r="4182" spans="1:4" x14ac:dyDescent="0.3">
      <c r="A4182" t="s">
        <v>25</v>
      </c>
      <c r="C4182" s="16">
        <v>46292</v>
      </c>
      <c r="D4182" s="82">
        <v>94.5</v>
      </c>
    </row>
    <row r="4183" spans="1:4" x14ac:dyDescent="0.3">
      <c r="A4183" t="s">
        <v>26</v>
      </c>
      <c r="C4183" s="16">
        <v>46292</v>
      </c>
      <c r="D4183" s="82">
        <v>2147.92</v>
      </c>
    </row>
    <row r="4184" spans="1:4" x14ac:dyDescent="0.3">
      <c r="A4184" t="s">
        <v>27</v>
      </c>
      <c r="C4184" s="16">
        <v>46292</v>
      </c>
      <c r="D4184" s="82">
        <v>17895.290000000015</v>
      </c>
    </row>
    <row r="4185" spans="1:4" x14ac:dyDescent="0.3">
      <c r="A4185" t="s">
        <v>28</v>
      </c>
      <c r="C4185" s="16">
        <v>46292</v>
      </c>
      <c r="D4185" s="82">
        <v>1968.99</v>
      </c>
    </row>
    <row r="4186" spans="1:4" x14ac:dyDescent="0.3">
      <c r="A4186" t="s">
        <v>29</v>
      </c>
      <c r="C4186" s="16">
        <v>46292</v>
      </c>
      <c r="D4186" s="82">
        <v>901.34</v>
      </c>
    </row>
    <row r="4187" spans="1:4" x14ac:dyDescent="0.3">
      <c r="A4187" t="s">
        <v>30</v>
      </c>
      <c r="C4187" s="16">
        <v>46292</v>
      </c>
      <c r="D4187" s="82">
        <v>1380.08</v>
      </c>
    </row>
    <row r="4188" spans="1:4" x14ac:dyDescent="0.3">
      <c r="A4188" t="s">
        <v>31</v>
      </c>
      <c r="C4188" s="16">
        <v>46292</v>
      </c>
      <c r="D4188" s="82">
        <v>28714.879999999961</v>
      </c>
    </row>
    <row r="4189" spans="1:4" x14ac:dyDescent="0.3">
      <c r="A4189" t="s">
        <v>32</v>
      </c>
      <c r="C4189" s="16">
        <v>46292</v>
      </c>
      <c r="D4189" s="82">
        <v>23389.690000000006</v>
      </c>
    </row>
    <row r="4190" spans="1:4" x14ac:dyDescent="0.3">
      <c r="A4190" t="s">
        <v>33</v>
      </c>
      <c r="C4190" s="16">
        <v>46292</v>
      </c>
      <c r="D4190" s="82">
        <v>16896.059999999998</v>
      </c>
    </row>
    <row r="4191" spans="1:4" x14ac:dyDescent="0.3">
      <c r="A4191" t="s">
        <v>34</v>
      </c>
      <c r="C4191" s="16">
        <v>46292</v>
      </c>
      <c r="D4191" s="82">
        <v>345</v>
      </c>
    </row>
    <row r="4192" spans="1:4" x14ac:dyDescent="0.3">
      <c r="A4192" t="s">
        <v>35</v>
      </c>
      <c r="C4192" s="16">
        <v>46292</v>
      </c>
      <c r="D4192" s="82">
        <v>12209.190000000002</v>
      </c>
    </row>
    <row r="4193" spans="1:4" x14ac:dyDescent="0.3">
      <c r="A4193" t="s">
        <v>193</v>
      </c>
      <c r="C4193" s="16">
        <v>46292</v>
      </c>
      <c r="D4193" s="82">
        <v>312314.37000000005</v>
      </c>
    </row>
    <row r="4194" spans="1:4" x14ac:dyDescent="0.3">
      <c r="A4194" t="s">
        <v>214</v>
      </c>
      <c r="C4194" s="16">
        <v>46292</v>
      </c>
      <c r="D4194" s="82">
        <v>103560.93000000001</v>
      </c>
    </row>
    <row r="4195" spans="1:4" x14ac:dyDescent="0.3">
      <c r="A4195" t="s">
        <v>194</v>
      </c>
      <c r="C4195" s="16">
        <v>46292</v>
      </c>
      <c r="D4195" s="82">
        <v>3631.96</v>
      </c>
    </row>
    <row r="4196" spans="1:4" x14ac:dyDescent="0.3">
      <c r="A4196" t="s">
        <v>195</v>
      </c>
      <c r="C4196" s="16">
        <v>46292</v>
      </c>
      <c r="D4196" s="82">
        <v>604.80000000000018</v>
      </c>
    </row>
    <row r="4197" spans="1:4" x14ac:dyDescent="0.3">
      <c r="A4197" t="s">
        <v>196</v>
      </c>
      <c r="C4197" s="16">
        <v>46292</v>
      </c>
      <c r="D4197" s="82">
        <v>22961.869999999966</v>
      </c>
    </row>
    <row r="4198" spans="1:4" x14ac:dyDescent="0.3">
      <c r="A4198" t="s">
        <v>197</v>
      </c>
      <c r="C4198" s="16">
        <v>46292</v>
      </c>
      <c r="D4198" s="82">
        <v>794.01</v>
      </c>
    </row>
    <row r="4199" spans="1:4" x14ac:dyDescent="0.3">
      <c r="A4199" t="s">
        <v>212</v>
      </c>
      <c r="C4199" s="16">
        <v>46292</v>
      </c>
      <c r="D4199" s="82">
        <v>5445.57</v>
      </c>
    </row>
    <row r="4200" spans="1:4" x14ac:dyDescent="0.3">
      <c r="A4200" t="s">
        <v>199</v>
      </c>
      <c r="C4200" s="16">
        <v>46292</v>
      </c>
      <c r="D4200" s="82">
        <v>236033.16999999998</v>
      </c>
    </row>
    <row r="4201" spans="1:4" x14ac:dyDescent="0.3">
      <c r="A4201" t="s">
        <v>216</v>
      </c>
      <c r="C4201" s="16">
        <v>46292</v>
      </c>
      <c r="D4201" s="82">
        <v>327985.82999999996</v>
      </c>
    </row>
    <row r="4202" spans="1:4" x14ac:dyDescent="0.3">
      <c r="A4202" t="s">
        <v>17</v>
      </c>
      <c r="C4202" s="16">
        <v>46293</v>
      </c>
      <c r="D4202" s="82">
        <v>1843622.6700000004</v>
      </c>
    </row>
    <row r="4203" spans="1:4" x14ac:dyDescent="0.3">
      <c r="A4203" t="s">
        <v>18</v>
      </c>
      <c r="C4203" s="16">
        <v>46293</v>
      </c>
      <c r="D4203" s="82">
        <v>100486.46000000017</v>
      </c>
    </row>
    <row r="4204" spans="1:4" x14ac:dyDescent="0.3">
      <c r="A4204" t="s">
        <v>19</v>
      </c>
      <c r="C4204" s="16">
        <v>46293</v>
      </c>
      <c r="D4204" s="82">
        <v>1669.89</v>
      </c>
    </row>
    <row r="4205" spans="1:4" x14ac:dyDescent="0.3">
      <c r="A4205" t="s">
        <v>20</v>
      </c>
      <c r="C4205" s="16">
        <v>46293</v>
      </c>
      <c r="D4205" s="82">
        <v>1330582.2599999998</v>
      </c>
    </row>
    <row r="4206" spans="1:4" x14ac:dyDescent="0.3">
      <c r="A4206" t="s">
        <v>21</v>
      </c>
      <c r="C4206" s="16">
        <v>46293</v>
      </c>
      <c r="D4206" s="82">
        <v>1350091.6599999997</v>
      </c>
    </row>
    <row r="4207" spans="1:4" x14ac:dyDescent="0.3">
      <c r="A4207" t="s">
        <v>22</v>
      </c>
      <c r="C4207" s="16">
        <v>46293</v>
      </c>
      <c r="D4207" s="82">
        <v>229778.14</v>
      </c>
    </row>
    <row r="4208" spans="1:4" x14ac:dyDescent="0.3">
      <c r="A4208" t="s">
        <v>23</v>
      </c>
      <c r="C4208" s="16">
        <v>46293</v>
      </c>
      <c r="D4208" s="82">
        <v>217688.58</v>
      </c>
    </row>
    <row r="4209" spans="1:4" x14ac:dyDescent="0.3">
      <c r="A4209" t="s">
        <v>24</v>
      </c>
      <c r="C4209" s="16">
        <v>46293</v>
      </c>
      <c r="D4209" s="82">
        <v>11744.75</v>
      </c>
    </row>
    <row r="4210" spans="1:4" x14ac:dyDescent="0.3">
      <c r="A4210" t="s">
        <v>25</v>
      </c>
      <c r="C4210" s="16">
        <v>46293</v>
      </c>
      <c r="D4210" s="82">
        <v>94.5</v>
      </c>
    </row>
    <row r="4211" spans="1:4" x14ac:dyDescent="0.3">
      <c r="A4211" t="s">
        <v>26</v>
      </c>
      <c r="C4211" s="16">
        <v>46293</v>
      </c>
      <c r="D4211" s="82">
        <v>2147.92</v>
      </c>
    </row>
    <row r="4212" spans="1:4" x14ac:dyDescent="0.3">
      <c r="A4212" t="s">
        <v>27</v>
      </c>
      <c r="C4212" s="16">
        <v>46293</v>
      </c>
      <c r="D4212" s="82">
        <v>17895.290000000015</v>
      </c>
    </row>
    <row r="4213" spans="1:4" x14ac:dyDescent="0.3">
      <c r="A4213" t="s">
        <v>28</v>
      </c>
      <c r="C4213" s="16">
        <v>46293</v>
      </c>
      <c r="D4213" s="82">
        <v>1968.99</v>
      </c>
    </row>
    <row r="4214" spans="1:4" x14ac:dyDescent="0.3">
      <c r="A4214" t="s">
        <v>29</v>
      </c>
      <c r="C4214" s="16">
        <v>46293</v>
      </c>
      <c r="D4214" s="82">
        <v>901.34</v>
      </c>
    </row>
    <row r="4215" spans="1:4" x14ac:dyDescent="0.3">
      <c r="A4215" t="s">
        <v>30</v>
      </c>
      <c r="C4215" s="16">
        <v>46293</v>
      </c>
      <c r="D4215" s="82">
        <v>1380.08</v>
      </c>
    </row>
    <row r="4216" spans="1:4" x14ac:dyDescent="0.3">
      <c r="A4216" t="s">
        <v>31</v>
      </c>
      <c r="C4216" s="16">
        <v>46293</v>
      </c>
      <c r="D4216" s="82">
        <v>28714.879999999961</v>
      </c>
    </row>
    <row r="4217" spans="1:4" x14ac:dyDescent="0.3">
      <c r="A4217" t="s">
        <v>32</v>
      </c>
      <c r="C4217" s="16">
        <v>46293</v>
      </c>
      <c r="D4217" s="82">
        <v>23374.690000000006</v>
      </c>
    </row>
    <row r="4218" spans="1:4" x14ac:dyDescent="0.3">
      <c r="A4218" t="s">
        <v>33</v>
      </c>
      <c r="C4218" s="16">
        <v>46293</v>
      </c>
      <c r="D4218" s="82">
        <v>16266.809999999998</v>
      </c>
    </row>
    <row r="4219" spans="1:4" x14ac:dyDescent="0.3">
      <c r="A4219" t="s">
        <v>34</v>
      </c>
      <c r="C4219" s="16">
        <v>46293</v>
      </c>
      <c r="D4219" s="82">
        <v>345</v>
      </c>
    </row>
    <row r="4220" spans="1:4" x14ac:dyDescent="0.3">
      <c r="A4220" t="s">
        <v>35</v>
      </c>
      <c r="C4220" s="16">
        <v>46293</v>
      </c>
      <c r="D4220" s="82">
        <v>12209.190000000002</v>
      </c>
    </row>
    <row r="4221" spans="1:4" x14ac:dyDescent="0.3">
      <c r="A4221" t="s">
        <v>193</v>
      </c>
      <c r="C4221" s="16">
        <v>46293</v>
      </c>
      <c r="D4221" s="82">
        <v>312314.37000000005</v>
      </c>
    </row>
    <row r="4222" spans="1:4" x14ac:dyDescent="0.3">
      <c r="A4222" t="s">
        <v>214</v>
      </c>
      <c r="C4222" s="16">
        <v>46293</v>
      </c>
      <c r="D4222" s="82">
        <v>103560.93000000001</v>
      </c>
    </row>
    <row r="4223" spans="1:4" x14ac:dyDescent="0.3">
      <c r="A4223" t="s">
        <v>194</v>
      </c>
      <c r="C4223" s="16">
        <v>46293</v>
      </c>
      <c r="D4223" s="82">
        <v>3631.96</v>
      </c>
    </row>
    <row r="4224" spans="1:4" x14ac:dyDescent="0.3">
      <c r="A4224" t="s">
        <v>195</v>
      </c>
      <c r="C4224" s="16">
        <v>46293</v>
      </c>
      <c r="D4224" s="82">
        <v>604.80000000000018</v>
      </c>
    </row>
    <row r="4225" spans="1:4" x14ac:dyDescent="0.3">
      <c r="A4225" t="s">
        <v>196</v>
      </c>
      <c r="C4225" s="16">
        <v>46293</v>
      </c>
      <c r="D4225" s="82">
        <v>22456.779999999955</v>
      </c>
    </row>
    <row r="4226" spans="1:4" x14ac:dyDescent="0.3">
      <c r="A4226" t="s">
        <v>197</v>
      </c>
      <c r="C4226" s="16">
        <v>46293</v>
      </c>
      <c r="D4226" s="82">
        <v>794.01</v>
      </c>
    </row>
    <row r="4227" spans="1:4" x14ac:dyDescent="0.3">
      <c r="A4227" t="s">
        <v>212</v>
      </c>
      <c r="C4227" s="16">
        <v>46293</v>
      </c>
      <c r="D4227" s="82">
        <v>5445.57</v>
      </c>
    </row>
    <row r="4228" spans="1:4" x14ac:dyDescent="0.3">
      <c r="A4228" t="s">
        <v>199</v>
      </c>
      <c r="C4228" s="16">
        <v>46293</v>
      </c>
      <c r="D4228" s="82">
        <v>237883.16999999998</v>
      </c>
    </row>
    <row r="4229" spans="1:4" x14ac:dyDescent="0.3">
      <c r="A4229" t="s">
        <v>216</v>
      </c>
      <c r="C4229" s="16">
        <v>46293</v>
      </c>
      <c r="D4229" s="82">
        <v>327985.82999999996</v>
      </c>
    </row>
    <row r="4230" spans="1:4" x14ac:dyDescent="0.3">
      <c r="A4230" t="s">
        <v>17</v>
      </c>
      <c r="C4230" s="16">
        <v>46294</v>
      </c>
      <c r="D4230" s="82">
        <v>1840829.6400000004</v>
      </c>
    </row>
    <row r="4231" spans="1:4" x14ac:dyDescent="0.3">
      <c r="A4231" t="s">
        <v>18</v>
      </c>
      <c r="C4231" s="16">
        <v>46294</v>
      </c>
      <c r="D4231" s="82">
        <v>100486.46000000017</v>
      </c>
    </row>
    <row r="4232" spans="1:4" x14ac:dyDescent="0.3">
      <c r="A4232" t="s">
        <v>19</v>
      </c>
      <c r="C4232" s="16">
        <v>46294</v>
      </c>
      <c r="D4232" s="82">
        <v>1669.89</v>
      </c>
    </row>
    <row r="4233" spans="1:4" x14ac:dyDescent="0.3">
      <c r="A4233" t="s">
        <v>20</v>
      </c>
      <c r="C4233" s="16">
        <v>46294</v>
      </c>
      <c r="D4233" s="82">
        <v>1330582.2599999998</v>
      </c>
    </row>
    <row r="4234" spans="1:4" x14ac:dyDescent="0.3">
      <c r="A4234" t="s">
        <v>21</v>
      </c>
      <c r="C4234" s="16">
        <v>46294</v>
      </c>
      <c r="D4234" s="82">
        <v>1180932.1499999997</v>
      </c>
    </row>
    <row r="4235" spans="1:4" x14ac:dyDescent="0.3">
      <c r="A4235" t="s">
        <v>22</v>
      </c>
      <c r="C4235" s="16">
        <v>46294</v>
      </c>
      <c r="D4235" s="82">
        <v>229778.14</v>
      </c>
    </row>
    <row r="4236" spans="1:4" x14ac:dyDescent="0.3">
      <c r="A4236" t="s">
        <v>23</v>
      </c>
      <c r="C4236" s="16">
        <v>46294</v>
      </c>
      <c r="D4236" s="82">
        <v>217688.58</v>
      </c>
    </row>
    <row r="4237" spans="1:4" x14ac:dyDescent="0.3">
      <c r="A4237" t="s">
        <v>24</v>
      </c>
      <c r="C4237" s="16">
        <v>46294</v>
      </c>
      <c r="D4237" s="82">
        <v>10474.32</v>
      </c>
    </row>
    <row r="4238" spans="1:4" x14ac:dyDescent="0.3">
      <c r="A4238" t="s">
        <v>25</v>
      </c>
      <c r="C4238" s="16">
        <v>46294</v>
      </c>
      <c r="D4238" s="82">
        <v>94.5</v>
      </c>
    </row>
    <row r="4239" spans="1:4" x14ac:dyDescent="0.3">
      <c r="A4239" t="s">
        <v>26</v>
      </c>
      <c r="C4239" s="16">
        <v>46294</v>
      </c>
      <c r="D4239" s="82">
        <v>2147.92</v>
      </c>
    </row>
    <row r="4240" spans="1:4" x14ac:dyDescent="0.3">
      <c r="A4240" t="s">
        <v>27</v>
      </c>
      <c r="C4240" s="16">
        <v>46294</v>
      </c>
      <c r="D4240" s="82">
        <v>17895.290000000015</v>
      </c>
    </row>
    <row r="4241" spans="1:4" x14ac:dyDescent="0.3">
      <c r="A4241" t="s">
        <v>28</v>
      </c>
      <c r="C4241" s="16">
        <v>46294</v>
      </c>
      <c r="D4241" s="82">
        <v>1968.99</v>
      </c>
    </row>
    <row r="4242" spans="1:4" x14ac:dyDescent="0.3">
      <c r="A4242" t="s">
        <v>29</v>
      </c>
      <c r="C4242" s="16">
        <v>46294</v>
      </c>
      <c r="D4242" s="82">
        <v>901.34</v>
      </c>
    </row>
    <row r="4243" spans="1:4" x14ac:dyDescent="0.3">
      <c r="A4243" t="s">
        <v>30</v>
      </c>
      <c r="C4243" s="16">
        <v>46294</v>
      </c>
      <c r="D4243" s="82">
        <v>1380.08</v>
      </c>
    </row>
    <row r="4244" spans="1:4" x14ac:dyDescent="0.3">
      <c r="A4244" t="s">
        <v>31</v>
      </c>
      <c r="C4244" s="16">
        <v>46294</v>
      </c>
      <c r="D4244" s="82">
        <v>28714.879999999961</v>
      </c>
    </row>
    <row r="4245" spans="1:4" x14ac:dyDescent="0.3">
      <c r="A4245" t="s">
        <v>32</v>
      </c>
      <c r="C4245" s="16">
        <v>46294</v>
      </c>
      <c r="D4245" s="82">
        <v>23374.690000000006</v>
      </c>
    </row>
    <row r="4246" spans="1:4" x14ac:dyDescent="0.3">
      <c r="A4246" t="s">
        <v>33</v>
      </c>
      <c r="C4246" s="16">
        <v>46294</v>
      </c>
      <c r="D4246" s="82">
        <v>19266.809999999998</v>
      </c>
    </row>
    <row r="4247" spans="1:4" x14ac:dyDescent="0.3">
      <c r="A4247" t="s">
        <v>34</v>
      </c>
      <c r="C4247" s="16">
        <v>46294</v>
      </c>
      <c r="D4247" s="82">
        <v>345</v>
      </c>
    </row>
    <row r="4248" spans="1:4" x14ac:dyDescent="0.3">
      <c r="A4248" t="s">
        <v>35</v>
      </c>
      <c r="C4248" s="16">
        <v>46294</v>
      </c>
      <c r="D4248" s="82">
        <v>12209.190000000002</v>
      </c>
    </row>
    <row r="4249" spans="1:4" x14ac:dyDescent="0.3">
      <c r="A4249" t="s">
        <v>193</v>
      </c>
      <c r="C4249" s="16">
        <v>46294</v>
      </c>
      <c r="D4249" s="82">
        <v>312314.37000000005</v>
      </c>
    </row>
    <row r="4250" spans="1:4" x14ac:dyDescent="0.3">
      <c r="A4250" t="s">
        <v>214</v>
      </c>
      <c r="C4250" s="16">
        <v>46294</v>
      </c>
      <c r="D4250" s="82">
        <v>102394.01000000001</v>
      </c>
    </row>
    <row r="4251" spans="1:4" x14ac:dyDescent="0.3">
      <c r="A4251" t="s">
        <v>194</v>
      </c>
      <c r="C4251" s="16">
        <v>46294</v>
      </c>
      <c r="D4251" s="82">
        <v>3631.96</v>
      </c>
    </row>
    <row r="4252" spans="1:4" x14ac:dyDescent="0.3">
      <c r="A4252" t="s">
        <v>195</v>
      </c>
      <c r="C4252" s="16">
        <v>46294</v>
      </c>
      <c r="D4252" s="82">
        <v>604.80000000000018</v>
      </c>
    </row>
    <row r="4253" spans="1:4" x14ac:dyDescent="0.3">
      <c r="A4253" t="s">
        <v>196</v>
      </c>
      <c r="C4253" s="16">
        <v>46294</v>
      </c>
      <c r="D4253" s="82">
        <v>22456.779999999955</v>
      </c>
    </row>
    <row r="4254" spans="1:4" x14ac:dyDescent="0.3">
      <c r="A4254" t="s">
        <v>197</v>
      </c>
      <c r="C4254" s="16">
        <v>46294</v>
      </c>
      <c r="D4254" s="82">
        <v>794.01</v>
      </c>
    </row>
    <row r="4255" spans="1:4" x14ac:dyDescent="0.3">
      <c r="A4255" t="s">
        <v>212</v>
      </c>
      <c r="C4255" s="16">
        <v>46294</v>
      </c>
      <c r="D4255" s="82">
        <v>5445.57</v>
      </c>
    </row>
    <row r="4256" spans="1:4" x14ac:dyDescent="0.3">
      <c r="A4256" t="s">
        <v>199</v>
      </c>
      <c r="C4256" s="16">
        <v>46294</v>
      </c>
      <c r="D4256" s="82">
        <v>239523.16999999998</v>
      </c>
    </row>
    <row r="4257" spans="1:4" x14ac:dyDescent="0.3">
      <c r="A4257" t="s">
        <v>216</v>
      </c>
      <c r="C4257" s="16">
        <v>46294</v>
      </c>
      <c r="D4257" s="82">
        <v>327985.82999999996</v>
      </c>
    </row>
    <row r="4258" spans="1:4" x14ac:dyDescent="0.3">
      <c r="A4258" t="s">
        <v>17</v>
      </c>
      <c r="C4258" s="16">
        <v>46295</v>
      </c>
      <c r="D4258" s="82">
        <v>1926823.6500000004</v>
      </c>
    </row>
    <row r="4259" spans="1:4" x14ac:dyDescent="0.3">
      <c r="A4259" t="s">
        <v>18</v>
      </c>
      <c r="C4259" s="16">
        <v>46295</v>
      </c>
      <c r="D4259" s="82">
        <v>103123.59000000017</v>
      </c>
    </row>
    <row r="4260" spans="1:4" x14ac:dyDescent="0.3">
      <c r="A4260" t="s">
        <v>19</v>
      </c>
      <c r="C4260" s="16">
        <v>46295</v>
      </c>
      <c r="D4260" s="82">
        <v>1669.89</v>
      </c>
    </row>
    <row r="4261" spans="1:4" x14ac:dyDescent="0.3">
      <c r="A4261" t="s">
        <v>20</v>
      </c>
      <c r="C4261" s="16">
        <v>46295</v>
      </c>
      <c r="D4261" s="82">
        <v>1355779.1799999997</v>
      </c>
    </row>
    <row r="4262" spans="1:4" x14ac:dyDescent="0.3">
      <c r="A4262" t="s">
        <v>21</v>
      </c>
      <c r="C4262" s="16">
        <v>46295</v>
      </c>
      <c r="D4262" s="82">
        <v>1111163.6899999995</v>
      </c>
    </row>
    <row r="4263" spans="1:4" x14ac:dyDescent="0.3">
      <c r="A4263" t="s">
        <v>22</v>
      </c>
      <c r="C4263" s="16">
        <v>46295</v>
      </c>
      <c r="D4263" s="82">
        <v>229778.14</v>
      </c>
    </row>
    <row r="4264" spans="1:4" x14ac:dyDescent="0.3">
      <c r="A4264" t="s">
        <v>23</v>
      </c>
      <c r="C4264" s="16">
        <v>46295</v>
      </c>
      <c r="D4264" s="82">
        <v>80533.579999999987</v>
      </c>
    </row>
    <row r="4265" spans="1:4" x14ac:dyDescent="0.3">
      <c r="A4265" t="s">
        <v>24</v>
      </c>
      <c r="C4265" s="16">
        <v>46295</v>
      </c>
      <c r="D4265" s="82">
        <v>10259.18</v>
      </c>
    </row>
    <row r="4266" spans="1:4" x14ac:dyDescent="0.3">
      <c r="A4266" t="s">
        <v>25</v>
      </c>
      <c r="C4266" s="16">
        <v>46295</v>
      </c>
      <c r="D4266" s="82">
        <v>94.5</v>
      </c>
    </row>
    <row r="4267" spans="1:4" x14ac:dyDescent="0.3">
      <c r="A4267" t="s">
        <v>26</v>
      </c>
      <c r="C4267" s="16">
        <v>46295</v>
      </c>
      <c r="D4267" s="82">
        <v>2147.92</v>
      </c>
    </row>
    <row r="4268" spans="1:4" x14ac:dyDescent="0.3">
      <c r="A4268" t="s">
        <v>27</v>
      </c>
      <c r="C4268" s="16">
        <v>46295</v>
      </c>
      <c r="D4268" s="82">
        <v>17895.290000000015</v>
      </c>
    </row>
    <row r="4269" spans="1:4" x14ac:dyDescent="0.3">
      <c r="A4269" t="s">
        <v>28</v>
      </c>
      <c r="C4269" s="16">
        <v>46295</v>
      </c>
      <c r="D4269" s="82">
        <v>1968.99</v>
      </c>
    </row>
    <row r="4270" spans="1:4" x14ac:dyDescent="0.3">
      <c r="A4270" t="s">
        <v>29</v>
      </c>
      <c r="C4270" s="16">
        <v>46295</v>
      </c>
      <c r="D4270" s="82">
        <v>901.34</v>
      </c>
    </row>
    <row r="4271" spans="1:4" x14ac:dyDescent="0.3">
      <c r="A4271" t="s">
        <v>30</v>
      </c>
      <c r="C4271" s="16">
        <v>46295</v>
      </c>
      <c r="D4271" s="82">
        <v>1380.08</v>
      </c>
    </row>
    <row r="4272" spans="1:4" x14ac:dyDescent="0.3">
      <c r="A4272" t="s">
        <v>31</v>
      </c>
      <c r="C4272" s="16">
        <v>46295</v>
      </c>
      <c r="D4272" s="82">
        <v>28714.879999999961</v>
      </c>
    </row>
    <row r="4273" spans="1:4" x14ac:dyDescent="0.3">
      <c r="A4273" t="s">
        <v>32</v>
      </c>
      <c r="C4273" s="16">
        <v>46295</v>
      </c>
      <c r="D4273" s="82">
        <v>23374.690000000006</v>
      </c>
    </row>
    <row r="4274" spans="1:4" x14ac:dyDescent="0.3">
      <c r="A4274" t="s">
        <v>33</v>
      </c>
      <c r="C4274" s="16">
        <v>46295</v>
      </c>
      <c r="D4274" s="82">
        <v>19266.809999999998</v>
      </c>
    </row>
    <row r="4275" spans="1:4" x14ac:dyDescent="0.3">
      <c r="A4275" t="s">
        <v>34</v>
      </c>
      <c r="C4275" s="16">
        <v>46295</v>
      </c>
      <c r="D4275" s="82">
        <v>345</v>
      </c>
    </row>
    <row r="4276" spans="1:4" x14ac:dyDescent="0.3">
      <c r="A4276" t="s">
        <v>35</v>
      </c>
      <c r="C4276" s="16">
        <v>46295</v>
      </c>
      <c r="D4276" s="82">
        <v>12209.190000000002</v>
      </c>
    </row>
    <row r="4277" spans="1:4" x14ac:dyDescent="0.3">
      <c r="A4277" t="s">
        <v>193</v>
      </c>
      <c r="C4277" s="16">
        <v>46295</v>
      </c>
      <c r="D4277" s="82">
        <v>313178.98000000004</v>
      </c>
    </row>
    <row r="4278" spans="1:4" x14ac:dyDescent="0.3">
      <c r="A4278" t="s">
        <v>214</v>
      </c>
      <c r="C4278" s="16">
        <v>46295</v>
      </c>
      <c r="D4278" s="82">
        <v>102344.01000000001</v>
      </c>
    </row>
    <row r="4279" spans="1:4" x14ac:dyDescent="0.3">
      <c r="A4279" t="s">
        <v>194</v>
      </c>
      <c r="C4279" s="16">
        <v>46295</v>
      </c>
      <c r="D4279" s="82">
        <v>3631.96</v>
      </c>
    </row>
    <row r="4280" spans="1:4" x14ac:dyDescent="0.3">
      <c r="A4280" t="s">
        <v>195</v>
      </c>
      <c r="C4280" s="16">
        <v>46295</v>
      </c>
      <c r="D4280" s="82">
        <v>604.80000000000018</v>
      </c>
    </row>
    <row r="4281" spans="1:4" x14ac:dyDescent="0.3">
      <c r="A4281" t="s">
        <v>196</v>
      </c>
      <c r="C4281" s="16">
        <v>46295</v>
      </c>
      <c r="D4281" s="82">
        <v>21964.799999999959</v>
      </c>
    </row>
    <row r="4282" spans="1:4" x14ac:dyDescent="0.3">
      <c r="A4282" t="s">
        <v>197</v>
      </c>
      <c r="C4282" s="16">
        <v>46295</v>
      </c>
      <c r="D4282" s="82">
        <v>794.01</v>
      </c>
    </row>
    <row r="4283" spans="1:4" x14ac:dyDescent="0.3">
      <c r="A4283" t="s">
        <v>212</v>
      </c>
      <c r="C4283" s="16">
        <v>46295</v>
      </c>
      <c r="D4283" s="82">
        <v>5445.57</v>
      </c>
    </row>
    <row r="4284" spans="1:4" x14ac:dyDescent="0.3">
      <c r="A4284" t="s">
        <v>199</v>
      </c>
      <c r="C4284" s="16">
        <v>46295</v>
      </c>
      <c r="D4284" s="82">
        <v>239523.16999999998</v>
      </c>
    </row>
    <row r="4285" spans="1:4" x14ac:dyDescent="0.3">
      <c r="A4285" t="s">
        <v>216</v>
      </c>
      <c r="C4285" s="16">
        <v>46295</v>
      </c>
      <c r="D4285" s="82">
        <v>327985.82999999996</v>
      </c>
    </row>
    <row r="4286" spans="1:4" x14ac:dyDescent="0.3">
      <c r="A4286" t="s">
        <v>17</v>
      </c>
      <c r="C4286" s="16">
        <v>46296</v>
      </c>
      <c r="D4286" s="82">
        <v>3099831.9800000004</v>
      </c>
    </row>
    <row r="4287" spans="1:4" x14ac:dyDescent="0.3">
      <c r="A4287" t="s">
        <v>18</v>
      </c>
      <c r="C4287" s="16">
        <v>46296</v>
      </c>
      <c r="D4287" s="82">
        <v>103123.59000000017</v>
      </c>
    </row>
    <row r="4288" spans="1:4" x14ac:dyDescent="0.3">
      <c r="A4288" t="s">
        <v>19</v>
      </c>
      <c r="C4288" s="16">
        <v>46296</v>
      </c>
      <c r="D4288" s="82">
        <v>1669.89</v>
      </c>
    </row>
    <row r="4289" spans="1:4" x14ac:dyDescent="0.3">
      <c r="A4289" t="s">
        <v>20</v>
      </c>
      <c r="C4289" s="16">
        <v>46296</v>
      </c>
      <c r="D4289" s="82">
        <v>1200526.7499999995</v>
      </c>
    </row>
    <row r="4290" spans="1:4" x14ac:dyDescent="0.3">
      <c r="A4290" t="s">
        <v>21</v>
      </c>
      <c r="C4290" s="16">
        <v>46296</v>
      </c>
      <c r="D4290" s="82">
        <v>1586416.1199999996</v>
      </c>
    </row>
    <row r="4291" spans="1:4" x14ac:dyDescent="0.3">
      <c r="A4291" t="s">
        <v>22</v>
      </c>
      <c r="C4291" s="16">
        <v>46296</v>
      </c>
      <c r="D4291" s="82">
        <v>208778.14</v>
      </c>
    </row>
    <row r="4292" spans="1:4" x14ac:dyDescent="0.3">
      <c r="A4292" t="s">
        <v>23</v>
      </c>
      <c r="C4292" s="16">
        <v>46296</v>
      </c>
      <c r="D4292" s="82">
        <v>80533.579999999987</v>
      </c>
    </row>
    <row r="4293" spans="1:4" x14ac:dyDescent="0.3">
      <c r="A4293" t="s">
        <v>24</v>
      </c>
      <c r="C4293" s="16">
        <v>46296</v>
      </c>
      <c r="D4293" s="82">
        <v>10259.18</v>
      </c>
    </row>
    <row r="4294" spans="1:4" x14ac:dyDescent="0.3">
      <c r="A4294" t="s">
        <v>25</v>
      </c>
      <c r="C4294" s="16">
        <v>46296</v>
      </c>
      <c r="D4294" s="82">
        <v>64.55</v>
      </c>
    </row>
    <row r="4295" spans="1:4" x14ac:dyDescent="0.3">
      <c r="A4295" t="s">
        <v>26</v>
      </c>
      <c r="C4295" s="16">
        <v>46296</v>
      </c>
      <c r="D4295" s="82">
        <v>2117.9700000000003</v>
      </c>
    </row>
    <row r="4296" spans="1:4" x14ac:dyDescent="0.3">
      <c r="A4296" t="s">
        <v>27</v>
      </c>
      <c r="C4296" s="16">
        <v>46296</v>
      </c>
      <c r="D4296" s="82">
        <v>17895.290000000015</v>
      </c>
    </row>
    <row r="4297" spans="1:4" x14ac:dyDescent="0.3">
      <c r="A4297" t="s">
        <v>28</v>
      </c>
      <c r="C4297" s="16">
        <v>46296</v>
      </c>
      <c r="D4297" s="82">
        <v>1968.99</v>
      </c>
    </row>
    <row r="4298" spans="1:4" x14ac:dyDescent="0.3">
      <c r="A4298" t="s">
        <v>29</v>
      </c>
      <c r="C4298" s="16">
        <v>46296</v>
      </c>
      <c r="D4298" s="82">
        <v>901.34</v>
      </c>
    </row>
    <row r="4299" spans="1:4" x14ac:dyDescent="0.3">
      <c r="A4299" t="s">
        <v>30</v>
      </c>
      <c r="C4299" s="16">
        <v>46296</v>
      </c>
      <c r="D4299" s="82">
        <v>1364.08</v>
      </c>
    </row>
    <row r="4300" spans="1:4" x14ac:dyDescent="0.3">
      <c r="A4300" t="s">
        <v>31</v>
      </c>
      <c r="C4300" s="16">
        <v>46296</v>
      </c>
      <c r="D4300" s="82">
        <v>20171.549999999959</v>
      </c>
    </row>
    <row r="4301" spans="1:4" x14ac:dyDescent="0.3">
      <c r="A4301" t="s">
        <v>32</v>
      </c>
      <c r="C4301" s="16">
        <v>46296</v>
      </c>
      <c r="D4301" s="82">
        <v>13576.060000000007</v>
      </c>
    </row>
    <row r="4302" spans="1:4" x14ac:dyDescent="0.3">
      <c r="A4302" t="s">
        <v>33</v>
      </c>
      <c r="C4302" s="16">
        <v>46296</v>
      </c>
      <c r="D4302" s="82">
        <v>16893.769999999997</v>
      </c>
    </row>
    <row r="4303" spans="1:4" x14ac:dyDescent="0.3">
      <c r="A4303" t="s">
        <v>34</v>
      </c>
      <c r="C4303" s="16">
        <v>46296</v>
      </c>
      <c r="D4303" s="82">
        <v>345</v>
      </c>
    </row>
    <row r="4304" spans="1:4" x14ac:dyDescent="0.3">
      <c r="A4304" t="s">
        <v>35</v>
      </c>
      <c r="C4304" s="16">
        <v>46296</v>
      </c>
      <c r="D4304" s="82">
        <v>26842.190000000002</v>
      </c>
    </row>
    <row r="4305" spans="1:4" x14ac:dyDescent="0.3">
      <c r="A4305" t="s">
        <v>193</v>
      </c>
      <c r="C4305" s="16">
        <v>46296</v>
      </c>
      <c r="D4305" s="82">
        <v>313178.98000000004</v>
      </c>
    </row>
    <row r="4306" spans="1:4" x14ac:dyDescent="0.3">
      <c r="A4306" t="s">
        <v>214</v>
      </c>
      <c r="C4306" s="16">
        <v>46296</v>
      </c>
      <c r="D4306" s="82">
        <v>102344.01000000001</v>
      </c>
    </row>
    <row r="4307" spans="1:4" x14ac:dyDescent="0.3">
      <c r="A4307" t="s">
        <v>194</v>
      </c>
      <c r="C4307" s="16">
        <v>46296</v>
      </c>
      <c r="D4307" s="82">
        <v>100631.96</v>
      </c>
    </row>
    <row r="4308" spans="1:4" x14ac:dyDescent="0.3">
      <c r="A4308" t="s">
        <v>195</v>
      </c>
      <c r="C4308" s="16">
        <v>46296</v>
      </c>
      <c r="D4308" s="82">
        <v>5604.8</v>
      </c>
    </row>
    <row r="4309" spans="1:4" x14ac:dyDescent="0.3">
      <c r="A4309" t="s">
        <v>196</v>
      </c>
      <c r="C4309" s="16">
        <v>46296</v>
      </c>
      <c r="D4309" s="82">
        <v>21964.799999999959</v>
      </c>
    </row>
    <row r="4310" spans="1:4" x14ac:dyDescent="0.3">
      <c r="A4310" t="s">
        <v>197</v>
      </c>
      <c r="C4310" s="16">
        <v>46296</v>
      </c>
      <c r="D4310" s="82">
        <v>794.01</v>
      </c>
    </row>
    <row r="4311" spans="1:4" x14ac:dyDescent="0.3">
      <c r="A4311" t="s">
        <v>212</v>
      </c>
      <c r="C4311" s="16">
        <v>46296</v>
      </c>
      <c r="D4311" s="82">
        <v>5445.57</v>
      </c>
    </row>
    <row r="4312" spans="1:4" x14ac:dyDescent="0.3">
      <c r="A4312" t="s">
        <v>199</v>
      </c>
      <c r="C4312" s="16">
        <v>46296</v>
      </c>
      <c r="D4312" s="82">
        <v>239523.16999999998</v>
      </c>
    </row>
    <row r="4313" spans="1:4" x14ac:dyDescent="0.3">
      <c r="A4313" t="s">
        <v>216</v>
      </c>
      <c r="C4313" s="16">
        <v>46296</v>
      </c>
      <c r="D4313" s="82">
        <v>327985.82999999996</v>
      </c>
    </row>
    <row r="4314" spans="1:4" x14ac:dyDescent="0.3">
      <c r="A4314" t="s">
        <v>17</v>
      </c>
      <c r="C4314" s="16">
        <v>46297</v>
      </c>
      <c r="D4314" s="82">
        <v>3099831.9800000004</v>
      </c>
    </row>
    <row r="4315" spans="1:4" x14ac:dyDescent="0.3">
      <c r="A4315" t="s">
        <v>18</v>
      </c>
      <c r="C4315" s="16">
        <v>46297</v>
      </c>
      <c r="D4315" s="82">
        <v>103123.59000000017</v>
      </c>
    </row>
    <row r="4316" spans="1:4" x14ac:dyDescent="0.3">
      <c r="A4316" t="s">
        <v>19</v>
      </c>
      <c r="C4316" s="16">
        <v>46297</v>
      </c>
      <c r="D4316" s="82">
        <v>1669.89</v>
      </c>
    </row>
    <row r="4317" spans="1:4" x14ac:dyDescent="0.3">
      <c r="A4317" t="s">
        <v>20</v>
      </c>
      <c r="C4317" s="16">
        <v>46297</v>
      </c>
      <c r="D4317" s="82">
        <v>1200526.7499999995</v>
      </c>
    </row>
    <row r="4318" spans="1:4" x14ac:dyDescent="0.3">
      <c r="A4318" t="s">
        <v>21</v>
      </c>
      <c r="C4318" s="16">
        <v>46297</v>
      </c>
      <c r="D4318" s="82">
        <v>1586416.1199999996</v>
      </c>
    </row>
    <row r="4319" spans="1:4" x14ac:dyDescent="0.3">
      <c r="A4319" t="s">
        <v>22</v>
      </c>
      <c r="C4319" s="16">
        <v>46297</v>
      </c>
      <c r="D4319" s="82">
        <v>208778.14</v>
      </c>
    </row>
    <row r="4320" spans="1:4" x14ac:dyDescent="0.3">
      <c r="A4320" t="s">
        <v>23</v>
      </c>
      <c r="C4320" s="16">
        <v>46297</v>
      </c>
      <c r="D4320" s="82">
        <v>80533.579999999987</v>
      </c>
    </row>
    <row r="4321" spans="1:4" x14ac:dyDescent="0.3">
      <c r="A4321" t="s">
        <v>24</v>
      </c>
      <c r="C4321" s="16">
        <v>46297</v>
      </c>
      <c r="D4321" s="82">
        <v>10259.18</v>
      </c>
    </row>
    <row r="4322" spans="1:4" x14ac:dyDescent="0.3">
      <c r="A4322" t="s">
        <v>25</v>
      </c>
      <c r="C4322" s="16">
        <v>46297</v>
      </c>
      <c r="D4322" s="82">
        <v>64.55</v>
      </c>
    </row>
    <row r="4323" spans="1:4" x14ac:dyDescent="0.3">
      <c r="A4323" t="s">
        <v>26</v>
      </c>
      <c r="C4323" s="16">
        <v>46297</v>
      </c>
      <c r="D4323" s="82">
        <v>2117.9700000000003</v>
      </c>
    </row>
    <row r="4324" spans="1:4" x14ac:dyDescent="0.3">
      <c r="A4324" t="s">
        <v>27</v>
      </c>
      <c r="C4324" s="16">
        <v>46297</v>
      </c>
      <c r="D4324" s="82">
        <v>17895.290000000015</v>
      </c>
    </row>
    <row r="4325" spans="1:4" x14ac:dyDescent="0.3">
      <c r="A4325" t="s">
        <v>28</v>
      </c>
      <c r="C4325" s="16">
        <v>46297</v>
      </c>
      <c r="D4325" s="82">
        <v>1968.99</v>
      </c>
    </row>
    <row r="4326" spans="1:4" x14ac:dyDescent="0.3">
      <c r="A4326" t="s">
        <v>29</v>
      </c>
      <c r="C4326" s="16">
        <v>46297</v>
      </c>
      <c r="D4326" s="82">
        <v>901.34</v>
      </c>
    </row>
    <row r="4327" spans="1:4" x14ac:dyDescent="0.3">
      <c r="A4327" t="s">
        <v>30</v>
      </c>
      <c r="C4327" s="16">
        <v>46297</v>
      </c>
      <c r="D4327" s="82">
        <v>1364.08</v>
      </c>
    </row>
    <row r="4328" spans="1:4" x14ac:dyDescent="0.3">
      <c r="A4328" t="s">
        <v>31</v>
      </c>
      <c r="C4328" s="16">
        <v>46297</v>
      </c>
      <c r="D4328" s="82">
        <v>20171.549999999959</v>
      </c>
    </row>
    <row r="4329" spans="1:4" x14ac:dyDescent="0.3">
      <c r="A4329" t="s">
        <v>32</v>
      </c>
      <c r="C4329" s="16">
        <v>46297</v>
      </c>
      <c r="D4329" s="82">
        <v>13576.060000000007</v>
      </c>
    </row>
    <row r="4330" spans="1:4" x14ac:dyDescent="0.3">
      <c r="A4330" t="s">
        <v>33</v>
      </c>
      <c r="C4330" s="16">
        <v>46297</v>
      </c>
      <c r="D4330" s="82">
        <v>16893.769999999997</v>
      </c>
    </row>
    <row r="4331" spans="1:4" x14ac:dyDescent="0.3">
      <c r="A4331" t="s">
        <v>34</v>
      </c>
      <c r="C4331" s="16">
        <v>46297</v>
      </c>
      <c r="D4331" s="82">
        <v>345</v>
      </c>
    </row>
    <row r="4332" spans="1:4" x14ac:dyDescent="0.3">
      <c r="A4332" t="s">
        <v>35</v>
      </c>
      <c r="C4332" s="16">
        <v>46297</v>
      </c>
      <c r="D4332" s="82">
        <v>23028.850000000002</v>
      </c>
    </row>
    <row r="4333" spans="1:4" x14ac:dyDescent="0.3">
      <c r="A4333" t="s">
        <v>193</v>
      </c>
      <c r="C4333" s="16">
        <v>46297</v>
      </c>
      <c r="D4333" s="82">
        <v>313178.98000000004</v>
      </c>
    </row>
    <row r="4334" spans="1:4" x14ac:dyDescent="0.3">
      <c r="A4334" t="s">
        <v>214</v>
      </c>
      <c r="C4334" s="16">
        <v>46297</v>
      </c>
      <c r="D4334" s="82">
        <v>102232.04000000001</v>
      </c>
    </row>
    <row r="4335" spans="1:4" x14ac:dyDescent="0.3">
      <c r="A4335" t="s">
        <v>194</v>
      </c>
      <c r="C4335" s="16">
        <v>46297</v>
      </c>
      <c r="D4335" s="82">
        <v>100631.96</v>
      </c>
    </row>
    <row r="4336" spans="1:4" x14ac:dyDescent="0.3">
      <c r="A4336" t="s">
        <v>195</v>
      </c>
      <c r="C4336" s="16">
        <v>46297</v>
      </c>
      <c r="D4336" s="82">
        <v>5604.8</v>
      </c>
    </row>
    <row r="4337" spans="1:4" x14ac:dyDescent="0.3">
      <c r="A4337" t="s">
        <v>196</v>
      </c>
      <c r="C4337" s="16">
        <v>46297</v>
      </c>
      <c r="D4337" s="82">
        <v>21434.939999999973</v>
      </c>
    </row>
    <row r="4338" spans="1:4" x14ac:dyDescent="0.3">
      <c r="A4338" t="s">
        <v>197</v>
      </c>
      <c r="C4338" s="16">
        <v>46297</v>
      </c>
      <c r="D4338" s="82">
        <v>794.01</v>
      </c>
    </row>
    <row r="4339" spans="1:4" x14ac:dyDescent="0.3">
      <c r="A4339" t="s">
        <v>212</v>
      </c>
      <c r="C4339" s="16">
        <v>46297</v>
      </c>
      <c r="D4339" s="82">
        <v>5445.57</v>
      </c>
    </row>
    <row r="4340" spans="1:4" x14ac:dyDescent="0.3">
      <c r="A4340" t="s">
        <v>199</v>
      </c>
      <c r="C4340" s="16">
        <v>46297</v>
      </c>
      <c r="D4340" s="82">
        <v>240473.16999999998</v>
      </c>
    </row>
    <row r="4341" spans="1:4" x14ac:dyDescent="0.3">
      <c r="A4341" t="s">
        <v>216</v>
      </c>
      <c r="C4341" s="16">
        <v>46297</v>
      </c>
      <c r="D4341" s="82">
        <v>327985.82999999996</v>
      </c>
    </row>
    <row r="4342" spans="1:4" x14ac:dyDescent="0.3">
      <c r="A4342" t="s">
        <v>17</v>
      </c>
      <c r="C4342" s="16">
        <v>46298</v>
      </c>
      <c r="D4342" s="82">
        <v>3099831.9800000004</v>
      </c>
    </row>
    <row r="4343" spans="1:4" x14ac:dyDescent="0.3">
      <c r="A4343" t="s">
        <v>18</v>
      </c>
      <c r="C4343" s="16">
        <v>46298</v>
      </c>
      <c r="D4343" s="82">
        <v>103123.59000000017</v>
      </c>
    </row>
    <row r="4344" spans="1:4" x14ac:dyDescent="0.3">
      <c r="A4344" t="s">
        <v>19</v>
      </c>
      <c r="C4344" s="16">
        <v>46298</v>
      </c>
      <c r="D4344" s="82">
        <v>1669.89</v>
      </c>
    </row>
    <row r="4345" spans="1:4" x14ac:dyDescent="0.3">
      <c r="A4345" t="s">
        <v>20</v>
      </c>
      <c r="C4345" s="16">
        <v>46298</v>
      </c>
      <c r="D4345" s="82">
        <v>1200526.7499999995</v>
      </c>
    </row>
    <row r="4346" spans="1:4" x14ac:dyDescent="0.3">
      <c r="A4346" t="s">
        <v>21</v>
      </c>
      <c r="C4346" s="16">
        <v>46298</v>
      </c>
      <c r="D4346" s="82">
        <v>1586416.1199999996</v>
      </c>
    </row>
    <row r="4347" spans="1:4" x14ac:dyDescent="0.3">
      <c r="A4347" t="s">
        <v>22</v>
      </c>
      <c r="C4347" s="16">
        <v>46298</v>
      </c>
      <c r="D4347" s="82">
        <v>208778.14</v>
      </c>
    </row>
    <row r="4348" spans="1:4" x14ac:dyDescent="0.3">
      <c r="A4348" t="s">
        <v>23</v>
      </c>
      <c r="C4348" s="16">
        <v>46298</v>
      </c>
      <c r="D4348" s="82">
        <v>80533.579999999987</v>
      </c>
    </row>
    <row r="4349" spans="1:4" x14ac:dyDescent="0.3">
      <c r="A4349" t="s">
        <v>24</v>
      </c>
      <c r="C4349" s="16">
        <v>46298</v>
      </c>
      <c r="D4349" s="82">
        <v>10259.18</v>
      </c>
    </row>
    <row r="4350" spans="1:4" x14ac:dyDescent="0.3">
      <c r="A4350" t="s">
        <v>25</v>
      </c>
      <c r="C4350" s="16">
        <v>46298</v>
      </c>
      <c r="D4350" s="82">
        <v>64.55</v>
      </c>
    </row>
    <row r="4351" spans="1:4" x14ac:dyDescent="0.3">
      <c r="A4351" t="s">
        <v>26</v>
      </c>
      <c r="C4351" s="16">
        <v>46298</v>
      </c>
      <c r="D4351" s="82">
        <v>2117.9700000000003</v>
      </c>
    </row>
    <row r="4352" spans="1:4" x14ac:dyDescent="0.3">
      <c r="A4352" t="s">
        <v>27</v>
      </c>
      <c r="C4352" s="16">
        <v>46298</v>
      </c>
      <c r="D4352" s="82">
        <v>17895.290000000015</v>
      </c>
    </row>
    <row r="4353" spans="1:4" x14ac:dyDescent="0.3">
      <c r="A4353" t="s">
        <v>28</v>
      </c>
      <c r="C4353" s="16">
        <v>46298</v>
      </c>
      <c r="D4353" s="82">
        <v>1968.99</v>
      </c>
    </row>
    <row r="4354" spans="1:4" x14ac:dyDescent="0.3">
      <c r="A4354" t="s">
        <v>29</v>
      </c>
      <c r="C4354" s="16">
        <v>46298</v>
      </c>
      <c r="D4354" s="82">
        <v>901.34</v>
      </c>
    </row>
    <row r="4355" spans="1:4" x14ac:dyDescent="0.3">
      <c r="A4355" t="s">
        <v>30</v>
      </c>
      <c r="C4355" s="16">
        <v>46298</v>
      </c>
      <c r="D4355" s="82">
        <v>1364.08</v>
      </c>
    </row>
    <row r="4356" spans="1:4" x14ac:dyDescent="0.3">
      <c r="A4356" t="s">
        <v>31</v>
      </c>
      <c r="C4356" s="16">
        <v>46298</v>
      </c>
      <c r="D4356" s="82">
        <v>20171.549999999959</v>
      </c>
    </row>
    <row r="4357" spans="1:4" x14ac:dyDescent="0.3">
      <c r="A4357" t="s">
        <v>32</v>
      </c>
      <c r="C4357" s="16">
        <v>46298</v>
      </c>
      <c r="D4357" s="82">
        <v>13576.060000000007</v>
      </c>
    </row>
    <row r="4358" spans="1:4" x14ac:dyDescent="0.3">
      <c r="A4358" t="s">
        <v>33</v>
      </c>
      <c r="C4358" s="16">
        <v>46298</v>
      </c>
      <c r="D4358" s="82">
        <v>16893.769999999997</v>
      </c>
    </row>
    <row r="4359" spans="1:4" x14ac:dyDescent="0.3">
      <c r="A4359" t="s">
        <v>34</v>
      </c>
      <c r="C4359" s="16">
        <v>46298</v>
      </c>
      <c r="D4359" s="82">
        <v>345</v>
      </c>
    </row>
    <row r="4360" spans="1:4" x14ac:dyDescent="0.3">
      <c r="A4360" t="s">
        <v>35</v>
      </c>
      <c r="C4360" s="16">
        <v>46298</v>
      </c>
      <c r="D4360" s="82">
        <v>23028.850000000002</v>
      </c>
    </row>
    <row r="4361" spans="1:4" x14ac:dyDescent="0.3">
      <c r="A4361" t="s">
        <v>193</v>
      </c>
      <c r="C4361" s="16">
        <v>46298</v>
      </c>
      <c r="D4361" s="82">
        <v>313178.98000000004</v>
      </c>
    </row>
    <row r="4362" spans="1:4" x14ac:dyDescent="0.3">
      <c r="A4362" t="s">
        <v>214</v>
      </c>
      <c r="C4362" s="16">
        <v>46298</v>
      </c>
      <c r="D4362" s="82">
        <v>102232.04000000001</v>
      </c>
    </row>
    <row r="4363" spans="1:4" x14ac:dyDescent="0.3">
      <c r="A4363" t="s">
        <v>194</v>
      </c>
      <c r="C4363" s="16">
        <v>46298</v>
      </c>
      <c r="D4363" s="82">
        <v>100631.96</v>
      </c>
    </row>
    <row r="4364" spans="1:4" x14ac:dyDescent="0.3">
      <c r="A4364" t="s">
        <v>195</v>
      </c>
      <c r="C4364" s="16">
        <v>46298</v>
      </c>
      <c r="D4364" s="82">
        <v>5604.8</v>
      </c>
    </row>
    <row r="4365" spans="1:4" x14ac:dyDescent="0.3">
      <c r="A4365" t="s">
        <v>196</v>
      </c>
      <c r="C4365" s="16">
        <v>46298</v>
      </c>
      <c r="D4365" s="82">
        <v>21434.939999999973</v>
      </c>
    </row>
    <row r="4366" spans="1:4" x14ac:dyDescent="0.3">
      <c r="A4366" t="s">
        <v>197</v>
      </c>
      <c r="C4366" s="16">
        <v>46298</v>
      </c>
      <c r="D4366" s="82">
        <v>794.01</v>
      </c>
    </row>
    <row r="4367" spans="1:4" x14ac:dyDescent="0.3">
      <c r="A4367" t="s">
        <v>212</v>
      </c>
      <c r="C4367" s="16">
        <v>46298</v>
      </c>
      <c r="D4367" s="82">
        <v>5445.57</v>
      </c>
    </row>
    <row r="4368" spans="1:4" x14ac:dyDescent="0.3">
      <c r="A4368" t="s">
        <v>199</v>
      </c>
      <c r="C4368" s="16">
        <v>46298</v>
      </c>
      <c r="D4368" s="82">
        <v>240473.16999999998</v>
      </c>
    </row>
    <row r="4369" spans="1:4" x14ac:dyDescent="0.3">
      <c r="A4369" t="s">
        <v>216</v>
      </c>
      <c r="C4369" s="16">
        <v>46298</v>
      </c>
      <c r="D4369" s="82">
        <v>327985.82999999996</v>
      </c>
    </row>
    <row r="4370" spans="1:4" x14ac:dyDescent="0.3">
      <c r="A4370" t="s">
        <v>17</v>
      </c>
      <c r="C4370" s="16">
        <v>46299</v>
      </c>
      <c r="D4370" s="82">
        <v>3099831.9800000004</v>
      </c>
    </row>
    <row r="4371" spans="1:4" x14ac:dyDescent="0.3">
      <c r="A4371" t="s">
        <v>18</v>
      </c>
      <c r="C4371" s="16">
        <v>46299</v>
      </c>
      <c r="D4371" s="82">
        <v>103123.59000000017</v>
      </c>
    </row>
    <row r="4372" spans="1:4" x14ac:dyDescent="0.3">
      <c r="A4372" t="s">
        <v>19</v>
      </c>
      <c r="C4372" s="16">
        <v>46299</v>
      </c>
      <c r="D4372" s="82">
        <v>1669.89</v>
      </c>
    </row>
    <row r="4373" spans="1:4" x14ac:dyDescent="0.3">
      <c r="A4373" t="s">
        <v>20</v>
      </c>
      <c r="C4373" s="16">
        <v>46299</v>
      </c>
      <c r="D4373" s="82">
        <v>1200526.7499999995</v>
      </c>
    </row>
    <row r="4374" spans="1:4" x14ac:dyDescent="0.3">
      <c r="A4374" t="s">
        <v>21</v>
      </c>
      <c r="C4374" s="16">
        <v>46299</v>
      </c>
      <c r="D4374" s="82">
        <v>1586416.1199999996</v>
      </c>
    </row>
    <row r="4375" spans="1:4" x14ac:dyDescent="0.3">
      <c r="A4375" t="s">
        <v>22</v>
      </c>
      <c r="C4375" s="16">
        <v>46299</v>
      </c>
      <c r="D4375" s="82">
        <v>208778.14</v>
      </c>
    </row>
    <row r="4376" spans="1:4" x14ac:dyDescent="0.3">
      <c r="A4376" t="s">
        <v>23</v>
      </c>
      <c r="C4376" s="16">
        <v>46299</v>
      </c>
      <c r="D4376" s="82">
        <v>80533.579999999987</v>
      </c>
    </row>
    <row r="4377" spans="1:4" x14ac:dyDescent="0.3">
      <c r="A4377" t="s">
        <v>24</v>
      </c>
      <c r="C4377" s="16">
        <v>46299</v>
      </c>
      <c r="D4377" s="82">
        <v>10259.18</v>
      </c>
    </row>
    <row r="4378" spans="1:4" x14ac:dyDescent="0.3">
      <c r="A4378" t="s">
        <v>25</v>
      </c>
      <c r="C4378" s="16">
        <v>46299</v>
      </c>
      <c r="D4378" s="82">
        <v>64.55</v>
      </c>
    </row>
    <row r="4379" spans="1:4" x14ac:dyDescent="0.3">
      <c r="A4379" t="s">
        <v>26</v>
      </c>
      <c r="C4379" s="16">
        <v>46299</v>
      </c>
      <c r="D4379" s="82">
        <v>2117.9700000000003</v>
      </c>
    </row>
    <row r="4380" spans="1:4" x14ac:dyDescent="0.3">
      <c r="A4380" t="s">
        <v>27</v>
      </c>
      <c r="C4380" s="16">
        <v>46299</v>
      </c>
      <c r="D4380" s="82">
        <v>17895.290000000015</v>
      </c>
    </row>
    <row r="4381" spans="1:4" x14ac:dyDescent="0.3">
      <c r="A4381" t="s">
        <v>28</v>
      </c>
      <c r="C4381" s="16">
        <v>46299</v>
      </c>
      <c r="D4381" s="82">
        <v>1968.99</v>
      </c>
    </row>
    <row r="4382" spans="1:4" x14ac:dyDescent="0.3">
      <c r="A4382" t="s">
        <v>29</v>
      </c>
      <c r="C4382" s="16">
        <v>46299</v>
      </c>
      <c r="D4382" s="82">
        <v>901.34</v>
      </c>
    </row>
    <row r="4383" spans="1:4" x14ac:dyDescent="0.3">
      <c r="A4383" t="s">
        <v>30</v>
      </c>
      <c r="C4383" s="16">
        <v>46299</v>
      </c>
      <c r="D4383" s="82">
        <v>1364.08</v>
      </c>
    </row>
    <row r="4384" spans="1:4" x14ac:dyDescent="0.3">
      <c r="A4384" t="s">
        <v>31</v>
      </c>
      <c r="C4384" s="16">
        <v>46299</v>
      </c>
      <c r="D4384" s="82">
        <v>20171.549999999959</v>
      </c>
    </row>
    <row r="4385" spans="1:4" x14ac:dyDescent="0.3">
      <c r="A4385" t="s">
        <v>32</v>
      </c>
      <c r="C4385" s="16">
        <v>46299</v>
      </c>
      <c r="D4385" s="82">
        <v>13576.060000000007</v>
      </c>
    </row>
    <row r="4386" spans="1:4" x14ac:dyDescent="0.3">
      <c r="A4386" t="s">
        <v>33</v>
      </c>
      <c r="C4386" s="16">
        <v>46299</v>
      </c>
      <c r="D4386" s="82">
        <v>16893.769999999997</v>
      </c>
    </row>
    <row r="4387" spans="1:4" x14ac:dyDescent="0.3">
      <c r="A4387" t="s">
        <v>34</v>
      </c>
      <c r="C4387" s="16">
        <v>46299</v>
      </c>
      <c r="D4387" s="82">
        <v>345</v>
      </c>
    </row>
    <row r="4388" spans="1:4" x14ac:dyDescent="0.3">
      <c r="A4388" t="s">
        <v>35</v>
      </c>
      <c r="C4388" s="16">
        <v>46299</v>
      </c>
      <c r="D4388" s="82">
        <v>23028.850000000002</v>
      </c>
    </row>
    <row r="4389" spans="1:4" x14ac:dyDescent="0.3">
      <c r="A4389" t="s">
        <v>193</v>
      </c>
      <c r="C4389" s="16">
        <v>46299</v>
      </c>
      <c r="D4389" s="82">
        <v>313178.98000000004</v>
      </c>
    </row>
    <row r="4390" spans="1:4" x14ac:dyDescent="0.3">
      <c r="A4390" t="s">
        <v>214</v>
      </c>
      <c r="C4390" s="16">
        <v>46299</v>
      </c>
      <c r="D4390" s="82">
        <v>102232.04000000001</v>
      </c>
    </row>
    <row r="4391" spans="1:4" x14ac:dyDescent="0.3">
      <c r="A4391" t="s">
        <v>194</v>
      </c>
      <c r="C4391" s="16">
        <v>46299</v>
      </c>
      <c r="D4391" s="82">
        <v>100631.96</v>
      </c>
    </row>
    <row r="4392" spans="1:4" x14ac:dyDescent="0.3">
      <c r="A4392" t="s">
        <v>195</v>
      </c>
      <c r="C4392" s="16">
        <v>46299</v>
      </c>
      <c r="D4392" s="82">
        <v>5604.8</v>
      </c>
    </row>
    <row r="4393" spans="1:4" x14ac:dyDescent="0.3">
      <c r="A4393" t="s">
        <v>196</v>
      </c>
      <c r="C4393" s="16">
        <v>46299</v>
      </c>
      <c r="D4393" s="82">
        <v>21434.939999999973</v>
      </c>
    </row>
    <row r="4394" spans="1:4" x14ac:dyDescent="0.3">
      <c r="A4394" t="s">
        <v>197</v>
      </c>
      <c r="C4394" s="16">
        <v>46299</v>
      </c>
      <c r="D4394" s="82">
        <v>794.01</v>
      </c>
    </row>
    <row r="4395" spans="1:4" x14ac:dyDescent="0.3">
      <c r="A4395" t="s">
        <v>212</v>
      </c>
      <c r="C4395" s="16">
        <v>46299</v>
      </c>
      <c r="D4395" s="82">
        <v>5445.57</v>
      </c>
    </row>
    <row r="4396" spans="1:4" x14ac:dyDescent="0.3">
      <c r="A4396" t="s">
        <v>199</v>
      </c>
      <c r="C4396" s="16">
        <v>46299</v>
      </c>
      <c r="D4396" s="82">
        <v>240473.16999999998</v>
      </c>
    </row>
    <row r="4397" spans="1:4" x14ac:dyDescent="0.3">
      <c r="A4397" t="s">
        <v>216</v>
      </c>
      <c r="C4397" s="16">
        <v>46299</v>
      </c>
      <c r="D4397" s="82">
        <v>327985.82999999996</v>
      </c>
    </row>
    <row r="4398" spans="1:4" x14ac:dyDescent="0.3">
      <c r="A4398" t="s">
        <v>17</v>
      </c>
      <c r="C4398" s="16">
        <v>46300</v>
      </c>
      <c r="D4398" s="82">
        <v>3099831.9800000004</v>
      </c>
    </row>
    <row r="4399" spans="1:4" x14ac:dyDescent="0.3">
      <c r="A4399" t="s">
        <v>18</v>
      </c>
      <c r="C4399" s="16">
        <v>46300</v>
      </c>
      <c r="D4399" s="82">
        <v>103123.59000000017</v>
      </c>
    </row>
    <row r="4400" spans="1:4" x14ac:dyDescent="0.3">
      <c r="A4400" t="s">
        <v>19</v>
      </c>
      <c r="C4400" s="16">
        <v>46300</v>
      </c>
      <c r="D4400" s="82">
        <v>1669.89</v>
      </c>
    </row>
    <row r="4401" spans="1:4" x14ac:dyDescent="0.3">
      <c r="A4401" t="s">
        <v>20</v>
      </c>
      <c r="C4401" s="16">
        <v>46300</v>
      </c>
      <c r="D4401" s="82">
        <v>1200526.7499999995</v>
      </c>
    </row>
    <row r="4402" spans="1:4" x14ac:dyDescent="0.3">
      <c r="A4402" t="s">
        <v>21</v>
      </c>
      <c r="C4402" s="16">
        <v>46300</v>
      </c>
      <c r="D4402" s="82">
        <v>1585767.3599999994</v>
      </c>
    </row>
    <row r="4403" spans="1:4" x14ac:dyDescent="0.3">
      <c r="A4403" t="s">
        <v>22</v>
      </c>
      <c r="C4403" s="16">
        <v>46300</v>
      </c>
      <c r="D4403" s="82">
        <v>181778.14</v>
      </c>
    </row>
    <row r="4404" spans="1:4" x14ac:dyDescent="0.3">
      <c r="A4404" t="s">
        <v>23</v>
      </c>
      <c r="C4404" s="16">
        <v>46300</v>
      </c>
      <c r="D4404" s="82">
        <v>80533.579999999987</v>
      </c>
    </row>
    <row r="4405" spans="1:4" x14ac:dyDescent="0.3">
      <c r="A4405" t="s">
        <v>24</v>
      </c>
      <c r="C4405" s="16">
        <v>46300</v>
      </c>
      <c r="D4405" s="82">
        <v>10259.18</v>
      </c>
    </row>
    <row r="4406" spans="1:4" x14ac:dyDescent="0.3">
      <c r="A4406" t="s">
        <v>25</v>
      </c>
      <c r="C4406" s="16">
        <v>46300</v>
      </c>
      <c r="D4406" s="82">
        <v>64.55</v>
      </c>
    </row>
    <row r="4407" spans="1:4" x14ac:dyDescent="0.3">
      <c r="A4407" t="s">
        <v>26</v>
      </c>
      <c r="C4407" s="16">
        <v>46300</v>
      </c>
      <c r="D4407" s="82">
        <v>2117.9700000000003</v>
      </c>
    </row>
    <row r="4408" spans="1:4" x14ac:dyDescent="0.3">
      <c r="A4408" t="s">
        <v>27</v>
      </c>
      <c r="C4408" s="16">
        <v>46300</v>
      </c>
      <c r="D4408" s="82">
        <v>17895.290000000015</v>
      </c>
    </row>
    <row r="4409" spans="1:4" x14ac:dyDescent="0.3">
      <c r="A4409" t="s">
        <v>28</v>
      </c>
      <c r="C4409" s="16">
        <v>46300</v>
      </c>
      <c r="D4409" s="82">
        <v>1968.99</v>
      </c>
    </row>
    <row r="4410" spans="1:4" x14ac:dyDescent="0.3">
      <c r="A4410" t="s">
        <v>29</v>
      </c>
      <c r="C4410" s="16">
        <v>46300</v>
      </c>
      <c r="D4410" s="82">
        <v>901.34</v>
      </c>
    </row>
    <row r="4411" spans="1:4" x14ac:dyDescent="0.3">
      <c r="A4411" t="s">
        <v>30</v>
      </c>
      <c r="C4411" s="16">
        <v>46300</v>
      </c>
      <c r="D4411" s="82">
        <v>1364.08</v>
      </c>
    </row>
    <row r="4412" spans="1:4" x14ac:dyDescent="0.3">
      <c r="A4412" t="s">
        <v>31</v>
      </c>
      <c r="C4412" s="16">
        <v>46300</v>
      </c>
      <c r="D4412" s="82">
        <v>20171.549999999959</v>
      </c>
    </row>
    <row r="4413" spans="1:4" x14ac:dyDescent="0.3">
      <c r="A4413" t="s">
        <v>32</v>
      </c>
      <c r="C4413" s="16">
        <v>46300</v>
      </c>
      <c r="D4413" s="82">
        <v>13576.060000000007</v>
      </c>
    </row>
    <row r="4414" spans="1:4" x14ac:dyDescent="0.3">
      <c r="A4414" t="s">
        <v>33</v>
      </c>
      <c r="C4414" s="16">
        <v>46300</v>
      </c>
      <c r="D4414" s="82">
        <v>16893.769999999997</v>
      </c>
    </row>
    <row r="4415" spans="1:4" x14ac:dyDescent="0.3">
      <c r="A4415" t="s">
        <v>34</v>
      </c>
      <c r="C4415" s="16">
        <v>46300</v>
      </c>
      <c r="D4415" s="82">
        <v>345</v>
      </c>
    </row>
    <row r="4416" spans="1:4" x14ac:dyDescent="0.3">
      <c r="A4416" t="s">
        <v>35</v>
      </c>
      <c r="C4416" s="16">
        <v>46300</v>
      </c>
      <c r="D4416" s="82">
        <v>23077.850000000002</v>
      </c>
    </row>
    <row r="4417" spans="1:4" x14ac:dyDescent="0.3">
      <c r="A4417" t="s">
        <v>193</v>
      </c>
      <c r="C4417" s="16">
        <v>46300</v>
      </c>
      <c r="D4417" s="82">
        <v>311185.97000000003</v>
      </c>
    </row>
    <row r="4418" spans="1:4" x14ac:dyDescent="0.3">
      <c r="A4418" t="s">
        <v>214</v>
      </c>
      <c r="C4418" s="16">
        <v>46300</v>
      </c>
      <c r="D4418" s="82">
        <v>101769.28000000003</v>
      </c>
    </row>
    <row r="4419" spans="1:4" x14ac:dyDescent="0.3">
      <c r="A4419" t="s">
        <v>194</v>
      </c>
      <c r="C4419" s="16">
        <v>46300</v>
      </c>
      <c r="D4419" s="82">
        <v>100631.96</v>
      </c>
    </row>
    <row r="4420" spans="1:4" x14ac:dyDescent="0.3">
      <c r="A4420" t="s">
        <v>195</v>
      </c>
      <c r="C4420" s="16">
        <v>46300</v>
      </c>
      <c r="D4420" s="82">
        <v>5604.8</v>
      </c>
    </row>
    <row r="4421" spans="1:4" x14ac:dyDescent="0.3">
      <c r="A4421" t="s">
        <v>196</v>
      </c>
      <c r="C4421" s="16">
        <v>46300</v>
      </c>
      <c r="D4421" s="82">
        <v>21434.939999999973</v>
      </c>
    </row>
    <row r="4422" spans="1:4" x14ac:dyDescent="0.3">
      <c r="A4422" t="s">
        <v>197</v>
      </c>
      <c r="C4422" s="16">
        <v>46300</v>
      </c>
      <c r="D4422" s="82">
        <v>794.01</v>
      </c>
    </row>
    <row r="4423" spans="1:4" x14ac:dyDescent="0.3">
      <c r="A4423" t="s">
        <v>212</v>
      </c>
      <c r="C4423" s="16">
        <v>46300</v>
      </c>
      <c r="D4423" s="82">
        <v>5445.57</v>
      </c>
    </row>
    <row r="4424" spans="1:4" x14ac:dyDescent="0.3">
      <c r="A4424" t="s">
        <v>199</v>
      </c>
      <c r="C4424" s="16">
        <v>46300</v>
      </c>
      <c r="D4424" s="82">
        <v>240473.16999999998</v>
      </c>
    </row>
    <row r="4425" spans="1:4" x14ac:dyDescent="0.3">
      <c r="A4425" t="s">
        <v>216</v>
      </c>
      <c r="C4425" s="16">
        <v>46300</v>
      </c>
      <c r="D4425" s="82">
        <v>327985.82999999996</v>
      </c>
    </row>
    <row r="4426" spans="1:4" x14ac:dyDescent="0.3">
      <c r="A4426" t="s">
        <v>17</v>
      </c>
      <c r="C4426" s="16">
        <v>46301</v>
      </c>
      <c r="D4426" s="82">
        <v>3099831.9800000004</v>
      </c>
    </row>
    <row r="4427" spans="1:4" x14ac:dyDescent="0.3">
      <c r="A4427" t="s">
        <v>18</v>
      </c>
      <c r="C4427" s="16">
        <v>46301</v>
      </c>
      <c r="D4427" s="82">
        <v>103123.59000000017</v>
      </c>
    </row>
    <row r="4428" spans="1:4" x14ac:dyDescent="0.3">
      <c r="A4428" t="s">
        <v>19</v>
      </c>
      <c r="C4428" s="16">
        <v>46301</v>
      </c>
      <c r="D4428" s="82">
        <v>1669.89</v>
      </c>
    </row>
    <row r="4429" spans="1:4" x14ac:dyDescent="0.3">
      <c r="A4429" t="s">
        <v>20</v>
      </c>
      <c r="C4429" s="16">
        <v>46301</v>
      </c>
      <c r="D4429" s="82">
        <v>1200526.7499999995</v>
      </c>
    </row>
    <row r="4430" spans="1:4" x14ac:dyDescent="0.3">
      <c r="A4430" t="s">
        <v>21</v>
      </c>
      <c r="C4430" s="16">
        <v>46301</v>
      </c>
      <c r="D4430" s="82">
        <v>1585767.3599999994</v>
      </c>
    </row>
    <row r="4431" spans="1:4" x14ac:dyDescent="0.3">
      <c r="A4431" t="s">
        <v>22</v>
      </c>
      <c r="C4431" s="16">
        <v>46301</v>
      </c>
      <c r="D4431" s="82">
        <v>181778.14</v>
      </c>
    </row>
    <row r="4432" spans="1:4" x14ac:dyDescent="0.3">
      <c r="A4432" t="s">
        <v>23</v>
      </c>
      <c r="C4432" s="16">
        <v>46301</v>
      </c>
      <c r="D4432" s="82">
        <v>80533.579999999987</v>
      </c>
    </row>
    <row r="4433" spans="1:4" x14ac:dyDescent="0.3">
      <c r="A4433" t="s">
        <v>24</v>
      </c>
      <c r="C4433" s="16">
        <v>46301</v>
      </c>
      <c r="D4433" s="82">
        <v>10259.18</v>
      </c>
    </row>
    <row r="4434" spans="1:4" x14ac:dyDescent="0.3">
      <c r="A4434" t="s">
        <v>25</v>
      </c>
      <c r="C4434" s="16">
        <v>46301</v>
      </c>
      <c r="D4434" s="82">
        <v>64.55</v>
      </c>
    </row>
    <row r="4435" spans="1:4" x14ac:dyDescent="0.3">
      <c r="A4435" t="s">
        <v>26</v>
      </c>
      <c r="C4435" s="16">
        <v>46301</v>
      </c>
      <c r="D4435" s="82">
        <v>2117.9700000000003</v>
      </c>
    </row>
    <row r="4436" spans="1:4" x14ac:dyDescent="0.3">
      <c r="A4436" t="s">
        <v>27</v>
      </c>
      <c r="C4436" s="16">
        <v>46301</v>
      </c>
      <c r="D4436" s="82">
        <v>17895.290000000015</v>
      </c>
    </row>
    <row r="4437" spans="1:4" x14ac:dyDescent="0.3">
      <c r="A4437" t="s">
        <v>28</v>
      </c>
      <c r="C4437" s="16">
        <v>46301</v>
      </c>
      <c r="D4437" s="82">
        <v>1968.99</v>
      </c>
    </row>
    <row r="4438" spans="1:4" x14ac:dyDescent="0.3">
      <c r="A4438" t="s">
        <v>29</v>
      </c>
      <c r="C4438" s="16">
        <v>46301</v>
      </c>
      <c r="D4438" s="82">
        <v>901.34</v>
      </c>
    </row>
    <row r="4439" spans="1:4" x14ac:dyDescent="0.3">
      <c r="A4439" t="s">
        <v>30</v>
      </c>
      <c r="C4439" s="16">
        <v>46301</v>
      </c>
      <c r="D4439" s="82">
        <v>1364.08</v>
      </c>
    </row>
    <row r="4440" spans="1:4" x14ac:dyDescent="0.3">
      <c r="A4440" t="s">
        <v>31</v>
      </c>
      <c r="C4440" s="16">
        <v>46301</v>
      </c>
      <c r="D4440" s="82">
        <v>20171.549999999959</v>
      </c>
    </row>
    <row r="4441" spans="1:4" x14ac:dyDescent="0.3">
      <c r="A4441" t="s">
        <v>32</v>
      </c>
      <c r="C4441" s="16">
        <v>46301</v>
      </c>
      <c r="D4441" s="82">
        <v>13576.060000000007</v>
      </c>
    </row>
    <row r="4442" spans="1:4" x14ac:dyDescent="0.3">
      <c r="A4442" t="s">
        <v>33</v>
      </c>
      <c r="C4442" s="16">
        <v>46301</v>
      </c>
      <c r="D4442" s="82">
        <v>16893.769999999997</v>
      </c>
    </row>
    <row r="4443" spans="1:4" x14ac:dyDescent="0.3">
      <c r="A4443" t="s">
        <v>34</v>
      </c>
      <c r="C4443" s="16">
        <v>46301</v>
      </c>
      <c r="D4443" s="82">
        <v>345</v>
      </c>
    </row>
    <row r="4444" spans="1:4" x14ac:dyDescent="0.3">
      <c r="A4444" t="s">
        <v>35</v>
      </c>
      <c r="C4444" s="16">
        <v>46301</v>
      </c>
      <c r="D4444" s="82">
        <v>23077.850000000002</v>
      </c>
    </row>
    <row r="4445" spans="1:4" x14ac:dyDescent="0.3">
      <c r="A4445" t="s">
        <v>193</v>
      </c>
      <c r="C4445" s="16">
        <v>46301</v>
      </c>
      <c r="D4445" s="82">
        <v>310854.86000000004</v>
      </c>
    </row>
    <row r="4446" spans="1:4" x14ac:dyDescent="0.3">
      <c r="A4446" t="s">
        <v>214</v>
      </c>
      <c r="C4446" s="16">
        <v>46301</v>
      </c>
      <c r="D4446" s="82">
        <v>101769.28000000003</v>
      </c>
    </row>
    <row r="4447" spans="1:4" x14ac:dyDescent="0.3">
      <c r="A4447" t="s">
        <v>194</v>
      </c>
      <c r="C4447" s="16">
        <v>46301</v>
      </c>
      <c r="D4447" s="82">
        <v>90631.96</v>
      </c>
    </row>
    <row r="4448" spans="1:4" x14ac:dyDescent="0.3">
      <c r="A4448" t="s">
        <v>195</v>
      </c>
      <c r="C4448" s="16">
        <v>46301</v>
      </c>
      <c r="D4448" s="82">
        <v>5604.8</v>
      </c>
    </row>
    <row r="4449" spans="1:4" x14ac:dyDescent="0.3">
      <c r="A4449" t="s">
        <v>196</v>
      </c>
      <c r="C4449" s="16">
        <v>46301</v>
      </c>
      <c r="D4449" s="82">
        <v>21434.939999999973</v>
      </c>
    </row>
    <row r="4450" spans="1:4" x14ac:dyDescent="0.3">
      <c r="A4450" t="s">
        <v>197</v>
      </c>
      <c r="C4450" s="16">
        <v>46301</v>
      </c>
      <c r="D4450" s="82">
        <v>794.01</v>
      </c>
    </row>
    <row r="4451" spans="1:4" x14ac:dyDescent="0.3">
      <c r="A4451" t="s">
        <v>212</v>
      </c>
      <c r="C4451" s="16">
        <v>46301</v>
      </c>
      <c r="D4451" s="82">
        <v>5445.57</v>
      </c>
    </row>
    <row r="4452" spans="1:4" x14ac:dyDescent="0.3">
      <c r="A4452" t="s">
        <v>199</v>
      </c>
      <c r="C4452" s="16">
        <v>46301</v>
      </c>
      <c r="D4452" s="82">
        <v>240473.16999999998</v>
      </c>
    </row>
    <row r="4453" spans="1:4" x14ac:dyDescent="0.3">
      <c r="A4453" t="s">
        <v>216</v>
      </c>
      <c r="C4453" s="16">
        <v>46301</v>
      </c>
      <c r="D4453" s="82">
        <v>327985.82999999996</v>
      </c>
    </row>
    <row r="4454" spans="1:4" x14ac:dyDescent="0.3">
      <c r="A4454" t="s">
        <v>17</v>
      </c>
      <c r="C4454" s="16">
        <v>46302</v>
      </c>
      <c r="D4454" s="82">
        <v>2834671.5400000005</v>
      </c>
    </row>
    <row r="4455" spans="1:4" x14ac:dyDescent="0.3">
      <c r="A4455" t="s">
        <v>18</v>
      </c>
      <c r="C4455" s="16">
        <v>46302</v>
      </c>
      <c r="D4455" s="82">
        <v>103123.59000000017</v>
      </c>
    </row>
    <row r="4456" spans="1:4" x14ac:dyDescent="0.3">
      <c r="A4456" t="s">
        <v>19</v>
      </c>
      <c r="C4456" s="16">
        <v>46302</v>
      </c>
      <c r="D4456" s="82">
        <v>1669.89</v>
      </c>
    </row>
    <row r="4457" spans="1:4" x14ac:dyDescent="0.3">
      <c r="A4457" t="s">
        <v>20</v>
      </c>
      <c r="C4457" s="16">
        <v>46302</v>
      </c>
      <c r="D4457" s="82">
        <v>1026832.7999999996</v>
      </c>
    </row>
    <row r="4458" spans="1:4" x14ac:dyDescent="0.3">
      <c r="A4458" t="s">
        <v>21</v>
      </c>
      <c r="C4458" s="16">
        <v>46302</v>
      </c>
      <c r="D4458" s="82">
        <v>1380670.9099999995</v>
      </c>
    </row>
    <row r="4459" spans="1:4" x14ac:dyDescent="0.3">
      <c r="A4459" t="s">
        <v>22</v>
      </c>
      <c r="C4459" s="16">
        <v>46302</v>
      </c>
      <c r="D4459" s="82">
        <v>181778.14</v>
      </c>
    </row>
    <row r="4460" spans="1:4" x14ac:dyDescent="0.3">
      <c r="A4460" t="s">
        <v>23</v>
      </c>
      <c r="C4460" s="16">
        <v>46302</v>
      </c>
      <c r="D4460" s="82">
        <v>80533.579999999987</v>
      </c>
    </row>
    <row r="4461" spans="1:4" x14ac:dyDescent="0.3">
      <c r="A4461" t="s">
        <v>24</v>
      </c>
      <c r="C4461" s="16">
        <v>46302</v>
      </c>
      <c r="D4461" s="82">
        <v>10259.18</v>
      </c>
    </row>
    <row r="4462" spans="1:4" x14ac:dyDescent="0.3">
      <c r="A4462" t="s">
        <v>25</v>
      </c>
      <c r="C4462" s="16">
        <v>46302</v>
      </c>
      <c r="D4462" s="82">
        <v>64.55</v>
      </c>
    </row>
    <row r="4463" spans="1:4" x14ac:dyDescent="0.3">
      <c r="A4463" t="s">
        <v>26</v>
      </c>
      <c r="C4463" s="16">
        <v>46302</v>
      </c>
      <c r="D4463" s="82">
        <v>2117.9700000000003</v>
      </c>
    </row>
    <row r="4464" spans="1:4" x14ac:dyDescent="0.3">
      <c r="A4464" t="s">
        <v>27</v>
      </c>
      <c r="C4464" s="16">
        <v>46302</v>
      </c>
      <c r="D4464" s="82">
        <v>17895.290000000015</v>
      </c>
    </row>
    <row r="4465" spans="1:4" x14ac:dyDescent="0.3">
      <c r="A4465" t="s">
        <v>28</v>
      </c>
      <c r="C4465" s="16">
        <v>46302</v>
      </c>
      <c r="D4465" s="82">
        <v>1968.99</v>
      </c>
    </row>
    <row r="4466" spans="1:4" x14ac:dyDescent="0.3">
      <c r="A4466" t="s">
        <v>29</v>
      </c>
      <c r="C4466" s="16">
        <v>46302</v>
      </c>
      <c r="D4466" s="82">
        <v>901.34</v>
      </c>
    </row>
    <row r="4467" spans="1:4" x14ac:dyDescent="0.3">
      <c r="A4467" t="s">
        <v>30</v>
      </c>
      <c r="C4467" s="16">
        <v>46302</v>
      </c>
      <c r="D4467" s="82">
        <v>1364.08</v>
      </c>
    </row>
    <row r="4468" spans="1:4" x14ac:dyDescent="0.3">
      <c r="A4468" t="s">
        <v>31</v>
      </c>
      <c r="C4468" s="16">
        <v>46302</v>
      </c>
      <c r="D4468" s="82">
        <v>20171.549999999959</v>
      </c>
    </row>
    <row r="4469" spans="1:4" x14ac:dyDescent="0.3">
      <c r="A4469" t="s">
        <v>32</v>
      </c>
      <c r="C4469" s="16">
        <v>46302</v>
      </c>
      <c r="D4469" s="82">
        <v>13576.060000000007</v>
      </c>
    </row>
    <row r="4470" spans="1:4" x14ac:dyDescent="0.3">
      <c r="A4470" t="s">
        <v>33</v>
      </c>
      <c r="C4470" s="16">
        <v>46302</v>
      </c>
      <c r="D4470" s="82">
        <v>16893.769999999997</v>
      </c>
    </row>
    <row r="4471" spans="1:4" x14ac:dyDescent="0.3">
      <c r="A4471" t="s">
        <v>34</v>
      </c>
      <c r="C4471" s="16">
        <v>46302</v>
      </c>
      <c r="D4471" s="82">
        <v>345</v>
      </c>
    </row>
    <row r="4472" spans="1:4" x14ac:dyDescent="0.3">
      <c r="A4472" t="s">
        <v>35</v>
      </c>
      <c r="C4472" s="16">
        <v>46302</v>
      </c>
      <c r="D4472" s="82">
        <v>23077.850000000002</v>
      </c>
    </row>
    <row r="4473" spans="1:4" x14ac:dyDescent="0.3">
      <c r="A4473" t="s">
        <v>193</v>
      </c>
      <c r="C4473" s="16">
        <v>46302</v>
      </c>
      <c r="D4473" s="82">
        <v>310854.86000000004</v>
      </c>
    </row>
    <row r="4474" spans="1:4" x14ac:dyDescent="0.3">
      <c r="A4474" t="s">
        <v>214</v>
      </c>
      <c r="C4474" s="16">
        <v>46302</v>
      </c>
      <c r="D4474" s="82">
        <v>101647.52000000002</v>
      </c>
    </row>
    <row r="4475" spans="1:4" x14ac:dyDescent="0.3">
      <c r="A4475" t="s">
        <v>194</v>
      </c>
      <c r="C4475" s="16">
        <v>46302</v>
      </c>
      <c r="D4475" s="82">
        <v>90631.96</v>
      </c>
    </row>
    <row r="4476" spans="1:4" x14ac:dyDescent="0.3">
      <c r="A4476" t="s">
        <v>195</v>
      </c>
      <c r="C4476" s="16">
        <v>46302</v>
      </c>
      <c r="D4476" s="82">
        <v>5604.8</v>
      </c>
    </row>
    <row r="4477" spans="1:4" x14ac:dyDescent="0.3">
      <c r="A4477" t="s">
        <v>196</v>
      </c>
      <c r="C4477" s="16">
        <v>46302</v>
      </c>
      <c r="D4477" s="82">
        <v>21397.339999999967</v>
      </c>
    </row>
    <row r="4478" spans="1:4" x14ac:dyDescent="0.3">
      <c r="A4478" t="s">
        <v>197</v>
      </c>
      <c r="C4478" s="16">
        <v>46302</v>
      </c>
      <c r="D4478" s="82">
        <v>794.01</v>
      </c>
    </row>
    <row r="4479" spans="1:4" x14ac:dyDescent="0.3">
      <c r="A4479" t="s">
        <v>212</v>
      </c>
      <c r="C4479" s="16">
        <v>46302</v>
      </c>
      <c r="D4479" s="82">
        <v>5445.57</v>
      </c>
    </row>
    <row r="4480" spans="1:4" x14ac:dyDescent="0.3">
      <c r="A4480" t="s">
        <v>199</v>
      </c>
      <c r="C4480" s="16">
        <v>46302</v>
      </c>
      <c r="D4480" s="82">
        <v>240473.16999999998</v>
      </c>
    </row>
    <row r="4481" spans="1:4" x14ac:dyDescent="0.3">
      <c r="A4481" t="s">
        <v>216</v>
      </c>
      <c r="C4481" s="16">
        <v>46302</v>
      </c>
      <c r="D4481" s="82">
        <v>351319.16</v>
      </c>
    </row>
    <row r="4482" spans="1:4" x14ac:dyDescent="0.3">
      <c r="A4482" t="s">
        <v>17</v>
      </c>
      <c r="C4482" s="16">
        <v>46303</v>
      </c>
      <c r="D4482" s="82">
        <v>2834671.5400000005</v>
      </c>
    </row>
    <row r="4483" spans="1:4" x14ac:dyDescent="0.3">
      <c r="A4483" t="s">
        <v>18</v>
      </c>
      <c r="C4483" s="16">
        <v>46303</v>
      </c>
      <c r="D4483" s="82">
        <v>103123.59000000017</v>
      </c>
    </row>
    <row r="4484" spans="1:4" x14ac:dyDescent="0.3">
      <c r="A4484" t="s">
        <v>19</v>
      </c>
      <c r="C4484" s="16">
        <v>46303</v>
      </c>
      <c r="D4484" s="82">
        <v>1669.89</v>
      </c>
    </row>
    <row r="4485" spans="1:4" x14ac:dyDescent="0.3">
      <c r="A4485" t="s">
        <v>20</v>
      </c>
      <c r="C4485" s="16">
        <v>46303</v>
      </c>
      <c r="D4485" s="82">
        <v>1026832.7999999996</v>
      </c>
    </row>
    <row r="4486" spans="1:4" x14ac:dyDescent="0.3">
      <c r="A4486" t="s">
        <v>21</v>
      </c>
      <c r="C4486" s="16">
        <v>46303</v>
      </c>
      <c r="D4486" s="82">
        <v>1378430.5699999994</v>
      </c>
    </row>
    <row r="4487" spans="1:4" x14ac:dyDescent="0.3">
      <c r="A4487" t="s">
        <v>22</v>
      </c>
      <c r="C4487" s="16">
        <v>46303</v>
      </c>
      <c r="D4487" s="82">
        <v>181778.14</v>
      </c>
    </row>
    <row r="4488" spans="1:4" x14ac:dyDescent="0.3">
      <c r="A4488" t="s">
        <v>23</v>
      </c>
      <c r="C4488" s="16">
        <v>46303</v>
      </c>
      <c r="D4488" s="82">
        <v>80533.579999999987</v>
      </c>
    </row>
    <row r="4489" spans="1:4" x14ac:dyDescent="0.3">
      <c r="A4489" t="s">
        <v>24</v>
      </c>
      <c r="C4489" s="16">
        <v>46303</v>
      </c>
      <c r="D4489" s="82">
        <v>10259.18</v>
      </c>
    </row>
    <row r="4490" spans="1:4" x14ac:dyDescent="0.3">
      <c r="A4490" t="s">
        <v>25</v>
      </c>
      <c r="C4490" s="16">
        <v>46303</v>
      </c>
      <c r="D4490" s="82">
        <v>64.55</v>
      </c>
    </row>
    <row r="4491" spans="1:4" x14ac:dyDescent="0.3">
      <c r="A4491" t="s">
        <v>26</v>
      </c>
      <c r="C4491" s="16">
        <v>46303</v>
      </c>
      <c r="D4491" s="82">
        <v>2117.9700000000003</v>
      </c>
    </row>
    <row r="4492" spans="1:4" x14ac:dyDescent="0.3">
      <c r="A4492" t="s">
        <v>27</v>
      </c>
      <c r="C4492" s="16">
        <v>46303</v>
      </c>
      <c r="D4492" s="82">
        <v>17895.290000000015</v>
      </c>
    </row>
    <row r="4493" spans="1:4" x14ac:dyDescent="0.3">
      <c r="A4493" t="s">
        <v>28</v>
      </c>
      <c r="C4493" s="16">
        <v>46303</v>
      </c>
      <c r="D4493" s="82">
        <v>1968.99</v>
      </c>
    </row>
    <row r="4494" spans="1:4" x14ac:dyDescent="0.3">
      <c r="A4494" t="s">
        <v>29</v>
      </c>
      <c r="C4494" s="16">
        <v>46303</v>
      </c>
      <c r="D4494" s="82">
        <v>901.34</v>
      </c>
    </row>
    <row r="4495" spans="1:4" x14ac:dyDescent="0.3">
      <c r="A4495" t="s">
        <v>30</v>
      </c>
      <c r="C4495" s="16">
        <v>46303</v>
      </c>
      <c r="D4495" s="82">
        <v>1364.08</v>
      </c>
    </row>
    <row r="4496" spans="1:4" x14ac:dyDescent="0.3">
      <c r="A4496" t="s">
        <v>31</v>
      </c>
      <c r="C4496" s="16">
        <v>46303</v>
      </c>
      <c r="D4496" s="82">
        <v>20171.549999999959</v>
      </c>
    </row>
    <row r="4497" spans="1:4" x14ac:dyDescent="0.3">
      <c r="A4497" t="s">
        <v>32</v>
      </c>
      <c r="C4497" s="16">
        <v>46303</v>
      </c>
      <c r="D4497" s="82">
        <v>13576.060000000007</v>
      </c>
    </row>
    <row r="4498" spans="1:4" x14ac:dyDescent="0.3">
      <c r="A4498" t="s">
        <v>33</v>
      </c>
      <c r="C4498" s="16">
        <v>46303</v>
      </c>
      <c r="D4498" s="82">
        <v>16893.769999999997</v>
      </c>
    </row>
    <row r="4499" spans="1:4" x14ac:dyDescent="0.3">
      <c r="A4499" t="s">
        <v>34</v>
      </c>
      <c r="C4499" s="16">
        <v>46303</v>
      </c>
      <c r="D4499" s="82">
        <v>345</v>
      </c>
    </row>
    <row r="4500" spans="1:4" x14ac:dyDescent="0.3">
      <c r="A4500" t="s">
        <v>35</v>
      </c>
      <c r="C4500" s="16">
        <v>46303</v>
      </c>
      <c r="D4500" s="82">
        <v>23077.850000000002</v>
      </c>
    </row>
    <row r="4501" spans="1:4" x14ac:dyDescent="0.3">
      <c r="A4501" t="s">
        <v>193</v>
      </c>
      <c r="C4501" s="16">
        <v>46303</v>
      </c>
      <c r="D4501" s="82">
        <v>310854.86000000004</v>
      </c>
    </row>
    <row r="4502" spans="1:4" x14ac:dyDescent="0.3">
      <c r="A4502" t="s">
        <v>214</v>
      </c>
      <c r="C4502" s="16">
        <v>46303</v>
      </c>
      <c r="D4502" s="82">
        <v>101691.71000000002</v>
      </c>
    </row>
    <row r="4503" spans="1:4" x14ac:dyDescent="0.3">
      <c r="A4503" t="s">
        <v>194</v>
      </c>
      <c r="C4503" s="16">
        <v>46303</v>
      </c>
      <c r="D4503" s="82">
        <v>90631.96</v>
      </c>
    </row>
    <row r="4504" spans="1:4" x14ac:dyDescent="0.3">
      <c r="A4504" t="s">
        <v>195</v>
      </c>
      <c r="C4504" s="16">
        <v>46303</v>
      </c>
      <c r="D4504" s="82">
        <v>5604.8</v>
      </c>
    </row>
    <row r="4505" spans="1:4" x14ac:dyDescent="0.3">
      <c r="A4505" t="s">
        <v>196</v>
      </c>
      <c r="C4505" s="16">
        <v>46303</v>
      </c>
      <c r="D4505" s="82">
        <v>21397.339999999967</v>
      </c>
    </row>
    <row r="4506" spans="1:4" x14ac:dyDescent="0.3">
      <c r="A4506" t="s">
        <v>197</v>
      </c>
      <c r="C4506" s="16">
        <v>46303</v>
      </c>
      <c r="D4506" s="82">
        <v>794.01</v>
      </c>
    </row>
    <row r="4507" spans="1:4" x14ac:dyDescent="0.3">
      <c r="A4507" t="s">
        <v>212</v>
      </c>
      <c r="C4507" s="16">
        <v>46303</v>
      </c>
      <c r="D4507" s="82">
        <v>5445.57</v>
      </c>
    </row>
    <row r="4508" spans="1:4" x14ac:dyDescent="0.3">
      <c r="A4508" t="s">
        <v>199</v>
      </c>
      <c r="C4508" s="16">
        <v>46303</v>
      </c>
      <c r="D4508" s="82">
        <v>240473.16999999998</v>
      </c>
    </row>
    <row r="4509" spans="1:4" x14ac:dyDescent="0.3">
      <c r="A4509" t="s">
        <v>216</v>
      </c>
      <c r="C4509" s="16">
        <v>46303</v>
      </c>
      <c r="D4509" s="82">
        <v>351319.16</v>
      </c>
    </row>
    <row r="4510" spans="1:4" x14ac:dyDescent="0.3">
      <c r="A4510" t="s">
        <v>17</v>
      </c>
      <c r="C4510" s="16">
        <v>46304</v>
      </c>
      <c r="D4510" s="82">
        <v>2834671.5400000005</v>
      </c>
    </row>
    <row r="4511" spans="1:4" x14ac:dyDescent="0.3">
      <c r="A4511" t="s">
        <v>18</v>
      </c>
      <c r="C4511" s="16">
        <v>46304</v>
      </c>
      <c r="D4511" s="82">
        <v>103123.59000000017</v>
      </c>
    </row>
    <row r="4512" spans="1:4" x14ac:dyDescent="0.3">
      <c r="A4512" t="s">
        <v>19</v>
      </c>
      <c r="C4512" s="16">
        <v>46304</v>
      </c>
      <c r="D4512" s="82">
        <v>1669.89</v>
      </c>
    </row>
    <row r="4513" spans="1:4" x14ac:dyDescent="0.3">
      <c r="A4513" t="s">
        <v>20</v>
      </c>
      <c r="C4513" s="16">
        <v>46304</v>
      </c>
      <c r="D4513" s="82">
        <v>1026832.7999999996</v>
      </c>
    </row>
    <row r="4514" spans="1:4" x14ac:dyDescent="0.3">
      <c r="A4514" t="s">
        <v>21</v>
      </c>
      <c r="C4514" s="16">
        <v>46304</v>
      </c>
      <c r="D4514" s="82">
        <v>1377138.9199999995</v>
      </c>
    </row>
    <row r="4515" spans="1:4" x14ac:dyDescent="0.3">
      <c r="A4515" t="s">
        <v>22</v>
      </c>
      <c r="C4515" s="16">
        <v>46304</v>
      </c>
      <c r="D4515" s="82">
        <v>181778.14</v>
      </c>
    </row>
    <row r="4516" spans="1:4" x14ac:dyDescent="0.3">
      <c r="A4516" t="s">
        <v>23</v>
      </c>
      <c r="C4516" s="16">
        <v>46304</v>
      </c>
      <c r="D4516" s="82">
        <v>80533.579999999987</v>
      </c>
    </row>
    <row r="4517" spans="1:4" x14ac:dyDescent="0.3">
      <c r="A4517" t="s">
        <v>24</v>
      </c>
      <c r="C4517" s="16">
        <v>46304</v>
      </c>
      <c r="D4517" s="82">
        <v>10259.18</v>
      </c>
    </row>
    <row r="4518" spans="1:4" x14ac:dyDescent="0.3">
      <c r="A4518" t="s">
        <v>25</v>
      </c>
      <c r="C4518" s="16">
        <v>46304</v>
      </c>
      <c r="D4518" s="82">
        <v>64.55</v>
      </c>
    </row>
    <row r="4519" spans="1:4" x14ac:dyDescent="0.3">
      <c r="A4519" t="s">
        <v>26</v>
      </c>
      <c r="C4519" s="16">
        <v>46304</v>
      </c>
      <c r="D4519" s="82">
        <v>2117.9700000000003</v>
      </c>
    </row>
    <row r="4520" spans="1:4" x14ac:dyDescent="0.3">
      <c r="A4520" t="s">
        <v>27</v>
      </c>
      <c r="C4520" s="16">
        <v>46304</v>
      </c>
      <c r="D4520" s="82">
        <v>17895.290000000015</v>
      </c>
    </row>
    <row r="4521" spans="1:4" x14ac:dyDescent="0.3">
      <c r="A4521" t="s">
        <v>28</v>
      </c>
      <c r="C4521" s="16">
        <v>46304</v>
      </c>
      <c r="D4521" s="82">
        <v>1968.99</v>
      </c>
    </row>
    <row r="4522" spans="1:4" x14ac:dyDescent="0.3">
      <c r="A4522" t="s">
        <v>29</v>
      </c>
      <c r="C4522" s="16">
        <v>46304</v>
      </c>
      <c r="D4522" s="82">
        <v>901.34</v>
      </c>
    </row>
    <row r="4523" spans="1:4" x14ac:dyDescent="0.3">
      <c r="A4523" t="s">
        <v>30</v>
      </c>
      <c r="C4523" s="16">
        <v>46304</v>
      </c>
      <c r="D4523" s="82">
        <v>1364.08</v>
      </c>
    </row>
    <row r="4524" spans="1:4" x14ac:dyDescent="0.3">
      <c r="A4524" t="s">
        <v>31</v>
      </c>
      <c r="C4524" s="16">
        <v>46304</v>
      </c>
      <c r="D4524" s="82">
        <v>20171.549999999959</v>
      </c>
    </row>
    <row r="4525" spans="1:4" x14ac:dyDescent="0.3">
      <c r="A4525" t="s">
        <v>32</v>
      </c>
      <c r="C4525" s="16">
        <v>46304</v>
      </c>
      <c r="D4525" s="82">
        <v>13576.060000000007</v>
      </c>
    </row>
    <row r="4526" spans="1:4" x14ac:dyDescent="0.3">
      <c r="A4526" t="s">
        <v>33</v>
      </c>
      <c r="C4526" s="16">
        <v>46304</v>
      </c>
      <c r="D4526" s="82">
        <v>16893.769999999997</v>
      </c>
    </row>
    <row r="4527" spans="1:4" x14ac:dyDescent="0.3">
      <c r="A4527" t="s">
        <v>34</v>
      </c>
      <c r="C4527" s="16">
        <v>46304</v>
      </c>
      <c r="D4527" s="82">
        <v>345</v>
      </c>
    </row>
    <row r="4528" spans="1:4" x14ac:dyDescent="0.3">
      <c r="A4528" t="s">
        <v>35</v>
      </c>
      <c r="C4528" s="16">
        <v>46304</v>
      </c>
      <c r="D4528" s="82">
        <v>23077.850000000002</v>
      </c>
    </row>
    <row r="4529" spans="1:4" x14ac:dyDescent="0.3">
      <c r="A4529" t="s">
        <v>193</v>
      </c>
      <c r="C4529" s="16">
        <v>46304</v>
      </c>
      <c r="D4529" s="82">
        <v>310854.86000000004</v>
      </c>
    </row>
    <row r="4530" spans="1:4" x14ac:dyDescent="0.3">
      <c r="A4530" t="s">
        <v>214</v>
      </c>
      <c r="C4530" s="16">
        <v>46304</v>
      </c>
      <c r="D4530" s="82">
        <v>101691.71000000002</v>
      </c>
    </row>
    <row r="4531" spans="1:4" x14ac:dyDescent="0.3">
      <c r="A4531" t="s">
        <v>194</v>
      </c>
      <c r="C4531" s="16">
        <v>46304</v>
      </c>
      <c r="D4531" s="82">
        <v>90631.96</v>
      </c>
    </row>
    <row r="4532" spans="1:4" x14ac:dyDescent="0.3">
      <c r="A4532" t="s">
        <v>195</v>
      </c>
      <c r="C4532" s="16">
        <v>46304</v>
      </c>
      <c r="D4532" s="82">
        <v>5604.8</v>
      </c>
    </row>
    <row r="4533" spans="1:4" x14ac:dyDescent="0.3">
      <c r="A4533" t="s">
        <v>196</v>
      </c>
      <c r="C4533" s="16">
        <v>46304</v>
      </c>
      <c r="D4533" s="82">
        <v>21397.339999999967</v>
      </c>
    </row>
    <row r="4534" spans="1:4" x14ac:dyDescent="0.3">
      <c r="A4534" t="s">
        <v>197</v>
      </c>
      <c r="C4534" s="16">
        <v>46304</v>
      </c>
      <c r="D4534" s="82">
        <v>794.01</v>
      </c>
    </row>
    <row r="4535" spans="1:4" x14ac:dyDescent="0.3">
      <c r="A4535" t="s">
        <v>212</v>
      </c>
      <c r="C4535" s="16">
        <v>46304</v>
      </c>
      <c r="D4535" s="82">
        <v>5445.57</v>
      </c>
    </row>
    <row r="4536" spans="1:4" x14ac:dyDescent="0.3">
      <c r="A4536" t="s">
        <v>199</v>
      </c>
      <c r="C4536" s="16">
        <v>46304</v>
      </c>
      <c r="D4536" s="82">
        <v>240473.16999999998</v>
      </c>
    </row>
    <row r="4537" spans="1:4" x14ac:dyDescent="0.3">
      <c r="A4537" t="s">
        <v>216</v>
      </c>
      <c r="C4537" s="16">
        <v>46304</v>
      </c>
      <c r="D4537" s="82">
        <v>351319.16</v>
      </c>
    </row>
    <row r="4538" spans="1:4" x14ac:dyDescent="0.3">
      <c r="A4538" t="s">
        <v>17</v>
      </c>
      <c r="C4538" s="16">
        <v>46305</v>
      </c>
      <c r="D4538" s="82">
        <v>2834671.5400000005</v>
      </c>
    </row>
    <row r="4539" spans="1:4" x14ac:dyDescent="0.3">
      <c r="A4539" t="s">
        <v>18</v>
      </c>
      <c r="C4539" s="16">
        <v>46305</v>
      </c>
      <c r="D4539" s="82">
        <v>103123.59000000017</v>
      </c>
    </row>
    <row r="4540" spans="1:4" x14ac:dyDescent="0.3">
      <c r="A4540" t="s">
        <v>19</v>
      </c>
      <c r="C4540" s="16">
        <v>46305</v>
      </c>
      <c r="D4540" s="82">
        <v>1669.89</v>
      </c>
    </row>
    <row r="4541" spans="1:4" x14ac:dyDescent="0.3">
      <c r="A4541" t="s">
        <v>20</v>
      </c>
      <c r="C4541" s="16">
        <v>46305</v>
      </c>
      <c r="D4541" s="82">
        <v>1026832.7999999996</v>
      </c>
    </row>
    <row r="4542" spans="1:4" x14ac:dyDescent="0.3">
      <c r="A4542" t="s">
        <v>21</v>
      </c>
      <c r="C4542" s="16">
        <v>46305</v>
      </c>
      <c r="D4542" s="82">
        <v>1340096.4199999995</v>
      </c>
    </row>
    <row r="4543" spans="1:4" x14ac:dyDescent="0.3">
      <c r="A4543" t="s">
        <v>22</v>
      </c>
      <c r="C4543" s="16">
        <v>46305</v>
      </c>
      <c r="D4543" s="82">
        <v>181778.14</v>
      </c>
    </row>
    <row r="4544" spans="1:4" x14ac:dyDescent="0.3">
      <c r="A4544" t="s">
        <v>23</v>
      </c>
      <c r="C4544" s="16">
        <v>46305</v>
      </c>
      <c r="D4544" s="82">
        <v>80533.579999999987</v>
      </c>
    </row>
    <row r="4545" spans="1:4" x14ac:dyDescent="0.3">
      <c r="A4545" t="s">
        <v>24</v>
      </c>
      <c r="C4545" s="16">
        <v>46305</v>
      </c>
      <c r="D4545" s="82">
        <v>10259.18</v>
      </c>
    </row>
    <row r="4546" spans="1:4" x14ac:dyDescent="0.3">
      <c r="A4546" t="s">
        <v>25</v>
      </c>
      <c r="C4546" s="16">
        <v>46305</v>
      </c>
      <c r="D4546" s="82">
        <v>64.55</v>
      </c>
    </row>
    <row r="4547" spans="1:4" x14ac:dyDescent="0.3">
      <c r="A4547" t="s">
        <v>26</v>
      </c>
      <c r="C4547" s="16">
        <v>46305</v>
      </c>
      <c r="D4547" s="82">
        <v>2117.9700000000003</v>
      </c>
    </row>
    <row r="4548" spans="1:4" x14ac:dyDescent="0.3">
      <c r="A4548" t="s">
        <v>27</v>
      </c>
      <c r="C4548" s="16">
        <v>46305</v>
      </c>
      <c r="D4548" s="82">
        <v>17895.290000000015</v>
      </c>
    </row>
    <row r="4549" spans="1:4" x14ac:dyDescent="0.3">
      <c r="A4549" t="s">
        <v>28</v>
      </c>
      <c r="C4549" s="16">
        <v>46305</v>
      </c>
      <c r="D4549" s="82">
        <v>1968.99</v>
      </c>
    </row>
    <row r="4550" spans="1:4" x14ac:dyDescent="0.3">
      <c r="A4550" t="s">
        <v>29</v>
      </c>
      <c r="C4550" s="16">
        <v>46305</v>
      </c>
      <c r="D4550" s="82">
        <v>901.34</v>
      </c>
    </row>
    <row r="4551" spans="1:4" x14ac:dyDescent="0.3">
      <c r="A4551" t="s">
        <v>30</v>
      </c>
      <c r="C4551" s="16">
        <v>46305</v>
      </c>
      <c r="D4551" s="82">
        <v>1364.08</v>
      </c>
    </row>
    <row r="4552" spans="1:4" x14ac:dyDescent="0.3">
      <c r="A4552" t="s">
        <v>31</v>
      </c>
      <c r="C4552" s="16">
        <v>46305</v>
      </c>
      <c r="D4552" s="82">
        <v>20171.549999999959</v>
      </c>
    </row>
    <row r="4553" spans="1:4" x14ac:dyDescent="0.3">
      <c r="A4553" t="s">
        <v>32</v>
      </c>
      <c r="C4553" s="16">
        <v>46305</v>
      </c>
      <c r="D4553" s="82">
        <v>13576.060000000007</v>
      </c>
    </row>
    <row r="4554" spans="1:4" x14ac:dyDescent="0.3">
      <c r="A4554" t="s">
        <v>33</v>
      </c>
      <c r="C4554" s="16">
        <v>46305</v>
      </c>
      <c r="D4554" s="82">
        <v>16893.769999999997</v>
      </c>
    </row>
    <row r="4555" spans="1:4" x14ac:dyDescent="0.3">
      <c r="A4555" t="s">
        <v>34</v>
      </c>
      <c r="C4555" s="16">
        <v>46305</v>
      </c>
      <c r="D4555" s="82">
        <v>345</v>
      </c>
    </row>
    <row r="4556" spans="1:4" x14ac:dyDescent="0.3">
      <c r="A4556" t="s">
        <v>35</v>
      </c>
      <c r="C4556" s="16">
        <v>46305</v>
      </c>
      <c r="D4556" s="82">
        <v>23077.850000000002</v>
      </c>
    </row>
    <row r="4557" spans="1:4" x14ac:dyDescent="0.3">
      <c r="A4557" t="s">
        <v>193</v>
      </c>
      <c r="C4557" s="16">
        <v>46305</v>
      </c>
      <c r="D4557" s="82">
        <v>310854.86000000004</v>
      </c>
    </row>
    <row r="4558" spans="1:4" x14ac:dyDescent="0.3">
      <c r="A4558" t="s">
        <v>214</v>
      </c>
      <c r="C4558" s="16">
        <v>46305</v>
      </c>
      <c r="D4558" s="82">
        <v>101132.39000000001</v>
      </c>
    </row>
    <row r="4559" spans="1:4" x14ac:dyDescent="0.3">
      <c r="A4559" t="s">
        <v>194</v>
      </c>
      <c r="C4559" s="16">
        <v>46305</v>
      </c>
      <c r="D4559" s="82">
        <v>90631.96</v>
      </c>
    </row>
    <row r="4560" spans="1:4" x14ac:dyDescent="0.3">
      <c r="A4560" t="s">
        <v>195</v>
      </c>
      <c r="C4560" s="16">
        <v>46305</v>
      </c>
      <c r="D4560" s="82">
        <v>5604.8</v>
      </c>
    </row>
    <row r="4561" spans="1:4" x14ac:dyDescent="0.3">
      <c r="A4561" t="s">
        <v>196</v>
      </c>
      <c r="C4561" s="16">
        <v>46305</v>
      </c>
      <c r="D4561" s="82">
        <v>21397.339999999967</v>
      </c>
    </row>
    <row r="4562" spans="1:4" x14ac:dyDescent="0.3">
      <c r="A4562" t="s">
        <v>197</v>
      </c>
      <c r="C4562" s="16">
        <v>46305</v>
      </c>
      <c r="D4562" s="82">
        <v>794.01</v>
      </c>
    </row>
    <row r="4563" spans="1:4" x14ac:dyDescent="0.3">
      <c r="A4563" t="s">
        <v>212</v>
      </c>
      <c r="C4563" s="16">
        <v>46305</v>
      </c>
      <c r="D4563" s="82">
        <v>5445.57</v>
      </c>
    </row>
    <row r="4564" spans="1:4" x14ac:dyDescent="0.3">
      <c r="A4564" t="s">
        <v>199</v>
      </c>
      <c r="C4564" s="16">
        <v>46305</v>
      </c>
      <c r="D4564" s="82">
        <v>240473.16999999998</v>
      </c>
    </row>
    <row r="4565" spans="1:4" x14ac:dyDescent="0.3">
      <c r="A4565" t="s">
        <v>216</v>
      </c>
      <c r="C4565" s="16">
        <v>46305</v>
      </c>
      <c r="D4565" s="82">
        <v>351319.16</v>
      </c>
    </row>
    <row r="4566" spans="1:4" x14ac:dyDescent="0.3">
      <c r="A4566" t="s">
        <v>17</v>
      </c>
      <c r="C4566" s="16">
        <v>46306</v>
      </c>
      <c r="D4566" s="82">
        <v>2834671.5400000005</v>
      </c>
    </row>
    <row r="4567" spans="1:4" x14ac:dyDescent="0.3">
      <c r="A4567" t="s">
        <v>18</v>
      </c>
      <c r="C4567" s="16">
        <v>46306</v>
      </c>
      <c r="D4567" s="82">
        <v>103123.59000000017</v>
      </c>
    </row>
    <row r="4568" spans="1:4" x14ac:dyDescent="0.3">
      <c r="A4568" t="s">
        <v>19</v>
      </c>
      <c r="C4568" s="16">
        <v>46306</v>
      </c>
      <c r="D4568" s="82">
        <v>1669.89</v>
      </c>
    </row>
    <row r="4569" spans="1:4" x14ac:dyDescent="0.3">
      <c r="A4569" t="s">
        <v>20</v>
      </c>
      <c r="C4569" s="16">
        <v>46306</v>
      </c>
      <c r="D4569" s="82">
        <v>1026832.7999999996</v>
      </c>
    </row>
    <row r="4570" spans="1:4" x14ac:dyDescent="0.3">
      <c r="A4570" t="s">
        <v>21</v>
      </c>
      <c r="C4570" s="16">
        <v>46306</v>
      </c>
      <c r="D4570" s="82">
        <v>1340096.4199999995</v>
      </c>
    </row>
    <row r="4571" spans="1:4" x14ac:dyDescent="0.3">
      <c r="A4571" t="s">
        <v>22</v>
      </c>
      <c r="C4571" s="16">
        <v>46306</v>
      </c>
      <c r="D4571" s="82">
        <v>181778.14</v>
      </c>
    </row>
    <row r="4572" spans="1:4" x14ac:dyDescent="0.3">
      <c r="A4572" t="s">
        <v>23</v>
      </c>
      <c r="C4572" s="16">
        <v>46306</v>
      </c>
      <c r="D4572" s="82">
        <v>80533.579999999987</v>
      </c>
    </row>
    <row r="4573" spans="1:4" x14ac:dyDescent="0.3">
      <c r="A4573" t="s">
        <v>24</v>
      </c>
      <c r="C4573" s="16">
        <v>46306</v>
      </c>
      <c r="D4573" s="82">
        <v>10259.18</v>
      </c>
    </row>
    <row r="4574" spans="1:4" x14ac:dyDescent="0.3">
      <c r="A4574" t="s">
        <v>25</v>
      </c>
      <c r="C4574" s="16">
        <v>46306</v>
      </c>
      <c r="D4574" s="82">
        <v>64.55</v>
      </c>
    </row>
    <row r="4575" spans="1:4" x14ac:dyDescent="0.3">
      <c r="A4575" t="s">
        <v>26</v>
      </c>
      <c r="C4575" s="16">
        <v>46306</v>
      </c>
      <c r="D4575" s="82">
        <v>2117.9700000000003</v>
      </c>
    </row>
    <row r="4576" spans="1:4" x14ac:dyDescent="0.3">
      <c r="A4576" t="s">
        <v>27</v>
      </c>
      <c r="C4576" s="16">
        <v>46306</v>
      </c>
      <c r="D4576" s="82">
        <v>17895.290000000015</v>
      </c>
    </row>
    <row r="4577" spans="1:4" x14ac:dyDescent="0.3">
      <c r="A4577" t="s">
        <v>28</v>
      </c>
      <c r="C4577" s="16">
        <v>46306</v>
      </c>
      <c r="D4577" s="82">
        <v>1968.99</v>
      </c>
    </row>
    <row r="4578" spans="1:4" x14ac:dyDescent="0.3">
      <c r="A4578" t="s">
        <v>29</v>
      </c>
      <c r="C4578" s="16">
        <v>46306</v>
      </c>
      <c r="D4578" s="82">
        <v>901.34</v>
      </c>
    </row>
    <row r="4579" spans="1:4" x14ac:dyDescent="0.3">
      <c r="A4579" t="s">
        <v>30</v>
      </c>
      <c r="C4579" s="16">
        <v>46306</v>
      </c>
      <c r="D4579" s="82">
        <v>1364.08</v>
      </c>
    </row>
    <row r="4580" spans="1:4" x14ac:dyDescent="0.3">
      <c r="A4580" t="s">
        <v>31</v>
      </c>
      <c r="C4580" s="16">
        <v>46306</v>
      </c>
      <c r="D4580" s="82">
        <v>20171.549999999959</v>
      </c>
    </row>
    <row r="4581" spans="1:4" x14ac:dyDescent="0.3">
      <c r="A4581" t="s">
        <v>32</v>
      </c>
      <c r="C4581" s="16">
        <v>46306</v>
      </c>
      <c r="D4581" s="82">
        <v>13576.060000000007</v>
      </c>
    </row>
    <row r="4582" spans="1:4" x14ac:dyDescent="0.3">
      <c r="A4582" t="s">
        <v>33</v>
      </c>
      <c r="C4582" s="16">
        <v>46306</v>
      </c>
      <c r="D4582" s="82">
        <v>16893.769999999997</v>
      </c>
    </row>
    <row r="4583" spans="1:4" x14ac:dyDescent="0.3">
      <c r="A4583" t="s">
        <v>34</v>
      </c>
      <c r="C4583" s="16">
        <v>46306</v>
      </c>
      <c r="D4583" s="82">
        <v>345</v>
      </c>
    </row>
    <row r="4584" spans="1:4" x14ac:dyDescent="0.3">
      <c r="A4584" t="s">
        <v>35</v>
      </c>
      <c r="C4584" s="16">
        <v>46306</v>
      </c>
      <c r="D4584" s="82">
        <v>23077.850000000002</v>
      </c>
    </row>
    <row r="4585" spans="1:4" x14ac:dyDescent="0.3">
      <c r="A4585" t="s">
        <v>193</v>
      </c>
      <c r="C4585" s="16">
        <v>46306</v>
      </c>
      <c r="D4585" s="82">
        <v>310854.86000000004</v>
      </c>
    </row>
    <row r="4586" spans="1:4" x14ac:dyDescent="0.3">
      <c r="A4586" t="s">
        <v>214</v>
      </c>
      <c r="C4586" s="16">
        <v>46306</v>
      </c>
      <c r="D4586" s="82">
        <v>101132.39000000001</v>
      </c>
    </row>
    <row r="4587" spans="1:4" x14ac:dyDescent="0.3">
      <c r="A4587" t="s">
        <v>194</v>
      </c>
      <c r="C4587" s="16">
        <v>46306</v>
      </c>
      <c r="D4587" s="82">
        <v>90631.96</v>
      </c>
    </row>
    <row r="4588" spans="1:4" x14ac:dyDescent="0.3">
      <c r="A4588" t="s">
        <v>195</v>
      </c>
      <c r="C4588" s="16">
        <v>46306</v>
      </c>
      <c r="D4588" s="82">
        <v>5604.8</v>
      </c>
    </row>
    <row r="4589" spans="1:4" x14ac:dyDescent="0.3">
      <c r="A4589" t="s">
        <v>196</v>
      </c>
      <c r="C4589" s="16">
        <v>46306</v>
      </c>
      <c r="D4589" s="82">
        <v>21397.339999999967</v>
      </c>
    </row>
    <row r="4590" spans="1:4" x14ac:dyDescent="0.3">
      <c r="A4590" t="s">
        <v>197</v>
      </c>
      <c r="C4590" s="16">
        <v>46306</v>
      </c>
      <c r="D4590" s="82">
        <v>794.01</v>
      </c>
    </row>
    <row r="4591" spans="1:4" x14ac:dyDescent="0.3">
      <c r="A4591" t="s">
        <v>212</v>
      </c>
      <c r="C4591" s="16">
        <v>46306</v>
      </c>
      <c r="D4591" s="82">
        <v>5445.57</v>
      </c>
    </row>
    <row r="4592" spans="1:4" x14ac:dyDescent="0.3">
      <c r="A4592" t="s">
        <v>199</v>
      </c>
      <c r="C4592" s="16">
        <v>46306</v>
      </c>
      <c r="D4592" s="82">
        <v>240473.16999999998</v>
      </c>
    </row>
    <row r="4593" spans="1:4" x14ac:dyDescent="0.3">
      <c r="A4593" t="s">
        <v>216</v>
      </c>
      <c r="C4593" s="16">
        <v>46306</v>
      </c>
      <c r="D4593" s="82">
        <v>351319.16</v>
      </c>
    </row>
    <row r="4594" spans="1:4" x14ac:dyDescent="0.3">
      <c r="A4594" t="s">
        <v>17</v>
      </c>
      <c r="C4594" s="16">
        <v>46307</v>
      </c>
      <c r="D4594" s="82">
        <v>2834671.5400000005</v>
      </c>
    </row>
    <row r="4595" spans="1:4" x14ac:dyDescent="0.3">
      <c r="A4595" t="s">
        <v>18</v>
      </c>
      <c r="C4595" s="16">
        <v>46307</v>
      </c>
      <c r="D4595" s="82">
        <v>103123.59000000017</v>
      </c>
    </row>
    <row r="4596" spans="1:4" x14ac:dyDescent="0.3">
      <c r="A4596" t="s">
        <v>19</v>
      </c>
      <c r="C4596" s="16">
        <v>46307</v>
      </c>
      <c r="D4596" s="82">
        <v>1669.89</v>
      </c>
    </row>
    <row r="4597" spans="1:4" x14ac:dyDescent="0.3">
      <c r="A4597" t="s">
        <v>20</v>
      </c>
      <c r="C4597" s="16">
        <v>46307</v>
      </c>
      <c r="D4597" s="82">
        <v>1026832.7999999996</v>
      </c>
    </row>
    <row r="4598" spans="1:4" x14ac:dyDescent="0.3">
      <c r="A4598" t="s">
        <v>21</v>
      </c>
      <c r="C4598" s="16">
        <v>46307</v>
      </c>
      <c r="D4598" s="82">
        <v>1340096.4199999995</v>
      </c>
    </row>
    <row r="4599" spans="1:4" x14ac:dyDescent="0.3">
      <c r="A4599" t="s">
        <v>22</v>
      </c>
      <c r="C4599" s="16">
        <v>46307</v>
      </c>
      <c r="D4599" s="82">
        <v>181778.14</v>
      </c>
    </row>
    <row r="4600" spans="1:4" x14ac:dyDescent="0.3">
      <c r="A4600" t="s">
        <v>23</v>
      </c>
      <c r="C4600" s="16">
        <v>46307</v>
      </c>
      <c r="D4600" s="82">
        <v>80533.579999999987</v>
      </c>
    </row>
    <row r="4601" spans="1:4" x14ac:dyDescent="0.3">
      <c r="A4601" t="s">
        <v>24</v>
      </c>
      <c r="C4601" s="16">
        <v>46307</v>
      </c>
      <c r="D4601" s="82">
        <v>10259.18</v>
      </c>
    </row>
    <row r="4602" spans="1:4" x14ac:dyDescent="0.3">
      <c r="A4602" t="s">
        <v>25</v>
      </c>
      <c r="C4602" s="16">
        <v>46307</v>
      </c>
      <c r="D4602" s="82">
        <v>64.55</v>
      </c>
    </row>
    <row r="4603" spans="1:4" x14ac:dyDescent="0.3">
      <c r="A4603" t="s">
        <v>26</v>
      </c>
      <c r="C4603" s="16">
        <v>46307</v>
      </c>
      <c r="D4603" s="82">
        <v>2117.9700000000003</v>
      </c>
    </row>
    <row r="4604" spans="1:4" x14ac:dyDescent="0.3">
      <c r="A4604" t="s">
        <v>27</v>
      </c>
      <c r="C4604" s="16">
        <v>46307</v>
      </c>
      <c r="D4604" s="82">
        <v>17895.290000000015</v>
      </c>
    </row>
    <row r="4605" spans="1:4" x14ac:dyDescent="0.3">
      <c r="A4605" t="s">
        <v>28</v>
      </c>
      <c r="C4605" s="16">
        <v>46307</v>
      </c>
      <c r="D4605" s="82">
        <v>1968.99</v>
      </c>
    </row>
    <row r="4606" spans="1:4" x14ac:dyDescent="0.3">
      <c r="A4606" t="s">
        <v>29</v>
      </c>
      <c r="C4606" s="16">
        <v>46307</v>
      </c>
      <c r="D4606" s="82">
        <v>901.34</v>
      </c>
    </row>
    <row r="4607" spans="1:4" x14ac:dyDescent="0.3">
      <c r="A4607" t="s">
        <v>30</v>
      </c>
      <c r="C4607" s="16">
        <v>46307</v>
      </c>
      <c r="D4607" s="82">
        <v>1364.08</v>
      </c>
    </row>
    <row r="4608" spans="1:4" x14ac:dyDescent="0.3">
      <c r="A4608" t="s">
        <v>31</v>
      </c>
      <c r="C4608" s="16">
        <v>46307</v>
      </c>
      <c r="D4608" s="82">
        <v>20171.549999999959</v>
      </c>
    </row>
    <row r="4609" spans="1:4" x14ac:dyDescent="0.3">
      <c r="A4609" t="s">
        <v>32</v>
      </c>
      <c r="C4609" s="16">
        <v>46307</v>
      </c>
      <c r="D4609" s="82">
        <v>13576.060000000007</v>
      </c>
    </row>
    <row r="4610" spans="1:4" x14ac:dyDescent="0.3">
      <c r="A4610" t="s">
        <v>33</v>
      </c>
      <c r="C4610" s="16">
        <v>46307</v>
      </c>
      <c r="D4610" s="82">
        <v>16893.769999999997</v>
      </c>
    </row>
    <row r="4611" spans="1:4" x14ac:dyDescent="0.3">
      <c r="A4611" t="s">
        <v>34</v>
      </c>
      <c r="C4611" s="16">
        <v>46307</v>
      </c>
      <c r="D4611" s="82">
        <v>345</v>
      </c>
    </row>
    <row r="4612" spans="1:4" x14ac:dyDescent="0.3">
      <c r="A4612" t="s">
        <v>35</v>
      </c>
      <c r="C4612" s="16">
        <v>46307</v>
      </c>
      <c r="D4612" s="82">
        <v>23077.850000000002</v>
      </c>
    </row>
    <row r="4613" spans="1:4" x14ac:dyDescent="0.3">
      <c r="A4613" t="s">
        <v>193</v>
      </c>
      <c r="C4613" s="16">
        <v>46307</v>
      </c>
      <c r="D4613" s="82">
        <v>310854.86000000004</v>
      </c>
    </row>
    <row r="4614" spans="1:4" x14ac:dyDescent="0.3">
      <c r="A4614" t="s">
        <v>214</v>
      </c>
      <c r="C4614" s="16">
        <v>46307</v>
      </c>
      <c r="D4614" s="82">
        <v>101132.39000000001</v>
      </c>
    </row>
    <row r="4615" spans="1:4" x14ac:dyDescent="0.3">
      <c r="A4615" t="s">
        <v>194</v>
      </c>
      <c r="C4615" s="16">
        <v>46307</v>
      </c>
      <c r="D4615" s="82">
        <v>90631.96</v>
      </c>
    </row>
    <row r="4616" spans="1:4" x14ac:dyDescent="0.3">
      <c r="A4616" t="s">
        <v>195</v>
      </c>
      <c r="C4616" s="16">
        <v>46307</v>
      </c>
      <c r="D4616" s="82">
        <v>5604.8</v>
      </c>
    </row>
    <row r="4617" spans="1:4" x14ac:dyDescent="0.3">
      <c r="A4617" t="s">
        <v>196</v>
      </c>
      <c r="C4617" s="16">
        <v>46307</v>
      </c>
      <c r="D4617" s="82">
        <v>21397.339999999967</v>
      </c>
    </row>
    <row r="4618" spans="1:4" x14ac:dyDescent="0.3">
      <c r="A4618" t="s">
        <v>197</v>
      </c>
      <c r="C4618" s="16">
        <v>46307</v>
      </c>
      <c r="D4618" s="82">
        <v>794.01</v>
      </c>
    </row>
    <row r="4619" spans="1:4" x14ac:dyDescent="0.3">
      <c r="A4619" t="s">
        <v>212</v>
      </c>
      <c r="C4619" s="16">
        <v>46307</v>
      </c>
      <c r="D4619" s="82">
        <v>5445.57</v>
      </c>
    </row>
    <row r="4620" spans="1:4" x14ac:dyDescent="0.3">
      <c r="A4620" t="s">
        <v>199</v>
      </c>
      <c r="C4620" s="16">
        <v>46307</v>
      </c>
      <c r="D4620" s="82">
        <v>240473.16999999998</v>
      </c>
    </row>
    <row r="4621" spans="1:4" x14ac:dyDescent="0.3">
      <c r="A4621" t="s">
        <v>216</v>
      </c>
      <c r="C4621" s="16">
        <v>46307</v>
      </c>
      <c r="D4621" s="82">
        <v>351319.16</v>
      </c>
    </row>
    <row r="4622" spans="1:4" x14ac:dyDescent="0.3">
      <c r="A4622" t="s">
        <v>17</v>
      </c>
      <c r="C4622" s="16">
        <v>46308</v>
      </c>
      <c r="D4622" s="82">
        <v>2834671.5400000005</v>
      </c>
    </row>
    <row r="4623" spans="1:4" x14ac:dyDescent="0.3">
      <c r="A4623" t="s">
        <v>18</v>
      </c>
      <c r="C4623" s="16">
        <v>46308</v>
      </c>
      <c r="D4623" s="82">
        <v>103123.59000000017</v>
      </c>
    </row>
    <row r="4624" spans="1:4" x14ac:dyDescent="0.3">
      <c r="A4624" t="s">
        <v>19</v>
      </c>
      <c r="C4624" s="16">
        <v>46308</v>
      </c>
      <c r="D4624" s="82">
        <v>1669.89</v>
      </c>
    </row>
    <row r="4625" spans="1:4" x14ac:dyDescent="0.3">
      <c r="A4625" t="s">
        <v>20</v>
      </c>
      <c r="C4625" s="16">
        <v>46308</v>
      </c>
      <c r="D4625" s="82">
        <v>1026832.7999999996</v>
      </c>
    </row>
    <row r="4626" spans="1:4" x14ac:dyDescent="0.3">
      <c r="A4626" t="s">
        <v>21</v>
      </c>
      <c r="C4626" s="16">
        <v>46308</v>
      </c>
      <c r="D4626" s="82">
        <v>1340096.4199999995</v>
      </c>
    </row>
    <row r="4627" spans="1:4" x14ac:dyDescent="0.3">
      <c r="A4627" t="s">
        <v>22</v>
      </c>
      <c r="C4627" s="16">
        <v>46308</v>
      </c>
      <c r="D4627" s="82">
        <v>181778.14</v>
      </c>
    </row>
    <row r="4628" spans="1:4" x14ac:dyDescent="0.3">
      <c r="A4628" t="s">
        <v>23</v>
      </c>
      <c r="C4628" s="16">
        <v>46308</v>
      </c>
      <c r="D4628" s="82">
        <v>80533.579999999987</v>
      </c>
    </row>
    <row r="4629" spans="1:4" x14ac:dyDescent="0.3">
      <c r="A4629" t="s">
        <v>24</v>
      </c>
      <c r="C4629" s="16">
        <v>46308</v>
      </c>
      <c r="D4629" s="82">
        <v>10259.18</v>
      </c>
    </row>
    <row r="4630" spans="1:4" x14ac:dyDescent="0.3">
      <c r="A4630" t="s">
        <v>25</v>
      </c>
      <c r="C4630" s="16">
        <v>46308</v>
      </c>
      <c r="D4630" s="82">
        <v>64.55</v>
      </c>
    </row>
    <row r="4631" spans="1:4" x14ac:dyDescent="0.3">
      <c r="A4631" t="s">
        <v>26</v>
      </c>
      <c r="C4631" s="16">
        <v>46308</v>
      </c>
      <c r="D4631" s="82">
        <v>2117.9700000000003</v>
      </c>
    </row>
    <row r="4632" spans="1:4" x14ac:dyDescent="0.3">
      <c r="A4632" t="s">
        <v>27</v>
      </c>
      <c r="C4632" s="16">
        <v>46308</v>
      </c>
      <c r="D4632" s="82">
        <v>17895.290000000015</v>
      </c>
    </row>
    <row r="4633" spans="1:4" x14ac:dyDescent="0.3">
      <c r="A4633" t="s">
        <v>28</v>
      </c>
      <c r="C4633" s="16">
        <v>46308</v>
      </c>
      <c r="D4633" s="82">
        <v>1968.99</v>
      </c>
    </row>
    <row r="4634" spans="1:4" x14ac:dyDescent="0.3">
      <c r="A4634" t="s">
        <v>29</v>
      </c>
      <c r="C4634" s="16">
        <v>46308</v>
      </c>
      <c r="D4634" s="82">
        <v>901.34</v>
      </c>
    </row>
    <row r="4635" spans="1:4" x14ac:dyDescent="0.3">
      <c r="A4635" t="s">
        <v>30</v>
      </c>
      <c r="C4635" s="16">
        <v>46308</v>
      </c>
      <c r="D4635" s="82">
        <v>1364.08</v>
      </c>
    </row>
    <row r="4636" spans="1:4" x14ac:dyDescent="0.3">
      <c r="A4636" t="s">
        <v>31</v>
      </c>
      <c r="C4636" s="16">
        <v>46308</v>
      </c>
      <c r="D4636" s="82">
        <v>20171.549999999959</v>
      </c>
    </row>
    <row r="4637" spans="1:4" x14ac:dyDescent="0.3">
      <c r="A4637" t="s">
        <v>32</v>
      </c>
      <c r="C4637" s="16">
        <v>46308</v>
      </c>
      <c r="D4637" s="82">
        <v>13576.060000000007</v>
      </c>
    </row>
    <row r="4638" spans="1:4" x14ac:dyDescent="0.3">
      <c r="A4638" t="s">
        <v>33</v>
      </c>
      <c r="C4638" s="16">
        <v>46308</v>
      </c>
      <c r="D4638" s="82">
        <v>16893.769999999997</v>
      </c>
    </row>
    <row r="4639" spans="1:4" x14ac:dyDescent="0.3">
      <c r="A4639" t="s">
        <v>34</v>
      </c>
      <c r="C4639" s="16">
        <v>46308</v>
      </c>
      <c r="D4639" s="82">
        <v>345</v>
      </c>
    </row>
    <row r="4640" spans="1:4" x14ac:dyDescent="0.3">
      <c r="A4640" t="s">
        <v>35</v>
      </c>
      <c r="C4640" s="16">
        <v>46308</v>
      </c>
      <c r="D4640" s="82">
        <v>23077.850000000002</v>
      </c>
    </row>
    <row r="4641" spans="1:4" x14ac:dyDescent="0.3">
      <c r="A4641" t="s">
        <v>193</v>
      </c>
      <c r="C4641" s="16">
        <v>46308</v>
      </c>
      <c r="D4641" s="82">
        <v>310854.86000000004</v>
      </c>
    </row>
    <row r="4642" spans="1:4" x14ac:dyDescent="0.3">
      <c r="A4642" t="s">
        <v>214</v>
      </c>
      <c r="C4642" s="16">
        <v>46308</v>
      </c>
      <c r="D4642" s="82">
        <v>100606.05000000002</v>
      </c>
    </row>
    <row r="4643" spans="1:4" x14ac:dyDescent="0.3">
      <c r="A4643" t="s">
        <v>194</v>
      </c>
      <c r="C4643" s="16">
        <v>46308</v>
      </c>
      <c r="D4643" s="82">
        <v>90631.96</v>
      </c>
    </row>
    <row r="4644" spans="1:4" x14ac:dyDescent="0.3">
      <c r="A4644" t="s">
        <v>195</v>
      </c>
      <c r="C4644" s="16">
        <v>46308</v>
      </c>
      <c r="D4644" s="82">
        <v>5604.8</v>
      </c>
    </row>
    <row r="4645" spans="1:4" x14ac:dyDescent="0.3">
      <c r="A4645" t="s">
        <v>196</v>
      </c>
      <c r="C4645" s="16">
        <v>46308</v>
      </c>
      <c r="D4645" s="82">
        <v>21397.339999999967</v>
      </c>
    </row>
    <row r="4646" spans="1:4" x14ac:dyDescent="0.3">
      <c r="A4646" t="s">
        <v>197</v>
      </c>
      <c r="C4646" s="16">
        <v>46308</v>
      </c>
      <c r="D4646" s="82">
        <v>794.01</v>
      </c>
    </row>
    <row r="4647" spans="1:4" x14ac:dyDescent="0.3">
      <c r="A4647" t="s">
        <v>212</v>
      </c>
      <c r="C4647" s="16">
        <v>46308</v>
      </c>
      <c r="D4647" s="82">
        <v>5445.57</v>
      </c>
    </row>
    <row r="4648" spans="1:4" x14ac:dyDescent="0.3">
      <c r="A4648" t="s">
        <v>199</v>
      </c>
      <c r="C4648" s="16">
        <v>46308</v>
      </c>
      <c r="D4648" s="82">
        <v>240473.16999999998</v>
      </c>
    </row>
    <row r="4649" spans="1:4" x14ac:dyDescent="0.3">
      <c r="A4649" t="s">
        <v>216</v>
      </c>
      <c r="C4649" s="16">
        <v>46308</v>
      </c>
      <c r="D4649" s="82">
        <v>351319.16</v>
      </c>
    </row>
    <row r="4650" spans="1:4" x14ac:dyDescent="0.3">
      <c r="A4650" t="s">
        <v>17</v>
      </c>
      <c r="C4650" s="16">
        <v>46309</v>
      </c>
      <c r="D4650" s="82">
        <v>2393911.5800000005</v>
      </c>
    </row>
    <row r="4651" spans="1:4" x14ac:dyDescent="0.3">
      <c r="A4651" t="s">
        <v>18</v>
      </c>
      <c r="C4651" s="16">
        <v>46309</v>
      </c>
      <c r="D4651" s="82">
        <v>103123.59000000017</v>
      </c>
    </row>
    <row r="4652" spans="1:4" x14ac:dyDescent="0.3">
      <c r="A4652" t="s">
        <v>19</v>
      </c>
      <c r="C4652" s="16">
        <v>46309</v>
      </c>
      <c r="D4652" s="82">
        <v>1669.89</v>
      </c>
    </row>
    <row r="4653" spans="1:4" x14ac:dyDescent="0.3">
      <c r="A4653" t="s">
        <v>20</v>
      </c>
      <c r="C4653" s="16">
        <v>46309</v>
      </c>
      <c r="D4653" s="82">
        <v>892379.23999999953</v>
      </c>
    </row>
    <row r="4654" spans="1:4" x14ac:dyDescent="0.3">
      <c r="A4654" t="s">
        <v>21</v>
      </c>
      <c r="C4654" s="16">
        <v>46309</v>
      </c>
      <c r="D4654" s="82">
        <v>1574252.7299999993</v>
      </c>
    </row>
    <row r="4655" spans="1:4" x14ac:dyDescent="0.3">
      <c r="A4655" t="s">
        <v>22</v>
      </c>
      <c r="C4655" s="16">
        <v>46309</v>
      </c>
      <c r="D4655" s="82">
        <v>181763.14</v>
      </c>
    </row>
    <row r="4656" spans="1:4" x14ac:dyDescent="0.3">
      <c r="A4656" t="s">
        <v>23</v>
      </c>
      <c r="C4656" s="16">
        <v>46309</v>
      </c>
      <c r="D4656" s="82">
        <v>80533.579999999987</v>
      </c>
    </row>
    <row r="4657" spans="1:4" x14ac:dyDescent="0.3">
      <c r="A4657" t="s">
        <v>24</v>
      </c>
      <c r="C4657" s="16">
        <v>46309</v>
      </c>
      <c r="D4657" s="82">
        <v>10259.18</v>
      </c>
    </row>
    <row r="4658" spans="1:4" x14ac:dyDescent="0.3">
      <c r="A4658" t="s">
        <v>25</v>
      </c>
      <c r="C4658" s="16">
        <v>46309</v>
      </c>
      <c r="D4658" s="82">
        <v>64.55</v>
      </c>
    </row>
    <row r="4659" spans="1:4" x14ac:dyDescent="0.3">
      <c r="A4659" t="s">
        <v>26</v>
      </c>
      <c r="C4659" s="16">
        <v>46309</v>
      </c>
      <c r="D4659" s="82">
        <v>2117.9700000000003</v>
      </c>
    </row>
    <row r="4660" spans="1:4" x14ac:dyDescent="0.3">
      <c r="A4660" t="s">
        <v>27</v>
      </c>
      <c r="C4660" s="16">
        <v>46309</v>
      </c>
      <c r="D4660" s="82">
        <v>17895.290000000015</v>
      </c>
    </row>
    <row r="4661" spans="1:4" x14ac:dyDescent="0.3">
      <c r="A4661" t="s">
        <v>28</v>
      </c>
      <c r="C4661" s="16">
        <v>46309</v>
      </c>
      <c r="D4661" s="82">
        <v>1968.99</v>
      </c>
    </row>
    <row r="4662" spans="1:4" x14ac:dyDescent="0.3">
      <c r="A4662" t="s">
        <v>29</v>
      </c>
      <c r="C4662" s="16">
        <v>46309</v>
      </c>
      <c r="D4662" s="82">
        <v>901.34</v>
      </c>
    </row>
    <row r="4663" spans="1:4" x14ac:dyDescent="0.3">
      <c r="A4663" t="s">
        <v>30</v>
      </c>
      <c r="C4663" s="16">
        <v>46309</v>
      </c>
      <c r="D4663" s="82">
        <v>1364.08</v>
      </c>
    </row>
    <row r="4664" spans="1:4" x14ac:dyDescent="0.3">
      <c r="A4664" t="s">
        <v>31</v>
      </c>
      <c r="C4664" s="16">
        <v>46309</v>
      </c>
      <c r="D4664" s="82">
        <v>20171.549999999959</v>
      </c>
    </row>
    <row r="4665" spans="1:4" x14ac:dyDescent="0.3">
      <c r="A4665" t="s">
        <v>32</v>
      </c>
      <c r="C4665" s="16">
        <v>46309</v>
      </c>
      <c r="D4665" s="82">
        <v>13576.060000000007</v>
      </c>
    </row>
    <row r="4666" spans="1:4" x14ac:dyDescent="0.3">
      <c r="A4666" t="s">
        <v>33</v>
      </c>
      <c r="C4666" s="16">
        <v>46309</v>
      </c>
      <c r="D4666" s="82">
        <v>16893.769999999997</v>
      </c>
    </row>
    <row r="4667" spans="1:4" x14ac:dyDescent="0.3">
      <c r="A4667" t="s">
        <v>34</v>
      </c>
      <c r="C4667" s="16">
        <v>46309</v>
      </c>
      <c r="D4667" s="82">
        <v>345</v>
      </c>
    </row>
    <row r="4668" spans="1:4" x14ac:dyDescent="0.3">
      <c r="A4668" t="s">
        <v>35</v>
      </c>
      <c r="C4668" s="16">
        <v>46309</v>
      </c>
      <c r="D4668" s="82">
        <v>6416.7700000000023</v>
      </c>
    </row>
    <row r="4669" spans="1:4" x14ac:dyDescent="0.3">
      <c r="A4669" t="s">
        <v>193</v>
      </c>
      <c r="C4669" s="16">
        <v>46309</v>
      </c>
      <c r="D4669" s="82">
        <v>329346.53000000003</v>
      </c>
    </row>
    <row r="4670" spans="1:4" x14ac:dyDescent="0.3">
      <c r="A4670" t="s">
        <v>214</v>
      </c>
      <c r="C4670" s="16">
        <v>46309</v>
      </c>
      <c r="D4670" s="82">
        <v>149859.76000000004</v>
      </c>
    </row>
    <row r="4671" spans="1:4" x14ac:dyDescent="0.3">
      <c r="A4671" t="s">
        <v>194</v>
      </c>
      <c r="C4671" s="16">
        <v>46309</v>
      </c>
      <c r="D4671" s="82">
        <v>100631.96</v>
      </c>
    </row>
    <row r="4672" spans="1:4" x14ac:dyDescent="0.3">
      <c r="A4672" t="s">
        <v>195</v>
      </c>
      <c r="C4672" s="16">
        <v>46309</v>
      </c>
      <c r="D4672" s="82">
        <v>3906.17</v>
      </c>
    </row>
    <row r="4673" spans="1:4" x14ac:dyDescent="0.3">
      <c r="A4673" t="s">
        <v>196</v>
      </c>
      <c r="C4673" s="16">
        <v>46309</v>
      </c>
      <c r="D4673" s="82">
        <v>21397.339999999967</v>
      </c>
    </row>
    <row r="4674" spans="1:4" x14ac:dyDescent="0.3">
      <c r="A4674" t="s">
        <v>197</v>
      </c>
      <c r="C4674" s="16">
        <v>46309</v>
      </c>
      <c r="D4674" s="82">
        <v>794.01</v>
      </c>
    </row>
    <row r="4675" spans="1:4" x14ac:dyDescent="0.3">
      <c r="A4675" t="s">
        <v>212</v>
      </c>
      <c r="C4675" s="16">
        <v>46309</v>
      </c>
      <c r="D4675" s="82">
        <v>5445.57</v>
      </c>
    </row>
    <row r="4676" spans="1:4" x14ac:dyDescent="0.3">
      <c r="A4676" t="s">
        <v>199</v>
      </c>
      <c r="C4676" s="16">
        <v>46309</v>
      </c>
      <c r="D4676" s="82">
        <v>240473.16999999998</v>
      </c>
    </row>
    <row r="4677" spans="1:4" x14ac:dyDescent="0.3">
      <c r="A4677" t="s">
        <v>216</v>
      </c>
      <c r="C4677" s="16">
        <v>46309</v>
      </c>
      <c r="D4677" s="82">
        <v>351319.16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2026-10-16T15:34:06Z</dcterms:modified>
  <dc:language>en-US</dc:language>
</cp:coreProperties>
</file>