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246" documentId="8_{BBC9EA4E-7F3B-475F-B61B-890F681C3A1C}" xr6:coauthVersionLast="47" xr6:coauthVersionMax="47" xr10:uidLastSave="{9872DB33-180A-4EE4-87FE-BBDD754ACEC6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diaria'!$A$1:$D$1863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8" i="6" l="1"/>
  <c r="C98" i="6"/>
  <c r="D98" i="6"/>
  <c r="E98" i="6"/>
  <c r="F98" i="6"/>
  <c r="G98" i="6"/>
  <c r="H98" i="6"/>
  <c r="I98" i="6"/>
  <c r="V98" i="6" s="1"/>
  <c r="J98" i="6"/>
  <c r="K98" i="6"/>
  <c r="L98" i="6"/>
  <c r="M98" i="6"/>
  <c r="N98" i="6"/>
  <c r="O98" i="6"/>
  <c r="P98" i="6"/>
  <c r="Q98" i="6"/>
  <c r="R98" i="6"/>
  <c r="S98" i="6"/>
  <c r="T98" i="6"/>
  <c r="U98" i="6"/>
  <c r="A99" i="6"/>
  <c r="C99" i="6"/>
  <c r="D99" i="6"/>
  <c r="E99" i="6"/>
  <c r="F99" i="6"/>
  <c r="G99" i="6"/>
  <c r="H99" i="6"/>
  <c r="I99" i="6"/>
  <c r="J99" i="6"/>
  <c r="K99" i="6"/>
  <c r="L99" i="6"/>
  <c r="V99" i="6" s="1"/>
  <c r="M99" i="6"/>
  <c r="N99" i="6"/>
  <c r="O99" i="6"/>
  <c r="P99" i="6"/>
  <c r="Q99" i="6"/>
  <c r="R99" i="6"/>
  <c r="S99" i="6"/>
  <c r="T99" i="6"/>
  <c r="U99" i="6"/>
  <c r="M667" i="1"/>
  <c r="N667" i="1"/>
  <c r="O667" i="1"/>
  <c r="P667" i="1"/>
  <c r="M668" i="1"/>
  <c r="N668" i="1"/>
  <c r="O668" i="1"/>
  <c r="P668" i="1"/>
  <c r="M669" i="1"/>
  <c r="N669" i="1"/>
  <c r="O669" i="1"/>
  <c r="P669" i="1"/>
  <c r="M670" i="1"/>
  <c r="N670" i="1"/>
  <c r="O670" i="1"/>
  <c r="P670" i="1"/>
  <c r="M671" i="1"/>
  <c r="N671" i="1"/>
  <c r="O671" i="1"/>
  <c r="P671" i="1"/>
  <c r="M672" i="1"/>
  <c r="N672" i="1"/>
  <c r="O672" i="1"/>
  <c r="P672" i="1"/>
  <c r="M673" i="1"/>
  <c r="N673" i="1"/>
  <c r="O673" i="1"/>
  <c r="P673" i="1"/>
  <c r="M674" i="1"/>
  <c r="N674" i="1"/>
  <c r="O674" i="1"/>
  <c r="P674" i="1"/>
  <c r="M675" i="1"/>
  <c r="N675" i="1"/>
  <c r="O675" i="1"/>
  <c r="P675" i="1"/>
  <c r="M676" i="1"/>
  <c r="N676" i="1"/>
  <c r="O676" i="1"/>
  <c r="P676" i="1"/>
  <c r="M677" i="1"/>
  <c r="N677" i="1"/>
  <c r="O677" i="1"/>
  <c r="P677" i="1"/>
  <c r="M678" i="1"/>
  <c r="N678" i="1"/>
  <c r="O678" i="1"/>
  <c r="P678" i="1"/>
  <c r="M679" i="1"/>
  <c r="N679" i="1"/>
  <c r="O679" i="1"/>
  <c r="P679" i="1"/>
  <c r="M680" i="1"/>
  <c r="N680" i="1"/>
  <c r="O680" i="1"/>
  <c r="P680" i="1"/>
  <c r="M681" i="1"/>
  <c r="N681" i="1"/>
  <c r="O681" i="1"/>
  <c r="P681" i="1"/>
  <c r="M682" i="1"/>
  <c r="N682" i="1"/>
  <c r="O682" i="1"/>
  <c r="P682" i="1"/>
  <c r="M683" i="1"/>
  <c r="N683" i="1"/>
  <c r="O683" i="1"/>
  <c r="P683" i="1"/>
  <c r="M684" i="1"/>
  <c r="N684" i="1"/>
  <c r="O684" i="1"/>
  <c r="P684" i="1"/>
  <c r="M685" i="1"/>
  <c r="N685" i="1"/>
  <c r="O685" i="1"/>
  <c r="P685" i="1"/>
  <c r="M686" i="1"/>
  <c r="N686" i="1"/>
  <c r="O686" i="1"/>
  <c r="P686" i="1"/>
  <c r="M687" i="1"/>
  <c r="N687" i="1"/>
  <c r="O687" i="1"/>
  <c r="P687" i="1"/>
  <c r="M688" i="1"/>
  <c r="N688" i="1"/>
  <c r="O688" i="1"/>
  <c r="P688" i="1"/>
  <c r="M689" i="1"/>
  <c r="N689" i="1"/>
  <c r="P689" i="1" s="1"/>
  <c r="O689" i="1"/>
  <c r="M690" i="1"/>
  <c r="N690" i="1"/>
  <c r="O690" i="1"/>
  <c r="P690" i="1"/>
  <c r="M691" i="1"/>
  <c r="N691" i="1"/>
  <c r="O691" i="1"/>
  <c r="P691" i="1"/>
  <c r="M692" i="1"/>
  <c r="N692" i="1"/>
  <c r="O692" i="1"/>
  <c r="P692" i="1"/>
  <c r="M693" i="1"/>
  <c r="N693" i="1"/>
  <c r="O693" i="1"/>
  <c r="P693" i="1"/>
  <c r="M694" i="1"/>
  <c r="N694" i="1"/>
  <c r="O694" i="1"/>
  <c r="P694" i="1"/>
  <c r="M695" i="1"/>
  <c r="N695" i="1"/>
  <c r="P695" i="1" s="1"/>
  <c r="O695" i="1"/>
  <c r="M696" i="1"/>
  <c r="N696" i="1"/>
  <c r="O696" i="1"/>
  <c r="P696" i="1"/>
  <c r="M697" i="1"/>
  <c r="N697" i="1"/>
  <c r="O697" i="1"/>
  <c r="P697" i="1"/>
  <c r="M698" i="1"/>
  <c r="N698" i="1"/>
  <c r="O698" i="1"/>
  <c r="P698" i="1"/>
  <c r="M699" i="1"/>
  <c r="N699" i="1"/>
  <c r="O699" i="1"/>
  <c r="P699" i="1"/>
  <c r="M700" i="1"/>
  <c r="N700" i="1"/>
  <c r="O700" i="1"/>
  <c r="P700" i="1"/>
  <c r="M701" i="1"/>
  <c r="N701" i="1"/>
  <c r="O701" i="1"/>
  <c r="P701" i="1"/>
  <c r="M702" i="1"/>
  <c r="N702" i="1"/>
  <c r="O702" i="1"/>
  <c r="P702" i="1"/>
  <c r="M703" i="1"/>
  <c r="N703" i="1"/>
  <c r="O703" i="1"/>
  <c r="P703" i="1"/>
  <c r="M704" i="1"/>
  <c r="N704" i="1"/>
  <c r="O704" i="1"/>
  <c r="P704" i="1"/>
  <c r="M705" i="1"/>
  <c r="N705" i="1"/>
  <c r="O705" i="1"/>
  <c r="P705" i="1"/>
  <c r="M706" i="1"/>
  <c r="N706" i="1"/>
  <c r="O706" i="1"/>
  <c r="P706" i="1"/>
  <c r="M707" i="1"/>
  <c r="N707" i="1"/>
  <c r="O707" i="1"/>
  <c r="P707" i="1"/>
  <c r="M708" i="1"/>
  <c r="N708" i="1"/>
  <c r="O708" i="1"/>
  <c r="P708" i="1"/>
  <c r="M709" i="1"/>
  <c r="N709" i="1"/>
  <c r="O709" i="1"/>
  <c r="P709" i="1"/>
  <c r="M710" i="1"/>
  <c r="N710" i="1"/>
  <c r="O710" i="1"/>
  <c r="P710" i="1"/>
  <c r="M711" i="1"/>
  <c r="N711" i="1"/>
  <c r="O711" i="1"/>
  <c r="P711" i="1"/>
  <c r="M712" i="1"/>
  <c r="N712" i="1"/>
  <c r="O712" i="1"/>
  <c r="P712" i="1"/>
  <c r="M713" i="1"/>
  <c r="N713" i="1"/>
  <c r="O713" i="1"/>
  <c r="P713" i="1"/>
  <c r="M714" i="1"/>
  <c r="N714" i="1"/>
  <c r="O714" i="1"/>
  <c r="P714" i="1"/>
  <c r="M715" i="1"/>
  <c r="N715" i="1"/>
  <c r="P715" i="1" s="1"/>
  <c r="O715" i="1"/>
  <c r="M716" i="1"/>
  <c r="N716" i="1"/>
  <c r="O716" i="1"/>
  <c r="P716" i="1"/>
  <c r="M717" i="1"/>
  <c r="N717" i="1"/>
  <c r="P717" i="1" s="1"/>
  <c r="O717" i="1"/>
  <c r="M718" i="1"/>
  <c r="N718" i="1"/>
  <c r="O718" i="1"/>
  <c r="P718" i="1"/>
  <c r="M719" i="1"/>
  <c r="N719" i="1"/>
  <c r="O719" i="1"/>
  <c r="P719" i="1"/>
  <c r="M720" i="1"/>
  <c r="N720" i="1"/>
  <c r="O720" i="1"/>
  <c r="P720" i="1"/>
  <c r="M721" i="1"/>
  <c r="N721" i="1"/>
  <c r="O721" i="1"/>
  <c r="P721" i="1"/>
  <c r="M722" i="1"/>
  <c r="N722" i="1"/>
  <c r="O722" i="1"/>
  <c r="P722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O723" i="1"/>
  <c r="P723" i="1" s="1"/>
  <c r="O724" i="1"/>
  <c r="P724" i="1" s="1"/>
  <c r="O725" i="1"/>
  <c r="P725" i="1" s="1"/>
  <c r="O726" i="1"/>
  <c r="P726" i="1" s="1"/>
  <c r="O727" i="1"/>
  <c r="P727" i="1" s="1"/>
  <c r="O728" i="1"/>
  <c r="P728" i="1" s="1"/>
  <c r="O729" i="1"/>
  <c r="P729" i="1" s="1"/>
  <c r="O730" i="1"/>
  <c r="P730" i="1" s="1"/>
  <c r="O731" i="1"/>
  <c r="P731" i="1" s="1"/>
  <c r="O732" i="1"/>
  <c r="P732" i="1" s="1"/>
  <c r="O733" i="1"/>
  <c r="P733" i="1" s="1"/>
  <c r="O734" i="1"/>
  <c r="P734" i="1" s="1"/>
  <c r="O735" i="1"/>
  <c r="P735" i="1" s="1"/>
  <c r="O736" i="1"/>
  <c r="P736" i="1" s="1"/>
  <c r="O737" i="1"/>
  <c r="P737" i="1" s="1"/>
  <c r="O738" i="1"/>
  <c r="P738" i="1" s="1"/>
  <c r="O739" i="1"/>
  <c r="P739" i="1" s="1"/>
  <c r="O740" i="1"/>
  <c r="P740" i="1" s="1"/>
  <c r="O741" i="1"/>
  <c r="P741" i="1" s="1"/>
  <c r="O742" i="1"/>
  <c r="P742" i="1" s="1"/>
  <c r="O743" i="1"/>
  <c r="P743" i="1" s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A96" i="6" l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O585" i="1"/>
  <c r="O586" i="1"/>
  <c r="O587" i="1"/>
  <c r="O588" i="1"/>
  <c r="P588" i="1" s="1"/>
  <c r="O589" i="1"/>
  <c r="O590" i="1"/>
  <c r="O591" i="1"/>
  <c r="O592" i="1"/>
  <c r="O593" i="1"/>
  <c r="O594" i="1"/>
  <c r="O595" i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P584" i="1"/>
  <c r="P585" i="1"/>
  <c r="P586" i="1"/>
  <c r="P587" i="1"/>
  <c r="P589" i="1"/>
  <c r="P590" i="1"/>
  <c r="P591" i="1"/>
  <c r="P592" i="1"/>
  <c r="P593" i="1"/>
  <c r="P594" i="1"/>
  <c r="P595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C529" i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C473" i="1"/>
  <c r="C474" i="1"/>
  <c r="C478" i="1"/>
  <c r="C479" i="1"/>
  <c r="C480" i="1"/>
  <c r="C481" i="1"/>
  <c r="C482" i="1"/>
  <c r="C484" i="1"/>
  <c r="P657" i="1" l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I374" i="1" l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I367" i="1" l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P361" i="1"/>
  <c r="P362" i="1"/>
  <c r="C238" i="1"/>
  <c r="E238" i="1"/>
  <c r="H238" i="1"/>
  <c r="I238" i="1"/>
  <c r="K238" i="1"/>
  <c r="C236" i="1"/>
  <c r="M239" i="1" s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P31" i="3" l="1"/>
  <c r="P21" i="3"/>
  <c r="J19" i="3"/>
  <c r="T18" i="3"/>
  <c r="J32" i="3"/>
  <c r="O18" i="3"/>
  <c r="U18" i="3"/>
  <c r="J18" i="3"/>
  <c r="P18" i="3"/>
  <c r="J5" i="3"/>
  <c r="J8" i="3"/>
  <c r="T27" i="3"/>
  <c r="U24" i="3"/>
  <c r="P35" i="3"/>
  <c r="O35" i="3"/>
  <c r="P2" i="3"/>
  <c r="O21" i="3"/>
  <c r="P29" i="3"/>
  <c r="O22" i="3"/>
  <c r="O19" i="3"/>
  <c r="J22" i="3"/>
  <c r="J30" i="3"/>
  <c r="K23" i="3"/>
  <c r="P22" i="3"/>
  <c r="O3" i="3"/>
  <c r="P3" i="3"/>
  <c r="O33" i="3"/>
  <c r="O28" i="3"/>
  <c r="U22" i="3"/>
  <c r="O26" i="3"/>
  <c r="O29" i="3"/>
  <c r="O11" i="3"/>
  <c r="O5" i="3"/>
  <c r="P32" i="3"/>
  <c r="J28" i="3"/>
  <c r="O34" i="3"/>
  <c r="O2" i="3"/>
  <c r="O24" i="3"/>
  <c r="P9" i="3"/>
  <c r="P30" i="3"/>
  <c r="U28" i="3"/>
  <c r="O32" i="3"/>
  <c r="T23" i="3"/>
  <c r="O9" i="3"/>
  <c r="O31" i="3"/>
  <c r="P8" i="3"/>
  <c r="T30" i="3"/>
  <c r="O23" i="3"/>
  <c r="O30" i="3"/>
  <c r="P33" i="3"/>
  <c r="P19" i="3"/>
  <c r="P13" i="3"/>
  <c r="U35" i="3"/>
  <c r="U11" i="3"/>
  <c r="U27" i="3"/>
  <c r="U32" i="3"/>
  <c r="U3" i="3"/>
  <c r="T24" i="3"/>
  <c r="U34" i="3"/>
  <c r="U8" i="3"/>
  <c r="U21" i="3"/>
  <c r="U33" i="3"/>
  <c r="U31" i="3"/>
  <c r="T12" i="3"/>
  <c r="T13" i="3"/>
  <c r="O4" i="3"/>
  <c r="T34" i="3"/>
  <c r="J4" i="3"/>
  <c r="J11" i="3"/>
  <c r="T26" i="3"/>
  <c r="T31" i="3"/>
  <c r="J20" i="3"/>
  <c r="J9" i="3"/>
  <c r="K4" i="3"/>
  <c r="K11" i="3"/>
  <c r="T9" i="3"/>
  <c r="J27" i="3"/>
  <c r="K33" i="3"/>
  <c r="T5" i="3"/>
  <c r="U19" i="3"/>
  <c r="T28" i="3"/>
  <c r="J35" i="3"/>
  <c r="T17" i="3"/>
  <c r="U5" i="3"/>
  <c r="P11" i="3"/>
  <c r="P20" i="3"/>
  <c r="T3" i="3"/>
  <c r="P26" i="3"/>
  <c r="U26" i="3"/>
  <c r="O20" i="3"/>
  <c r="J13" i="3"/>
  <c r="T22" i="3"/>
  <c r="T35" i="3"/>
  <c r="T19" i="3"/>
  <c r="T11" i="3"/>
  <c r="T25" i="3"/>
  <c r="U4" i="3"/>
  <c r="M235" i="1"/>
  <c r="O15" i="3"/>
  <c r="K15" i="3"/>
  <c r="J15" i="3"/>
  <c r="T15" i="3"/>
  <c r="U15" i="3"/>
  <c r="P15" i="3"/>
  <c r="U7" i="3"/>
  <c r="P7" i="3"/>
  <c r="K7" i="3"/>
  <c r="M238" i="1"/>
  <c r="J7" i="3"/>
  <c r="O7" i="3"/>
  <c r="T32" i="3"/>
  <c r="K24" i="3"/>
  <c r="K27" i="3"/>
  <c r="K17" i="3"/>
  <c r="K6" i="3"/>
  <c r="T7" i="3"/>
  <c r="P4" i="3"/>
  <c r="T16" i="3"/>
  <c r="U12" i="3"/>
  <c r="K21" i="3"/>
  <c r="P28" i="3"/>
  <c r="P27" i="3"/>
  <c r="U30" i="3"/>
  <c r="K22" i="3"/>
  <c r="O13" i="3"/>
  <c r="U25" i="3"/>
  <c r="K16" i="3"/>
  <c r="N39" i="6"/>
  <c r="K25" i="3"/>
  <c r="K30" i="3"/>
  <c r="M234" i="1"/>
  <c r="T4" i="3"/>
  <c r="T8" i="3"/>
  <c r="U20" i="3"/>
  <c r="T29" i="3"/>
  <c r="P24" i="3"/>
  <c r="P23" i="3"/>
  <c r="J23" i="3"/>
  <c r="K26" i="3"/>
  <c r="H42" i="6"/>
  <c r="K13" i="3"/>
  <c r="F38" i="6"/>
  <c r="U13" i="3"/>
  <c r="T20" i="3"/>
  <c r="U29" i="3"/>
  <c r="O27" i="3"/>
  <c r="P34" i="3"/>
  <c r="P12" i="3"/>
  <c r="U23" i="3"/>
  <c r="K18" i="3"/>
  <c r="K28" i="3"/>
  <c r="K20" i="3"/>
  <c r="G33" i="6"/>
  <c r="L42" i="6"/>
  <c r="U37" i="6"/>
  <c r="D34" i="6"/>
  <c r="L41" i="6"/>
  <c r="T33" i="3"/>
  <c r="U2" i="3"/>
  <c r="U9" i="3"/>
  <c r="P5" i="3"/>
  <c r="K35" i="3"/>
  <c r="K33" i="6"/>
  <c r="P41" i="6"/>
  <c r="I34" i="6"/>
  <c r="G37" i="6"/>
  <c r="H34" i="6"/>
  <c r="F33" i="6"/>
  <c r="H41" i="6"/>
  <c r="K5" i="3"/>
  <c r="I35" i="6"/>
  <c r="F40" i="6"/>
  <c r="T40" i="6"/>
  <c r="N40" i="6"/>
  <c r="K19" i="3"/>
  <c r="P34" i="6"/>
  <c r="T36" i="6"/>
  <c r="E41" i="6"/>
  <c r="D35" i="6"/>
  <c r="R34" i="6"/>
  <c r="L38" i="6"/>
  <c r="Q39" i="6"/>
  <c r="L36" i="6"/>
  <c r="U41" i="6"/>
  <c r="O40" i="6"/>
  <c r="T34" i="6"/>
  <c r="R39" i="6"/>
  <c r="C41" i="6"/>
  <c r="R38" i="6"/>
  <c r="L39" i="6"/>
  <c r="H33" i="6"/>
  <c r="I42" i="6"/>
  <c r="J38" i="6"/>
  <c r="M36" i="6"/>
  <c r="K41" i="6"/>
  <c r="U40" i="6"/>
  <c r="T37" i="6"/>
  <c r="R40" i="6"/>
  <c r="I37" i="6"/>
  <c r="O36" i="6"/>
  <c r="J39" i="6"/>
  <c r="O33" i="6"/>
  <c r="R42" i="6"/>
  <c r="S42" i="6"/>
  <c r="C37" i="6"/>
  <c r="M35" i="6"/>
  <c r="C39" i="6"/>
  <c r="O38" i="6"/>
  <c r="L37" i="6"/>
  <c r="S40" i="6"/>
  <c r="P39" i="6"/>
  <c r="T33" i="6"/>
  <c r="H37" i="6"/>
  <c r="P36" i="6"/>
  <c r="I39" i="6"/>
  <c r="C35" i="6"/>
  <c r="L34" i="6"/>
  <c r="M37" i="6"/>
  <c r="D40" i="6"/>
  <c r="K40" i="6"/>
  <c r="E35" i="6"/>
  <c r="F37" i="6"/>
  <c r="K37" i="6"/>
  <c r="C42" i="6"/>
  <c r="U6" i="3"/>
  <c r="E40" i="6"/>
  <c r="P40" i="6"/>
  <c r="E37" i="6"/>
  <c r="G40" i="6"/>
  <c r="D33" i="6"/>
  <c r="K39" i="6"/>
  <c r="G34" i="6"/>
  <c r="T42" i="6"/>
  <c r="O6" i="3"/>
  <c r="R37" i="6"/>
  <c r="E33" i="6"/>
  <c r="K38" i="6"/>
  <c r="T38" i="6"/>
  <c r="C38" i="6"/>
  <c r="J40" i="6"/>
  <c r="L33" i="6"/>
  <c r="P42" i="6"/>
  <c r="H35" i="6"/>
  <c r="Q41" i="6"/>
  <c r="D38" i="6"/>
  <c r="H38" i="6"/>
  <c r="P38" i="6"/>
  <c r="C36" i="6"/>
  <c r="S33" i="6"/>
  <c r="O35" i="6"/>
  <c r="L40" i="6"/>
  <c r="S41" i="6"/>
  <c r="F42" i="6"/>
  <c r="T41" i="6"/>
  <c r="N36" i="6"/>
  <c r="M42" i="6"/>
  <c r="R33" i="6"/>
  <c r="Q34" i="6"/>
  <c r="J35" i="6"/>
  <c r="U42" i="6"/>
  <c r="H39" i="6"/>
  <c r="R35" i="6"/>
  <c r="S36" i="6"/>
  <c r="J6" i="3"/>
  <c r="P6" i="3"/>
  <c r="M237" i="1"/>
  <c r="O17" i="3"/>
  <c r="P17" i="3"/>
  <c r="J17" i="3"/>
  <c r="U17" i="3"/>
  <c r="U16" i="3"/>
  <c r="M236" i="1"/>
  <c r="J16" i="3"/>
  <c r="P16" i="3"/>
  <c r="O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G35" i="6" s="1"/>
  <c r="N41" i="6" l="1"/>
  <c r="C33" i="6"/>
  <c r="F34" i="6"/>
  <c r="J37" i="6"/>
  <c r="E38" i="6"/>
  <c r="Q36" i="6"/>
  <c r="O41" i="6"/>
  <c r="H40" i="6"/>
  <c r="G36" i="6"/>
  <c r="U39" i="6"/>
  <c r="D37" i="6"/>
  <c r="O25" i="3"/>
  <c r="J25" i="3"/>
  <c r="O37" i="6"/>
  <c r="D36" i="6"/>
  <c r="J41" i="6"/>
  <c r="G41" i="6"/>
  <c r="I33" i="6"/>
  <c r="S38" i="6"/>
  <c r="T39" i="6"/>
  <c r="J33" i="6"/>
  <c r="I41" i="6"/>
  <c r="M40" i="6"/>
  <c r="K34" i="6"/>
  <c r="S35" i="6"/>
  <c r="Q33" i="6"/>
  <c r="F35" i="6"/>
  <c r="D39" i="6"/>
  <c r="O12" i="3"/>
  <c r="O8" i="3"/>
  <c r="N33" i="6"/>
  <c r="K35" i="6"/>
  <c r="C40" i="6"/>
  <c r="J42" i="6"/>
  <c r="M41" i="6"/>
  <c r="U38" i="6"/>
  <c r="F39" i="6"/>
  <c r="D42" i="6"/>
  <c r="D41" i="6"/>
  <c r="E39" i="6"/>
  <c r="O39" i="6"/>
  <c r="I38" i="6"/>
  <c r="M342" i="1"/>
  <c r="C34" i="6"/>
  <c r="G39" i="6"/>
  <c r="F41" i="6"/>
  <c r="P35" i="6"/>
  <c r="U33" i="6"/>
  <c r="G38" i="6"/>
  <c r="Q42" i="6"/>
  <c r="P37" i="6"/>
  <c r="O34" i="6"/>
  <c r="F36" i="6"/>
  <c r="U36" i="6"/>
  <c r="R41" i="6"/>
  <c r="U35" i="6"/>
  <c r="S34" i="6"/>
  <c r="M338" i="1"/>
  <c r="Q40" i="6"/>
  <c r="H36" i="6"/>
  <c r="N35" i="6"/>
  <c r="M34" i="6"/>
  <c r="L35" i="6"/>
  <c r="U34" i="6"/>
  <c r="K42" i="6"/>
  <c r="S37" i="6"/>
  <c r="T2" i="3"/>
  <c r="V2" i="3" s="1"/>
  <c r="T21" i="3"/>
  <c r="E42" i="6"/>
  <c r="T35" i="6"/>
  <c r="O42" i="6"/>
  <c r="M38" i="6"/>
  <c r="I36" i="6"/>
  <c r="S39" i="6"/>
  <c r="M39" i="6"/>
  <c r="E36" i="6"/>
  <c r="R36" i="6"/>
  <c r="G42" i="6"/>
  <c r="E34" i="6"/>
  <c r="N42" i="6"/>
  <c r="N38" i="6"/>
  <c r="J36" i="6"/>
  <c r="Q38" i="6"/>
  <c r="N37" i="6"/>
  <c r="M330" i="1"/>
  <c r="M322" i="1"/>
  <c r="M345" i="1"/>
  <c r="Q35" i="6"/>
  <c r="P33" i="6"/>
  <c r="J34" i="6"/>
  <c r="Q37" i="6"/>
  <c r="M33" i="6"/>
  <c r="M352" i="1"/>
  <c r="K36" i="6"/>
  <c r="I40" i="6"/>
  <c r="N34" i="6"/>
  <c r="M325" i="1"/>
  <c r="M515" i="1"/>
  <c r="M472" i="1"/>
  <c r="M588" i="1"/>
  <c r="M552" i="1"/>
  <c r="M649" i="1"/>
  <c r="M530" i="1"/>
  <c r="M623" i="1"/>
  <c r="M582" i="1"/>
  <c r="M629" i="1"/>
  <c r="M387" i="1"/>
  <c r="M373" i="1"/>
  <c r="M50" i="6"/>
  <c r="S71" i="6"/>
  <c r="G82" i="6"/>
  <c r="L74" i="6"/>
  <c r="G46" i="6"/>
  <c r="U76" i="6"/>
  <c r="S72" i="6"/>
  <c r="T91" i="6"/>
  <c r="D61" i="6"/>
  <c r="R70" i="6"/>
  <c r="E84" i="6"/>
  <c r="P71" i="6"/>
  <c r="S58" i="6"/>
  <c r="E80" i="6"/>
  <c r="L77" i="6"/>
  <c r="O92" i="6"/>
  <c r="L84" i="6"/>
  <c r="P96" i="6"/>
  <c r="K50" i="6"/>
  <c r="H53" i="6"/>
  <c r="U88" i="6"/>
  <c r="U91" i="6"/>
  <c r="U92" i="6"/>
  <c r="P50" i="6"/>
  <c r="T51" i="6"/>
  <c r="E58" i="6"/>
  <c r="F69" i="6"/>
  <c r="K61" i="6"/>
  <c r="G77" i="6"/>
  <c r="O60" i="6"/>
  <c r="S94" i="6"/>
  <c r="Q75" i="6"/>
  <c r="L66" i="6"/>
  <c r="R50" i="6"/>
  <c r="U58" i="6"/>
  <c r="G86" i="6"/>
  <c r="N78" i="6"/>
  <c r="M481" i="1"/>
  <c r="M482" i="1"/>
  <c r="M587" i="1"/>
  <c r="M572" i="1"/>
  <c r="M492" i="1"/>
  <c r="M615" i="1"/>
  <c r="M625" i="1"/>
  <c r="M613" i="1"/>
  <c r="M439" i="1"/>
  <c r="M422" i="1"/>
  <c r="M372" i="1"/>
  <c r="M73" i="6"/>
  <c r="M54" i="6"/>
  <c r="Q47" i="6"/>
  <c r="P64" i="6"/>
  <c r="J90" i="6"/>
  <c r="J68" i="6"/>
  <c r="O63" i="6"/>
  <c r="C67" i="6"/>
  <c r="M87" i="6"/>
  <c r="S52" i="6"/>
  <c r="R80" i="6"/>
  <c r="U60" i="6"/>
  <c r="F50" i="6"/>
  <c r="E59" i="6"/>
  <c r="C72" i="6"/>
  <c r="G81" i="6"/>
  <c r="E55" i="6"/>
  <c r="D76" i="6"/>
  <c r="U83" i="6"/>
  <c r="M92" i="6"/>
  <c r="O46" i="6"/>
  <c r="H78" i="6"/>
  <c r="J72" i="6"/>
  <c r="H86" i="6"/>
  <c r="T86" i="6"/>
  <c r="J77" i="6"/>
  <c r="K54" i="6"/>
  <c r="O87" i="6"/>
  <c r="C43" i="6"/>
  <c r="H55" i="6"/>
  <c r="F71" i="6"/>
  <c r="I50" i="6"/>
  <c r="C77" i="6"/>
  <c r="P44" i="6"/>
  <c r="N84" i="6"/>
  <c r="S86" i="6"/>
  <c r="M514" i="1"/>
  <c r="M529" i="1"/>
  <c r="M659" i="1"/>
  <c r="M571" i="1"/>
  <c r="M531" i="1"/>
  <c r="M580" i="1"/>
  <c r="M551" i="1"/>
  <c r="M463" i="1"/>
  <c r="M630" i="1"/>
  <c r="M386" i="1"/>
  <c r="M646" i="1"/>
  <c r="L62" i="6"/>
  <c r="G57" i="6"/>
  <c r="D86" i="6"/>
  <c r="U97" i="6"/>
  <c r="K92" i="6"/>
  <c r="R58" i="6"/>
  <c r="J47" i="6"/>
  <c r="U96" i="6"/>
  <c r="L46" i="6"/>
  <c r="Q65" i="6"/>
  <c r="N93" i="6"/>
  <c r="L94" i="6"/>
  <c r="E43" i="6"/>
  <c r="F81" i="6"/>
  <c r="F90" i="6"/>
  <c r="E49" i="6"/>
  <c r="K95" i="6"/>
  <c r="Q44" i="6"/>
  <c r="Q58" i="6"/>
  <c r="T64" i="6"/>
  <c r="K46" i="6"/>
  <c r="O69" i="6"/>
  <c r="G76" i="6"/>
  <c r="G63" i="6"/>
  <c r="T96" i="6"/>
  <c r="M63" i="6"/>
  <c r="L83" i="6"/>
  <c r="F83" i="6"/>
  <c r="K91" i="6"/>
  <c r="U87" i="6"/>
  <c r="H64" i="6"/>
  <c r="C92" i="6"/>
  <c r="S55" i="6"/>
  <c r="R63" i="6"/>
  <c r="N97" i="6"/>
  <c r="R75" i="6"/>
  <c r="I56" i="6"/>
  <c r="M71" i="6"/>
  <c r="H62" i="6"/>
  <c r="R46" i="6"/>
  <c r="J75" i="6"/>
  <c r="P74" i="6"/>
  <c r="L51" i="6"/>
  <c r="E75" i="6"/>
  <c r="S53" i="6"/>
  <c r="M62" i="6"/>
  <c r="E67" i="6"/>
  <c r="T77" i="6"/>
  <c r="I68" i="6"/>
  <c r="P91" i="6"/>
  <c r="M355" i="1"/>
  <c r="O78" i="6"/>
  <c r="N56" i="6"/>
  <c r="H91" i="6"/>
  <c r="C70" i="6"/>
  <c r="S80" i="6"/>
  <c r="U54" i="6"/>
  <c r="P51" i="6"/>
  <c r="Q67" i="6"/>
  <c r="J49" i="6"/>
  <c r="F82" i="6"/>
  <c r="T90" i="6"/>
  <c r="C88" i="6"/>
  <c r="M474" i="1"/>
  <c r="M535" i="1"/>
  <c r="M549" i="1"/>
  <c r="M648" i="1"/>
  <c r="M534" i="1"/>
  <c r="M619" i="1"/>
  <c r="M627" i="1"/>
  <c r="M509" i="1"/>
  <c r="M437" i="1"/>
  <c r="M433" i="1"/>
  <c r="M638" i="1"/>
  <c r="U59" i="6"/>
  <c r="S63" i="6"/>
  <c r="S61" i="6"/>
  <c r="G87" i="6"/>
  <c r="S85" i="6"/>
  <c r="F79" i="6"/>
  <c r="L80" i="6"/>
  <c r="L96" i="6"/>
  <c r="K66" i="6"/>
  <c r="Q91" i="6"/>
  <c r="P77" i="6"/>
  <c r="P52" i="6"/>
  <c r="R68" i="6"/>
  <c r="O61" i="6"/>
  <c r="F92" i="6"/>
  <c r="S45" i="6"/>
  <c r="U94" i="6"/>
  <c r="P49" i="6"/>
  <c r="E65" i="6"/>
  <c r="K44" i="6"/>
  <c r="M51" i="6"/>
  <c r="C60" i="6"/>
  <c r="O58" i="6"/>
  <c r="J46" i="6"/>
  <c r="H96" i="6"/>
  <c r="C51" i="6"/>
  <c r="Q52" i="6"/>
  <c r="T92" i="6"/>
  <c r="G65" i="6"/>
  <c r="N44" i="6"/>
  <c r="U82" i="6"/>
  <c r="K82" i="6"/>
  <c r="T66" i="6"/>
  <c r="U84" i="6"/>
  <c r="O53" i="6"/>
  <c r="G78" i="6"/>
  <c r="E56" i="6"/>
  <c r="I65" i="6"/>
  <c r="M528" i="1"/>
  <c r="M480" i="1"/>
  <c r="M479" i="1"/>
  <c r="M640" i="1"/>
  <c r="M626" i="1"/>
  <c r="M621" i="1"/>
  <c r="M573" i="1"/>
  <c r="M618" i="1"/>
  <c r="M438" i="1"/>
  <c r="M510" i="1"/>
  <c r="M628" i="1"/>
  <c r="M637" i="1"/>
  <c r="N61" i="6"/>
  <c r="T52" i="6"/>
  <c r="O49" i="6"/>
  <c r="Q56" i="6"/>
  <c r="G54" i="6"/>
  <c r="H72" i="6"/>
  <c r="T49" i="6"/>
  <c r="M60" i="6"/>
  <c r="N60" i="6"/>
  <c r="H60" i="6"/>
  <c r="D70" i="6"/>
  <c r="O70" i="6"/>
  <c r="L58" i="6"/>
  <c r="P79" i="6"/>
  <c r="L90" i="6"/>
  <c r="H44" i="6"/>
  <c r="F44" i="6"/>
  <c r="K74" i="6"/>
  <c r="M46" i="6"/>
  <c r="M85" i="6"/>
  <c r="R69" i="6"/>
  <c r="G72" i="6"/>
  <c r="H81" i="6"/>
  <c r="J88" i="6"/>
  <c r="Q82" i="6"/>
  <c r="L55" i="6"/>
  <c r="U79" i="6"/>
  <c r="G66" i="6"/>
  <c r="E63" i="6"/>
  <c r="G58" i="6"/>
  <c r="L43" i="6"/>
  <c r="S51" i="6"/>
  <c r="O91" i="6"/>
  <c r="T67" i="6"/>
  <c r="M444" i="1"/>
  <c r="M478" i="1"/>
  <c r="M493" i="1"/>
  <c r="M647" i="1"/>
  <c r="M581" i="1"/>
  <c r="M614" i="1"/>
  <c r="M658" i="1"/>
  <c r="M532" i="1"/>
  <c r="M462" i="1"/>
  <c r="M388" i="1"/>
  <c r="M415" i="1"/>
  <c r="M491" i="1"/>
  <c r="E47" i="6"/>
  <c r="M95" i="6"/>
  <c r="J51" i="6"/>
  <c r="R49" i="6"/>
  <c r="S88" i="6"/>
  <c r="L72" i="6"/>
  <c r="F46" i="6"/>
  <c r="C79" i="6"/>
  <c r="M84" i="6"/>
  <c r="D58" i="6"/>
  <c r="R55" i="6"/>
  <c r="H43" i="6"/>
  <c r="C85" i="6"/>
  <c r="N63" i="6"/>
  <c r="I66" i="6"/>
  <c r="R73" i="6"/>
  <c r="E45" i="6"/>
  <c r="E48" i="6"/>
  <c r="R60" i="6"/>
  <c r="K85" i="6"/>
  <c r="C90" i="6"/>
  <c r="S46" i="6"/>
  <c r="R83" i="6"/>
  <c r="L93" i="6"/>
  <c r="G70" i="6"/>
  <c r="K78" i="6"/>
  <c r="F80" i="6"/>
  <c r="J69" i="6"/>
  <c r="N88" i="6"/>
  <c r="E83" i="6"/>
  <c r="E61" i="6"/>
  <c r="U48" i="6"/>
  <c r="T48" i="6"/>
  <c r="T54" i="6"/>
  <c r="G75" i="6"/>
  <c r="C50" i="6"/>
  <c r="M475" i="1"/>
  <c r="M473" i="1"/>
  <c r="M639" i="1"/>
  <c r="M519" i="1"/>
  <c r="M620" i="1"/>
  <c r="M650" i="1"/>
  <c r="M657" i="1"/>
  <c r="M624" i="1"/>
  <c r="M389" i="1"/>
  <c r="M503" i="1"/>
  <c r="M426" i="1"/>
  <c r="Q48" i="6"/>
  <c r="I81" i="6"/>
  <c r="H87" i="6"/>
  <c r="P90" i="6"/>
  <c r="U56" i="6"/>
  <c r="C48" i="6"/>
  <c r="J53" i="6"/>
  <c r="I84" i="6"/>
  <c r="H90" i="6"/>
  <c r="J45" i="6"/>
  <c r="Q66" i="6"/>
  <c r="M65" i="6"/>
  <c r="D96" i="6"/>
  <c r="R57" i="6"/>
  <c r="C59" i="6"/>
  <c r="E52" i="6"/>
  <c r="N65" i="6"/>
  <c r="D56" i="6"/>
  <c r="D77" i="6"/>
  <c r="R52" i="6"/>
  <c r="U64" i="6"/>
  <c r="R65" i="6"/>
  <c r="I61" i="6"/>
  <c r="Q95" i="6"/>
  <c r="D81" i="6"/>
  <c r="H52" i="6"/>
  <c r="K59" i="6"/>
  <c r="J54" i="6"/>
  <c r="F94" i="6"/>
  <c r="Q94" i="6"/>
  <c r="E96" i="6"/>
  <c r="E94" i="6"/>
  <c r="D63" i="6"/>
  <c r="U49" i="6"/>
  <c r="O50" i="6"/>
  <c r="N49" i="6"/>
  <c r="J76" i="6"/>
  <c r="L87" i="6"/>
  <c r="H80" i="6"/>
  <c r="U65" i="6"/>
  <c r="G74" i="6"/>
  <c r="N54" i="6"/>
  <c r="I55" i="6"/>
  <c r="M67" i="6"/>
  <c r="R64" i="6"/>
  <c r="U77" i="6"/>
  <c r="M64" i="6"/>
  <c r="H50" i="6"/>
  <c r="M83" i="6"/>
  <c r="R79" i="6"/>
  <c r="N82" i="6"/>
  <c r="O77" i="6"/>
  <c r="T73" i="6"/>
  <c r="S54" i="6"/>
  <c r="T88" i="6"/>
  <c r="D71" i="6"/>
  <c r="J83" i="6"/>
  <c r="T61" i="6"/>
  <c r="K64" i="6"/>
  <c r="R96" i="6"/>
  <c r="I76" i="6"/>
  <c r="S49" i="6"/>
  <c r="C52" i="6"/>
  <c r="M52" i="6"/>
  <c r="F72" i="6"/>
  <c r="M79" i="6"/>
  <c r="L47" i="6"/>
  <c r="M69" i="6"/>
  <c r="O86" i="6"/>
  <c r="H49" i="6"/>
  <c r="M484" i="1"/>
  <c r="M488" i="1"/>
  <c r="M660" i="1"/>
  <c r="M622" i="1"/>
  <c r="M533" i="1"/>
  <c r="M550" i="1"/>
  <c r="M616" i="1"/>
  <c r="M586" i="1"/>
  <c r="M441" i="1"/>
  <c r="M458" i="1"/>
  <c r="M459" i="1"/>
  <c r="S75" i="6"/>
  <c r="D51" i="6"/>
  <c r="C74" i="6"/>
  <c r="K79" i="6"/>
  <c r="U69" i="6"/>
  <c r="E77" i="6"/>
  <c r="T89" i="6"/>
  <c r="K57" i="6"/>
  <c r="K88" i="6"/>
  <c r="J60" i="6"/>
  <c r="I57" i="6"/>
  <c r="F65" i="6"/>
  <c r="Q80" i="6"/>
  <c r="S43" i="6"/>
  <c r="K89" i="6"/>
  <c r="D95" i="6"/>
  <c r="C49" i="6"/>
  <c r="K56" i="6"/>
  <c r="E57" i="6"/>
  <c r="Q72" i="6"/>
  <c r="R67" i="6"/>
  <c r="D91" i="6"/>
  <c r="M312" i="1"/>
  <c r="M357" i="1"/>
  <c r="F84" i="6"/>
  <c r="R90" i="6"/>
  <c r="M78" i="6"/>
  <c r="H85" i="6"/>
  <c r="F89" i="6"/>
  <c r="R89" i="6"/>
  <c r="P61" i="6"/>
  <c r="E69" i="6"/>
  <c r="L89" i="6"/>
  <c r="I58" i="6"/>
  <c r="T81" i="6"/>
  <c r="R84" i="6"/>
  <c r="M334" i="1"/>
  <c r="M329" i="1"/>
  <c r="M321" i="1"/>
  <c r="M351" i="1"/>
  <c r="H67" i="6"/>
  <c r="F70" i="6"/>
  <c r="E90" i="6"/>
  <c r="S81" i="6"/>
  <c r="P86" i="6"/>
  <c r="H56" i="6"/>
  <c r="L85" i="6"/>
  <c r="M328" i="1"/>
  <c r="M350" i="1"/>
  <c r="M343" i="1"/>
  <c r="N90" i="6"/>
  <c r="O68" i="6"/>
  <c r="E93" i="6"/>
  <c r="T47" i="6"/>
  <c r="G90" i="6"/>
  <c r="J61" i="6"/>
  <c r="M59" i="6"/>
  <c r="M96" i="6"/>
  <c r="L78" i="6"/>
  <c r="M320" i="1"/>
  <c r="M356" i="1"/>
  <c r="Q62" i="6"/>
  <c r="H59" i="6"/>
  <c r="O59" i="6"/>
  <c r="P72" i="6"/>
  <c r="R86" i="6"/>
  <c r="U95" i="6"/>
  <c r="N87" i="6"/>
  <c r="M318" i="1"/>
  <c r="M348" i="1"/>
  <c r="E53" i="6"/>
  <c r="H89" i="6"/>
  <c r="C89" i="6"/>
  <c r="S95" i="6"/>
  <c r="G79" i="6"/>
  <c r="I92" i="6"/>
  <c r="U80" i="6"/>
  <c r="M341" i="1"/>
  <c r="M317" i="1"/>
  <c r="M339" i="1"/>
  <c r="S90" i="6"/>
  <c r="S74" i="6"/>
  <c r="T79" i="6"/>
  <c r="R76" i="6"/>
  <c r="D52" i="6"/>
  <c r="O66" i="6"/>
  <c r="I44" i="6"/>
  <c r="D68" i="6"/>
  <c r="M337" i="1"/>
  <c r="M324" i="1"/>
  <c r="F97" i="6"/>
  <c r="O67" i="6"/>
  <c r="N45" i="6"/>
  <c r="G88" i="6"/>
  <c r="I83" i="6"/>
  <c r="R74" i="6"/>
  <c r="G44" i="6"/>
  <c r="M45" i="6"/>
  <c r="M327" i="1"/>
  <c r="M319" i="1"/>
  <c r="M349" i="1"/>
  <c r="M316" i="1"/>
  <c r="M306" i="1"/>
  <c r="M336" i="1"/>
  <c r="M331" i="1"/>
  <c r="M323" i="1"/>
  <c r="M315" i="1"/>
  <c r="M346" i="1"/>
  <c r="M283" i="1"/>
  <c r="K34" i="3"/>
  <c r="M632" i="1"/>
  <c r="M631" i="1"/>
  <c r="M536" i="1"/>
  <c r="M607" i="1"/>
  <c r="M606" i="1"/>
  <c r="M605" i="1"/>
  <c r="M608" i="1"/>
  <c r="M570" i="1"/>
  <c r="M538" i="1"/>
  <c r="M545" i="1"/>
  <c r="M661" i="1"/>
  <c r="M609" i="1"/>
  <c r="M537" i="1"/>
  <c r="M575" i="1"/>
  <c r="M511" i="1"/>
  <c r="M483" i="1"/>
  <c r="M527" i="1"/>
  <c r="M513" i="1"/>
  <c r="M512" i="1"/>
  <c r="M468" i="1"/>
  <c r="M466" i="1"/>
  <c r="M464" i="1"/>
  <c r="M469" i="1"/>
  <c r="M470" i="1"/>
  <c r="M434" i="1"/>
  <c r="M467" i="1"/>
  <c r="M471" i="1"/>
  <c r="M465" i="1"/>
  <c r="M477" i="1"/>
  <c r="M406" i="1"/>
  <c r="M425" i="1"/>
  <c r="M424" i="1"/>
  <c r="M418" i="1"/>
  <c r="M407" i="1"/>
  <c r="M403" i="1"/>
  <c r="M402" i="1"/>
  <c r="M405" i="1"/>
  <c r="M409" i="1"/>
  <c r="M408" i="1"/>
  <c r="M417" i="1"/>
  <c r="M416" i="1"/>
  <c r="M404" i="1"/>
  <c r="M365" i="1"/>
  <c r="M364" i="1"/>
  <c r="M367" i="1"/>
  <c r="M366" i="1"/>
  <c r="P56" i="6"/>
  <c r="M48" i="6"/>
  <c r="E60" i="6"/>
  <c r="R44" i="6"/>
  <c r="I96" i="6"/>
  <c r="N69" i="6"/>
  <c r="R91" i="6"/>
  <c r="G80" i="6"/>
  <c r="O90" i="6"/>
  <c r="O94" i="6"/>
  <c r="Q74" i="6"/>
  <c r="L59" i="6"/>
  <c r="F95" i="6"/>
  <c r="T94" i="6"/>
  <c r="U62" i="6"/>
  <c r="I63" i="6"/>
  <c r="P83" i="6"/>
  <c r="T62" i="6"/>
  <c r="D78" i="6"/>
  <c r="Q73" i="6"/>
  <c r="I97" i="6"/>
  <c r="R48" i="6"/>
  <c r="E71" i="6"/>
  <c r="L63" i="6"/>
  <c r="K94" i="6"/>
  <c r="E78" i="6"/>
  <c r="O57" i="6"/>
  <c r="C53" i="6"/>
  <c r="Q53" i="6"/>
  <c r="G91" i="6"/>
  <c r="U66" i="6"/>
  <c r="F88" i="6"/>
  <c r="I47" i="6"/>
  <c r="C82" i="6"/>
  <c r="I82" i="6"/>
  <c r="N51" i="6"/>
  <c r="D72" i="6"/>
  <c r="G56" i="6"/>
  <c r="D75" i="6"/>
  <c r="P59" i="6"/>
  <c r="M43" i="6"/>
  <c r="O44" i="6"/>
  <c r="O64" i="6"/>
  <c r="N57" i="6"/>
  <c r="D84" i="6"/>
  <c r="T60" i="6"/>
  <c r="D74" i="6"/>
  <c r="M90" i="6"/>
  <c r="K53" i="6"/>
  <c r="N71" i="6"/>
  <c r="E51" i="6"/>
  <c r="J67" i="6"/>
  <c r="S62" i="6"/>
  <c r="N75" i="6"/>
  <c r="J91" i="6"/>
  <c r="D55" i="6"/>
  <c r="D90" i="6"/>
  <c r="E82" i="6"/>
  <c r="R56" i="6"/>
  <c r="T72" i="6"/>
  <c r="I75" i="6"/>
  <c r="F85" i="6"/>
  <c r="I43" i="6"/>
  <c r="S84" i="6"/>
  <c r="L79" i="6"/>
  <c r="J50" i="6"/>
  <c r="J86" i="6"/>
  <c r="C54" i="6"/>
  <c r="I64" i="6"/>
  <c r="F62" i="6"/>
  <c r="H83" i="6"/>
  <c r="D59" i="6"/>
  <c r="E62" i="6"/>
  <c r="Q68" i="6"/>
  <c r="N91" i="6"/>
  <c r="C87" i="6"/>
  <c r="E68" i="6"/>
  <c r="Q59" i="6"/>
  <c r="K55" i="6"/>
  <c r="M49" i="6"/>
  <c r="H77" i="6"/>
  <c r="C62" i="6"/>
  <c r="J43" i="6"/>
  <c r="O83" i="6"/>
  <c r="N94" i="6"/>
  <c r="C57" i="6"/>
  <c r="H93" i="6"/>
  <c r="G73" i="6"/>
  <c r="D80" i="6"/>
  <c r="N80" i="6"/>
  <c r="H46" i="6"/>
  <c r="L92" i="6"/>
  <c r="T82" i="6"/>
  <c r="Q92" i="6"/>
  <c r="T69" i="6"/>
  <c r="I87" i="6"/>
  <c r="R62" i="6"/>
  <c r="J80" i="6"/>
  <c r="K97" i="6"/>
  <c r="S89" i="6"/>
  <c r="N72" i="6"/>
  <c r="I69" i="6"/>
  <c r="G84" i="6"/>
  <c r="D82" i="6"/>
  <c r="H74" i="6"/>
  <c r="R85" i="6"/>
  <c r="D46" i="6"/>
  <c r="J52" i="6"/>
  <c r="F54" i="6"/>
  <c r="I93" i="6"/>
  <c r="M88" i="6"/>
  <c r="K87" i="6"/>
  <c r="H76" i="6"/>
  <c r="S83" i="6"/>
  <c r="E88" i="6"/>
  <c r="I53" i="6"/>
  <c r="Q60" i="6"/>
  <c r="J93" i="6"/>
  <c r="E92" i="6"/>
  <c r="J66" i="6"/>
  <c r="I80" i="6"/>
  <c r="H88" i="6"/>
  <c r="I78" i="6"/>
  <c r="M66" i="6"/>
  <c r="U78" i="6"/>
  <c r="T43" i="6"/>
  <c r="K67" i="6"/>
  <c r="H58" i="6"/>
  <c r="O56" i="6"/>
  <c r="J57" i="6"/>
  <c r="P46" i="6"/>
  <c r="O55" i="6"/>
  <c r="O45" i="6"/>
  <c r="C61" i="6"/>
  <c r="Q93" i="6"/>
  <c r="R95" i="6"/>
  <c r="O82" i="6"/>
  <c r="I48" i="6"/>
  <c r="I73" i="6"/>
  <c r="D43" i="6"/>
  <c r="N48" i="6"/>
  <c r="K52" i="6"/>
  <c r="T84" i="6"/>
  <c r="J94" i="6"/>
  <c r="F43" i="6"/>
  <c r="F73" i="6"/>
  <c r="P73" i="6"/>
  <c r="P66" i="6"/>
  <c r="S48" i="6"/>
  <c r="K49" i="6"/>
  <c r="D92" i="6"/>
  <c r="Q71" i="6"/>
  <c r="K73" i="6"/>
  <c r="O62" i="6"/>
  <c r="R61" i="6"/>
  <c r="M70" i="6"/>
  <c r="L54" i="6"/>
  <c r="G43" i="6"/>
  <c r="T76" i="6"/>
  <c r="F74" i="6"/>
  <c r="M55" i="6"/>
  <c r="D53" i="6"/>
  <c r="L45" i="6"/>
  <c r="K65" i="6"/>
  <c r="M74" i="6"/>
  <c r="Q77" i="6"/>
  <c r="U44" i="6"/>
  <c r="Q78" i="6"/>
  <c r="H54" i="6"/>
  <c r="T70" i="6"/>
  <c r="F78" i="6"/>
  <c r="J84" i="6"/>
  <c r="I52" i="6"/>
  <c r="J92" i="6"/>
  <c r="C58" i="6"/>
  <c r="H79" i="6"/>
  <c r="F55" i="6"/>
  <c r="T65" i="6"/>
  <c r="G71" i="6"/>
  <c r="I77" i="6"/>
  <c r="S70" i="6"/>
  <c r="P93" i="6"/>
  <c r="H61" i="6"/>
  <c r="T93" i="6"/>
  <c r="K60" i="6"/>
  <c r="U52" i="6"/>
  <c r="G60" i="6"/>
  <c r="I71" i="6"/>
  <c r="M93" i="6"/>
  <c r="L57" i="6"/>
  <c r="G83" i="6"/>
  <c r="K75" i="6"/>
  <c r="D93" i="6"/>
  <c r="M68" i="6"/>
  <c r="C66" i="6"/>
  <c r="R59" i="6"/>
  <c r="R53" i="6"/>
  <c r="P87" i="6"/>
  <c r="U63" i="6"/>
  <c r="C80" i="6"/>
  <c r="U93" i="6"/>
  <c r="G53" i="6"/>
  <c r="S96" i="6"/>
  <c r="K70" i="6"/>
  <c r="O72" i="6"/>
  <c r="O89" i="6"/>
  <c r="N68" i="6"/>
  <c r="H48" i="6"/>
  <c r="D57" i="6"/>
  <c r="F53" i="6"/>
  <c r="S91" i="6"/>
  <c r="F68" i="6"/>
  <c r="G93" i="6"/>
  <c r="S64" i="6"/>
  <c r="K47" i="6"/>
  <c r="P82" i="6"/>
  <c r="F47" i="6"/>
  <c r="G64" i="6"/>
  <c r="C71" i="6"/>
  <c r="H97" i="6"/>
  <c r="K72" i="6"/>
  <c r="P88" i="6"/>
  <c r="S76" i="6"/>
  <c r="I74" i="6"/>
  <c r="N66" i="6"/>
  <c r="I51" i="6"/>
  <c r="K63" i="6"/>
  <c r="F61" i="6"/>
  <c r="T56" i="6"/>
  <c r="P69" i="6"/>
  <c r="F58" i="6"/>
  <c r="F57" i="6"/>
  <c r="Q89" i="6"/>
  <c r="H95" i="6"/>
  <c r="R81" i="6"/>
  <c r="P60" i="6"/>
  <c r="J78" i="6"/>
  <c r="R82" i="6"/>
  <c r="K58" i="6"/>
  <c r="F60" i="6"/>
  <c r="R88" i="6"/>
  <c r="R93" i="6"/>
  <c r="H68" i="6"/>
  <c r="J62" i="6"/>
  <c r="S78" i="6"/>
  <c r="F45" i="6"/>
  <c r="K62" i="6"/>
  <c r="T87" i="6"/>
  <c r="J65" i="6"/>
  <c r="P63" i="6"/>
  <c r="N83" i="6"/>
  <c r="F63" i="6"/>
  <c r="H75" i="6"/>
  <c r="R51" i="6"/>
  <c r="M82" i="6"/>
  <c r="S59" i="6"/>
  <c r="T57" i="6"/>
  <c r="D79" i="6"/>
  <c r="R92" i="6"/>
  <c r="E97" i="6"/>
  <c r="Q61" i="6"/>
  <c r="N77" i="6"/>
  <c r="C69" i="6"/>
  <c r="C91" i="6"/>
  <c r="I79" i="6"/>
  <c r="K81" i="6"/>
  <c r="S57" i="6"/>
  <c r="D87" i="6"/>
  <c r="L75" i="6"/>
  <c r="H47" i="6"/>
  <c r="D89" i="6"/>
  <c r="E46" i="6"/>
  <c r="H45" i="6"/>
  <c r="T68" i="6"/>
  <c r="N96" i="6"/>
  <c r="J87" i="6"/>
  <c r="T71" i="6"/>
  <c r="O81" i="6"/>
  <c r="P95" i="6"/>
  <c r="L50" i="6"/>
  <c r="C95" i="6"/>
  <c r="R94" i="6"/>
  <c r="G89" i="6"/>
  <c r="J85" i="6"/>
  <c r="P80" i="6"/>
  <c r="M76" i="6"/>
  <c r="H66" i="6"/>
  <c r="S93" i="6"/>
  <c r="J64" i="6"/>
  <c r="P65" i="6"/>
  <c r="P85" i="6"/>
  <c r="I67" i="6"/>
  <c r="K80" i="6"/>
  <c r="H70" i="6"/>
  <c r="J58" i="6"/>
  <c r="Q55" i="6"/>
  <c r="C73" i="6"/>
  <c r="O48" i="6"/>
  <c r="P47" i="6"/>
  <c r="Q85" i="6"/>
  <c r="E74" i="6"/>
  <c r="G95" i="6"/>
  <c r="S56" i="6"/>
  <c r="P81" i="6"/>
  <c r="Q46" i="6"/>
  <c r="D94" i="6"/>
  <c r="O93" i="6"/>
  <c r="C47" i="6"/>
  <c r="H63" i="6"/>
  <c r="U43" i="6"/>
  <c r="G50" i="6"/>
  <c r="G67" i="6"/>
  <c r="O79" i="6"/>
  <c r="F77" i="6"/>
  <c r="C44" i="6"/>
  <c r="N74" i="6"/>
  <c r="C65" i="6"/>
  <c r="T74" i="6"/>
  <c r="M94" i="6"/>
  <c r="E81" i="6"/>
  <c r="M91" i="6"/>
  <c r="Q88" i="6"/>
  <c r="E91" i="6"/>
  <c r="U45" i="6"/>
  <c r="K84" i="6"/>
  <c r="I45" i="6"/>
  <c r="L49" i="6"/>
  <c r="L48" i="6"/>
  <c r="J56" i="6"/>
  <c r="G48" i="6"/>
  <c r="M81" i="6"/>
  <c r="T59" i="6"/>
  <c r="I46" i="6"/>
  <c r="L86" i="6"/>
  <c r="N76" i="6"/>
  <c r="H84" i="6"/>
  <c r="J89" i="6"/>
  <c r="J95" i="6"/>
  <c r="S50" i="6"/>
  <c r="E76" i="6"/>
  <c r="K48" i="6"/>
  <c r="D54" i="6"/>
  <c r="H71" i="6"/>
  <c r="C78" i="6"/>
  <c r="Q70" i="6"/>
  <c r="N92" i="6"/>
  <c r="J73" i="6"/>
  <c r="R77" i="6"/>
  <c r="U85" i="6"/>
  <c r="L53" i="6"/>
  <c r="K96" i="6"/>
  <c r="H57" i="6"/>
  <c r="R45" i="6"/>
  <c r="G62" i="6"/>
  <c r="U90" i="6"/>
  <c r="U74" i="6"/>
  <c r="C63" i="6"/>
  <c r="I90" i="6"/>
  <c r="U75" i="6"/>
  <c r="T53" i="6"/>
  <c r="F48" i="6"/>
  <c r="D88" i="6"/>
  <c r="N52" i="6"/>
  <c r="S69" i="6"/>
  <c r="N86" i="6"/>
  <c r="P43" i="6"/>
  <c r="O85" i="6"/>
  <c r="G45" i="6"/>
  <c r="U68" i="6"/>
  <c r="E66" i="6"/>
  <c r="T95" i="6"/>
  <c r="R72" i="6"/>
  <c r="D49" i="6"/>
  <c r="L68" i="6"/>
  <c r="T75" i="6"/>
  <c r="E86" i="6"/>
  <c r="C96" i="6"/>
  <c r="L91" i="6"/>
  <c r="C55" i="6"/>
  <c r="D48" i="6"/>
  <c r="L44" i="6"/>
  <c r="F87" i="6"/>
  <c r="J82" i="6"/>
  <c r="M53" i="6"/>
  <c r="T50" i="6"/>
  <c r="M58" i="6"/>
  <c r="F56" i="6"/>
  <c r="J81" i="6"/>
  <c r="Q63" i="6"/>
  <c r="S73" i="6"/>
  <c r="D65" i="6"/>
  <c r="M72" i="6"/>
  <c r="P48" i="6"/>
  <c r="T63" i="6"/>
  <c r="M89" i="6"/>
  <c r="E54" i="6"/>
  <c r="L61" i="6"/>
  <c r="M86" i="6"/>
  <c r="G55" i="6"/>
  <c r="S47" i="6"/>
  <c r="T45" i="6"/>
  <c r="C94" i="6"/>
  <c r="Q79" i="6"/>
  <c r="N85" i="6"/>
  <c r="S82" i="6"/>
  <c r="G97" i="6"/>
  <c r="I94" i="6"/>
  <c r="I86" i="6"/>
  <c r="N58" i="6"/>
  <c r="C75" i="6"/>
  <c r="N46" i="6"/>
  <c r="P57" i="6"/>
  <c r="I70" i="6"/>
  <c r="R47" i="6"/>
  <c r="Q96" i="6"/>
  <c r="O80" i="6"/>
  <c r="T55" i="6"/>
  <c r="O74" i="6"/>
  <c r="O47" i="6"/>
  <c r="P62" i="6"/>
  <c r="P58" i="6"/>
  <c r="D67" i="6"/>
  <c r="K69" i="6"/>
  <c r="L82" i="6"/>
  <c r="H82" i="6"/>
  <c r="D97" i="6"/>
  <c r="K71" i="6"/>
  <c r="P84" i="6"/>
  <c r="S67" i="6"/>
  <c r="S66" i="6"/>
  <c r="J96" i="6"/>
  <c r="M97" i="6"/>
  <c r="U81" i="6"/>
  <c r="Q51" i="6"/>
  <c r="D44" i="6"/>
  <c r="U73" i="6"/>
  <c r="O52" i="6"/>
  <c r="M75" i="6"/>
  <c r="N81" i="6"/>
  <c r="K77" i="6"/>
  <c r="I54" i="6"/>
  <c r="D47" i="6"/>
  <c r="E85" i="6"/>
  <c r="S60" i="6"/>
  <c r="M56" i="6"/>
  <c r="U57" i="6"/>
  <c r="J59" i="6"/>
  <c r="E72" i="6"/>
  <c r="P53" i="6"/>
  <c r="C76" i="6"/>
  <c r="H94" i="6"/>
  <c r="O76" i="6"/>
  <c r="E70" i="6"/>
  <c r="Q81" i="6"/>
  <c r="C56" i="6"/>
  <c r="O43" i="6"/>
  <c r="S68" i="6"/>
  <c r="F93" i="6"/>
  <c r="T83" i="6"/>
  <c r="E89" i="6"/>
  <c r="S44" i="6"/>
  <c r="I85" i="6"/>
  <c r="L81" i="6"/>
  <c r="J55" i="6"/>
  <c r="O96" i="6"/>
  <c r="H69" i="6"/>
  <c r="P78" i="6"/>
  <c r="L60" i="6"/>
  <c r="C64" i="6"/>
  <c r="G92" i="6"/>
  <c r="U70" i="6"/>
  <c r="R66" i="6"/>
  <c r="G52" i="6"/>
  <c r="S65" i="6"/>
  <c r="P67" i="6"/>
  <c r="U46" i="6"/>
  <c r="C84" i="6"/>
  <c r="P89" i="6"/>
  <c r="L95" i="6"/>
  <c r="D83" i="6"/>
  <c r="T97" i="6"/>
  <c r="T44" i="6"/>
  <c r="O95" i="6"/>
  <c r="D50" i="6"/>
  <c r="I89" i="6"/>
  <c r="T58" i="6"/>
  <c r="O51" i="6"/>
  <c r="M80" i="6"/>
  <c r="Q83" i="6"/>
  <c r="P70" i="6"/>
  <c r="D62" i="6"/>
  <c r="I49" i="6"/>
  <c r="Q45" i="6"/>
  <c r="I88" i="6"/>
  <c r="J74" i="6"/>
  <c r="J70" i="6"/>
  <c r="Q43" i="6"/>
  <c r="P75" i="6"/>
  <c r="O75" i="6"/>
  <c r="M61" i="6"/>
  <c r="D85" i="6"/>
  <c r="N79" i="6"/>
  <c r="N50" i="6"/>
  <c r="E50" i="6"/>
  <c r="C86" i="6"/>
  <c r="C46" i="6"/>
  <c r="L73" i="6"/>
  <c r="L69" i="6"/>
  <c r="J71" i="6"/>
  <c r="C93" i="6"/>
  <c r="L65" i="6"/>
  <c r="N64" i="6"/>
  <c r="K90" i="6"/>
  <c r="U55" i="6"/>
  <c r="M44" i="6"/>
  <c r="F52" i="6"/>
  <c r="L88" i="6"/>
  <c r="Q76" i="6"/>
  <c r="H51" i="6"/>
  <c r="F66" i="6"/>
  <c r="U50" i="6"/>
  <c r="Q69" i="6"/>
  <c r="E79" i="6"/>
  <c r="G96" i="6"/>
  <c r="G61" i="6"/>
  <c r="N55" i="6"/>
  <c r="P92" i="6"/>
  <c r="Q54" i="6"/>
  <c r="S77" i="6"/>
  <c r="K51" i="6"/>
  <c r="I60" i="6"/>
  <c r="P54" i="6"/>
  <c r="J48" i="6"/>
  <c r="F49" i="6"/>
  <c r="Q97" i="6"/>
  <c r="L76" i="6"/>
  <c r="P76" i="6"/>
  <c r="E87" i="6"/>
  <c r="L56" i="6"/>
  <c r="T85" i="6"/>
  <c r="I59" i="6"/>
  <c r="P55" i="6"/>
  <c r="H92" i="6"/>
  <c r="R97" i="6"/>
  <c r="Q64" i="6"/>
  <c r="I72" i="6"/>
  <c r="F51" i="6"/>
  <c r="L64" i="6"/>
  <c r="L70" i="6"/>
  <c r="G47" i="6"/>
  <c r="N53" i="6"/>
  <c r="U86" i="6"/>
  <c r="S92" i="6"/>
  <c r="D64" i="6"/>
  <c r="U71" i="6"/>
  <c r="F76" i="6"/>
  <c r="C81" i="6"/>
  <c r="K83" i="6"/>
  <c r="M47" i="6"/>
  <c r="G69" i="6"/>
  <c r="E44" i="6"/>
  <c r="K76" i="6"/>
  <c r="S87" i="6"/>
  <c r="O71" i="6"/>
  <c r="G85" i="6"/>
  <c r="U67" i="6"/>
  <c r="G51" i="6"/>
  <c r="N47" i="6"/>
  <c r="F59" i="6"/>
  <c r="N70" i="6"/>
  <c r="I95" i="6"/>
  <c r="F67" i="6"/>
  <c r="P68" i="6"/>
  <c r="N62" i="6"/>
  <c r="N67" i="6"/>
  <c r="K86" i="6"/>
  <c r="O97" i="6"/>
  <c r="C83" i="6"/>
  <c r="U51" i="6"/>
  <c r="O88" i="6"/>
  <c r="J79" i="6"/>
  <c r="G49" i="6"/>
  <c r="D45" i="6"/>
  <c r="Q49" i="6"/>
  <c r="C97" i="6"/>
  <c r="Q90" i="6"/>
  <c r="J44" i="6"/>
  <c r="F75" i="6"/>
  <c r="Q84" i="6"/>
  <c r="Q86" i="6"/>
  <c r="P45" i="6"/>
  <c r="T46" i="6"/>
  <c r="U61" i="6"/>
  <c r="N43" i="6"/>
  <c r="L52" i="6"/>
  <c r="U89" i="6"/>
  <c r="D73" i="6"/>
  <c r="L97" i="6"/>
  <c r="E73" i="6"/>
  <c r="L71" i="6"/>
  <c r="H65" i="6"/>
  <c r="K93" i="6"/>
  <c r="P94" i="6"/>
  <c r="N73" i="6"/>
  <c r="K45" i="6"/>
  <c r="O54" i="6"/>
  <c r="T78" i="6"/>
  <c r="F96" i="6"/>
  <c r="O84" i="6"/>
  <c r="Q50" i="6"/>
  <c r="Q87" i="6"/>
  <c r="P97" i="6"/>
  <c r="D60" i="6"/>
  <c r="K43" i="6"/>
  <c r="R71" i="6"/>
  <c r="N95" i="6"/>
  <c r="N59" i="6"/>
  <c r="J63" i="6"/>
  <c r="R54" i="6"/>
  <c r="H73" i="6"/>
  <c r="N89" i="6"/>
  <c r="E95" i="6"/>
  <c r="F86" i="6"/>
  <c r="F64" i="6"/>
  <c r="J97" i="6"/>
  <c r="R87" i="6"/>
  <c r="C45" i="6"/>
  <c r="U53" i="6"/>
  <c r="U72" i="6"/>
  <c r="I62" i="6"/>
  <c r="G94" i="6"/>
  <c r="G68" i="6"/>
  <c r="C68" i="6"/>
  <c r="S97" i="6"/>
  <c r="M77" i="6"/>
  <c r="O73" i="6"/>
  <c r="Q57" i="6"/>
  <c r="O65" i="6"/>
  <c r="U47" i="6"/>
  <c r="R78" i="6"/>
  <c r="L67" i="6"/>
  <c r="R43" i="6"/>
  <c r="K68" i="6"/>
  <c r="G59" i="6"/>
  <c r="F91" i="6"/>
  <c r="D66" i="6"/>
  <c r="D69" i="6"/>
  <c r="M57" i="6"/>
  <c r="E64" i="6"/>
  <c r="T80" i="6"/>
  <c r="S79" i="6"/>
  <c r="I91" i="6"/>
  <c r="T6" i="3"/>
  <c r="V6" i="3" s="1"/>
  <c r="J33" i="3"/>
  <c r="J24" i="3"/>
  <c r="J21" i="3"/>
  <c r="J26" i="3"/>
  <c r="M307" i="1"/>
  <c r="J34" i="3"/>
  <c r="M311" i="1"/>
  <c r="J12" i="3"/>
  <c r="M603" i="1"/>
  <c r="M599" i="1"/>
  <c r="M598" i="1"/>
  <c r="M597" i="1"/>
  <c r="M574" i="1"/>
  <c r="M600" i="1"/>
  <c r="M604" i="1"/>
  <c r="M569" i="1"/>
  <c r="M602" i="1"/>
  <c r="M567" i="1"/>
  <c r="M542" i="1"/>
  <c r="M601" i="1"/>
  <c r="M568" i="1"/>
  <c r="M641" i="1"/>
  <c r="M508" i="1"/>
  <c r="M505" i="1"/>
  <c r="M525" i="1"/>
  <c r="M487" i="1"/>
  <c r="M526" i="1"/>
  <c r="M507" i="1"/>
  <c r="M524" i="1"/>
  <c r="M504" i="1"/>
  <c r="M506" i="1"/>
  <c r="M460" i="1"/>
  <c r="M461" i="1"/>
  <c r="M392" i="1"/>
  <c r="M390" i="1"/>
  <c r="M395" i="1"/>
  <c r="M394" i="1"/>
  <c r="M428" i="1"/>
  <c r="M397" i="1"/>
  <c r="M401" i="1"/>
  <c r="M423" i="1"/>
  <c r="M393" i="1"/>
  <c r="M399" i="1"/>
  <c r="M400" i="1"/>
  <c r="M391" i="1"/>
  <c r="M398" i="1"/>
  <c r="M396" i="1"/>
  <c r="K32" i="3"/>
  <c r="M310" i="1"/>
  <c r="M443" i="1"/>
  <c r="M449" i="1"/>
  <c r="M413" i="1"/>
  <c r="M377" i="1"/>
  <c r="M378" i="1"/>
  <c r="K29" i="3"/>
  <c r="J29" i="3"/>
  <c r="M309" i="1"/>
  <c r="M540" i="1"/>
  <c r="M440" i="1"/>
  <c r="M361" i="1"/>
  <c r="M308" i="1"/>
  <c r="K9" i="3"/>
  <c r="M578" i="1"/>
  <c r="M576" i="1"/>
  <c r="M633" i="1"/>
  <c r="M634" i="1"/>
  <c r="M651" i="1"/>
  <c r="M577" i="1"/>
  <c r="M546" i="1"/>
  <c r="M662" i="1"/>
  <c r="M485" i="1"/>
  <c r="M489" i="1"/>
  <c r="M516" i="1"/>
  <c r="M476" i="1"/>
  <c r="M445" i="1"/>
  <c r="M410" i="1"/>
  <c r="M430" i="1"/>
  <c r="M429" i="1"/>
  <c r="M360" i="1"/>
  <c r="M359" i="1"/>
  <c r="M353" i="1"/>
  <c r="M335" i="1"/>
  <c r="K2" i="3"/>
  <c r="M611" i="1"/>
  <c r="M644" i="1"/>
  <c r="M664" i="1"/>
  <c r="M665" i="1"/>
  <c r="M656" i="1"/>
  <c r="M655" i="1"/>
  <c r="M653" i="1"/>
  <c r="M645" i="1"/>
  <c r="M654" i="1"/>
  <c r="M585" i="1"/>
  <c r="M518" i="1"/>
  <c r="M411" i="1"/>
  <c r="M421" i="1"/>
  <c r="M420" i="1"/>
  <c r="M412" i="1"/>
  <c r="M432" i="1"/>
  <c r="M431" i="1"/>
  <c r="M376" i="1"/>
  <c r="M375" i="1"/>
  <c r="M371" i="1"/>
  <c r="M354" i="1"/>
  <c r="M333" i="1"/>
  <c r="M539" i="1"/>
  <c r="M547" i="1"/>
  <c r="M642" i="1"/>
  <c r="M636" i="1"/>
  <c r="M610" i="1"/>
  <c r="M617" i="1"/>
  <c r="M544" i="1"/>
  <c r="M643" i="1"/>
  <c r="M583" i="1"/>
  <c r="M635" i="1"/>
  <c r="M584" i="1"/>
  <c r="M652" i="1"/>
  <c r="M490" i="1"/>
  <c r="M517" i="1"/>
  <c r="M436" i="1"/>
  <c r="M446" i="1"/>
  <c r="M448" i="1"/>
  <c r="M435" i="1"/>
  <c r="M447" i="1"/>
  <c r="M374" i="1"/>
  <c r="M419" i="1"/>
  <c r="M369" i="1"/>
  <c r="M370" i="1"/>
  <c r="K8" i="3"/>
  <c r="U10" i="3"/>
  <c r="K10" i="3"/>
  <c r="O10" i="3"/>
  <c r="T10" i="3"/>
  <c r="J10" i="3"/>
  <c r="P10" i="3"/>
  <c r="M332" i="1"/>
  <c r="M663" i="1"/>
  <c r="M543" i="1"/>
  <c r="M579" i="1"/>
  <c r="M358" i="1"/>
  <c r="K12" i="3"/>
  <c r="M326" i="1"/>
  <c r="M314" i="1"/>
  <c r="K3" i="3"/>
  <c r="M313" i="1"/>
  <c r="J3" i="3"/>
  <c r="M564" i="1"/>
  <c r="M560" i="1"/>
  <c r="M541" i="1"/>
  <c r="M595" i="1"/>
  <c r="M591" i="1"/>
  <c r="M590" i="1"/>
  <c r="M589" i="1"/>
  <c r="M562" i="1"/>
  <c r="M592" i="1"/>
  <c r="M565" i="1"/>
  <c r="M596" i="1"/>
  <c r="M554" i="1"/>
  <c r="M561" i="1"/>
  <c r="M594" i="1"/>
  <c r="M566" i="1"/>
  <c r="M557" i="1"/>
  <c r="M553" i="1"/>
  <c r="M559" i="1"/>
  <c r="M558" i="1"/>
  <c r="M563" i="1"/>
  <c r="M593" i="1"/>
  <c r="M556" i="1"/>
  <c r="M555" i="1"/>
  <c r="M520" i="1"/>
  <c r="M497" i="1"/>
  <c r="M495" i="1"/>
  <c r="M501" i="1"/>
  <c r="M502" i="1"/>
  <c r="M521" i="1"/>
  <c r="M496" i="1"/>
  <c r="M523" i="1"/>
  <c r="M494" i="1"/>
  <c r="M368" i="1"/>
  <c r="M522" i="1"/>
  <c r="M500" i="1"/>
  <c r="M499" i="1"/>
  <c r="M498" i="1"/>
  <c r="M454" i="1"/>
  <c r="M452" i="1"/>
  <c r="M450" i="1"/>
  <c r="M456" i="1"/>
  <c r="M453" i="1"/>
  <c r="M451" i="1"/>
  <c r="M457" i="1"/>
  <c r="M455" i="1"/>
  <c r="M414" i="1"/>
  <c r="M382" i="1"/>
  <c r="M381" i="1"/>
  <c r="M379" i="1"/>
  <c r="M385" i="1"/>
  <c r="M384" i="1"/>
  <c r="M383" i="1"/>
  <c r="M380" i="1"/>
  <c r="M362" i="1"/>
  <c r="M363" i="1"/>
  <c r="T14" i="3"/>
  <c r="P14" i="3"/>
  <c r="K14" i="3"/>
  <c r="J14" i="3"/>
  <c r="M340" i="1"/>
  <c r="U14" i="3"/>
  <c r="O14" i="3"/>
  <c r="M666" i="1"/>
  <c r="M427" i="1"/>
  <c r="K31" i="3"/>
  <c r="J31" i="3"/>
  <c r="M347" i="1"/>
  <c r="M548" i="1"/>
  <c r="M612" i="1"/>
  <c r="M486" i="1"/>
  <c r="M442" i="1"/>
  <c r="J2" i="3"/>
  <c r="M344" i="1"/>
  <c r="V19" i="3"/>
  <c r="V4" i="3"/>
  <c r="V15" i="3"/>
  <c r="V23" i="3"/>
  <c r="V27" i="3"/>
  <c r="V24" i="3"/>
  <c r="V16" i="3"/>
  <c r="V28" i="3"/>
  <c r="V9" i="3"/>
  <c r="V21" i="3"/>
  <c r="V8" i="3"/>
  <c r="V20" i="3"/>
  <c r="V25" i="3"/>
  <c r="V32" i="3"/>
  <c r="V17" i="3"/>
  <c r="V29" i="3"/>
  <c r="V13" i="3"/>
  <c r="V5" i="3"/>
  <c r="V12" i="3"/>
  <c r="V33" i="3"/>
  <c r="V35" i="3"/>
  <c r="V34" i="3"/>
  <c r="V7" i="3"/>
  <c r="V18" i="3"/>
  <c r="V26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97" i="6" l="1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<sst xmlns="http://schemas.openxmlformats.org/spreadsheetml/2006/main" count="5919" uniqueCount="182">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</sst>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43" totalsRowShown="0" headerRowDxfId="42">
  <autoFilter ref="A1:P743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863" tableType="queryTable" totalsRowShown="0" headerRowDxfId="44" headerRowBorderDxfId="43">
  <autoFilter ref="A1:D1863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43"/>
  <sheetViews>
    <sheetView topLeftCell="J1" zoomScale="70" zoomScaleNormal="70" workbookViewId="0">
      <pane ySplit="1" topLeftCell="A702" activePane="bottomLeft" state="frozen"/>
      <selection pane="bottomLeft" activeCell="M664" sqref="M664:P722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Iniciales'!$B$2:$B$38,D234)+SUMIFS($K$1:$K$743,$C$1:$C$743,C234,$D$1:$D$743,D234,$B$1:$B$743,"&lt;="&amp;B234)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Iniciales'!$B$2:$B$38,D235)+SUMIFS($K$1:$K$743,$C$1:$C$743,C235,$D$1:$D$743,D235,$B$1:$B$743,"&lt;="&amp;B235)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Iniciales'!$B$2:$B$38,D236)+SUMIFS($K$1:$K$743,$C$1:$C$743,C236,$D$1:$D$743,D236,$B$1:$B$743,"&lt;="&amp;B236)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Iniciales'!$B$2:$B$38,D237)+SUMIFS($K$1:$K$743,$C$1:$C$743,C237,$D$1:$D$743,D237,$B$1:$B$743,"&lt;="&amp;B237)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Iniciales'!$B$2:$B$38,D238)+SUMIFS($K$1:$K$743,$C$1:$C$743,C238,$D$1:$D$743,D238,$B$1:$B$743,"&lt;="&amp;B238)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Iniciales'!$B$2:$B$38,D239)+SUMIFS($K$1:$K$743,$C$1:$C$743,C239,$D$1:$D$743,D239,$B$1:$B$743,"&lt;="&amp;B239)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Iniciales'!$B$2:$B$38,D283)+SUMIFS($K$1:$K$743,$C$1:$C$743,C283,$D$1:$D$743,D283,$B$1:$B$743,"&lt;="&amp;B283)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Iniciales'!$B$2:$B$38,D306)+SUMIFS($K$1:$K$743,$C$1:$C$743,C306,$D$1:$D$743,D306,$B$1:$B$743,"&lt;="&amp;B306)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Iniciales'!$B$2:$B$38,D307)+SUMIFS($K$1:$K$743,$C$1:$C$743,C307,$D$1:$D$743,D307,$B$1:$B$743,"&lt;="&amp;B307)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Iniciales'!$B$2:$B$38,D308)+SUMIFS($K$1:$K$743,$C$1:$C$743,C308,$D$1:$D$743,D308,$B$1:$B$743,"&lt;="&amp;B308)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Iniciales'!$B$2:$B$38,D309)+SUMIFS($K$1:$K$743,$C$1:$C$743,C309,$D$1:$D$743,D309,$B$1:$B$743,"&lt;="&amp;B309)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Iniciales'!$B$2:$B$38,D310)+SUMIFS($K$1:$K$743,$C$1:$C$743,C310,$D$1:$D$743,D310,$B$1:$B$743,"&lt;="&amp;B310)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Iniciales'!$B$2:$B$38,D311)+SUMIFS($K$1:$K$743,$C$1:$C$743,C311,$D$1:$D$743,D311,$B$1:$B$743,"&lt;="&amp;B311)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Iniciales'!$B$2:$B$38,D312)+SUMIFS($K$1:$K$743,$C$1:$C$743,C312,$D$1:$D$743,D312,$B$1:$B$743,"&lt;="&amp;B312)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Iniciales'!$B$2:$B$38,D313)+SUMIFS($K$1:$K$743,$C$1:$C$743,C313,$D$1:$D$743,D313,$B$1:$B$743,"&lt;="&amp;B313)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Iniciales'!$B$2:$B$38,D314)+SUMIFS($K$1:$K$743,$C$1:$C$743,C314,$D$1:$D$743,D314,$B$1:$B$743,"&lt;="&amp;B314)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Iniciales'!$B$2:$B$38,D315)+SUMIFS($K$1:$K$743,$C$1:$C$743,C315,$D$1:$D$743,D315,$B$1:$B$743,"&lt;="&amp;B315)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Iniciales'!$B$2:$B$38,D316)+SUMIFS($K$1:$K$743,$C$1:$C$743,C316,$D$1:$D$743,D316,$B$1:$B$743,"&lt;="&amp;B316)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Iniciales'!$B$2:$B$38,D317)+SUMIFS($K$1:$K$743,$C$1:$C$743,C317,$D$1:$D$743,D317,$B$1:$B$743,"&lt;="&amp;B317)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Iniciales'!$B$2:$B$38,D318)+SUMIFS($K$1:$K$743,$C$1:$C$743,C318,$D$1:$D$743,D318,$B$1:$B$743,"&lt;="&amp;B318)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Iniciales'!$B$2:$B$38,D319)+SUMIFS($K$1:$K$743,$C$1:$C$743,C319,$D$1:$D$743,D319,$B$1:$B$743,"&lt;="&amp;B319)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Iniciales'!$B$2:$B$38,D320)+SUMIFS($K$1:$K$743,$C$1:$C$743,C320,$D$1:$D$743,D320,$B$1:$B$743,"&lt;="&amp;B320)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Iniciales'!$B$2:$B$38,D321)+SUMIFS($K$1:$K$743,$C$1:$C$743,C321,$D$1:$D$743,D321,$B$1:$B$743,"&lt;="&amp;B321)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Iniciales'!$B$2:$B$38,D322)+SUMIFS($K$1:$K$743,$C$1:$C$743,C322,$D$1:$D$743,D322,$B$1:$B$743,"&lt;="&amp;B322)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Iniciales'!$B$2:$B$38,D323)+SUMIFS($K$1:$K$743,$C$1:$C$743,C323,$D$1:$D$743,D323,$B$1:$B$743,"&lt;="&amp;B323)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Iniciales'!$B$2:$B$38,D324)+SUMIFS($K$1:$K$743,$C$1:$C$743,C324,$D$1:$D$743,D324,$B$1:$B$743,"&lt;="&amp;B324)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Iniciales'!$B$2:$B$38,D325)+SUMIFS($K$1:$K$743,$C$1:$C$743,C325,$D$1:$D$743,D325,$B$1:$B$743,"&lt;="&amp;B325)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Iniciales'!$B$2:$B$38,D326)+SUMIFS($K$1:$K$743,$C$1:$C$743,C326,$D$1:$D$743,D326,$B$1:$B$743,"&lt;="&amp;B326)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Iniciales'!$B$2:$B$38,D327)+SUMIFS($K$1:$K$743,$C$1:$C$743,C327,$D$1:$D$743,D327,$B$1:$B$743,"&lt;="&amp;B327)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Iniciales'!$B$2:$B$38,D328)+SUMIFS($K$1:$K$743,$C$1:$C$743,C328,$D$1:$D$743,D328,$B$1:$B$743,"&lt;="&amp;B328)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Iniciales'!$B$2:$B$38,D329)+SUMIFS($K$1:$K$743,$C$1:$C$743,C329,$D$1:$D$743,D329,$B$1:$B$743,"&lt;="&amp;B329)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Iniciales'!$B$2:$B$38,D330)+SUMIFS($K$1:$K$743,$C$1:$C$743,C330,$D$1:$D$743,D330,$B$1:$B$743,"&lt;="&amp;B330)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Iniciales'!$B$2:$B$38,D331)+SUMIFS($K$1:$K$743,$C$1:$C$743,C331,$D$1:$D$743,D331,$B$1:$B$743,"&lt;="&amp;B331)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Iniciales'!$B$2:$B$38,D332)+SUMIFS($K$1:$K$743,$C$1:$C$743,C332,$D$1:$D$743,D332,$B$1:$B$743,"&lt;="&amp;B332)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Iniciales'!$B$2:$B$38,D333)+SUMIFS($K$1:$K$743,$C$1:$C$743,C333,$D$1:$D$743,D333,$B$1:$B$743,"&lt;="&amp;B333)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Iniciales'!$B$2:$B$38,D334)+SUMIFS($K$1:$K$743,$C$1:$C$743,C334,$D$1:$D$743,D334,$B$1:$B$743,"&lt;="&amp;B334)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Iniciales'!$B$2:$B$38,D335)+SUMIFS($K$1:$K$743,$C$1:$C$743,C335,$D$1:$D$743,D335,$B$1:$B$743,"&lt;="&amp;B335)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Iniciales'!$B$2:$B$38,D336)+SUMIFS($K$1:$K$743,$C$1:$C$743,C336,$D$1:$D$743,D336,$B$1:$B$743,"&lt;="&amp;B336)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Iniciales'!$B$2:$B$38,D337)+SUMIFS($K$1:$K$743,$C$1:$C$743,C337,$D$1:$D$743,D337,$B$1:$B$743,"&lt;="&amp;B337)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Iniciales'!$B$2:$B$38,D338)+SUMIFS($K$1:$K$743,$C$1:$C$743,C338,$D$1:$D$743,D338,$B$1:$B$743,"&lt;="&amp;B338)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Iniciales'!$B$2:$B$38,D339)+SUMIFS($K$1:$K$743,$C$1:$C$743,C339,$D$1:$D$743,D339,$B$1:$B$743,"&lt;="&amp;B339)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Iniciales'!$B$2:$B$38,D340)+SUMIFS($K$1:$K$743,$C$1:$C$743,C340,$D$1:$D$743,D340,$B$1:$B$743,"&lt;="&amp;B340)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Iniciales'!$B$2:$B$38,D341)+SUMIFS($K$1:$K$743,$C$1:$C$743,C341,$D$1:$D$743,D341,$B$1:$B$743,"&lt;="&amp;B341)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Iniciales'!$B$2:$B$38,D342)+SUMIFS($K$1:$K$743,$C$1:$C$743,C342,$D$1:$D$743,D342,$B$1:$B$743,"&lt;="&amp;B342)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Iniciales'!$B$2:$B$38,D343)+SUMIFS($K$1:$K$743,$C$1:$C$743,C343,$D$1:$D$743,D343,$B$1:$B$743,"&lt;="&amp;B343)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Iniciales'!$B$2:$B$38,D344)+SUMIFS($K$1:$K$743,$C$1:$C$743,C344,$D$1:$D$743,D344,$B$1:$B$743,"&lt;="&amp;B344)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Iniciales'!$B$2:$B$38,D345)+SUMIFS($K$1:$K$743,$C$1:$C$743,C345,$D$1:$D$743,D345,$B$1:$B$743,"&lt;="&amp;B345)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Iniciales'!$B$2:$B$38,D346)+SUMIFS($K$1:$K$743,$C$1:$C$743,C346,$D$1:$D$743,D346,$B$1:$B$743,"&lt;="&amp;B346)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Iniciales'!$B$2:$B$38,D347)+SUMIFS($K$1:$K$743,$C$1:$C$743,C347,$D$1:$D$743,D347,$B$1:$B$743,"&lt;="&amp;B347)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Iniciales'!$B$2:$B$38,D348)+SUMIFS($K$1:$K$743,$C$1:$C$743,C348,$D$1:$D$743,D348,$B$1:$B$743,"&lt;="&amp;B348)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Iniciales'!$B$2:$B$38,D349)+SUMIFS($K$1:$K$743,$C$1:$C$743,C349,$D$1:$D$743,D349,$B$1:$B$743,"&lt;="&amp;B349)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Iniciales'!$B$2:$B$38,D350)+SUMIFS($K$1:$K$743,$C$1:$C$743,C350,$D$1:$D$743,D350,$B$1:$B$743,"&lt;="&amp;B350)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Iniciales'!$B$2:$B$38,D351)+SUMIFS($K$1:$K$743,$C$1:$C$743,C351,$D$1:$D$743,D351,$B$1:$B$743,"&lt;="&amp;B351)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Iniciales'!$B$2:$B$38,D352)+SUMIFS($K$1:$K$743,$C$1:$C$743,C352,$D$1:$D$743,D352,$B$1:$B$743,"&lt;="&amp;B352)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Iniciales'!$B$2:$B$38,D353)+SUMIFS($K$1:$K$743,$C$1:$C$743,C353,$D$1:$D$743,D353,$B$1:$B$743,"&lt;="&amp;B353)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Iniciales'!$B$2:$B$38,D354)+SUMIFS($K$1:$K$743,$C$1:$C$743,C354,$D$1:$D$743,D354,$B$1:$B$743,"&lt;="&amp;B354)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Iniciales'!$B$2:$B$38,D355)+SUMIFS($K$1:$K$743,$C$1:$C$743,C355,$D$1:$D$743,D355,$B$1:$B$743,"&lt;="&amp;B355)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Iniciales'!$B$2:$B$38,D356)+SUMIFS($K$1:$K$743,$C$1:$C$743,C356,$D$1:$D$743,D356,$B$1:$B$743,"&lt;="&amp;B356)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Iniciales'!$B$2:$B$38,D357)+SUMIFS($K$1:$K$743,$C$1:$C$743,C357,$D$1:$D$743,D357,$B$1:$B$743,"&lt;="&amp;B357)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Iniciales'!$B$2:$B$38,D358)+SUMIFS($K$1:$K$743,$C$1:$C$743,C358,$D$1:$D$743,D358,$B$1:$B$743,"&lt;="&amp;B358)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Iniciales'!$B$2:$B$38,D359)+SUMIFS($K$1:$K$743,$C$1:$C$743,C359,$D$1:$D$743,D359,$B$1:$B$743,"&lt;="&amp;B359)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Iniciales'!$B$2:$B$38,D360)+SUMIFS($K$1:$K$743,$C$1:$C$743,C360,$D$1:$D$743,D360,$B$1:$B$743,"&lt;="&amp;B360)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Iniciales'!$B$2:$B$38,D361)+SUMIFS($K$1:$K$743,$C$1:$C$743,C361,$D$1:$D$743,D361,$B$1:$B$743,"&lt;="&amp;B361)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Iniciales'!$B$2:$B$38,D362)+SUMIFS($K$1:$K$743,$C$1:$C$743,C362,$D$1:$D$743,D362,$B$1:$B$743,"&lt;="&amp;B362)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Iniciales'!$B$2:$B$38,D363)+SUMIFS($K$1:$K$743,$C$1:$C$743,C363,$D$1:$D$743,D363,$B$1:$B$743,"&lt;="&amp;B363)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Iniciales'!$B$2:$B$38,D364)+SUMIFS($K$1:$K$743,$C$1:$C$743,C364,$D$1:$D$743,D364,$B$1:$B$743,"&lt;="&amp;B364)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Iniciales'!$B$2:$B$38,D365)+SUMIFS($K$1:$K$743,$C$1:$C$743,C365,$D$1:$D$743,D365,$B$1:$B$743,"&lt;="&amp;B365)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Iniciales'!$B$2:$B$38,D366)+SUMIFS($K$1:$K$743,$C$1:$C$743,C366,$D$1:$D$743,D366,$B$1:$B$743,"&lt;="&amp;B366)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Iniciales'!$B$2:$B$38,D367)+SUMIFS($K$1:$K$743,$C$1:$C$743,C367,$D$1:$D$743,D367,$B$1:$B$743,"&lt;="&amp;B367)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Iniciales'!$B$2:$B$38,D368)+SUMIFS($K$1:$K$743,$C$1:$C$743,C368,$D$1:$D$743,D368,$B$1:$B$743,"&lt;="&amp;B368)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Iniciales'!$B$2:$B$38,D369)+SUMIFS($K$1:$K$743,$C$1:$C$743,C369,$D$1:$D$743,D369,$B$1:$B$743,"&lt;="&amp;B369)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Iniciales'!$B$2:$B$38,D370)+SUMIFS($K$1:$K$743,$C$1:$C$743,C370,$D$1:$D$743,D370,$B$1:$B$743,"&lt;="&amp;B370)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Iniciales'!$B$2:$B$38,D371)+SUMIFS($K$1:$K$743,$C$1:$C$743,C371,$D$1:$D$743,D371,$B$1:$B$743,"&lt;="&amp;B371)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Iniciales'!$B$2:$B$38,D372)+SUMIFS($K$1:$K$743,$C$1:$C$743,C372,$D$1:$D$743,D372,$B$1:$B$743,"&lt;="&amp;B372)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Iniciales'!$B$2:$B$38,D373)+SUMIFS($K$1:$K$743,$C$1:$C$743,C373,$D$1:$D$743,D373,$B$1:$B$743,"&lt;="&amp;B373)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Iniciales'!$B$2:$B$38,D374)+SUMIFS($K$1:$K$743,$C$1:$C$743,C374,$D$1:$D$743,D374,$B$1:$B$743,"&lt;="&amp;B374)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Iniciales'!$B$2:$B$38,D375)+SUMIFS($K$1:$K$743,$C$1:$C$743,C375,$D$1:$D$743,D375,$B$1:$B$743,"&lt;="&amp;B375)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Iniciales'!$B$2:$B$38,D376)+SUMIFS($K$1:$K$743,$C$1:$C$743,C376,$D$1:$D$743,D376,$B$1:$B$743,"&lt;="&amp;B376)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Iniciales'!$B$2:$B$38,D377)+SUMIFS($K$1:$K$743,$C$1:$C$743,C377,$D$1:$D$743,D377,$B$1:$B$743,"&lt;="&amp;B377)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Iniciales'!$B$2:$B$38,D378)+SUMIFS($K$1:$K$743,$C$1:$C$743,C378,$D$1:$D$743,D378,$B$1:$B$743,"&lt;="&amp;B378)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Iniciales'!$B$2:$B$38,D379)+SUMIFS($K$1:$K$743,$C$1:$C$743,C379,$D$1:$D$743,D379,$B$1:$B$743,"&lt;="&amp;B379)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Iniciales'!$B$2:$B$38,D380)+SUMIFS($K$1:$K$743,$C$1:$C$743,C380,$D$1:$D$743,D380,$B$1:$B$743,"&lt;="&amp;B380)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Iniciales'!$B$2:$B$38,D381)+SUMIFS($K$1:$K$743,$C$1:$C$743,C381,$D$1:$D$743,D381,$B$1:$B$743,"&lt;="&amp;B381)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Iniciales'!$B$2:$B$38,D382)+SUMIFS($K$1:$K$743,$C$1:$C$743,C382,$D$1:$D$743,D382,$B$1:$B$743,"&lt;="&amp;B382)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Iniciales'!$B$2:$B$38,D383)+SUMIFS($K$1:$K$743,$C$1:$C$743,C383,$D$1:$D$743,D383,$B$1:$B$743,"&lt;="&amp;B383)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Iniciales'!$B$2:$B$38,D384)+SUMIFS($K$1:$K$743,$C$1:$C$743,C384,$D$1:$D$743,D384,$B$1:$B$743,"&lt;="&amp;B384)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Iniciales'!$B$2:$B$38,D385)+SUMIFS($K$1:$K$743,$C$1:$C$743,C385,$D$1:$D$743,D385,$B$1:$B$743,"&lt;="&amp;B385)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Iniciales'!$B$2:$B$38,D386)+SUMIFS($K$1:$K$743,$C$1:$C$743,C386,$D$1:$D$743,D386,$B$1:$B$743,"&lt;="&amp;B386)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Iniciales'!$B$2:$B$38,D387)+SUMIFS($K$1:$K$743,$C$1:$C$743,C387,$D$1:$D$743,D387,$B$1:$B$743,"&lt;="&amp;B387)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Iniciales'!$B$2:$B$38,D388)+SUMIFS($K$1:$K$743,$C$1:$C$743,C388,$D$1:$D$743,D388,$B$1:$B$743,"&lt;="&amp;B388)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Iniciales'!$B$2:$B$38,D389)+SUMIFS($K$1:$K$743,$C$1:$C$743,C389,$D$1:$D$743,D389,$B$1:$B$743,"&lt;="&amp;B389)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Iniciales'!$B$2:$B$38,D390)+SUMIFS($K$1:$K$743,$C$1:$C$743,C390,$D$1:$D$743,D390,$B$1:$B$743,"&lt;="&amp;B390)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Iniciales'!$B$2:$B$38,D391)+SUMIFS($K$1:$K$743,$C$1:$C$743,C391,$D$1:$D$743,D391,$B$1:$B$743,"&lt;="&amp;B391)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Iniciales'!$B$2:$B$38,D392)+SUMIFS($K$1:$K$743,$C$1:$C$743,C392,$D$1:$D$743,D392,$B$1:$B$743,"&lt;="&amp;B392)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Iniciales'!$B$2:$B$38,D393)+SUMIFS($K$1:$K$743,$C$1:$C$743,C393,$D$1:$D$743,D393,$B$1:$B$743,"&lt;="&amp;B393)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Iniciales'!$B$2:$B$38,D394)+SUMIFS($K$1:$K$743,$C$1:$C$743,C394,$D$1:$D$743,D394,$B$1:$B$743,"&lt;="&amp;B394)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Iniciales'!$B$2:$B$38,D395)+SUMIFS($K$1:$K$743,$C$1:$C$743,C395,$D$1:$D$743,D395,$B$1:$B$743,"&lt;="&amp;B395)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Iniciales'!$B$2:$B$38,D396)+SUMIFS($K$1:$K$743,$C$1:$C$743,C396,$D$1:$D$743,D396,$B$1:$B$743,"&lt;="&amp;B396)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Iniciales'!$B$2:$B$38,D397)+SUMIFS($K$1:$K$743,$C$1:$C$743,C397,$D$1:$D$743,D397,$B$1:$B$743,"&lt;="&amp;B397)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Iniciales'!$B$2:$B$38,D398)+SUMIFS($K$1:$K$743,$C$1:$C$743,C398,$D$1:$D$743,D398,$B$1:$B$743,"&lt;="&amp;B398)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Iniciales'!$B$2:$B$38,D399)+SUMIFS($K$1:$K$743,$C$1:$C$743,C399,$D$1:$D$743,D399,$B$1:$B$743,"&lt;="&amp;B399)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Iniciales'!$B$2:$B$38,D400)+SUMIFS($K$1:$K$743,$C$1:$C$743,C400,$D$1:$D$743,D400,$B$1:$B$743,"&lt;="&amp;B400)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Iniciales'!$B$2:$B$38,D401)+SUMIFS($K$1:$K$743,$C$1:$C$743,C401,$D$1:$D$743,D401,$B$1:$B$743,"&lt;="&amp;B401)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Iniciales'!$B$2:$B$38,D402)+SUMIFS($K$1:$K$743,$C$1:$C$743,C402,$D$1:$D$743,D402,$B$1:$B$743,"&lt;="&amp;B402)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Iniciales'!$B$2:$B$38,D403)+SUMIFS($K$1:$K$743,$C$1:$C$743,C403,$D$1:$D$743,D403,$B$1:$B$743,"&lt;="&amp;B403)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Iniciales'!$B$2:$B$38,D404)+SUMIFS($K$1:$K$743,$C$1:$C$743,C404,$D$1:$D$743,D404,$B$1:$B$743,"&lt;="&amp;B404)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Iniciales'!$B$2:$B$38,D405)+SUMIFS($K$1:$K$743,$C$1:$C$743,C405,$D$1:$D$743,D405,$B$1:$B$743,"&lt;="&amp;B405)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Iniciales'!$B$2:$B$38,D406)+SUMIFS($K$1:$K$743,$C$1:$C$743,C406,$D$1:$D$743,D406,$B$1:$B$743,"&lt;="&amp;B406)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Iniciales'!$B$2:$B$38,D407)+SUMIFS($K$1:$K$743,$C$1:$C$743,C407,$D$1:$D$743,D407,$B$1:$B$743,"&lt;="&amp;B407)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Iniciales'!$B$2:$B$38,D408)+SUMIFS($K$1:$K$743,$C$1:$C$743,C408,$D$1:$D$743,D408,$B$1:$B$743,"&lt;="&amp;B408)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Iniciales'!$B$2:$B$38,D409)+SUMIFS($K$1:$K$743,$C$1:$C$743,C409,$D$1:$D$743,D409,$B$1:$B$743,"&lt;="&amp;B409)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Iniciales'!$B$2:$B$38,D410)+SUMIFS($K$1:$K$743,$C$1:$C$743,C410,$D$1:$D$743,D410,$B$1:$B$743,"&lt;="&amp;B410)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Iniciales'!$B$2:$B$38,D411)+SUMIFS($K$1:$K$743,$C$1:$C$743,C411,$D$1:$D$743,D411,$B$1:$B$743,"&lt;="&amp;B411)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Iniciales'!$B$2:$B$38,D412)+SUMIFS($K$1:$K$743,$C$1:$C$743,C412,$D$1:$D$743,D412,$B$1:$B$743,"&lt;="&amp;B412)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Iniciales'!$B$2:$B$38,D413)+SUMIFS($K$1:$K$743,$C$1:$C$743,C413,$D$1:$D$743,D413,$B$1:$B$743,"&lt;="&amp;B413)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Iniciales'!$B$2:$B$38,D414)+SUMIFS($K$1:$K$743,$C$1:$C$743,C414,$D$1:$D$743,D414,$B$1:$B$743,"&lt;="&amp;B414)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Iniciales'!$B$2:$B$38,D415)+SUMIFS($K$1:$K$743,$C$1:$C$743,C415,$D$1:$D$743,D415,$B$1:$B$743,"&lt;="&amp;B415)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Iniciales'!$B$2:$B$38,D416)+SUMIFS($K$1:$K$743,$C$1:$C$743,C416,$D$1:$D$743,D416,$B$1:$B$743,"&lt;="&amp;B416)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Iniciales'!$B$2:$B$38,D417)+SUMIFS($K$1:$K$743,$C$1:$C$743,C417,$D$1:$D$743,D417,$B$1:$B$743,"&lt;="&amp;B417)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Iniciales'!$B$2:$B$38,D418)+SUMIFS($K$1:$K$743,$C$1:$C$743,C418,$D$1:$D$743,D418,$B$1:$B$743,"&lt;="&amp;B418)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Iniciales'!$B$2:$B$38,D419)+SUMIFS($K$1:$K$743,$C$1:$C$743,C419,$D$1:$D$743,D419,$B$1:$B$743,"&lt;="&amp;B419)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Iniciales'!$B$2:$B$38,D420)+SUMIFS($K$1:$K$743,$C$1:$C$743,C420,$D$1:$D$743,D420,$B$1:$B$743,"&lt;="&amp;B420)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Iniciales'!$B$2:$B$38,D421)+SUMIFS($K$1:$K$743,$C$1:$C$743,C421,$D$1:$D$743,D421,$B$1:$B$743,"&lt;="&amp;B421)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Iniciales'!$B$2:$B$38,D422)+SUMIFS($K$1:$K$743,$C$1:$C$743,C422,$D$1:$D$743,D422,$B$1:$B$743,"&lt;="&amp;B422)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Iniciales'!$B$2:$B$38,D423)+SUMIFS($K$1:$K$743,$C$1:$C$743,C423,$D$1:$D$743,D423,$B$1:$B$743,"&lt;="&amp;B423)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Iniciales'!$B$2:$B$38,D424)+SUMIFS($K$1:$K$743,$C$1:$C$743,C424,$D$1:$D$743,D424,$B$1:$B$743,"&lt;="&amp;B424)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Iniciales'!$B$2:$B$38,D425)+SUMIFS($K$1:$K$743,$C$1:$C$743,C425,$D$1:$D$743,D425,$B$1:$B$743,"&lt;="&amp;B425)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Iniciales'!$B$2:$B$38,D426)+SUMIFS($K$1:$K$743,$C$1:$C$743,C426,$D$1:$D$743,D426,$B$1:$B$743,"&lt;="&amp;B426)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Iniciales'!$B$2:$B$38,D427)+SUMIFS($K$1:$K$743,$C$1:$C$743,C427,$D$1:$D$743,D427,$B$1:$B$743,"&lt;="&amp;B427)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Iniciales'!$B$2:$B$38,D428)+SUMIFS($K$1:$K$743,$C$1:$C$743,C428,$D$1:$D$743,D428,$B$1:$B$743,"&lt;="&amp;B428)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Iniciales'!$B$2:$B$38,D429)+SUMIFS($K$1:$K$743,$C$1:$C$743,C429,$D$1:$D$743,D429,$B$1:$B$743,"&lt;="&amp;B429)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Iniciales'!$B$2:$B$38,D430)+SUMIFS($K$1:$K$743,$C$1:$C$743,C430,$D$1:$D$743,D430,$B$1:$B$743,"&lt;="&amp;B430)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Iniciales'!$B$2:$B$38,D431)+SUMIFS($K$1:$K$743,$C$1:$C$743,C431,$D$1:$D$743,D431,$B$1:$B$743,"&lt;="&amp;B431)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Iniciales'!$B$2:$B$38,D432)+SUMIFS($K$1:$K$743,$C$1:$C$743,C432,$D$1:$D$743,D432,$B$1:$B$743,"&lt;="&amp;B432)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Iniciales'!$B$2:$B$38,D433)+SUMIFS($K$1:$K$743,$C$1:$C$743,C433,$D$1:$D$743,D433,$B$1:$B$743,"&lt;="&amp;B433)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Iniciales'!$B$2:$B$38,D434)+SUMIFS($K$1:$K$743,$C$1:$C$743,C434,$D$1:$D$743,D434,$B$1:$B$743,"&lt;="&amp;B434)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Iniciales'!$B$2:$B$38,D435)+SUMIFS($K$1:$K$743,$C$1:$C$743,C435,$D$1:$D$743,D435,$B$1:$B$743,"&lt;="&amp;B435)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Iniciales'!$B$2:$B$38,D436)+SUMIFS($K$1:$K$743,$C$1:$C$743,C436,$D$1:$D$743,D436,$B$1:$B$743,"&lt;="&amp;B436)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Iniciales'!$B$2:$B$38,D437)+SUMIFS($K$1:$K$743,$C$1:$C$743,C437,$D$1:$D$743,D437,$B$1:$B$743,"&lt;="&amp;B437)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Iniciales'!$B$2:$B$38,D438)+SUMIFS($K$1:$K$743,$C$1:$C$743,C438,$D$1:$D$743,D438,$B$1:$B$743,"&lt;="&amp;B438)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Iniciales'!$B$2:$B$38,D439)+SUMIFS($K$1:$K$743,$C$1:$C$743,C439,$D$1:$D$743,D439,$B$1:$B$743,"&lt;="&amp;B439)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Iniciales'!$B$2:$B$38,D440)+SUMIFS($K$1:$K$743,$C$1:$C$743,C440,$D$1:$D$743,D440,$B$1:$B$743,"&lt;="&amp;B440)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Iniciales'!$B$2:$B$38,D441)+SUMIFS($K$1:$K$743,$C$1:$C$743,C441,$D$1:$D$743,D441,$B$1:$B$743,"&lt;="&amp;B441)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Iniciales'!$B$2:$B$38,D442)+SUMIFS($K$1:$K$743,$C$1:$C$743,C442,$D$1:$D$743,D442,$B$1:$B$743,"&lt;="&amp;B442)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Iniciales'!$B$2:$B$38,D443)+SUMIFS($K$1:$K$743,$C$1:$C$743,C443,$D$1:$D$743,D443,$B$1:$B$743,"&lt;="&amp;B443)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Iniciales'!$B$2:$B$38,D444)+SUMIFS($K$1:$K$743,$C$1:$C$743,C444,$D$1:$D$743,D444,$B$1:$B$743,"&lt;="&amp;B444)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Iniciales'!$B$2:$B$38,D445)+SUMIFS($K$1:$K$743,$C$1:$C$743,C445,$D$1:$D$743,D445,$B$1:$B$743,"&lt;="&amp;B445)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Iniciales'!$B$2:$B$38,D446)+SUMIFS($K$1:$K$743,$C$1:$C$743,C446,$D$1:$D$743,D446,$B$1:$B$743,"&lt;="&amp;B446)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Iniciales'!$B$2:$B$38,D447)+SUMIFS($K$1:$K$743,$C$1:$C$743,C447,$D$1:$D$743,D447,$B$1:$B$743,"&lt;="&amp;B447)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Iniciales'!$B$2:$B$38,D448)+SUMIFS($K$1:$K$743,$C$1:$C$743,C448,$D$1:$D$743,D448,$B$1:$B$743,"&lt;="&amp;B448)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Iniciales'!$B$2:$B$38,D449)+SUMIFS($K$1:$K$743,$C$1:$C$743,C449,$D$1:$D$743,D449,$B$1:$B$743,"&lt;="&amp;B449)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Iniciales'!$B$2:$B$38,D450)+SUMIFS($K$1:$K$743,$C$1:$C$743,C450,$D$1:$D$743,D450,$B$1:$B$743,"&lt;="&amp;B450)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Iniciales'!$B$2:$B$38,D451)+SUMIFS($K$1:$K$743,$C$1:$C$743,C451,$D$1:$D$743,D451,$B$1:$B$743,"&lt;="&amp;B451)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Iniciales'!$B$2:$B$38,D452)+SUMIFS($K$1:$K$743,$C$1:$C$743,C452,$D$1:$D$743,D452,$B$1:$B$743,"&lt;="&amp;B452)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Iniciales'!$B$2:$B$38,D453)+SUMIFS($K$1:$K$743,$C$1:$C$743,C453,$D$1:$D$743,D453,$B$1:$B$743,"&lt;="&amp;B453)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Iniciales'!$B$2:$B$38,D454)+SUMIFS($K$1:$K$743,$C$1:$C$743,C454,$D$1:$D$743,D454,$B$1:$B$743,"&lt;="&amp;B454)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Iniciales'!$B$2:$B$38,D455)+SUMIFS($K$1:$K$743,$C$1:$C$743,C455,$D$1:$D$743,D455,$B$1:$B$743,"&lt;="&amp;B455)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Iniciales'!$B$2:$B$38,D456)+SUMIFS($K$1:$K$743,$C$1:$C$743,C456,$D$1:$D$743,D456,$B$1:$B$743,"&lt;="&amp;B456)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Iniciales'!$B$2:$B$38,D457)+SUMIFS($K$1:$K$743,$C$1:$C$743,C457,$D$1:$D$743,D457,$B$1:$B$743,"&lt;="&amp;B457)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Iniciales'!$B$2:$B$38,D458)+SUMIFS($K$1:$K$743,$C$1:$C$743,C458,$D$1:$D$743,D458,$B$1:$B$743,"&lt;="&amp;B458)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Iniciales'!$B$2:$B$38,D459)+SUMIFS($K$1:$K$743,$C$1:$C$743,C459,$D$1:$D$743,D459,$B$1:$B$743,"&lt;="&amp;B459)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Iniciales'!$B$2:$B$38,D460)+SUMIFS($K$1:$K$743,$C$1:$C$743,C460,$D$1:$D$743,D460,$B$1:$B$743,"&lt;="&amp;B460)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Iniciales'!$B$2:$B$38,D461)+SUMIFS($K$1:$K$743,$C$1:$C$743,C461,$D$1:$D$743,D461,$B$1:$B$743,"&lt;="&amp;B461)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Iniciales'!$B$2:$B$38,D462)+SUMIFS($K$1:$K$743,$C$1:$C$743,C462,$D$1:$D$743,D462,$B$1:$B$743,"&lt;="&amp;B462)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Iniciales'!$B$2:$B$38,D463)+SUMIFS($K$1:$K$743,$C$1:$C$743,C463,$D$1:$D$743,D463,$B$1:$B$743,"&lt;="&amp;B463)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Iniciales'!$B$2:$B$38,D464)+SUMIFS($K$1:$K$743,$C$1:$C$743,C464,$D$1:$D$743,D464,$B$1:$B$743,"&lt;="&amp;B464)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Iniciales'!$B$2:$B$38,D465)+SUMIFS($K$1:$K$743,$C$1:$C$743,C465,$D$1:$D$743,D465,$B$1:$B$743,"&lt;="&amp;B465)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Iniciales'!$B$2:$B$38,D466)+SUMIFS($K$1:$K$743,$C$1:$C$743,C466,$D$1:$D$743,D466,$B$1:$B$743,"&lt;="&amp;B466)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Iniciales'!$B$2:$B$38,D467)+SUMIFS($K$1:$K$743,$C$1:$C$743,C467,$D$1:$D$743,D467,$B$1:$B$743,"&lt;="&amp;B467)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Iniciales'!$B$2:$B$38,D468)+SUMIFS($K$1:$K$743,$C$1:$C$743,C468,$D$1:$D$743,D468,$B$1:$B$743,"&lt;="&amp;B468)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Iniciales'!$B$2:$B$38,D469)+SUMIFS($K$1:$K$743,$C$1:$C$743,C469,$D$1:$D$743,D469,$B$1:$B$743,"&lt;="&amp;B469)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Iniciales'!$B$2:$B$38,D470)+SUMIFS($K$1:$K$743,$C$1:$C$743,C470,$D$1:$D$743,D470,$B$1:$B$743,"&lt;="&amp;B470)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Iniciales'!$B$2:$B$38,D471)+SUMIFS($K$1:$K$743,$C$1:$C$743,C471,$D$1:$D$743,D471,$B$1:$B$743,"&lt;="&amp;B471)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Iniciales'!$B$2:$B$38,D472)+SUMIFS($K$1:$K$743,$C$1:$C$743,C472,$D$1:$D$743,D472,$B$1:$B$743,"&lt;="&amp;B472)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Iniciales'!$B$2:$B$38,D473)+SUMIFS($K$1:$K$743,$C$1:$C$743,C473,$D$1:$D$743,D473,$B$1:$B$743,"&lt;="&amp;B473)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Iniciales'!$B$2:$B$38,D474)+SUMIFS($K$1:$K$743,$C$1:$C$743,C474,$D$1:$D$743,D474,$B$1:$B$743,"&lt;="&amp;B474)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Iniciales'!$B$2:$B$38,D475)+SUMIFS($K$1:$K$743,$C$1:$C$743,C475,$D$1:$D$743,D475,$B$1:$B$743,"&lt;="&amp;B475)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Iniciales'!$B$2:$B$38,D476)+SUMIFS($K$1:$K$743,$C$1:$C$743,C476,$D$1:$D$743,D476,$B$1:$B$743,"&lt;="&amp;B476)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Iniciales'!$B$2:$B$38,D477)+SUMIFS($K$1:$K$743,$C$1:$C$743,C477,$D$1:$D$743,D477,$B$1:$B$743,"&lt;="&amp;B477)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Iniciales'!$B$2:$B$38,D478)+SUMIFS($K$1:$K$743,$C$1:$C$743,C478,$D$1:$D$743,D478,$B$1:$B$743,"&lt;="&amp;B478)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Iniciales'!$B$2:$B$38,D479)+SUMIFS($K$1:$K$743,$C$1:$C$743,C479,$D$1:$D$743,D479,$B$1:$B$743,"&lt;="&amp;B479)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Iniciales'!$B$2:$B$38,D480)+SUMIFS($K$1:$K$743,$C$1:$C$743,C480,$D$1:$D$743,D480,$B$1:$B$743,"&lt;="&amp;B480)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Iniciales'!$B$2:$B$38,D481)+SUMIFS($K$1:$K$743,$C$1:$C$743,C481,$D$1:$D$743,D481,$B$1:$B$743,"&lt;="&amp;B481)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Iniciales'!$B$2:$B$38,D482)+SUMIFS($K$1:$K$743,$C$1:$C$743,C482,$D$1:$D$743,D482,$B$1:$B$743,"&lt;="&amp;B482)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Iniciales'!$B$2:$B$38,D483)+SUMIFS($K$1:$K$743,$C$1:$C$743,C483,$D$1:$D$743,D483,$B$1:$B$743,"&lt;="&amp;B483)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Iniciales'!$B$2:$B$38,D484)+SUMIFS($K$1:$K$743,$C$1:$C$743,C484,$D$1:$D$743,D484,$B$1:$B$743,"&lt;="&amp;B484)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Iniciales'!$B$2:$B$38,D485)+SUMIFS($K$1:$K$743,$C$1:$C$743,C485,$D$1:$D$743,D485,$B$1:$B$743,"&lt;="&amp;B485)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Iniciales'!$B$2:$B$38,D486)+SUMIFS($K$1:$K$743,$C$1:$C$743,C486,$D$1:$D$743,D486,$B$1:$B$743,"&lt;="&amp;B486)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Iniciales'!$B$2:$B$38,D487)+SUMIFS($K$1:$K$743,$C$1:$C$743,C487,$D$1:$D$743,D487,$B$1:$B$743,"&lt;="&amp;B487)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Iniciales'!$B$2:$B$38,D488)+SUMIFS($K$1:$K$743,$C$1:$C$743,C488,$D$1:$D$743,D488,$B$1:$B$743,"&lt;="&amp;B488)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Iniciales'!$B$2:$B$38,D489)+SUMIFS($K$1:$K$743,$C$1:$C$743,C489,$D$1:$D$743,D489,$B$1:$B$743,"&lt;="&amp;B489)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Iniciales'!$B$2:$B$38,D490)+SUMIFS($K$1:$K$743,$C$1:$C$743,C490,$D$1:$D$743,D490,$B$1:$B$743,"&lt;="&amp;B490)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Iniciales'!$B$2:$B$38,D491)+SUMIFS($K$1:$K$743,$C$1:$C$743,C491,$D$1:$D$743,D491,$B$1:$B$743,"&lt;="&amp;B491)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Iniciales'!$B$2:$B$38,D492)+SUMIFS($K$1:$K$743,$C$1:$C$743,C492,$D$1:$D$743,D492,$B$1:$B$743,"&lt;="&amp;B492)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Iniciales'!$B$2:$B$38,D493)+SUMIFS($K$1:$K$743,$C$1:$C$743,C493,$D$1:$D$743,D493,$B$1:$B$743,"&lt;="&amp;B493)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Iniciales'!$B$2:$B$38,D494)+SUMIFS($K$1:$K$743,$C$1:$C$743,C494,$D$1:$D$743,D494,$B$1:$B$743,"&lt;="&amp;B494)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Iniciales'!$B$2:$B$38,D495)+SUMIFS($K$1:$K$743,$C$1:$C$743,C495,$D$1:$D$743,D495,$B$1:$B$743,"&lt;="&amp;B495)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Iniciales'!$B$2:$B$38,D496)+SUMIFS($K$1:$K$743,$C$1:$C$743,C496,$D$1:$D$743,D496,$B$1:$B$743,"&lt;="&amp;B496)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Iniciales'!$B$2:$B$38,D497)+SUMIFS($K$1:$K$743,$C$1:$C$743,C497,$D$1:$D$743,D497,$B$1:$B$743,"&lt;="&amp;B497)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Iniciales'!$B$2:$B$38,D498)+SUMIFS($K$1:$K$743,$C$1:$C$743,C498,$D$1:$D$743,D498,$B$1:$B$743,"&lt;="&amp;B498)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Iniciales'!$B$2:$B$38,D499)+SUMIFS($K$1:$K$743,$C$1:$C$743,C499,$D$1:$D$743,D499,$B$1:$B$743,"&lt;="&amp;B499)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Iniciales'!$B$2:$B$38,D500)+SUMIFS($K$1:$K$743,$C$1:$C$743,C500,$D$1:$D$743,D500,$B$1:$B$743,"&lt;="&amp;B500)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Iniciales'!$B$2:$B$38,D501)+SUMIFS($K$1:$K$743,$C$1:$C$743,C501,$D$1:$D$743,D501,$B$1:$B$743,"&lt;="&amp;B501)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Iniciales'!$B$2:$B$38,D502)+SUMIFS($K$1:$K$743,$C$1:$C$743,C502,$D$1:$D$743,D502,$B$1:$B$743,"&lt;="&amp;B502)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Iniciales'!$B$2:$B$38,D503)+SUMIFS($K$1:$K$743,$C$1:$C$743,C503,$D$1:$D$743,D503,$B$1:$B$743,"&lt;="&amp;B503)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Iniciales'!$B$2:$B$38,D504)+SUMIFS($K$1:$K$743,$C$1:$C$743,C504,$D$1:$D$743,D504,$B$1:$B$743,"&lt;="&amp;B504)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Iniciales'!$B$2:$B$38,D505)+SUMIFS($K$1:$K$743,$C$1:$C$743,C505,$D$1:$D$743,D505,$B$1:$B$743,"&lt;="&amp;B505)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Iniciales'!$B$2:$B$38,D506)+SUMIFS($K$1:$K$743,$C$1:$C$743,C506,$D$1:$D$743,D506,$B$1:$B$743,"&lt;="&amp;B506)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Iniciales'!$B$2:$B$38,D507)+SUMIFS($K$1:$K$743,$C$1:$C$743,C507,$D$1:$D$743,D507,$B$1:$B$743,"&lt;="&amp;B507)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Iniciales'!$B$2:$B$38,D508)+SUMIFS($K$1:$K$743,$C$1:$C$743,C508,$D$1:$D$743,D508,$B$1:$B$743,"&lt;="&amp;B508)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Iniciales'!$B$2:$B$38,D509)+SUMIFS($K$1:$K$743,$C$1:$C$743,C509,$D$1:$D$743,D509,$B$1:$B$743,"&lt;="&amp;B509)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Iniciales'!$B$2:$B$38,D510)+SUMIFS($K$1:$K$743,$C$1:$C$743,C510,$D$1:$D$743,D510,$B$1:$B$743,"&lt;="&amp;B510)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Iniciales'!$B$2:$B$38,D511)+SUMIFS($K$1:$K$743,$C$1:$C$743,C511,$D$1:$D$743,D511,$B$1:$B$743,"&lt;="&amp;B511)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Iniciales'!$B$2:$B$38,D512)+SUMIFS($K$1:$K$743,$C$1:$C$743,C512,$D$1:$D$743,D512,$B$1:$B$743,"&lt;="&amp;B512)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Iniciales'!$B$2:$B$38,D513)+SUMIFS($K$1:$K$743,$C$1:$C$743,C513,$D$1:$D$743,D513,$B$1:$B$743,"&lt;="&amp;B513)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Iniciales'!$B$2:$B$38,D514)+SUMIFS($K$1:$K$743,$C$1:$C$743,C514,$D$1:$D$743,D514,$B$1:$B$743,"&lt;="&amp;B514)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Iniciales'!$B$2:$B$38,D515)+SUMIFS($K$1:$K$743,$C$1:$C$743,C515,$D$1:$D$743,D515,$B$1:$B$743,"&lt;="&amp;B515)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Iniciales'!$B$2:$B$38,D516)+SUMIFS($K$1:$K$743,$C$1:$C$743,C516,$D$1:$D$743,D516,$B$1:$B$743,"&lt;="&amp;B516)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Iniciales'!$B$2:$B$38,D517)+SUMIFS($K$1:$K$743,$C$1:$C$743,C517,$D$1:$D$743,D517,$B$1:$B$743,"&lt;="&amp;B517)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Iniciales'!$B$2:$B$38,D518)+SUMIFS($K$1:$K$743,$C$1:$C$743,C518,$D$1:$D$743,D518,$B$1:$B$743,"&lt;="&amp;B518)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Iniciales'!$B$2:$B$38,D519)+SUMIFS($K$1:$K$743,$C$1:$C$743,C519,$D$1:$D$743,D519,$B$1:$B$743,"&lt;="&amp;B519)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Iniciales'!$B$2:$B$38,D520)+SUMIFS($K$1:$K$743,$C$1:$C$743,C520,$D$1:$D$743,D520,$B$1:$B$743,"&lt;="&amp;B520)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Iniciales'!$B$2:$B$38,D521)+SUMIFS($K$1:$K$743,$C$1:$C$743,C521,$D$1:$D$743,D521,$B$1:$B$743,"&lt;="&amp;B521)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Iniciales'!$B$2:$B$38,D522)+SUMIFS($K$1:$K$743,$C$1:$C$743,C522,$D$1:$D$743,D522,$B$1:$B$743,"&lt;="&amp;B522)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Iniciales'!$B$2:$B$38,D523)+SUMIFS($K$1:$K$743,$C$1:$C$743,C523,$D$1:$D$743,D523,$B$1:$B$743,"&lt;="&amp;B523)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Iniciales'!$B$2:$B$38,D524)+SUMIFS($K$1:$K$743,$C$1:$C$743,C524,$D$1:$D$743,D524,$B$1:$B$743,"&lt;="&amp;B524)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Iniciales'!$B$2:$B$38,D525)+SUMIFS($K$1:$K$743,$C$1:$C$743,C525,$D$1:$D$743,D525,$B$1:$B$743,"&lt;="&amp;B525)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Iniciales'!$B$2:$B$38,D526)+SUMIFS($K$1:$K$743,$C$1:$C$743,C526,$D$1:$D$743,D526,$B$1:$B$743,"&lt;="&amp;B526)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Iniciales'!$B$2:$B$38,D527)+SUMIFS($K$1:$K$743,$C$1:$C$743,C527,$D$1:$D$743,D527,$B$1:$B$743,"&lt;="&amp;B527)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Iniciales'!$B$2:$B$38,D528)+SUMIFS($K$1:$K$743,$C$1:$C$743,C528,$D$1:$D$743,D528,$B$1:$B$743,"&lt;="&amp;B528)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Iniciales'!$B$2:$B$38,D529)+SUMIFS($K$1:$K$743,$C$1:$C$743,C529,$D$1:$D$743,D529,$B$1:$B$743,"&lt;="&amp;B529)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Iniciales'!$B$2:$B$38,D530)+SUMIFS($K$1:$K$743,$C$1:$C$743,C530,$D$1:$D$743,D530,$B$1:$B$743,"&lt;="&amp;B530)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Iniciales'!$B$2:$B$38,D531)+SUMIFS($K$1:$K$743,$C$1:$C$743,C531,$D$1:$D$743,D531,$B$1:$B$743,"&lt;="&amp;B531)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Iniciales'!$B$2:$B$38,D532)+SUMIFS($K$1:$K$743,$C$1:$C$743,C532,$D$1:$D$743,D532,$B$1:$B$743,"&lt;="&amp;B532)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Iniciales'!$B$2:$B$38,D533)+SUMIFS($K$1:$K$743,$C$1:$C$743,C533,$D$1:$D$743,D533,$B$1:$B$743,"&lt;="&amp;B533)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Iniciales'!$B$2:$B$38,D534)+SUMIFS($K$1:$K$743,$C$1:$C$743,C534,$D$1:$D$743,D534,$B$1:$B$743,"&lt;="&amp;B534)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Iniciales'!$B$2:$B$38,D535)+SUMIFS($K$1:$K$743,$C$1:$C$743,C535,$D$1:$D$743,D535,$B$1:$B$743,"&lt;="&amp;B535)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Iniciales'!$B$2:$B$38,D536)+SUMIFS($K$1:$K$743,$C$1:$C$743,C536,$D$1:$D$743,D536,$B$1:$B$743,"&lt;="&amp;B536)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Iniciales'!$B$2:$B$38,D537)+SUMIFS($K$1:$K$743,$C$1:$C$743,C537,$D$1:$D$743,D537,$B$1:$B$743,"&lt;="&amp;B537)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Iniciales'!$B$2:$B$38,D538)+SUMIFS($K$1:$K$743,$C$1:$C$743,C538,$D$1:$D$743,D538,$B$1:$B$743,"&lt;="&amp;B538)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Iniciales'!$B$2:$B$38,D539)+SUMIFS($K$1:$K$743,$C$1:$C$743,C539,$D$1:$D$743,D539,$B$1:$B$743,"&lt;="&amp;B539)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Iniciales'!$B$2:$B$38,D540)+SUMIFS($K$1:$K$743,$C$1:$C$743,C540,$D$1:$D$743,D540,$B$1:$B$743,"&lt;="&amp;B540)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Iniciales'!$B$2:$B$38,D541)+SUMIFS($K$1:$K$743,$C$1:$C$743,C541,$D$1:$D$743,D541,$B$1:$B$743,"&lt;="&amp;B541)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Iniciales'!$B$2:$B$38,D542)+SUMIFS($K$1:$K$743,$C$1:$C$743,C542,$D$1:$D$743,D542,$B$1:$B$743,"&lt;="&amp;B542)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Iniciales'!$B$2:$B$38,D543)+SUMIFS($K$1:$K$743,$C$1:$C$743,C543,$D$1:$D$743,D543,$B$1:$B$743,"&lt;="&amp;B543)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Iniciales'!$B$2:$B$38,D544)+SUMIFS($K$1:$K$743,$C$1:$C$743,C544,$D$1:$D$743,D544,$B$1:$B$743,"&lt;="&amp;B544)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Iniciales'!$B$2:$B$38,D545)+SUMIFS($K$1:$K$743,$C$1:$C$743,C545,$D$1:$D$743,D545,$B$1:$B$743,"&lt;="&amp;B545)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Iniciales'!$B$2:$B$38,D546)+SUMIFS($K$1:$K$743,$C$1:$C$743,C546,$D$1:$D$743,D546,$B$1:$B$743,"&lt;="&amp;B546)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Iniciales'!$B$2:$B$38,D547)+SUMIFS($K$1:$K$743,$C$1:$C$743,C547,$D$1:$D$743,D547,$B$1:$B$743,"&lt;="&amp;B547)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Iniciales'!$B$2:$B$38,D548)+SUMIFS($K$1:$K$743,$C$1:$C$743,C548,$D$1:$D$743,D548,$B$1:$B$743,"&lt;="&amp;B548)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Iniciales'!$B$2:$B$38,D549)+SUMIFS($K$1:$K$743,$C$1:$C$743,C549,$D$1:$D$743,D549,$B$1:$B$743,"&lt;="&amp;B549)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Iniciales'!$B$2:$B$38,D550)+SUMIFS($K$1:$K$743,$C$1:$C$743,C550,$D$1:$D$743,D550,$B$1:$B$743,"&lt;="&amp;B550)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Iniciales'!$B$2:$B$38,D551)+SUMIFS($K$1:$K$743,$C$1:$C$743,C551,$D$1:$D$743,D551,$B$1:$B$743,"&lt;="&amp;B551)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Iniciales'!$B$2:$B$38,D552)+SUMIFS($K$1:$K$743,$C$1:$C$743,C552,$D$1:$D$743,D552,$B$1:$B$743,"&lt;="&amp;B552)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Iniciales'!$B$2:$B$38,D553)+SUMIFS($K$1:$K$743,$C$1:$C$743,C553,$D$1:$D$743,D553,$B$1:$B$743,"&lt;="&amp;B553)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Iniciales'!$B$2:$B$38,D554)+SUMIFS($K$1:$K$743,$C$1:$C$743,C554,$D$1:$D$743,D554,$B$1:$B$743,"&lt;="&amp;B554)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Iniciales'!$B$2:$B$38,D555)+SUMIFS($K$1:$K$743,$C$1:$C$743,C555,$D$1:$D$743,D555,$B$1:$B$743,"&lt;="&amp;B555)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Iniciales'!$B$2:$B$38,D556)+SUMIFS($K$1:$K$743,$C$1:$C$743,C556,$D$1:$D$743,D556,$B$1:$B$743,"&lt;="&amp;B556)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Iniciales'!$B$2:$B$38,D557)+SUMIFS($K$1:$K$743,$C$1:$C$743,C557,$D$1:$D$743,D557,$B$1:$B$743,"&lt;="&amp;B557)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Iniciales'!$B$2:$B$38,D558)+SUMIFS($K$1:$K$743,$C$1:$C$743,C558,$D$1:$D$743,D558,$B$1:$B$743,"&lt;="&amp;B558)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Iniciales'!$B$2:$B$38,D559)+SUMIFS($K$1:$K$743,$C$1:$C$743,C559,$D$1:$D$743,D559,$B$1:$B$743,"&lt;="&amp;B559)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Iniciales'!$B$2:$B$38,D560)+SUMIFS($K$1:$K$743,$C$1:$C$743,C560,$D$1:$D$743,D560,$B$1:$B$743,"&lt;="&amp;B560)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Iniciales'!$B$2:$B$38,D561)+SUMIFS($K$1:$K$743,$C$1:$C$743,C561,$D$1:$D$743,D561,$B$1:$B$743,"&lt;="&amp;B561)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Iniciales'!$B$2:$B$38,D562)+SUMIFS($K$1:$K$743,$C$1:$C$743,C562,$D$1:$D$743,D562,$B$1:$B$743,"&lt;="&amp;B562)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Iniciales'!$B$2:$B$38,D563)+SUMIFS($K$1:$K$743,$C$1:$C$743,C563,$D$1:$D$743,D563,$B$1:$B$743,"&lt;="&amp;B563)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Iniciales'!$B$2:$B$38,D564)+SUMIFS($K$1:$K$743,$C$1:$C$743,C564,$D$1:$D$743,D564,$B$1:$B$743,"&lt;="&amp;B564)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Iniciales'!$B$2:$B$38,D565)+SUMIFS($K$1:$K$743,$C$1:$C$743,C565,$D$1:$D$743,D565,$B$1:$B$743,"&lt;="&amp;B565)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Iniciales'!$B$2:$B$38,D566)+SUMIFS($K$1:$K$743,$C$1:$C$743,C566,$D$1:$D$743,D566,$B$1:$B$743,"&lt;="&amp;B566)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Iniciales'!$B$2:$B$38,D567)+SUMIFS($K$1:$K$743,$C$1:$C$743,C567,$D$1:$D$743,D567,$B$1:$B$743,"&lt;="&amp;B567)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Iniciales'!$B$2:$B$38,D568)+SUMIFS($K$1:$K$743,$C$1:$C$743,C568,$D$1:$D$743,D568,$B$1:$B$743,"&lt;="&amp;B568)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Iniciales'!$B$2:$B$38,D569)+SUMIFS($K$1:$K$743,$C$1:$C$743,C569,$D$1:$D$743,D569,$B$1:$B$743,"&lt;="&amp;B569)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Iniciales'!$B$2:$B$38,D570)+SUMIFS($K$1:$K$743,$C$1:$C$743,C570,$D$1:$D$743,D570,$B$1:$B$743,"&lt;="&amp;B570)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Iniciales'!$B$2:$B$38,D571)+SUMIFS($K$1:$K$743,$C$1:$C$743,C571,$D$1:$D$743,D571,$B$1:$B$743,"&lt;="&amp;B571)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Iniciales'!$B$2:$B$38,D572)+SUMIFS($K$1:$K$743,$C$1:$C$743,C572,$D$1:$D$743,D572,$B$1:$B$743,"&lt;="&amp;B572)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Iniciales'!$B$2:$B$38,D573)+SUMIFS($K$1:$K$743,$C$1:$C$743,C573,$D$1:$D$743,D573,$B$1:$B$743,"&lt;="&amp;B573)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Iniciales'!$B$2:$B$38,D574)+SUMIFS($K$1:$K$743,$C$1:$C$743,C574,$D$1:$D$743,D574,$B$1:$B$743,"&lt;="&amp;B574)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Iniciales'!$B$2:$B$38,D575)+SUMIFS($K$1:$K$743,$C$1:$C$743,C575,$D$1:$D$743,D575,$B$1:$B$743,"&lt;="&amp;B575)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Iniciales'!$B$2:$B$38,D576)+SUMIFS($K$1:$K$743,$C$1:$C$743,C576,$D$1:$D$743,D576,$B$1:$B$743,"&lt;="&amp;B576)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Iniciales'!$B$2:$B$38,D577)+SUMIFS($K$1:$K$743,$C$1:$C$743,C577,$D$1:$D$743,D577,$B$1:$B$743,"&lt;="&amp;B577)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Iniciales'!$B$2:$B$38,D578)+SUMIFS($K$1:$K$743,$C$1:$C$743,C578,$D$1:$D$743,D578,$B$1:$B$743,"&lt;="&amp;B578)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Iniciales'!$B$2:$B$38,D579)+SUMIFS($K$1:$K$743,$C$1:$C$743,C579,$D$1:$D$743,D579,$B$1:$B$743,"&lt;="&amp;B579)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Iniciales'!$B$2:$B$38,D580)+SUMIFS($K$1:$K$743,$C$1:$C$743,C580,$D$1:$D$743,D580,$B$1:$B$743,"&lt;="&amp;B580)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Iniciales'!$B$2:$B$38,D581)+SUMIFS($K$1:$K$743,$C$1:$C$743,C581,$D$1:$D$743,D581,$B$1:$B$743,"&lt;="&amp;B581)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Iniciales'!$B$2:$B$38,D582)+SUMIFS($K$1:$K$743,$C$1:$C$743,C582,$D$1:$D$743,D582,$B$1:$B$743,"&lt;="&amp;B582)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Iniciales'!$B$2:$B$38,D583)+SUMIFS($K$1:$K$743,$C$1:$C$743,C583,$D$1:$D$743,D583,$B$1:$B$743,"&lt;="&amp;B583)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Iniciales'!$B$2:$B$38,D584)+SUMIFS($K$1:$K$743,$C$1:$C$743,C584,$D$1:$D$743,D584,$B$1:$B$743,"&lt;="&amp;B584)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Iniciales'!$B$2:$B$38,D585)+SUMIFS($K$1:$K$743,$C$1:$C$743,C585,$D$1:$D$743,D585,$B$1:$B$743,"&lt;="&amp;B585)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Iniciales'!$B$2:$B$38,D586)+SUMIFS($K$1:$K$743,$C$1:$C$743,C586,$D$1:$D$743,D586,$B$1:$B$743,"&lt;="&amp;B586)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Iniciales'!$B$2:$B$38,D587)+SUMIFS($K$1:$K$743,$C$1:$C$743,C587,$D$1:$D$743,D587,$B$1:$B$743,"&lt;="&amp;B587)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Iniciales'!$B$2:$B$38,D588)+SUMIFS($K$1:$K$743,$C$1:$C$743,C588,$D$1:$D$743,D588,$B$1:$B$743,"&lt;="&amp;B588)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Iniciales'!$B$2:$B$38,D589)+SUMIFS($K$1:$K$743,$C$1:$C$743,C589,$D$1:$D$743,D589,$B$1:$B$743,"&lt;="&amp;B589)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Iniciales'!$B$2:$B$38,D590)+SUMIFS($K$1:$K$743,$C$1:$C$743,C590,$D$1:$D$743,D590,$B$1:$B$743,"&lt;="&amp;B590)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Iniciales'!$B$2:$B$38,D591)+SUMIFS($K$1:$K$743,$C$1:$C$743,C591,$D$1:$D$743,D591,$B$1:$B$743,"&lt;="&amp;B591)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Iniciales'!$B$2:$B$38,D592)+SUMIFS($K$1:$K$743,$C$1:$C$743,C592,$D$1:$D$743,D592,$B$1:$B$743,"&lt;="&amp;B592)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Iniciales'!$B$2:$B$38,D593)+SUMIFS($K$1:$K$743,$C$1:$C$743,C593,$D$1:$D$743,D593,$B$1:$B$743,"&lt;="&amp;B593)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Iniciales'!$B$2:$B$38,D594)+SUMIFS($K$1:$K$743,$C$1:$C$743,C594,$D$1:$D$743,D594,$B$1:$B$743,"&lt;="&amp;B594)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Iniciales'!$B$2:$B$38,D595)+SUMIFS($K$1:$K$743,$C$1:$C$743,C595,$D$1:$D$743,D595,$B$1:$B$743,"&lt;="&amp;B595)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Iniciales'!$B$2:$B$38,D596)+SUMIFS($K$1:$K$743,$C$1:$C$743,C596,$D$1:$D$743,D596,$B$1:$B$743,"&lt;="&amp;B596)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Iniciales'!$B$2:$B$38,D597)+SUMIFS($K$1:$K$743,$C$1:$C$743,C597,$D$1:$D$743,D597,$B$1:$B$743,"&lt;="&amp;B597)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Iniciales'!$B$2:$B$38,D598)+SUMIFS($K$1:$K$743,$C$1:$C$743,C598,$D$1:$D$743,D598,$B$1:$B$743,"&lt;="&amp;B598)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Iniciales'!$B$2:$B$38,D599)+SUMIFS($K$1:$K$743,$C$1:$C$743,C599,$D$1:$D$743,D599,$B$1:$B$743,"&lt;="&amp;B599)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Iniciales'!$B$2:$B$38,D600)+SUMIFS($K$1:$K$743,$C$1:$C$743,C600,$D$1:$D$743,D600,$B$1:$B$743,"&lt;="&amp;B600)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Iniciales'!$B$2:$B$38,D601)+SUMIFS($K$1:$K$743,$C$1:$C$743,C601,$D$1:$D$743,D601,$B$1:$B$743,"&lt;="&amp;B601)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Iniciales'!$B$2:$B$38,D602)+SUMIFS($K$1:$K$743,$C$1:$C$743,C602,$D$1:$D$743,D602,$B$1:$B$743,"&lt;="&amp;B602)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Iniciales'!$B$2:$B$38,D603)+SUMIFS($K$1:$K$743,$C$1:$C$743,C603,$D$1:$D$743,D603,$B$1:$B$743,"&lt;="&amp;B603)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Iniciales'!$B$2:$B$38,D604)+SUMIFS($K$1:$K$743,$C$1:$C$743,C604,$D$1:$D$743,D604,$B$1:$B$743,"&lt;="&amp;B604)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Iniciales'!$B$2:$B$38,D605)+SUMIFS($K$1:$K$743,$C$1:$C$743,C605,$D$1:$D$743,D605,$B$1:$B$743,"&lt;="&amp;B605)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Iniciales'!$B$2:$B$38,D606)+SUMIFS($K$1:$K$743,$C$1:$C$743,C606,$D$1:$D$743,D606,$B$1:$B$743,"&lt;="&amp;B606)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Iniciales'!$B$2:$B$38,D607)+SUMIFS($K$1:$K$743,$C$1:$C$743,C607,$D$1:$D$743,D607,$B$1:$B$743,"&lt;="&amp;B607)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Iniciales'!$B$2:$B$38,D608)+SUMIFS($K$1:$K$743,$C$1:$C$743,C608,$D$1:$D$743,D608,$B$1:$B$743,"&lt;="&amp;B608)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Iniciales'!$B$2:$B$38,D609)+SUMIFS($K$1:$K$743,$C$1:$C$743,C609,$D$1:$D$743,D609,$B$1:$B$743,"&lt;="&amp;B609)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Iniciales'!$B$2:$B$38,D610)+SUMIFS($K$1:$K$743,$C$1:$C$743,C610,$D$1:$D$743,D610,$B$1:$B$743,"&lt;="&amp;B610)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Iniciales'!$B$2:$B$38,D611)+SUMIFS($K$1:$K$743,$C$1:$C$743,C611,$D$1:$D$743,D611,$B$1:$B$743,"&lt;="&amp;B611)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Iniciales'!$B$2:$B$38,D612)+SUMIFS($K$1:$K$743,$C$1:$C$743,C612,$D$1:$D$743,D612,$B$1:$B$743,"&lt;="&amp;B612)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Iniciales'!$B$2:$B$38,D613)+SUMIFS($K$1:$K$743,$C$1:$C$743,C613,$D$1:$D$743,D613,$B$1:$B$743,"&lt;="&amp;B613)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Iniciales'!$B$2:$B$38,D614)+SUMIFS($K$1:$K$743,$C$1:$C$743,C614,$D$1:$D$743,D614,$B$1:$B$743,"&lt;="&amp;B614)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Iniciales'!$B$2:$B$38,D615)+SUMIFS($K$1:$K$743,$C$1:$C$743,C615,$D$1:$D$743,D615,$B$1:$B$743,"&lt;="&amp;B615)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Iniciales'!$B$2:$B$38,D616)+SUMIFS($K$1:$K$743,$C$1:$C$743,C616,$D$1:$D$743,D616,$B$1:$B$743,"&lt;="&amp;B616)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Iniciales'!$B$2:$B$38,D617)+SUMIFS($K$1:$K$743,$C$1:$C$743,C617,$D$1:$D$743,D617,$B$1:$B$743,"&lt;="&amp;B617)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Iniciales'!$B$2:$B$38,D618)+SUMIFS($K$1:$K$743,$C$1:$C$743,C618,$D$1:$D$743,D618,$B$1:$B$743,"&lt;="&amp;B618)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Iniciales'!$B$2:$B$38,D619)+SUMIFS($K$1:$K$743,$C$1:$C$743,C619,$D$1:$D$743,D619,$B$1:$B$743,"&lt;="&amp;B619)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Iniciales'!$B$2:$B$38,D620)+SUMIFS($K$1:$K$743,$C$1:$C$743,C620,$D$1:$D$743,D620,$B$1:$B$743,"&lt;="&amp;B620)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Iniciales'!$B$2:$B$38,D621)+SUMIFS($K$1:$K$743,$C$1:$C$743,C621,$D$1:$D$743,D621,$B$1:$B$743,"&lt;="&amp;B621)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Iniciales'!$B$2:$B$38,D622)+SUMIFS($K$1:$K$743,$C$1:$C$743,C622,$D$1:$D$743,D622,$B$1:$B$743,"&lt;="&amp;B622)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Iniciales'!$B$2:$B$38,D623)+SUMIFS($K$1:$K$743,$C$1:$C$743,C623,$D$1:$D$743,D623,$B$1:$B$743,"&lt;="&amp;B623)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Iniciales'!$B$2:$B$38,D624)+SUMIFS($K$1:$K$743,$C$1:$C$743,C624,$D$1:$D$743,D624,$B$1:$B$743,"&lt;="&amp;B624)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Iniciales'!$B$2:$B$38,D625)+SUMIFS($K$1:$K$743,$C$1:$C$743,C625,$D$1:$D$743,D625,$B$1:$B$743,"&lt;="&amp;B625)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Iniciales'!$B$2:$B$38,D626)+SUMIFS($K$1:$K$743,$C$1:$C$743,C626,$D$1:$D$743,D626,$B$1:$B$743,"&lt;="&amp;B626)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Iniciales'!$B$2:$B$38,D627)+SUMIFS($K$1:$K$743,$C$1:$C$743,C627,$D$1:$D$743,D627,$B$1:$B$743,"&lt;="&amp;B627)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Iniciales'!$B$2:$B$38,D628)+SUMIFS($K$1:$K$743,$C$1:$C$743,C628,$D$1:$D$743,D628,$B$1:$B$743,"&lt;="&amp;B628)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Iniciales'!$B$2:$B$38,D629)+SUMIFS($K$1:$K$743,$C$1:$C$743,C629,$D$1:$D$743,D629,$B$1:$B$743,"&lt;="&amp;B629)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Iniciales'!$B$2:$B$38,D630)+SUMIFS($K$1:$K$743,$C$1:$C$743,C630,$D$1:$D$743,D630,$B$1:$B$743,"&lt;="&amp;B630)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Iniciales'!$B$2:$B$38,D631)+SUMIFS($K$1:$K$743,$C$1:$C$743,C631,$D$1:$D$743,D631,$B$1:$B$743,"&lt;="&amp;B631)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Iniciales'!$B$2:$B$38,D632)+SUMIFS($K$1:$K$743,$C$1:$C$743,C632,$D$1:$D$743,D632,$B$1:$B$743,"&lt;="&amp;B632)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Iniciales'!$B$2:$B$38,D633)+SUMIFS($K$1:$K$743,$C$1:$C$743,C633,$D$1:$D$743,D633,$B$1:$B$743,"&lt;="&amp;B633)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Iniciales'!$B$2:$B$38,D634)+SUMIFS($K$1:$K$743,$C$1:$C$743,C634,$D$1:$D$743,D634,$B$1:$B$743,"&lt;="&amp;B634)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Iniciales'!$B$2:$B$38,D635)+SUMIFS($K$1:$K$743,$C$1:$C$743,C635,$D$1:$D$743,D635,$B$1:$B$743,"&lt;="&amp;B635)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Iniciales'!$B$2:$B$38,D636)+SUMIFS($K$1:$K$743,$C$1:$C$743,C636,$D$1:$D$743,D636,$B$1:$B$743,"&lt;="&amp;B636)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Iniciales'!$B$2:$B$38,D637)+SUMIFS($K$1:$K$743,$C$1:$C$743,C637,$D$1:$D$743,D637,$B$1:$B$743,"&lt;="&amp;B637)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Iniciales'!$B$2:$B$38,D638)+SUMIFS($K$1:$K$743,$C$1:$C$743,C638,$D$1:$D$743,D638,$B$1:$B$743,"&lt;="&amp;B638)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Iniciales'!$B$2:$B$38,D639)+SUMIFS($K$1:$K$743,$C$1:$C$743,C639,$D$1:$D$743,D639,$B$1:$B$743,"&lt;="&amp;B639)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Iniciales'!$B$2:$B$38,D640)+SUMIFS($K$1:$K$743,$C$1:$C$743,C640,$D$1:$D$743,D640,$B$1:$B$743,"&lt;="&amp;B640)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Iniciales'!$B$2:$B$38,D641)+SUMIFS($K$1:$K$743,$C$1:$C$743,C641,$D$1:$D$743,D641,$B$1:$B$743,"&lt;="&amp;B641)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Iniciales'!$B$2:$B$38,D642)+SUMIFS($K$1:$K$743,$C$1:$C$743,C642,$D$1:$D$743,D642,$B$1:$B$743,"&lt;="&amp;B642)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Iniciales'!$B$2:$B$38,D643)+SUMIFS($K$1:$K$743,$C$1:$C$743,C643,$D$1:$D$743,D643,$B$1:$B$743,"&lt;="&amp;B643)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Iniciales'!$B$2:$B$38,D644)+SUMIFS($K$1:$K$743,$C$1:$C$743,C644,$D$1:$D$743,D644,$B$1:$B$743,"&lt;="&amp;B644)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Iniciales'!$B$2:$B$38,D645)+SUMIFS($K$1:$K$743,$C$1:$C$743,C645,$D$1:$D$743,D645,$B$1:$B$743,"&lt;="&amp;B645)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Iniciales'!$B$2:$B$38,D646)+SUMIFS($K$1:$K$743,$C$1:$C$743,C646,$D$1:$D$743,D646,$B$1:$B$743,"&lt;="&amp;B646)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Iniciales'!$B$2:$B$38,D647)+SUMIFS($K$1:$K$743,$C$1:$C$743,C647,$D$1:$D$743,D647,$B$1:$B$743,"&lt;="&amp;B647)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Iniciales'!$B$2:$B$38,D648)+SUMIFS($K$1:$K$743,$C$1:$C$743,C648,$D$1:$D$743,D648,$B$1:$B$743,"&lt;="&amp;B648)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Iniciales'!$B$2:$B$38,D649)+SUMIFS($K$1:$K$743,$C$1:$C$743,C649,$D$1:$D$743,D649,$B$1:$B$743,"&lt;="&amp;B649)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Iniciales'!$B$2:$B$38,D650)+SUMIFS($K$1:$K$743,$C$1:$C$743,C650,$D$1:$D$743,D650,$B$1:$B$743,"&lt;="&amp;B650)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Iniciales'!$B$2:$B$38,D651)+SUMIFS($K$1:$K$743,$C$1:$C$743,C651,$D$1:$D$743,D651,$B$1:$B$743,"&lt;="&amp;B651)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Iniciales'!$B$2:$B$38,D652)+SUMIFS($K$1:$K$743,$C$1:$C$743,C652,$D$1:$D$743,D652,$B$1:$B$743,"&lt;="&amp;B652)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Iniciales'!$B$2:$B$38,D653)+SUMIFS($K$1:$K$743,$C$1:$C$743,C653,$D$1:$D$743,D653,$B$1:$B$743,"&lt;="&amp;B653)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Iniciales'!$B$2:$B$38,D654)+SUMIFS($K$1:$K$743,$C$1:$C$743,C654,$D$1:$D$743,D654,$B$1:$B$743,"&lt;="&amp;B654)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Iniciales'!$B$2:$B$38,D655)+SUMIFS($K$1:$K$743,$C$1:$C$743,C655,$D$1:$D$743,D655,$B$1:$B$743,"&lt;="&amp;B655)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Iniciales'!$B$2:$B$38,D656)+SUMIFS($K$1:$K$743,$C$1:$C$743,C656,$D$1:$D$743,D656,$B$1:$B$743,"&lt;="&amp;B656)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Iniciales'!$B$2:$B$38,D657)+SUMIFS($K$1:$K$743,$C$1:$C$743,C657,$D$1:$D$743,D657,$B$1:$B$743,"&lt;="&amp;B657)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Iniciales'!$B$2:$B$38,D658)+SUMIFS($K$1:$K$743,$C$1:$C$743,C658,$D$1:$D$743,D658,$B$1:$B$743,"&lt;="&amp;B658)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Iniciales'!$B$2:$B$38,D659)+SUMIFS($K$1:$K$743,$C$1:$C$743,C659,$D$1:$D$743,D659,$B$1:$B$743,"&lt;="&amp;B659)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Iniciales'!$B$2:$B$38,D660)+SUMIFS($K$1:$K$743,$C$1:$C$743,C660,$D$1:$D$743,D660,$B$1:$B$743,"&lt;="&amp;B660)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Iniciales'!$B$2:$B$38,D661)+SUMIFS($K$1:$K$743,$C$1:$C$743,C661,$D$1:$D$743,D661,$B$1:$B$743,"&lt;="&amp;B661)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Iniciales'!$B$2:$B$38,D662)+SUMIFS($K$1:$K$743,$C$1:$C$743,C662,$D$1:$D$743,D662,$B$1:$B$743,"&lt;="&amp;B662)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Iniciales'!$B$2:$B$38,D663)+SUMIFS($K$1:$K$743,$C$1:$C$743,C663,$D$1:$D$743,D663,$B$1:$B$743,"&lt;="&amp;B663)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Iniciales'!$B$2:$B$38,D664)+SUMIFS($K$1:$K$743,$C$1:$C$743,C664,$D$1:$D$743,D664,$B$1:$B$743,"&lt;="&amp;B664)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Iniciales'!$B$2:$B$38,D665)+SUMIFS($K$1:$K$743,$C$1:$C$743,C665,$D$1:$D$743,D665,$B$1:$B$743,"&lt;="&amp;B665)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Iniciales'!$B$2:$B$38,D666)+SUMIFS($K$1:$K$743,$C$1:$C$743,C666,$D$1:$D$743,D666,$B$1:$B$743,"&lt;="&amp;B666)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Iniciales'!$B$2:$B$38,D667)+SUMIFS($K$1:$K$743,$C$1:$C$743,C667,$D$1:$D$743,D667,$B$1:$B$743,"&lt;="&amp;B667)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Iniciales'!$B$2:$B$38,D668)+SUMIFS($K$1:$K$743,$C$1:$C$743,C668,$D$1:$D$743,D668,$B$1:$B$743,"&lt;="&amp;B668)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Iniciales'!$B$2:$B$38,D669)+SUMIFS($K$1:$K$743,$C$1:$C$743,C669,$D$1:$D$743,D669,$B$1:$B$743,"&lt;="&amp;B669)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Iniciales'!$B$2:$B$38,D670)+SUMIFS($K$1:$K$743,$C$1:$C$743,C670,$D$1:$D$743,D670,$B$1:$B$743,"&lt;="&amp;B670)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Iniciales'!$B$2:$B$38,D671)+SUMIFS($K$1:$K$743,$C$1:$C$743,C671,$D$1:$D$743,D671,$B$1:$B$743,"&lt;="&amp;B671)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Iniciales'!$B$2:$B$38,D672)+SUMIFS($K$1:$K$743,$C$1:$C$743,C672,$D$1:$D$743,D672,$B$1:$B$743,"&lt;="&amp;B672)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Iniciales'!$B$2:$B$38,D673)+SUMIFS($K$1:$K$743,$C$1:$C$743,C673,$D$1:$D$743,D673,$B$1:$B$743,"&lt;="&amp;B673)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Iniciales'!$B$2:$B$38,D674)+SUMIFS($K$1:$K$743,$C$1:$C$743,C674,$D$1:$D$743,D674,$B$1:$B$743,"&lt;="&amp;B674)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Iniciales'!$B$2:$B$38,D675)+SUMIFS($K$1:$K$743,$C$1:$C$743,C675,$D$1:$D$743,D675,$B$1:$B$743,"&lt;="&amp;B675)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Iniciales'!$B$2:$B$38,D676)+SUMIFS($K$1:$K$743,$C$1:$C$743,C676,$D$1:$D$743,D676,$B$1:$B$743,"&lt;="&amp;B676)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Iniciales'!$B$2:$B$38,D677)+SUMIFS($K$1:$K$743,$C$1:$C$743,C677,$D$1:$D$743,D677,$B$1:$B$743,"&lt;="&amp;B677)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Iniciales'!$B$2:$B$38,D678)+SUMIFS($K$1:$K$743,$C$1:$C$743,C678,$D$1:$D$743,D678,$B$1:$B$743,"&lt;="&amp;B678)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Iniciales'!$B$2:$B$38,D679)+SUMIFS($K$1:$K$743,$C$1:$C$743,C679,$D$1:$D$743,D679,$B$1:$B$743,"&lt;="&amp;B679)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Iniciales'!$B$2:$B$38,D680)+SUMIFS($K$1:$K$743,$C$1:$C$743,C680,$D$1:$D$743,D680,$B$1:$B$743,"&lt;="&amp;B680)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Iniciales'!$B$2:$B$38,D681)+SUMIFS($K$1:$K$743,$C$1:$C$743,C681,$D$1:$D$743,D681,$B$1:$B$743,"&lt;="&amp;B681)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Iniciales'!$B$2:$B$38,D682)+SUMIFS($K$1:$K$743,$C$1:$C$743,C682,$D$1:$D$743,D682,$B$1:$B$743,"&lt;="&amp;B682)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Iniciales'!$B$2:$B$38,D683)+SUMIFS($K$1:$K$743,$C$1:$C$743,C683,$D$1:$D$743,D683,$B$1:$B$743,"&lt;="&amp;B683)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Iniciales'!$B$2:$B$38,D684)+SUMIFS($K$1:$K$743,$C$1:$C$743,C684,$D$1:$D$743,D684,$B$1:$B$743,"&lt;="&amp;B684)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5"/>
        <v>-3309.58</v>
      </c>
      <c r="L685" s="15" t="s">
        <v>132</v>
      </c>
      <c r="M685" s="44">
        <f>SUMIFS('Saldos Iniciales'!$D$2:$D$38,'Saldos Iniciales'!$A$2:$A$38,C685,'Saldos Iniciales'!$B$2:$B$38,D685)+SUMIFS($K$1:$K$743,$C$1:$C$743,C685,$D$1:$D$743,D685,$B$1:$B$743,"&lt;="&amp;B685)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ref="K686:K692" si="16"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Iniciales'!$B$2:$B$38,D686)+SUMIFS($K$1:$K$743,$C$1:$C$743,C686,$D$1:$D$743,D686,$B$1:$B$743,"&lt;="&amp;B686)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16"/>
        <v>-6000</v>
      </c>
      <c r="L687" s="15" t="s">
        <v>132</v>
      </c>
      <c r="M687" s="44">
        <f>SUMIFS('Saldos Iniciales'!$D$2:$D$38,'Saldos Iniciales'!$A$2:$A$38,C687,'Saldos Iniciales'!$B$2:$B$38,D687)+SUMIFS($K$1:$K$743,$C$1:$C$743,C687,$D$1:$D$743,D687,$B$1:$B$743,"&lt;="&amp;B687)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16"/>
        <v>-390.93</v>
      </c>
      <c r="L688" s="15" t="s">
        <v>132</v>
      </c>
      <c r="M688" s="44">
        <f>SUMIFS('Saldos Iniciales'!$D$2:$D$38,'Saldos Iniciales'!$A$2:$A$38,C688,'Saldos Iniciales'!$B$2:$B$38,D688)+SUMIFS($K$1:$K$743,$C$1:$C$743,C688,$D$1:$D$743,D688,$B$1:$B$743,"&lt;="&amp;B688)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73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 t="shared" si="16"/>
        <v>4000</v>
      </c>
      <c r="L689" s="15" t="s">
        <v>132</v>
      </c>
      <c r="M689" s="44">
        <f>SUMIFS('Saldos Iniciales'!$D$2:$D$38,'Saldos Iniciales'!$A$2:$A$38,C689,'Saldos Iniciales'!$B$2:$B$38,D689)+SUMIFS($K$1:$K$743,$C$1:$C$743,C689,$D$1:$D$743,D689,$B$1:$B$743,"&lt;="&amp;B689)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73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 t="shared" si="16"/>
        <v>2000</v>
      </c>
      <c r="L690" s="15" t="s">
        <v>132</v>
      </c>
      <c r="M690" s="44">
        <f>SUMIFS('Saldos Iniciales'!$D$2:$D$38,'Saldos Iniciales'!$A$2:$A$38,C690,'Saldos Iniciales'!$B$2:$B$38,D690)+SUMIFS($K$1:$K$743,$C$1:$C$743,C690,$D$1:$D$743,D690,$B$1:$B$743,"&lt;="&amp;B690)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73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 t="shared" si="16"/>
        <v>-7679.78</v>
      </c>
      <c r="L691" s="15" t="s">
        <v>132</v>
      </c>
      <c r="M691" s="44">
        <f>SUMIFS('Saldos Iniciales'!$D$2:$D$38,'Saldos Iniciales'!$A$2:$A$38,C691,'Saldos Iniciales'!$B$2:$B$38,D691)+SUMIFS($K$1:$K$743,$C$1:$C$743,C691,$D$1:$D$743,D691,$B$1:$B$743,"&lt;="&amp;B691)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73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 t="shared" si="16"/>
        <v>-4000</v>
      </c>
      <c r="L692" s="15" t="s">
        <v>132</v>
      </c>
      <c r="M692" s="44">
        <f>SUMIFS('Saldos Iniciales'!$D$2:$D$38,'Saldos Iniciales'!$A$2:$A$38,C692,'Saldos Iniciales'!$B$2:$B$38,D692)+SUMIFS($K$1:$K$743,$C$1:$C$743,C692,$D$1:$D$743,D692,$B$1:$B$743,"&lt;="&amp;B692)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73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 t="shared" ref="K693:K722" si="17">IF(F693="Ingreso",J693,-J693)</f>
        <v>-2000</v>
      </c>
      <c r="L693" s="15" t="s">
        <v>132</v>
      </c>
      <c r="M693" s="44">
        <f>SUMIFS('Saldos Iniciales'!$D$2:$D$38,'Saldos Iniciales'!$A$2:$A$38,C693,'Saldos Iniciales'!$B$2:$B$38,D693)+SUMIFS($K$1:$K$743,$C$1:$C$743,C693,$D$1:$D$743,D693,$B$1:$B$743,"&lt;="&amp;B693)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73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 t="shared" si="17"/>
        <v>20000</v>
      </c>
      <c r="L694" s="15" t="s">
        <v>132</v>
      </c>
      <c r="M694" s="44">
        <f>SUMIFS('Saldos Iniciales'!$D$2:$D$38,'Saldos Iniciales'!$A$2:$A$38,C694,'Saldos Iniciales'!$B$2:$B$38,D694)+SUMIFS($K$1:$K$743,$C$1:$C$743,C694,$D$1:$D$743,D694,$B$1:$B$743,"&lt;="&amp;B694)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73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 t="shared" si="17"/>
        <v>9280.15</v>
      </c>
      <c r="L695" s="15" t="s">
        <v>132</v>
      </c>
      <c r="M695" s="44">
        <f>SUMIFS('Saldos Iniciales'!$D$2:$D$38,'Saldos Iniciales'!$A$2:$A$38,C695,'Saldos Iniciales'!$B$2:$B$38,D695)+SUMIFS($K$1:$K$743,$C$1:$C$743,C695,$D$1:$D$743,D695,$B$1:$B$743,"&lt;="&amp;B695)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73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 t="shared" si="17"/>
        <v>-60000</v>
      </c>
      <c r="L696" s="15" t="s">
        <v>132</v>
      </c>
      <c r="M696" s="44">
        <f>SUMIFS('Saldos Iniciales'!$D$2:$D$38,'Saldos Iniciales'!$A$2:$A$38,C696,'Saldos Iniciales'!$B$2:$B$38,D696)+SUMIFS($K$1:$K$743,$C$1:$C$743,C696,$D$1:$D$743,D696,$B$1:$B$743,"&lt;="&amp;B696)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73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 t="shared" si="17"/>
        <v>-9280.15</v>
      </c>
      <c r="L697" s="15" t="s">
        <v>132</v>
      </c>
      <c r="M697" s="44">
        <f>SUMIFS('Saldos Iniciales'!$D$2:$D$38,'Saldos Iniciales'!$A$2:$A$38,C697,'Saldos Iniciales'!$B$2:$B$38,D697)+SUMIFS($K$1:$K$743,$C$1:$C$743,C697,$D$1:$D$743,D697,$B$1:$B$743,"&lt;="&amp;B697)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73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 t="shared" si="17"/>
        <v>-33693.949999999997</v>
      </c>
      <c r="L698" s="15" t="s">
        <v>132</v>
      </c>
      <c r="M698" s="44">
        <f>SUMIFS('Saldos Iniciales'!$D$2:$D$38,'Saldos Iniciales'!$A$2:$A$38,C698,'Saldos Iniciales'!$B$2:$B$38,D698)+SUMIFS($K$1:$K$743,$C$1:$C$743,C698,$D$1:$D$743,D698,$B$1:$B$743,"&lt;="&amp;B698)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73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 t="shared" si="17"/>
        <v>-2975</v>
      </c>
      <c r="L699" s="15" t="s">
        <v>132</v>
      </c>
      <c r="M699" s="44">
        <f>SUMIFS('Saldos Iniciales'!$D$2:$D$38,'Saldos Iniciales'!$A$2:$A$38,C699,'Saldos Iniciales'!$B$2:$B$38,D699)+SUMIFS($K$1:$K$743,$C$1:$C$743,C699,$D$1:$D$743,D699,$B$1:$B$743,"&lt;="&amp;B699)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73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 t="shared" si="17"/>
        <v>-11666.67</v>
      </c>
      <c r="L700" s="15" t="s">
        <v>132</v>
      </c>
      <c r="M700" s="44">
        <f>SUMIFS('Saldos Iniciales'!$D$2:$D$38,'Saldos Iniciales'!$A$2:$A$38,C700,'Saldos Iniciales'!$B$2:$B$38,D700)+SUMIFS($K$1:$K$743,$C$1:$C$743,C700,$D$1:$D$743,D700,$B$1:$B$743,"&lt;="&amp;B700)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73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 t="shared" si="17"/>
        <v>-45000</v>
      </c>
      <c r="L701" s="15" t="s">
        <v>132</v>
      </c>
      <c r="M701" s="44">
        <f>SUMIFS('Saldos Iniciales'!$D$2:$D$38,'Saldos Iniciales'!$A$2:$A$38,C701,'Saldos Iniciales'!$B$2:$B$38,D701)+SUMIFS($K$1:$K$743,$C$1:$C$743,C701,$D$1:$D$743,D701,$B$1:$B$743,"&lt;="&amp;B701)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73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 t="shared" si="17"/>
        <v>-75000</v>
      </c>
      <c r="L702" s="15" t="s">
        <v>132</v>
      </c>
      <c r="M702" s="44">
        <f>SUMIFS('Saldos Iniciales'!$D$2:$D$38,'Saldos Iniciales'!$A$2:$A$38,C702,'Saldos Iniciales'!$B$2:$B$38,D702)+SUMIFS($K$1:$K$743,$C$1:$C$743,C702,$D$1:$D$743,D702,$B$1:$B$743,"&lt;="&amp;B702)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73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 t="shared" si="17"/>
        <v>-80000</v>
      </c>
      <c r="L703" s="15" t="s">
        <v>132</v>
      </c>
      <c r="M703" s="44">
        <f>SUMIFS('Saldos Iniciales'!$D$2:$D$38,'Saldos Iniciales'!$A$2:$A$38,C703,'Saldos Iniciales'!$B$2:$B$38,D703)+SUMIFS($K$1:$K$743,$C$1:$C$743,C703,$D$1:$D$743,D703,$B$1:$B$743,"&lt;="&amp;B703)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73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 t="shared" si="17"/>
        <v>-100000</v>
      </c>
      <c r="L704" s="15" t="s">
        <v>132</v>
      </c>
      <c r="M704" s="44">
        <f>SUMIFS('Saldos Iniciales'!$D$2:$D$38,'Saldos Iniciales'!$A$2:$A$38,C704,'Saldos Iniciales'!$B$2:$B$38,D704)+SUMIFS($K$1:$K$743,$C$1:$C$743,C704,$D$1:$D$743,D704,$B$1:$B$743,"&lt;="&amp;B704)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73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7"/>
        <v>-100000</v>
      </c>
      <c r="L705" s="15" t="s">
        <v>132</v>
      </c>
      <c r="M705" s="44">
        <f>SUMIFS('Saldos Iniciales'!$D$2:$D$38,'Saldos Iniciales'!$A$2:$A$38,C705,'Saldos Iniciales'!$B$2:$B$38,D705)+SUMIFS($K$1:$K$743,$C$1:$C$743,C705,$D$1:$D$743,D705,$B$1:$B$743,"&lt;="&amp;B705)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73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7"/>
        <v>-100000</v>
      </c>
      <c r="L706" s="15" t="s">
        <v>132</v>
      </c>
      <c r="M706" s="44">
        <f>SUMIFS('Saldos Iniciales'!$D$2:$D$38,'Saldos Iniciales'!$A$2:$A$38,C706,'Saldos Iniciales'!$B$2:$B$38,D706)+SUMIFS($K$1:$K$743,$C$1:$C$743,C706,$D$1:$D$743,D706,$B$1:$B$743,"&lt;="&amp;B706)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73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 t="shared" si="17"/>
        <v>-200000</v>
      </c>
      <c r="L707" s="15" t="s">
        <v>132</v>
      </c>
      <c r="M707" s="44">
        <f>SUMIFS('Saldos Iniciales'!$D$2:$D$38,'Saldos Iniciales'!$A$2:$A$38,C707,'Saldos Iniciales'!$B$2:$B$38,D707)+SUMIFS($K$1:$K$743,$C$1:$C$743,C707,$D$1:$D$743,D707,$B$1:$B$743,"&lt;="&amp;B707)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73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 t="shared" si="17"/>
        <v>-600000</v>
      </c>
      <c r="L708" s="15" t="s">
        <v>132</v>
      </c>
      <c r="M708" s="44">
        <f>SUMIFS('Saldos Iniciales'!$D$2:$D$38,'Saldos Iniciales'!$A$2:$A$38,C708,'Saldos Iniciales'!$B$2:$B$38,D708)+SUMIFS($K$1:$K$743,$C$1:$C$743,C708,$D$1:$D$743,D708,$B$1:$B$743,"&lt;="&amp;B708)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73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 t="shared" si="17"/>
        <v>-13000</v>
      </c>
      <c r="L709" s="15" t="s">
        <v>132</v>
      </c>
      <c r="M709" s="44">
        <f>SUMIFS('Saldos Iniciales'!$D$2:$D$38,'Saldos Iniciales'!$A$2:$A$38,C709,'Saldos Iniciales'!$B$2:$B$38,D709)+SUMIFS($K$1:$K$743,$C$1:$C$743,C709,$D$1:$D$743,D709,$B$1:$B$743,"&lt;="&amp;B709)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73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 t="shared" si="17"/>
        <v>600000</v>
      </c>
      <c r="L710" s="15" t="s">
        <v>132</v>
      </c>
      <c r="M710" s="44">
        <f>SUMIFS('Saldos Iniciales'!$D$2:$D$38,'Saldos Iniciales'!$A$2:$A$38,C710,'Saldos Iniciales'!$B$2:$B$38,D710)+SUMIFS($K$1:$K$743,$C$1:$C$743,C710,$D$1:$D$743,D710,$B$1:$B$743,"&lt;="&amp;B710)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73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 t="shared" si="17"/>
        <v>-385</v>
      </c>
      <c r="L711" s="15" t="s">
        <v>132</v>
      </c>
      <c r="M711" s="44">
        <f>SUMIFS('Saldos Iniciales'!$D$2:$D$38,'Saldos Iniciales'!$A$2:$A$38,C711,'Saldos Iniciales'!$B$2:$B$38,D711)+SUMIFS($K$1:$K$743,$C$1:$C$743,C711,$D$1:$D$743,D711,$B$1:$B$743,"&lt;="&amp;B711)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73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 t="shared" si="17"/>
        <v>-4375</v>
      </c>
      <c r="L712" s="15" t="s">
        <v>132</v>
      </c>
      <c r="M712" s="44">
        <f>SUMIFS('Saldos Iniciales'!$D$2:$D$38,'Saldos Iniciales'!$A$2:$A$38,C712,'Saldos Iniciales'!$B$2:$B$38,D712)+SUMIFS($K$1:$K$743,$C$1:$C$743,C712,$D$1:$D$743,D712,$B$1:$B$743,"&lt;="&amp;B712)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73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 t="shared" si="17"/>
        <v>-14634</v>
      </c>
      <c r="L713" s="15" t="s">
        <v>132</v>
      </c>
      <c r="M713" s="44">
        <f>SUMIFS('Saldos Iniciales'!$D$2:$D$38,'Saldos Iniciales'!$A$2:$A$38,C713,'Saldos Iniciales'!$B$2:$B$38,D713)+SUMIFS($K$1:$K$743,$C$1:$C$743,C713,$D$1:$D$743,D713,$B$1:$B$743,"&lt;="&amp;B713)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73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17"/>
        <v>-20000</v>
      </c>
      <c r="L714" s="15" t="s">
        <v>132</v>
      </c>
      <c r="M714" s="44">
        <f>SUMIFS('Saldos Iniciales'!$D$2:$D$38,'Saldos Iniciales'!$A$2:$A$38,C714,'Saldos Iniciales'!$B$2:$B$38,D714)+SUMIFS($K$1:$K$743,$C$1:$C$743,C714,$D$1:$D$743,D714,$B$1:$B$743,"&lt;="&amp;B714)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73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 t="shared" si="17"/>
        <v>13000</v>
      </c>
      <c r="L715" s="15" t="s">
        <v>132</v>
      </c>
      <c r="M715" s="44">
        <f>SUMIFS('Saldos Iniciales'!$D$2:$D$38,'Saldos Iniciales'!$A$2:$A$38,C715,'Saldos Iniciales'!$B$2:$B$38,D715)+SUMIFS($K$1:$K$743,$C$1:$C$743,C715,$D$1:$D$743,D715,$B$1:$B$743,"&lt;="&amp;B715)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73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 t="shared" si="17"/>
        <v>-13000</v>
      </c>
      <c r="L716" s="15" t="s">
        <v>132</v>
      </c>
      <c r="M716" s="44">
        <f>SUMIFS('Saldos Iniciales'!$D$2:$D$38,'Saldos Iniciales'!$A$2:$A$38,C716,'Saldos Iniciales'!$B$2:$B$38,D716)+SUMIFS($K$1:$K$743,$C$1:$C$743,C716,$D$1:$D$743,D716,$B$1:$B$743,"&lt;="&amp;B716)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73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17"/>
        <v>13000</v>
      </c>
      <c r="L717" s="15" t="s">
        <v>132</v>
      </c>
      <c r="M717" s="44">
        <f>SUMIFS('Saldos Iniciales'!$D$2:$D$38,'Saldos Iniciales'!$A$2:$A$38,C717,'Saldos Iniciales'!$B$2:$B$38,D717)+SUMIFS($K$1:$K$743,$C$1:$C$743,C717,$D$1:$D$743,D717,$B$1:$B$743,"&lt;="&amp;B717)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73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 t="shared" si="17"/>
        <v>-15</v>
      </c>
      <c r="L718" s="15" t="s">
        <v>132</v>
      </c>
      <c r="M718" s="44">
        <f>SUMIFS('Saldos Iniciales'!$D$2:$D$38,'Saldos Iniciales'!$A$2:$A$38,C718,'Saldos Iniciales'!$B$2:$B$38,D718)+SUMIFS($K$1:$K$743,$C$1:$C$743,C718,$D$1:$D$743,D718,$B$1:$B$743,"&lt;="&amp;B718)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73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 t="shared" si="17"/>
        <v>-2413.56</v>
      </c>
      <c r="L719" s="15" t="s">
        <v>132</v>
      </c>
      <c r="M719" s="44">
        <f>SUMIFS('Saldos Iniciales'!$D$2:$D$38,'Saldos Iniciales'!$A$2:$A$38,C719,'Saldos Iniciales'!$B$2:$B$38,D719)+SUMIFS($K$1:$K$743,$C$1:$C$743,C719,$D$1:$D$743,D719,$B$1:$B$743,"&lt;="&amp;B719)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73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17"/>
        <v>-15</v>
      </c>
      <c r="L720" s="15" t="s">
        <v>132</v>
      </c>
      <c r="M720" s="44">
        <f>SUMIFS('Saldos Iniciales'!$D$2:$D$38,'Saldos Iniciales'!$A$2:$A$38,C720,'Saldos Iniciales'!$B$2:$B$38,D720)+SUMIFS($K$1:$K$743,$C$1:$C$743,C720,$D$1:$D$743,D720,$B$1:$B$743,"&lt;="&amp;B720)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2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73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 t="shared" si="17"/>
        <v>-5950.82</v>
      </c>
      <c r="L721" s="15" t="s">
        <v>132</v>
      </c>
      <c r="M721" s="44">
        <f>SUMIFS('Saldos Iniciales'!$D$2:$D$38,'Saldos Iniciales'!$A$2:$A$38,C721,'Saldos Iniciales'!$B$2:$B$38,D721)+SUMIFS($K$1:$K$743,$C$1:$C$743,C721,$D$1:$D$743,D721,$B$1:$B$743,"&lt;="&amp;B721)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2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73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17"/>
        <v>-15</v>
      </c>
      <c r="L722" s="15" t="s">
        <v>132</v>
      </c>
      <c r="M722" s="44">
        <f>SUMIFS('Saldos Iniciales'!$D$2:$D$38,'Saldos Iniciales'!$A$2:$A$38,C722,'Saldos Iniciales'!$B$2:$B$38,D722)+SUMIFS($K$1:$K$743,$C$1:$C$743,C722,$D$1:$D$743,D722,$B$1:$B$743,"&lt;="&amp;B722)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2:16" x14ac:dyDescent="0.3">
      <c r="E723" s="4">
        <f>_xlfn.XLOOKUP(tblMovimientos[[#This Row],[Cuenta Bancaria]],Listas!$B:$B,Listas!$C:$C,"")</f>
        <v>0</v>
      </c>
      <c r="H723" s="73">
        <f>IFERROR(_xlfn.XLOOKUP(G723,Listas!E:E,Listas!F:F,""),"")</f>
        <v>0</v>
      </c>
      <c r="N723" s="74" t="str">
        <f>IF(tblMovimientos[[#This Row],[Tipo de Movimiento]]="Ingreso",tblMovimientos[[#This Row],[Monto (S/)]],"0")</f>
        <v>0</v>
      </c>
      <c r="O723" s="74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0</v>
      </c>
    </row>
    <row r="724" spans="2:16" x14ac:dyDescent="0.3">
      <c r="E724" s="4">
        <f>_xlfn.XLOOKUP(tblMovimientos[[#This Row],[Cuenta Bancaria]],Listas!$B:$B,Listas!$C:$C,"")</f>
        <v>0</v>
      </c>
      <c r="H724" s="73">
        <f>IFERROR(_xlfn.XLOOKUP(G724,Listas!E:E,Listas!F:F,""),"")</f>
        <v>0</v>
      </c>
      <c r="N724" s="74" t="str">
        <f>IF(tblMovimientos[[#This Row],[Tipo de Movimiento]]="Ingreso",tblMovimientos[[#This Row],[Monto (S/)]],"0")</f>
        <v>0</v>
      </c>
      <c r="O724" s="74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0</v>
      </c>
    </row>
    <row r="725" spans="2:16" x14ac:dyDescent="0.3">
      <c r="E725" s="4">
        <f>_xlfn.XLOOKUP(tblMovimientos[[#This Row],[Cuenta Bancaria]],Listas!$B:$B,Listas!$C:$C,"")</f>
        <v>0</v>
      </c>
      <c r="H725" s="73">
        <f>IFERROR(_xlfn.XLOOKUP(G725,Listas!E:E,Listas!F:F,""),"")</f>
        <v>0</v>
      </c>
      <c r="N725" s="74" t="str">
        <f>IF(tblMovimientos[[#This Row],[Tipo de Movimiento]]="Ingreso",tblMovimientos[[#This Row],[Monto (S/)]],"0")</f>
        <v>0</v>
      </c>
      <c r="O725" s="74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0</v>
      </c>
    </row>
    <row r="726" spans="2:16" x14ac:dyDescent="0.3">
      <c r="E726" s="4">
        <f>_xlfn.XLOOKUP(tblMovimientos[[#This Row],[Cuenta Bancaria]],Listas!$B:$B,Listas!$C:$C,"")</f>
        <v>0</v>
      </c>
      <c r="H726" s="73">
        <f>IFERROR(_xlfn.XLOOKUP(G726,Listas!E:E,Listas!F:F,""),"")</f>
        <v>0</v>
      </c>
      <c r="N726" s="74" t="str">
        <f>IF(tblMovimientos[[#This Row],[Tipo de Movimiento]]="Ingreso",tblMovimientos[[#This Row],[Monto (S/)]],"0")</f>
        <v>0</v>
      </c>
      <c r="O726" s="74" t="str">
        <f>IF(tblMovimientos[[#This Row],[Tipo de Movimiento]]="Egreso",tblMovimientos[[#This Row],[Monto (S/)]],"0")</f>
        <v>0</v>
      </c>
      <c r="P726" s="28">
        <f>IF(tblMovimientos[[#This Row],[Tipo de Movimiento]]="Ingreso",tblMovimientos[[#This Row],[Ingreso]],-tblMovimientos[[#This Row],[Egreso]])</f>
        <v>0</v>
      </c>
    </row>
    <row r="727" spans="2:16" x14ac:dyDescent="0.3">
      <c r="E727" s="4">
        <f>_xlfn.XLOOKUP(tblMovimientos[[#This Row],[Cuenta Bancaria]],Listas!$B:$B,Listas!$C:$C,"")</f>
        <v>0</v>
      </c>
      <c r="H727" s="73">
        <f>IFERROR(_xlfn.XLOOKUP(G727,Listas!E:E,Listas!F:F,""),"")</f>
        <v>0</v>
      </c>
      <c r="N727" s="74" t="str">
        <f>IF(tblMovimientos[[#This Row],[Tipo de Movimiento]]="Ingreso",tblMovimientos[[#This Row],[Monto (S/)]],"0")</f>
        <v>0</v>
      </c>
      <c r="O727" s="74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0</v>
      </c>
    </row>
    <row r="728" spans="2:16" x14ac:dyDescent="0.3">
      <c r="E728" s="4">
        <f>_xlfn.XLOOKUP(tblMovimientos[[#This Row],[Cuenta Bancaria]],Listas!$B:$B,Listas!$C:$C,"")</f>
        <v>0</v>
      </c>
      <c r="H728" s="73">
        <f>IFERROR(_xlfn.XLOOKUP(G728,Listas!E:E,Listas!F:F,""),"")</f>
        <v>0</v>
      </c>
      <c r="N728" s="74" t="str">
        <f>IF(tblMovimientos[[#This Row],[Tipo de Movimiento]]="Ingreso",tblMovimientos[[#This Row],[Monto (S/)]],"0")</f>
        <v>0</v>
      </c>
      <c r="O728" s="74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0</v>
      </c>
    </row>
    <row r="729" spans="2:16" x14ac:dyDescent="0.3">
      <c r="E729" s="4">
        <f>_xlfn.XLOOKUP(tblMovimientos[[#This Row],[Cuenta Bancaria]],Listas!$B:$B,Listas!$C:$C,"")</f>
        <v>0</v>
      </c>
      <c r="H729" s="73">
        <f>IFERROR(_xlfn.XLOOKUP(G729,Listas!E:E,Listas!F:F,""),"")</f>
        <v>0</v>
      </c>
      <c r="N729" s="74" t="str">
        <f>IF(tblMovimientos[[#This Row],[Tipo de Movimiento]]="Ingreso",tblMovimientos[[#This Row],[Monto (S/)]],"0")</f>
        <v>0</v>
      </c>
      <c r="O729" s="74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0</v>
      </c>
    </row>
    <row r="730" spans="2:16" x14ac:dyDescent="0.3">
      <c r="E730" s="4">
        <f>_xlfn.XLOOKUP(tblMovimientos[[#This Row],[Cuenta Bancaria]],Listas!$B:$B,Listas!$C:$C,"")</f>
        <v>0</v>
      </c>
      <c r="H730" s="73">
        <f>IFERROR(_xlfn.XLOOKUP(G730,Listas!E:E,Listas!F:F,""),"")</f>
        <v>0</v>
      </c>
      <c r="N730" s="74" t="str">
        <f>IF(tblMovimientos[[#This Row],[Tipo de Movimiento]]="Ingreso",tblMovimientos[[#This Row],[Monto (S/)]],"0")</f>
        <v>0</v>
      </c>
      <c r="O730" s="74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0</v>
      </c>
    </row>
    <row r="731" spans="2:16" x14ac:dyDescent="0.3">
      <c r="E731" s="4">
        <f>_xlfn.XLOOKUP(tblMovimientos[[#This Row],[Cuenta Bancaria]],Listas!$B:$B,Listas!$C:$C,"")</f>
        <v>0</v>
      </c>
      <c r="H731" s="73">
        <f>IFERROR(_xlfn.XLOOKUP(G731,Listas!E:E,Listas!F:F,""),"")</f>
        <v>0</v>
      </c>
      <c r="N731" s="74" t="str">
        <f>IF(tblMovimientos[[#This Row],[Tipo de Movimiento]]="Ingreso",tblMovimientos[[#This Row],[Monto (S/)]],"0")</f>
        <v>0</v>
      </c>
      <c r="O731" s="74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0</v>
      </c>
    </row>
    <row r="732" spans="2:16" x14ac:dyDescent="0.3">
      <c r="E732" s="4">
        <f>_xlfn.XLOOKUP(tblMovimientos[[#This Row],[Cuenta Bancaria]],Listas!$B:$B,Listas!$C:$C,"")</f>
        <v>0</v>
      </c>
      <c r="H732" s="73">
        <f>IFERROR(_xlfn.XLOOKUP(G732,Listas!E:E,Listas!F:F,""),"")</f>
        <v>0</v>
      </c>
      <c r="N732" s="74" t="str">
        <f>IF(tblMovimientos[[#This Row],[Tipo de Movimiento]]="Ingreso",tblMovimientos[[#This Row],[Monto (S/)]],"0")</f>
        <v>0</v>
      </c>
      <c r="O732" s="74" t="str">
        <f>IF(tblMovimientos[[#This Row],[Tipo de Movimiento]]="Egreso",tblMovimientos[[#This Row],[Monto (S/)]],"0")</f>
        <v>0</v>
      </c>
      <c r="P732" s="28">
        <f>IF(tblMovimientos[[#This Row],[Tipo de Movimiento]]="Ingreso",tblMovimientos[[#This Row],[Ingreso]],-tblMovimientos[[#This Row],[Egreso]])</f>
        <v>0</v>
      </c>
    </row>
    <row r="733" spans="2:16" x14ac:dyDescent="0.3">
      <c r="E733" s="4">
        <f>_xlfn.XLOOKUP(tblMovimientos[[#This Row],[Cuenta Bancaria]],Listas!$B:$B,Listas!$C:$C,"")</f>
        <v>0</v>
      </c>
      <c r="H733" s="73">
        <f>IFERROR(_xlfn.XLOOKUP(G733,Listas!E:E,Listas!F:F,""),"")</f>
        <v>0</v>
      </c>
      <c r="N733" s="74" t="str">
        <f>IF(tblMovimientos[[#This Row],[Tipo de Movimiento]]="Ingreso",tblMovimientos[[#This Row],[Monto (S/)]],"0")</f>
        <v>0</v>
      </c>
      <c r="O733" s="74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0</v>
      </c>
    </row>
    <row r="734" spans="2:16" x14ac:dyDescent="0.3">
      <c r="E734" s="4">
        <f>_xlfn.XLOOKUP(tblMovimientos[[#This Row],[Cuenta Bancaria]],Listas!$B:$B,Listas!$C:$C,"")</f>
        <v>0</v>
      </c>
      <c r="H734" s="73">
        <f>IFERROR(_xlfn.XLOOKUP(G734,Listas!E:E,Listas!F:F,""),"")</f>
        <v>0</v>
      </c>
      <c r="N734" s="74" t="str">
        <f>IF(tblMovimientos[[#This Row],[Tipo de Movimiento]]="Ingreso",tblMovimientos[[#This Row],[Monto (S/)]],"0")</f>
        <v>0</v>
      </c>
      <c r="O734" s="74" t="str">
        <f>IF(tblMovimientos[[#This Row],[Tipo de Movimiento]]="Egreso",tblMovimientos[[#This Row],[Monto (S/)]],"0")</f>
        <v>0</v>
      </c>
      <c r="P734" s="28">
        <f>IF(tblMovimientos[[#This Row],[Tipo de Movimiento]]="Ingreso",tblMovimientos[[#This Row],[Ingreso]],-tblMovimientos[[#This Row],[Egreso]])</f>
        <v>0</v>
      </c>
    </row>
    <row r="735" spans="2:16" x14ac:dyDescent="0.3">
      <c r="E735" s="4">
        <f>_xlfn.XLOOKUP(tblMovimientos[[#This Row],[Cuenta Bancaria]],Listas!$B:$B,Listas!$C:$C,"")</f>
        <v>0</v>
      </c>
      <c r="H735" s="73">
        <f>IFERROR(_xlfn.XLOOKUP(G735,Listas!E:E,Listas!F:F,""),"")</f>
        <v>0</v>
      </c>
      <c r="N735" s="74" t="str">
        <f>IF(tblMovimientos[[#This Row],[Tipo de Movimiento]]="Ingreso",tblMovimientos[[#This Row],[Monto (S/)]],"0")</f>
        <v>0</v>
      </c>
      <c r="O735" s="74" t="str">
        <f>IF(tblMovimientos[[#This Row],[Tipo de Movimiento]]="Egreso",tblMovimientos[[#This Row],[Monto (S/)]],"0")</f>
        <v>0</v>
      </c>
      <c r="P735" s="28">
        <f>IF(tblMovimientos[[#This Row],[Tipo de Movimiento]]="Ingreso",tblMovimientos[[#This Row],[Ingreso]],-tblMovimientos[[#This Row],[Egreso]])</f>
        <v>0</v>
      </c>
    </row>
    <row r="736" spans="2:16" x14ac:dyDescent="0.3">
      <c r="E736" s="4">
        <f>_xlfn.XLOOKUP(tblMovimientos[[#This Row],[Cuenta Bancaria]],Listas!$B:$B,Listas!$C:$C,"")</f>
        <v>0</v>
      </c>
      <c r="H736" s="73">
        <f>IFERROR(_xlfn.XLOOKUP(G736,Listas!E:E,Listas!F:F,""),"")</f>
        <v>0</v>
      </c>
      <c r="N736" s="74" t="str">
        <f>IF(tblMovimientos[[#This Row],[Tipo de Movimiento]]="Ingreso",tblMovimientos[[#This Row],[Monto (S/)]],"0")</f>
        <v>0</v>
      </c>
      <c r="O736" s="74" t="str">
        <f>IF(tblMovimientos[[#This Row],[Tipo de Movimiento]]="Egreso",tblMovimientos[[#This Row],[Monto (S/)]],"0")</f>
        <v>0</v>
      </c>
      <c r="P736" s="28">
        <f>IF(tblMovimientos[[#This Row],[Tipo de Movimiento]]="Ingreso",tblMovimientos[[#This Row],[Ingreso]],-tblMovimientos[[#This Row],[Egreso]])</f>
        <v>0</v>
      </c>
    </row>
    <row r="737" spans="5:16" x14ac:dyDescent="0.3">
      <c r="E737" s="4">
        <f>_xlfn.XLOOKUP(tblMovimientos[[#This Row],[Cuenta Bancaria]],Listas!$B:$B,Listas!$C:$C,"")</f>
        <v>0</v>
      </c>
      <c r="H737" s="73">
        <f>IFERROR(_xlfn.XLOOKUP(G737,Listas!E:E,Listas!F:F,""),"")</f>
        <v>0</v>
      </c>
      <c r="N737" s="74" t="str">
        <f>IF(tblMovimientos[[#This Row],[Tipo de Movimiento]]="Ingreso",tblMovimientos[[#This Row],[Monto (S/)]],"0")</f>
        <v>0</v>
      </c>
      <c r="O737" s="74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0</v>
      </c>
    </row>
    <row r="738" spans="5:16" x14ac:dyDescent="0.3">
      <c r="E738" s="4">
        <f>_xlfn.XLOOKUP(tblMovimientos[[#This Row],[Cuenta Bancaria]],Listas!$B:$B,Listas!$C:$C,"")</f>
        <v>0</v>
      </c>
      <c r="H738" s="73">
        <f>IFERROR(_xlfn.XLOOKUP(G738,Listas!E:E,Listas!F:F,""),"")</f>
        <v>0</v>
      </c>
      <c r="N738" s="74" t="str">
        <f>IF(tblMovimientos[[#This Row],[Tipo de Movimiento]]="Ingreso",tblMovimientos[[#This Row],[Monto (S/)]],"0")</f>
        <v>0</v>
      </c>
      <c r="O738" s="74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0</v>
      </c>
    </row>
    <row r="739" spans="5:16" x14ac:dyDescent="0.3">
      <c r="E739" s="4">
        <f>_xlfn.XLOOKUP(tblMovimientos[[#This Row],[Cuenta Bancaria]],Listas!$B:$B,Listas!$C:$C,"")</f>
        <v>0</v>
      </c>
      <c r="H739" s="73">
        <f>IFERROR(_xlfn.XLOOKUP(G739,Listas!E:E,Listas!F:F,""),"")</f>
        <v>0</v>
      </c>
      <c r="N739" s="74" t="str">
        <f>IF(tblMovimientos[[#This Row],[Tipo de Movimiento]]="Ingreso",tblMovimientos[[#This Row],[Monto (S/)]],"0")</f>
        <v>0</v>
      </c>
      <c r="O739" s="74" t="str">
        <f>IF(tblMovimientos[[#This Row],[Tipo de Movimiento]]="Egreso",tblMovimientos[[#This Row],[Monto (S/)]],"0")</f>
        <v>0</v>
      </c>
      <c r="P739" s="28">
        <f>IF(tblMovimientos[[#This Row],[Tipo de Movimiento]]="Ingreso",tblMovimientos[[#This Row],[Ingreso]],-tblMovimientos[[#This Row],[Egreso]])</f>
        <v>0</v>
      </c>
    </row>
    <row r="740" spans="5:16" x14ac:dyDescent="0.3">
      <c r="E740" s="4">
        <f>_xlfn.XLOOKUP(tblMovimientos[[#This Row],[Cuenta Bancaria]],Listas!$B:$B,Listas!$C:$C,"")</f>
        <v>0</v>
      </c>
      <c r="H740" s="73">
        <f>IFERROR(_xlfn.XLOOKUP(G740,Listas!E:E,Listas!F:F,""),"")</f>
        <v>0</v>
      </c>
      <c r="N740" s="74" t="str">
        <f>IF(tblMovimientos[[#This Row],[Tipo de Movimiento]]="Ingreso",tblMovimientos[[#This Row],[Monto (S/)]],"0")</f>
        <v>0</v>
      </c>
      <c r="O740" s="74" t="str">
        <f>IF(tblMovimientos[[#This Row],[Tipo de Movimiento]]="Egreso",tblMovimientos[[#This Row],[Monto (S/)]],"0")</f>
        <v>0</v>
      </c>
      <c r="P740" s="28">
        <f>IF(tblMovimientos[[#This Row],[Tipo de Movimiento]]="Ingreso",tblMovimientos[[#This Row],[Ingreso]],-tblMovimientos[[#This Row],[Egreso]])</f>
        <v>0</v>
      </c>
    </row>
    <row r="741" spans="5:16" x14ac:dyDescent="0.3">
      <c r="E741" s="4">
        <f>_xlfn.XLOOKUP(tblMovimientos[[#This Row],[Cuenta Bancaria]],Listas!$B:$B,Listas!$C:$C,"")</f>
        <v>0</v>
      </c>
      <c r="H741" s="73">
        <f>IFERROR(_xlfn.XLOOKUP(G741,Listas!E:E,Listas!F:F,""),"")</f>
        <v>0</v>
      </c>
      <c r="N741" s="74" t="str">
        <f>IF(tblMovimientos[[#This Row],[Tipo de Movimiento]]="Ingreso",tblMovimientos[[#This Row],[Monto (S/)]],"0")</f>
        <v>0</v>
      </c>
      <c r="O741" s="74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0</v>
      </c>
    </row>
    <row r="742" spans="5:16" x14ac:dyDescent="0.3">
      <c r="E742" s="4">
        <f>_xlfn.XLOOKUP(tblMovimientos[[#This Row],[Cuenta Bancaria]],Listas!$B:$B,Listas!$C:$C,"")</f>
        <v>0</v>
      </c>
      <c r="H742" s="73">
        <f>IFERROR(_xlfn.XLOOKUP(G742,Listas!E:E,Listas!F:F,""),"")</f>
        <v>0</v>
      </c>
      <c r="N742" s="74" t="str">
        <f>IF(tblMovimientos[[#This Row],[Tipo de Movimiento]]="Ingreso",tblMovimientos[[#This Row],[Monto (S/)]],"0")</f>
        <v>0</v>
      </c>
      <c r="O742" s="74" t="str">
        <f>IF(tblMovimientos[[#This Row],[Tipo de Movimiento]]="Egreso",tblMovimientos[[#This Row],[Monto (S/)]],"0")</f>
        <v>0</v>
      </c>
      <c r="P742" s="28">
        <f>IF(tblMovimientos[[#This Row],[Tipo de Movimiento]]="Ingreso",tblMovimientos[[#This Row],[Ingreso]],-tblMovimientos[[#This Row],[Egreso]])</f>
        <v>0</v>
      </c>
    </row>
    <row r="743" spans="5:16" x14ac:dyDescent="0.3">
      <c r="E743" s="4">
        <f>_xlfn.XLOOKUP(tblMovimientos[[#This Row],[Cuenta Bancaria]],Listas!$B:$B,Listas!$C:$C,"")</f>
        <v>0</v>
      </c>
      <c r="H743" s="73">
        <f>IFERROR(_xlfn.XLOOKUP(G743,Listas!E:E,Listas!F:F,""),"")</f>
        <v>0</v>
      </c>
      <c r="N743" s="74" t="str">
        <f>IF(tblMovimientos[[#This Row],[Tipo de Movimiento]]="Ingreso",tblMovimientos[[#This Row],[Monto (S/)]],"0")</f>
        <v>0</v>
      </c>
      <c r="O743" s="74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C2:C743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G2:G743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F2:F743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1365043.8000000005</v>
      </c>
      <c r="E2" s="37">
        <f>C2+D2</f>
        <v>1781722.0600000005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1979289.6000000073</v>
      </c>
      <c r="E3" s="37">
        <f t="shared" ref="E3:E9" si="0">C3+D3</f>
        <v>3146591.1300000073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SUMIFS(Movimientos!$J$1:$J$743,Movimientos!$C$1:$C$743,$B2,Movimientos!$D$1:$D$743,$C2,Movimientos!$L$1:$L$743,A$3,Movimientos!$F$1:$F$743,"Ingreso")</f>
        <v>490932.83999999997</v>
      </c>
      <c r="K2" s="44">
        <f>SUMIFS(Movimientos!$J$1:$J$743,Movimientos!$C$1:$C$743,$B2,Movimientos!$D$1:$D$743,$C2,Movimientos!$L$1:$L$743,A$3,Movimientos!$F$1:$F$743,"Egreso")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SUMIFS(Movimientos!$J$1:$J$743,Movimientos!$C$1:$C$743,$B2,Movimientos!$D$1:$D$743,$C2,Movimientos!$L$1:$L$743,A$4,Movimientos!$F$1:$F$743,"Ingreso")</f>
        <v>215870.71999999997</v>
      </c>
      <c r="P2" s="44">
        <f>SUMIFS(Movimientos!$J$1:$J$743,Movimientos!$C$1:$C$743,$B2,Movimientos!$D$1:$D$743,$C2,Movimientos!$L$1:$L$743,A$4,Movimientos!$F$1:$F$743,"Egreso")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SUMIFS(Movimientos!$J$1:$J$743,Movimientos!$C$1:$C$743,$B2,Movimientos!$D$1:$D$743,$C2,Movimientos!$L$1:$L$743,A$5,Movimientos!$F$1:$F$743,"Ingreso")</f>
        <v>0</v>
      </c>
      <c r="U2" s="44">
        <f>SUMIFS(Movimientos!$J$1:$J$743,Movimientos!$C$1:$C$743,$B2,Movimientos!$D$1:$D$743,$C2,Movimientos!$L$1:$L$743,A$5,Movimientos!$F$1:$F$743,"Egreso")</f>
        <v>0</v>
      </c>
      <c r="V2" s="7">
        <f>+T2-U2</f>
        <v>0</v>
      </c>
      <c r="W2" s="12">
        <f>S2+T2-U2</f>
        <v>232864.70000000019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SUMIFS(Movimientos!$J$1:$J$743,Movimientos!$C$1:$C$743,$B3,Movimientos!$D$1:$D$743,$C3,Movimientos!$L$1:$L$743,A$3,Movimientos!$F$1:$F$743,"Ingreso")</f>
        <v>8947382.8399999999</v>
      </c>
      <c r="K3" s="44">
        <f>SUMIFS(Movimientos!$J$1:$J$743,Movimientos!$C$1:$C$743,$B3,Movimientos!$D$1:$D$743,$C3,Movimientos!$L$1:$L$743,A$3,Movimientos!$F$1:$F$743,"Egreso")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SUMIFS(Movimientos!$J$1:$J$743,Movimientos!$C$1:$C$743,$B3,Movimientos!$D$1:$D$743,$C3,Movimientos!$L$1:$L$743,A$4,Movimientos!$F$1:$F$743,"Ingreso")</f>
        <v>250000</v>
      </c>
      <c r="P3" s="44">
        <f>SUMIFS(Movimientos!$J$1:$J$743,Movimientos!$C$1:$C$743,$B3,Movimientos!$D$1:$D$743,$C3,Movimientos!$L$1:$L$743,A$4,Movimientos!$F$1:$F$743,"Egreso")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SUMIFS(Movimientos!$J$1:$J$743,Movimientos!$C$1:$C$743,$B3,Movimientos!$D$1:$D$743,$C3,Movimientos!$L$1:$L$743,A$5,Movimientos!$F$1:$F$743,"Ingreso")</f>
        <v>0</v>
      </c>
      <c r="U3" s="44">
        <f>SUMIFS(Movimientos!$J$1:$J$743,Movimientos!$C$1:$C$743,$B3,Movimientos!$D$1:$D$743,$C3,Movimientos!$L$1:$L$743,A$5,Movimientos!$F$1:$F$743,"Egreso")</f>
        <v>1314641.67</v>
      </c>
      <c r="V3" s="7">
        <f t="shared" ref="V3:V35" si="2">+T3-U3</f>
        <v>-1314641.67</v>
      </c>
      <c r="W3" s="12">
        <f>S3+T3-U3</f>
        <v>915269.6799999997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SUMIFS(Movimientos!$J$1:$J$743,Movimientos!$C$1:$C$743,$B4,Movimientos!$D$1:$D$743,$C4,Movimientos!$L$1:$L$743,A$3,Movimientos!$F$1:$F$743,"Ingreso")</f>
        <v>0</v>
      </c>
      <c r="K4" s="44">
        <f>SUMIFS(Movimientos!$J$1:$J$743,Movimientos!$C$1:$C$743,$B4,Movimientos!$D$1:$D$743,$C4,Movimientos!$L$1:$L$743,A$3,Movimientos!$F$1:$F$743,"Egreso")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SUMIFS(Movimientos!$J$1:$J$743,Movimientos!$C$1:$C$743,$B4,Movimientos!$D$1:$D$743,$C4,Movimientos!$L$1:$L$743,A$4,Movimientos!$F$1:$F$743,"Ingreso")</f>
        <v>0</v>
      </c>
      <c r="P4" s="44">
        <f>SUMIFS(Movimientos!$J$1:$J$743,Movimientos!$C$1:$C$743,$B4,Movimientos!$D$1:$D$743,$C4,Movimientos!$L$1:$L$743,A$4,Movimientos!$F$1:$F$743,"Egreso")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SUMIFS(Movimientos!$J$1:$J$743,Movimientos!$C$1:$C$743,$B4,Movimientos!$D$1:$D$743,$C4,Movimientos!$L$1:$L$743,A$5,Movimientos!$F$1:$F$743,"Ingreso")</f>
        <v>0</v>
      </c>
      <c r="U4" s="44">
        <f>SUMIFS(Movimientos!$J$1:$J$743,Movimientos!$C$1:$C$743,$B4,Movimientos!$D$1:$D$743,$C4,Movimientos!$L$1:$L$743,A$5,Movimientos!$F$1:$F$743,"Egreso")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SUMIFS(Movimientos!$J$1:$J$743,Movimientos!$C$1:$C$743,$B5,Movimientos!$D$1:$D$743,$C5,Movimientos!$L$1:$L$743,A$3,Movimientos!$F$1:$F$743,"Ingreso")</f>
        <v>16742.400000000001</v>
      </c>
      <c r="K5" s="44">
        <f>SUMIFS(Movimientos!$J$1:$J$743,Movimientos!$C$1:$C$743,$B5,Movimientos!$D$1:$D$743,$C5,Movimientos!$L$1:$L$743,A$3,Movimientos!$F$1:$F$743,"Egreso")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SUMIFS(Movimientos!$J$1:$J$743,Movimientos!$C$1:$C$743,$B5,Movimientos!$D$1:$D$743,$C5,Movimientos!$L$1:$L$743,A$4,Movimientos!$F$1:$F$743,"Ingreso")</f>
        <v>10053.57</v>
      </c>
      <c r="P5" s="44">
        <f>SUMIFS(Movimientos!$J$1:$J$743,Movimientos!$C$1:$C$743,$B5,Movimientos!$D$1:$D$743,$C5,Movimientos!$L$1:$L$743,A$4,Movimientos!$F$1:$F$743,"Egreso")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SUMIFS(Movimientos!$J$1:$J$743,Movimientos!$C$1:$C$743,$B5,Movimientos!$D$1:$D$743,$C5,Movimientos!$L$1:$L$743,A$5,Movimientos!$F$1:$F$743,"Ingreso")</f>
        <v>0</v>
      </c>
      <c r="U5" s="44">
        <f>SUMIFS(Movimientos!$J$1:$J$743,Movimientos!$C$1:$C$743,$B5,Movimientos!$D$1:$D$743,$C5,Movimientos!$L$1:$L$743,A$5,Movimientos!$F$1:$F$743,"Egreso")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SUMIFS(Movimientos!$J$1:$J$743,Movimientos!$C$1:$C$743,$B6,Movimientos!$D$1:$D$743,$C6,Movimientos!$L$1:$L$743,A$3,Movimientos!$F$1:$F$743,"Ingreso")</f>
        <v>0</v>
      </c>
      <c r="K6" s="44">
        <f>SUMIFS(Movimientos!$J$1:$J$743,Movimientos!$C$1:$C$743,$B6,Movimientos!$D$1:$D$743,$C6,Movimientos!$L$1:$L$743,A$3,Movimientos!$F$1:$F$743,"Egreso")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SUMIFS(Movimientos!$J$1:$J$743,Movimientos!$C$1:$C$743,$B6,Movimientos!$D$1:$D$743,$C6,Movimientos!$L$1:$L$743,A$4,Movimientos!$F$1:$F$743,"Ingreso")</f>
        <v>0</v>
      </c>
      <c r="P6" s="44">
        <f>SUMIFS(Movimientos!$J$1:$J$743,Movimientos!$C$1:$C$743,$B6,Movimientos!$D$1:$D$743,$C6,Movimientos!$L$1:$L$743,A$4,Movimientos!$F$1:$F$743,"Egreso")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SUMIFS(Movimientos!$J$1:$J$743,Movimientos!$C$1:$C$743,$B6,Movimientos!$D$1:$D$743,$C6,Movimientos!$L$1:$L$743,A$5,Movimientos!$F$1:$F$743,"Ingreso")</f>
        <v>0</v>
      </c>
      <c r="U6" s="44">
        <f>SUMIFS(Movimientos!$J$1:$J$743,Movimientos!$C$1:$C$743,$B6,Movimientos!$D$1:$D$743,$C6,Movimientos!$L$1:$L$743,A$5,Movimientos!$F$1:$F$743,"Egreso")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SUMIFS(Movimientos!$J$1:$J$743,Movimientos!$C$1:$C$743,$B7,Movimientos!$D$1:$D$743,$C7,Movimientos!$L$1:$L$743,A$3,Movimientos!$F$1:$F$743,"Ingreso")</f>
        <v>0</v>
      </c>
      <c r="K7" s="44">
        <f>SUMIFS(Movimientos!$J$1:$J$743,Movimientos!$C$1:$C$743,$B7,Movimientos!$D$1:$D$743,$C7,Movimientos!$L$1:$L$743,A$3,Movimientos!$F$1:$F$743,"Egreso")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SUMIFS(Movimientos!$J$1:$J$743,Movimientos!$C$1:$C$743,$B7,Movimientos!$D$1:$D$743,$C7,Movimientos!$L$1:$L$743,A$4,Movimientos!$F$1:$F$743,"Ingreso")</f>
        <v>0</v>
      </c>
      <c r="P7" s="44">
        <f>SUMIFS(Movimientos!$J$1:$J$743,Movimientos!$C$1:$C$743,$B7,Movimientos!$D$1:$D$743,$C7,Movimientos!$L$1:$L$743,A$4,Movimientos!$F$1:$F$743,"Egreso")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SUMIFS(Movimientos!$J$1:$J$743,Movimientos!$C$1:$C$743,$B7,Movimientos!$D$1:$D$743,$C7,Movimientos!$L$1:$L$743,A$5,Movimientos!$F$1:$F$743,"Ingreso")</f>
        <v>0</v>
      </c>
      <c r="U7" s="44">
        <f>SUMIFS(Movimientos!$J$1:$J$743,Movimientos!$C$1:$C$743,$B7,Movimientos!$D$1:$D$743,$C7,Movimientos!$L$1:$L$743,A$5,Movimientos!$F$1:$F$743,"Egreso")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SUMIFS(Movimientos!$J$1:$J$743,Movimientos!$C$1:$C$743,$B8,Movimientos!$D$1:$D$743,$C8,Movimientos!$L$1:$L$743,A$3,Movimientos!$F$1:$F$743,"Ingreso")</f>
        <v>440602.39</v>
      </c>
      <c r="K8" s="44">
        <f>SUMIFS(Movimientos!$J$1:$J$743,Movimientos!$C$1:$C$743,$B8,Movimientos!$D$1:$D$743,$C8,Movimientos!$L$1:$L$743,A$3,Movimientos!$F$1:$F$743,"Egreso")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SUMIFS(Movimientos!$J$1:$J$743,Movimientos!$C$1:$C$743,$B8,Movimientos!$D$1:$D$743,$C8,Movimientos!$L$1:$L$743,A$4,Movimientos!$F$1:$F$743,"Ingreso")</f>
        <v>1306812.04</v>
      </c>
      <c r="P8" s="44">
        <f>SUMIFS(Movimientos!$J$1:$J$743,Movimientos!$C$1:$C$743,$B8,Movimientos!$D$1:$D$743,$C8,Movimientos!$L$1:$L$743,A$4,Movimientos!$F$1:$F$743,"Egreso")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SUMIFS(Movimientos!$J$1:$J$743,Movimientos!$C$1:$C$743,$B8,Movimientos!$D$1:$D$743,$C8,Movimientos!$L$1:$L$743,A$5,Movimientos!$F$1:$F$743,"Ingreso")</f>
        <v>0</v>
      </c>
      <c r="U8" s="44">
        <f>SUMIFS(Movimientos!$J$1:$J$743,Movimientos!$C$1:$C$743,$B8,Movimientos!$D$1:$D$743,$C8,Movimientos!$L$1:$L$743,A$5,Movimientos!$F$1:$F$743,"Egreso")</f>
        <v>108974.09999999999</v>
      </c>
      <c r="V8" s="7">
        <f t="shared" si="2"/>
        <v>-108974.09999999999</v>
      </c>
      <c r="W8" s="12">
        <f t="shared" si="9"/>
        <v>1349451.9399999995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SUMIFS(Movimientos!$J$1:$J$743,Movimientos!$C$1:$C$743,$B9,Movimientos!$D$1:$D$743,$C9,Movimientos!$L$1:$L$743,A$3,Movimientos!$F$1:$F$743,"Ingreso")</f>
        <v>15307.88</v>
      </c>
      <c r="K9" s="44">
        <f>SUMIFS(Movimientos!$J$1:$J$743,Movimientos!$C$1:$C$743,$B9,Movimientos!$D$1:$D$743,$C9,Movimientos!$L$1:$L$743,A$3,Movimientos!$F$1:$F$743,"Egreso")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SUMIFS(Movimientos!$J$1:$J$743,Movimientos!$C$1:$C$743,$B9,Movimientos!$D$1:$D$743,$C9,Movimientos!$L$1:$L$743,A$4,Movimientos!$F$1:$F$743,"Ingreso")</f>
        <v>15280.15</v>
      </c>
      <c r="P9" s="44">
        <f>SUMIFS(Movimientos!$J$1:$J$743,Movimientos!$C$1:$C$743,$B9,Movimientos!$D$1:$D$743,$C9,Movimientos!$L$1:$L$743,A$4,Movimientos!$F$1:$F$743,"Egreso")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SUMIFS(Movimientos!$J$1:$J$743,Movimientos!$C$1:$C$743,$B9,Movimientos!$D$1:$D$743,$C9,Movimientos!$L$1:$L$743,A$5,Movimientos!$F$1:$F$743,"Ingreso")</f>
        <v>35280.15</v>
      </c>
      <c r="U9" s="44">
        <f>SUMIFS(Movimientos!$J$1:$J$743,Movimientos!$C$1:$C$743,$B9,Movimientos!$D$1:$D$743,$C9,Movimientos!$L$1:$L$743,A$5,Movimientos!$F$1:$F$743,"Egreso")</f>
        <v>8289.48</v>
      </c>
      <c r="V9" s="7">
        <f t="shared" si="2"/>
        <v>26990.670000000002</v>
      </c>
      <c r="W9" s="12">
        <f t="shared" si="9"/>
        <v>32135.439999999999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SUMIFS(Movimientos!$J$1:$J$743,Movimientos!$C$1:$C$743,$B10,Movimientos!$D$1:$D$743,$C10,Movimientos!$L$1:$L$743,A$3,Movimientos!$F$1:$F$743,"Ingreso")</f>
        <v>0</v>
      </c>
      <c r="K10" s="44">
        <f>SUMIFS(Movimientos!$J$1:$J$743,Movimientos!$C$1:$C$743,$B10,Movimientos!$D$1:$D$743,$C10,Movimientos!$L$1:$L$743,A$3,Movimientos!$F$1:$F$743,"Egreso")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SUMIFS(Movimientos!$J$1:$J$743,Movimientos!$C$1:$C$743,$B10,Movimientos!$D$1:$D$743,$C10,Movimientos!$L$1:$L$743,A$4,Movimientos!$F$1:$F$743,"Ingreso")</f>
        <v>1000</v>
      </c>
      <c r="P10" s="44">
        <f>SUMIFS(Movimientos!$J$1:$J$743,Movimientos!$C$1:$C$743,$B10,Movimientos!$D$1:$D$743,$C10,Movimientos!$L$1:$L$743,A$4,Movimientos!$F$1:$F$743,"Egreso")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SUMIFS(Movimientos!$J$1:$J$743,Movimientos!$C$1:$C$743,$B10,Movimientos!$D$1:$D$743,$C10,Movimientos!$L$1:$L$743,A$5,Movimientos!$F$1:$F$743,"Ingreso")</f>
        <v>0</v>
      </c>
      <c r="U10" s="44">
        <f>SUMIFS(Movimientos!$J$1:$J$743,Movimientos!$C$1:$C$743,$B10,Movimientos!$D$1:$D$743,$C10,Movimientos!$L$1:$L$743,A$5,Movimientos!$F$1:$F$743,"Egreso")</f>
        <v>0</v>
      </c>
      <c r="V10" s="7">
        <f t="shared" si="2"/>
        <v>0</v>
      </c>
      <c r="W10" s="12">
        <f t="shared" si="9"/>
        <v>1170.8200000000002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SUMIFS(Movimientos!$J$1:$J$743,Movimientos!$C$1:$C$743,$B11,Movimientos!$D$1:$D$743,$C11,Movimientos!$L$1:$L$743,A$3,Movimientos!$F$1:$F$743,"Ingreso")</f>
        <v>0</v>
      </c>
      <c r="K11" s="44">
        <f>SUMIFS(Movimientos!$J$1:$J$743,Movimientos!$C$1:$C$743,$B11,Movimientos!$D$1:$D$743,$C11,Movimientos!$L$1:$L$743,A$3,Movimientos!$F$1:$F$743,"Egreso")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SUMIFS(Movimientos!$J$1:$J$743,Movimientos!$C$1:$C$743,$B11,Movimientos!$D$1:$D$743,$C11,Movimientos!$L$1:$L$743,A$4,Movimientos!$F$1:$F$743,"Ingreso")</f>
        <v>0</v>
      </c>
      <c r="P11" s="44">
        <f>SUMIFS(Movimientos!$J$1:$J$743,Movimientos!$C$1:$C$743,$B11,Movimientos!$D$1:$D$743,$C11,Movimientos!$L$1:$L$743,A$4,Movimientos!$F$1:$F$743,"Egreso")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SUMIFS(Movimientos!$J$1:$J$743,Movimientos!$C$1:$C$743,$B11,Movimientos!$D$1:$D$743,$C11,Movimientos!$L$1:$L$743,A$5,Movimientos!$F$1:$F$743,"Ingreso")</f>
        <v>0</v>
      </c>
      <c r="U11" s="44">
        <f>SUMIFS(Movimientos!$J$1:$J$743,Movimientos!$C$1:$C$743,$B11,Movimientos!$D$1:$D$743,$C11,Movimientos!$L$1:$L$743,A$5,Movimientos!$F$1:$F$743,"Egreso")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SUMIFS(Movimientos!$J$1:$J$743,Movimientos!$C$1:$C$743,$B12,Movimientos!$D$1:$D$743,$C12,Movimientos!$L$1:$L$743,A$3,Movimientos!$F$1:$F$743,"Ingreso")</f>
        <v>4970000</v>
      </c>
      <c r="K12" s="44">
        <f>SUMIFS(Movimientos!$J$1:$J$743,Movimientos!$C$1:$C$743,$B12,Movimientos!$D$1:$D$743,$C12,Movimientos!$L$1:$L$743,A$3,Movimientos!$F$1:$F$743,"Egreso")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SUMIFS(Movimientos!$J$1:$J$743,Movimientos!$C$1:$C$743,$B12,Movimientos!$D$1:$D$743,$C12,Movimientos!$L$1:$L$743,A$4,Movimientos!$F$1:$F$743,"Ingreso")</f>
        <v>1320000</v>
      </c>
      <c r="P12" s="44">
        <f>SUMIFS(Movimientos!$J$1:$J$743,Movimientos!$C$1:$C$743,$B12,Movimientos!$D$1:$D$743,$C12,Movimientos!$L$1:$L$743,A$4,Movimientos!$F$1:$F$743,"Egreso")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SUMIFS(Movimientos!$J$1:$J$743,Movimientos!$C$1:$C$743,$B12,Movimientos!$D$1:$D$743,$C12,Movimientos!$L$1:$L$743,A$5,Movimientos!$F$1:$F$743,"Ingreso")</f>
        <v>600000</v>
      </c>
      <c r="U12" s="44">
        <f>SUMIFS(Movimientos!$J$1:$J$743,Movimientos!$C$1:$C$743,$B12,Movimientos!$D$1:$D$743,$C12,Movimientos!$L$1:$L$743,A$5,Movimientos!$F$1:$F$743,"Egreso")</f>
        <v>39394</v>
      </c>
      <c r="V12" s="7">
        <f t="shared" si="2"/>
        <v>560606</v>
      </c>
      <c r="W12" s="12">
        <f t="shared" si="9"/>
        <v>1249899.0099999991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SUMIFS(Movimientos!$J$1:$J$743,Movimientos!$C$1:$C$743,$B13,Movimientos!$D$1:$D$743,$C13,Movimientos!$L$1:$L$743,A$3,Movimientos!$F$1:$F$743,"Ingreso")</f>
        <v>0</v>
      </c>
      <c r="K13" s="44">
        <f>SUMIFS(Movimientos!$J$1:$J$743,Movimientos!$C$1:$C$743,$B13,Movimientos!$D$1:$D$743,$C13,Movimientos!$L$1:$L$743,A$3,Movimientos!$F$1:$F$743,"Egreso")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SUMIFS(Movimientos!$J$1:$J$743,Movimientos!$C$1:$C$743,$B13,Movimientos!$D$1:$D$743,$C13,Movimientos!$L$1:$L$743,A$4,Movimientos!$F$1:$F$743,"Ingreso")</f>
        <v>0</v>
      </c>
      <c r="P13" s="44">
        <f>SUMIFS(Movimientos!$J$1:$J$743,Movimientos!$C$1:$C$743,$B13,Movimientos!$D$1:$D$743,$C13,Movimientos!$L$1:$L$743,A$4,Movimientos!$F$1:$F$743,"Egreso")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SUMIFS(Movimientos!$J$1:$J$743,Movimientos!$C$1:$C$743,$B13,Movimientos!$D$1:$D$743,$C13,Movimientos!$L$1:$L$743,A$5,Movimientos!$F$1:$F$743,"Ingreso")</f>
        <v>0</v>
      </c>
      <c r="U13" s="44">
        <f>SUMIFS(Movimientos!$J$1:$J$743,Movimientos!$C$1:$C$743,$B13,Movimientos!$D$1:$D$743,$C13,Movimientos!$L$1:$L$743,A$5,Movimientos!$F$1:$F$743,"Egreso")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SUMIFS(Movimientos!$J$1:$J$743,Movimientos!$C$1:$C$743,$B14,Movimientos!$D$1:$D$743,$C14,Movimientos!$L$1:$L$743,A$3,Movimientos!$F$1:$F$743,"Ingreso")</f>
        <v>56867.66</v>
      </c>
      <c r="K14" s="44">
        <f>SUMIFS(Movimientos!$J$1:$J$743,Movimientos!$C$1:$C$743,$B14,Movimientos!$D$1:$D$743,$C14,Movimientos!$L$1:$L$743,A$3,Movimientos!$F$1:$F$743,"Egreso")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SUMIFS(Movimientos!$J$1:$J$743,Movimientos!$C$1:$C$743,$B14,Movimientos!$D$1:$D$743,$C14,Movimientos!$L$1:$L$743,A$4,Movimientos!$F$1:$F$743,"Ingreso")</f>
        <v>2426.71</v>
      </c>
      <c r="P14" s="44">
        <f>SUMIFS(Movimientos!$J$1:$J$743,Movimientos!$C$1:$C$743,$B14,Movimientos!$D$1:$D$743,$C14,Movimientos!$L$1:$L$743,A$4,Movimientos!$F$1:$F$743,"Egreso")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SUMIFS(Movimientos!$J$1:$J$743,Movimientos!$C$1:$C$743,$B14,Movimientos!$D$1:$D$743,$C14,Movimientos!$L$1:$L$743,A$5,Movimientos!$F$1:$F$743,"Ingreso")</f>
        <v>0</v>
      </c>
      <c r="U14" s="44">
        <f>SUMIFS(Movimientos!$J$1:$J$743,Movimientos!$C$1:$C$743,$B14,Movimientos!$D$1:$D$743,$C14,Movimientos!$L$1:$L$743,A$5,Movimientos!$F$1:$F$743,"Egreso")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SUMIFS(Movimientos!$J$1:$J$743,Movimientos!$C$1:$C$743,$B15,Movimientos!$D$1:$D$743,$C15,Movimientos!$L$1:$L$743,A$3,Movimientos!$F$1:$F$743,"Ingreso")</f>
        <v>0</v>
      </c>
      <c r="K15" s="44">
        <f>SUMIFS(Movimientos!$J$1:$J$743,Movimientos!$C$1:$C$743,$B15,Movimientos!$D$1:$D$743,$C15,Movimientos!$L$1:$L$743,A$3,Movimientos!$F$1:$F$743,"Egreso")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SUMIFS(Movimientos!$J$1:$J$743,Movimientos!$C$1:$C$743,$B15,Movimientos!$D$1:$D$743,$C15,Movimientos!$L$1:$L$743,A$4,Movimientos!$F$1:$F$743,"Ingreso")</f>
        <v>0</v>
      </c>
      <c r="P15" s="44">
        <f>SUMIFS(Movimientos!$J$1:$J$743,Movimientos!$C$1:$C$743,$B15,Movimientos!$D$1:$D$743,$C15,Movimientos!$L$1:$L$743,A$4,Movimientos!$F$1:$F$743,"Egreso")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SUMIFS(Movimientos!$J$1:$J$743,Movimientos!$C$1:$C$743,$B15,Movimientos!$D$1:$D$743,$C15,Movimientos!$L$1:$L$743,A$5,Movimientos!$F$1:$F$743,"Ingreso")</f>
        <v>0</v>
      </c>
      <c r="U15" s="44">
        <f>SUMIFS(Movimientos!$J$1:$J$743,Movimientos!$C$1:$C$743,$B15,Movimientos!$D$1:$D$743,$C15,Movimientos!$L$1:$L$743,A$5,Movimientos!$F$1:$F$743,"Egreso")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SUMIFS(Movimientos!$J$1:$J$743,Movimientos!$C$1:$C$743,$B16,Movimientos!$D$1:$D$743,$C16,Movimientos!$L$1:$L$743,A$3,Movimientos!$F$1:$F$743,"Ingreso")</f>
        <v>0</v>
      </c>
      <c r="K16" s="44">
        <f>SUMIFS(Movimientos!$J$1:$J$743,Movimientos!$C$1:$C$743,$B16,Movimientos!$D$1:$D$743,$C16,Movimientos!$L$1:$L$743,A$3,Movimientos!$F$1:$F$743,"Egreso")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SUMIFS(Movimientos!$J$1:$J$743,Movimientos!$C$1:$C$743,$B16,Movimientos!$D$1:$D$743,$C16,Movimientos!$L$1:$L$743,A$4,Movimientos!$F$1:$F$743,"Ingreso")</f>
        <v>0</v>
      </c>
      <c r="P16" s="44">
        <f>SUMIFS(Movimientos!$J$1:$J$743,Movimientos!$C$1:$C$743,$B16,Movimientos!$D$1:$D$743,$C16,Movimientos!$L$1:$L$743,A$4,Movimientos!$F$1:$F$743,"Egreso")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SUMIFS(Movimientos!$J$1:$J$743,Movimientos!$C$1:$C$743,$B16,Movimientos!$D$1:$D$743,$C16,Movimientos!$L$1:$L$743,A$5,Movimientos!$F$1:$F$743,"Ingreso")</f>
        <v>0</v>
      </c>
      <c r="U16" s="44">
        <f>SUMIFS(Movimientos!$J$1:$J$743,Movimientos!$C$1:$C$743,$B16,Movimientos!$D$1:$D$743,$C16,Movimientos!$L$1:$L$743,A$5,Movimientos!$F$1:$F$743,"Egreso")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SUMIFS(Movimientos!$J$1:$J$743,Movimientos!$C$1:$C$743,$B17,Movimientos!$D$1:$D$743,$C17,Movimientos!$L$1:$L$743,A$3,Movimientos!$F$1:$F$743,"Ingreso")</f>
        <v>0</v>
      </c>
      <c r="K17" s="44">
        <f>SUMIFS(Movimientos!$J$1:$J$743,Movimientos!$C$1:$C$743,$B17,Movimientos!$D$1:$D$743,$C17,Movimientos!$L$1:$L$743,A$3,Movimientos!$F$1:$F$743,"Egreso")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SUMIFS(Movimientos!$J$1:$J$743,Movimientos!$C$1:$C$743,$B17,Movimientos!$D$1:$D$743,$C17,Movimientos!$L$1:$L$743,A$4,Movimientos!$F$1:$F$743,"Ingreso")</f>
        <v>0</v>
      </c>
      <c r="P17" s="44">
        <f>SUMIFS(Movimientos!$J$1:$J$743,Movimientos!$C$1:$C$743,$B17,Movimientos!$D$1:$D$743,$C17,Movimientos!$L$1:$L$743,A$4,Movimientos!$F$1:$F$743,"Egreso")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SUMIFS(Movimientos!$J$1:$J$743,Movimientos!$C$1:$C$743,$B17,Movimientos!$D$1:$D$743,$C17,Movimientos!$L$1:$L$743,A$5,Movimientos!$F$1:$F$743,"Ingreso")</f>
        <v>0</v>
      </c>
      <c r="U17" s="44">
        <f>SUMIFS(Movimientos!$J$1:$J$743,Movimientos!$C$1:$C$743,$B17,Movimientos!$D$1:$D$743,$C17,Movimientos!$L$1:$L$743,A$5,Movimientos!$F$1:$F$743,"Egreso")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SUMIFS(Movimientos!$J$1:$J$743,Movimientos!$C$1:$C$743,$B18,Movimientos!$D$1:$D$743,$C18,Movimientos!$L$1:$L$743,A$3,Movimientos!$F$1:$F$743,"Ingreso")</f>
        <v>0</v>
      </c>
      <c r="K18" s="44">
        <f>SUMIFS(Movimientos!$J$1:$J$743,Movimientos!$C$1:$C$743,$B18,Movimientos!$D$1:$D$743,$C18,Movimientos!$L$1:$L$743,A$3,Movimientos!$F$1:$F$743,"Egreso")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SUMIFS(Movimientos!$J$1:$J$743,Movimientos!$C$1:$C$743,$B18,Movimientos!$D$1:$D$743,$C18,Movimientos!$L$1:$L$743,A$4,Movimientos!$F$1:$F$743,"Ingreso")</f>
        <v>0</v>
      </c>
      <c r="P18" s="44">
        <f>SUMIFS(Movimientos!$J$1:$J$743,Movimientos!$C$1:$C$743,$B18,Movimientos!$D$1:$D$743,$C18,Movimientos!$L$1:$L$743,A$4,Movimientos!$F$1:$F$743,"Egreso")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SUMIFS(Movimientos!$J$1:$J$743,Movimientos!$C$1:$C$743,$B18,Movimientos!$D$1:$D$743,$C18,Movimientos!$L$1:$L$743,A$5,Movimientos!$F$1:$F$743,"Ingreso")</f>
        <v>0</v>
      </c>
      <c r="U18" s="44">
        <f>SUMIFS(Movimientos!$J$1:$J$743,Movimientos!$C$1:$C$743,$B18,Movimientos!$D$1:$D$743,$C18,Movimientos!$L$1:$L$743,A$5,Movimientos!$F$1:$F$743,"Egreso")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SUMIFS(Movimientos!$J$1:$J$743,Movimientos!$C$1:$C$743,$B19,Movimientos!$D$1:$D$743,$C19,Movimientos!$L$1:$L$743,A$3,Movimientos!$F$1:$F$743,"Ingreso")</f>
        <v>2580000</v>
      </c>
      <c r="K19" s="44">
        <f>SUMIFS(Movimientos!$J$1:$J$743,Movimientos!$C$1:$C$743,$B19,Movimientos!$D$1:$D$743,$C19,Movimientos!$L$1:$L$743,A$3,Movimientos!$F$1:$F$743,"Egreso")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SUMIFS(Movimientos!$J$1:$J$743,Movimientos!$C$1:$C$743,$B19,Movimientos!$D$1:$D$743,$C19,Movimientos!$L$1:$L$743,A$4,Movimientos!$F$1:$F$743,"Ingreso")</f>
        <v>0</v>
      </c>
      <c r="P19" s="44">
        <f>SUMIFS(Movimientos!$J$1:$J$743,Movimientos!$C$1:$C$743,$B19,Movimientos!$D$1:$D$743,$C19,Movimientos!$L$1:$L$743,A$4,Movimientos!$F$1:$F$743,"Egreso")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SUMIFS(Movimientos!$J$1:$J$743,Movimientos!$C$1:$C$743,$B19,Movimientos!$D$1:$D$743,$C19,Movimientos!$L$1:$L$743,A$5,Movimientos!$F$1:$F$743,"Ingreso")</f>
        <v>0</v>
      </c>
      <c r="U19" s="44">
        <f>SUMIFS(Movimientos!$J$1:$J$743,Movimientos!$C$1:$C$743,$B19,Movimientos!$D$1:$D$743,$C19,Movimientos!$L$1:$L$743,A$5,Movimientos!$F$1:$F$743,"Egreso")</f>
        <v>13000</v>
      </c>
      <c r="V19" s="7">
        <f t="shared" si="2"/>
        <v>-13000</v>
      </c>
      <c r="W19" s="12">
        <f t="shared" si="9"/>
        <v>68717.600000000093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SUMIFS(Movimientos!$J$1:$J$743,Movimientos!$C$1:$C$743,$B20,Movimientos!$D$1:$D$743,$C20,Movimientos!$L$1:$L$743,A$3,Movimientos!$F$1:$F$743,"Ingreso")</f>
        <v>0</v>
      </c>
      <c r="K20" s="44">
        <f>SUMIFS(Movimientos!$J$1:$J$743,Movimientos!$C$1:$C$743,$B20,Movimientos!$D$1:$D$743,$C20,Movimientos!$L$1:$L$743,A$3,Movimientos!$F$1:$F$743,"Egreso")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SUMIFS(Movimientos!$J$1:$J$743,Movimientos!$C$1:$C$743,$B20,Movimientos!$D$1:$D$743,$C20,Movimientos!$L$1:$L$743,A$4,Movimientos!$F$1:$F$743,"Ingreso")</f>
        <v>0</v>
      </c>
      <c r="P20" s="44">
        <f>SUMIFS(Movimientos!$J$1:$J$743,Movimientos!$C$1:$C$743,$B20,Movimientos!$D$1:$D$743,$C20,Movimientos!$L$1:$L$743,A$4,Movimientos!$F$1:$F$743,"Egreso")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SUMIFS(Movimientos!$J$1:$J$743,Movimientos!$C$1:$C$743,$B20,Movimientos!$D$1:$D$743,$C20,Movimientos!$L$1:$L$743,A$5,Movimientos!$F$1:$F$743,"Ingreso")</f>
        <v>0</v>
      </c>
      <c r="U20" s="44">
        <f>SUMIFS(Movimientos!$J$1:$J$743,Movimientos!$C$1:$C$743,$B20,Movimientos!$D$1:$D$743,$C20,Movimientos!$L$1:$L$743,A$5,Movimientos!$F$1:$F$743,"Egreso")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SUMIFS(Movimientos!$J$1:$J$743,Movimientos!$C$1:$C$743,$B21,Movimientos!$D$1:$D$743,$C21,Movimientos!$L$1:$L$743,A$3,Movimientos!$F$1:$F$743,"Ingreso")</f>
        <v>0</v>
      </c>
      <c r="K21" s="44">
        <f>SUMIFS(Movimientos!$J$1:$J$743,Movimientos!$C$1:$C$743,$B21,Movimientos!$D$1:$D$743,$C21,Movimientos!$L$1:$L$743,A$3,Movimientos!$F$1:$F$743,"Egreso")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SUMIFS(Movimientos!$J$1:$J$743,Movimientos!$C$1:$C$743,$B21,Movimientos!$D$1:$D$743,$C21,Movimientos!$L$1:$L$743,A$4,Movimientos!$F$1:$F$743,"Ingreso")</f>
        <v>14659.29</v>
      </c>
      <c r="P21" s="44">
        <f>SUMIFS(Movimientos!$J$1:$J$743,Movimientos!$C$1:$C$743,$B21,Movimientos!$D$1:$D$743,$C21,Movimientos!$L$1:$L$743,A$4,Movimientos!$F$1:$F$743,"Egreso")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SUMIFS(Movimientos!$J$1:$J$743,Movimientos!$C$1:$C$743,$B21,Movimientos!$D$1:$D$743,$C21,Movimientos!$L$1:$L$743,A$5,Movimientos!$F$1:$F$743,"Ingreso")</f>
        <v>0</v>
      </c>
      <c r="U21" s="44">
        <f>SUMIFS(Movimientos!$J$1:$J$743,Movimientos!$C$1:$C$743,$B21,Movimientos!$D$1:$D$743,$C21,Movimientos!$L$1:$L$743,A$5,Movimientos!$F$1:$F$743,"Egreso")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SUMIFS(Movimientos!$J$1:$J$743,Movimientos!$C$1:$C$743,$B22,Movimientos!$D$1:$D$743,$C22,Movimientos!$L$1:$L$743,A$3,Movimientos!$F$1:$F$743,"Ingreso")</f>
        <v>0</v>
      </c>
      <c r="K22" s="44">
        <f>SUMIFS(Movimientos!$J$1:$J$743,Movimientos!$C$1:$C$743,$B22,Movimientos!$D$1:$D$743,$C22,Movimientos!$L$1:$L$743,A$3,Movimientos!$F$1:$F$743,"Egreso")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SUMIFS(Movimientos!$J$1:$J$743,Movimientos!$C$1:$C$743,$B22,Movimientos!$D$1:$D$743,$C22,Movimientos!$L$1:$L$743,A$4,Movimientos!$F$1:$F$743,"Ingreso")</f>
        <v>0</v>
      </c>
      <c r="P22" s="44">
        <f>SUMIFS(Movimientos!$J$1:$J$743,Movimientos!$C$1:$C$743,$B22,Movimientos!$D$1:$D$743,$C22,Movimientos!$L$1:$L$743,A$4,Movimientos!$F$1:$F$743,"Egreso")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SUMIFS(Movimientos!$J$1:$J$743,Movimientos!$C$1:$C$743,$B22,Movimientos!$D$1:$D$743,$C22,Movimientos!$L$1:$L$743,A$5,Movimientos!$F$1:$F$743,"Ingreso")</f>
        <v>0</v>
      </c>
      <c r="U22" s="44">
        <f>SUMIFS(Movimientos!$J$1:$J$743,Movimientos!$C$1:$C$743,$B22,Movimientos!$D$1:$D$743,$C22,Movimientos!$L$1:$L$743,A$5,Movimientos!$F$1:$F$743,"Egreso")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SUMIFS(Movimientos!$J$1:$J$743,Movimientos!$C$1:$C$743,$B23,Movimientos!$D$1:$D$743,$C23,Movimientos!$L$1:$L$743,A$3,Movimientos!$F$1:$F$743,"Ingreso")</f>
        <v>0</v>
      </c>
      <c r="K23" s="44">
        <f>SUMIFS(Movimientos!$J$1:$J$743,Movimientos!$C$1:$C$743,$B23,Movimientos!$D$1:$D$743,$C23,Movimientos!$L$1:$L$743,A$3,Movimientos!$F$1:$F$743,"Egreso")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SUMIFS(Movimientos!$J$1:$J$743,Movimientos!$C$1:$C$743,$B23,Movimientos!$D$1:$D$743,$C23,Movimientos!$L$1:$L$743,A$4,Movimientos!$F$1:$F$743,"Ingreso")</f>
        <v>0</v>
      </c>
      <c r="P23" s="44">
        <f>SUMIFS(Movimientos!$J$1:$J$743,Movimientos!$C$1:$C$743,$B23,Movimientos!$D$1:$D$743,$C23,Movimientos!$L$1:$L$743,A$4,Movimientos!$F$1:$F$743,"Egreso")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SUMIFS(Movimientos!$J$1:$J$743,Movimientos!$C$1:$C$743,$B23,Movimientos!$D$1:$D$743,$C23,Movimientos!$L$1:$L$743,A$5,Movimientos!$F$1:$F$743,"Ingreso")</f>
        <v>0</v>
      </c>
      <c r="U23" s="44">
        <f>SUMIFS(Movimientos!$J$1:$J$743,Movimientos!$C$1:$C$743,$B23,Movimientos!$D$1:$D$743,$C23,Movimientos!$L$1:$L$743,A$5,Movimientos!$F$1:$F$743,"Egreso")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SUMIFS(Movimientos!$J$1:$J$743,Movimientos!$C$1:$C$743,$B24,Movimientos!$D$1:$D$743,$C24,Movimientos!$L$1:$L$743,A$3,Movimientos!$F$1:$F$743,"Ingreso")</f>
        <v>0</v>
      </c>
      <c r="K24" s="44">
        <f>SUMIFS(Movimientos!$J$1:$J$743,Movimientos!$C$1:$C$743,$B24,Movimientos!$D$1:$D$743,$C24,Movimientos!$L$1:$L$743,A$3,Movimientos!$F$1:$F$743,"Egreso")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SUMIFS(Movimientos!$J$1:$J$743,Movimientos!$C$1:$C$743,$B24,Movimientos!$D$1:$D$743,$C24,Movimientos!$L$1:$L$743,A$4,Movimientos!$F$1:$F$743,"Ingreso")</f>
        <v>1451269.78</v>
      </c>
      <c r="P24" s="44">
        <f>SUMIFS(Movimientos!$J$1:$J$743,Movimientos!$C$1:$C$743,$B24,Movimientos!$D$1:$D$743,$C24,Movimientos!$L$1:$L$743,A$4,Movimientos!$F$1:$F$743,"Egreso")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SUMIFS(Movimientos!$J$1:$J$743,Movimientos!$C$1:$C$743,$B24,Movimientos!$D$1:$D$743,$C24,Movimientos!$L$1:$L$743,A$5,Movimientos!$F$1:$F$743,"Ingreso")</f>
        <v>0</v>
      </c>
      <c r="U24" s="44">
        <f>SUMIFS(Movimientos!$J$1:$J$743,Movimientos!$C$1:$C$743,$B24,Movimientos!$D$1:$D$743,$C24,Movimientos!$L$1:$L$743,A$5,Movimientos!$F$1:$F$743,"Egreso")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SUMIFS(Movimientos!$J$1:$J$743,Movimientos!$C$1:$C$743,$B25,Movimientos!$D$1:$D$743,$C25,Movimientos!$L$1:$L$743,A$3,Movimientos!$F$1:$F$743,"Ingreso")</f>
        <v>0</v>
      </c>
      <c r="K25" s="44">
        <f>SUMIFS(Movimientos!$J$1:$J$743,Movimientos!$C$1:$C$743,$B25,Movimientos!$D$1:$D$743,$C25,Movimientos!$L$1:$L$743,A$3,Movimientos!$F$1:$F$743,"Egreso")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SUMIFS(Movimientos!$J$1:$J$743,Movimientos!$C$1:$C$743,$B25,Movimientos!$D$1:$D$743,$C25,Movimientos!$L$1:$L$743,A$4,Movimientos!$F$1:$F$743,"Ingreso")</f>
        <v>0</v>
      </c>
      <c r="P25" s="44">
        <f>SUMIFS(Movimientos!$J$1:$J$743,Movimientos!$C$1:$C$743,$B25,Movimientos!$D$1:$D$743,$C25,Movimientos!$L$1:$L$743,A$4,Movimientos!$F$1:$F$743,"Egreso")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SUMIFS(Movimientos!$J$1:$J$743,Movimientos!$C$1:$C$743,$B25,Movimientos!$D$1:$D$743,$C25,Movimientos!$L$1:$L$743,A$5,Movimientos!$F$1:$F$743,"Ingreso")</f>
        <v>0</v>
      </c>
      <c r="U25" s="44">
        <f>SUMIFS(Movimientos!$J$1:$J$743,Movimientos!$C$1:$C$743,$B25,Movimientos!$D$1:$D$743,$C25,Movimientos!$L$1:$L$743,A$5,Movimientos!$F$1:$F$743,"Egreso")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SUMIFS(Movimientos!$J$1:$J$743,Movimientos!$C$1:$C$743,$B26,Movimientos!$D$1:$D$743,$C26,Movimientos!$L$1:$L$743,A$3,Movimientos!$F$1:$F$743,"Ingreso")</f>
        <v>0</v>
      </c>
      <c r="K26" s="44">
        <f>SUMIFS(Movimientos!$J$1:$J$743,Movimientos!$C$1:$C$743,$B26,Movimientos!$D$1:$D$743,$C26,Movimientos!$L$1:$L$743,A$3,Movimientos!$F$1:$F$743,"Egreso")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SUMIFS(Movimientos!$J$1:$J$743,Movimientos!$C$1:$C$743,$B26,Movimientos!$D$1:$D$743,$C26,Movimientos!$L$1:$L$743,A$4,Movimientos!$F$1:$F$743,"Ingreso")</f>
        <v>0</v>
      </c>
      <c r="P26" s="44">
        <f>SUMIFS(Movimientos!$J$1:$J$743,Movimientos!$C$1:$C$743,$B26,Movimientos!$D$1:$D$743,$C26,Movimientos!$L$1:$L$743,A$4,Movimientos!$F$1:$F$743,"Egreso")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SUMIFS(Movimientos!$J$1:$J$743,Movimientos!$C$1:$C$743,$B26,Movimientos!$D$1:$D$743,$C26,Movimientos!$L$1:$L$743,A$5,Movimientos!$F$1:$F$743,"Ingreso")</f>
        <v>0</v>
      </c>
      <c r="U26" s="44">
        <f>SUMIFS(Movimientos!$J$1:$J$743,Movimientos!$C$1:$C$743,$B26,Movimientos!$D$1:$D$743,$C26,Movimientos!$L$1:$L$743,A$5,Movimientos!$F$1:$F$743,"Egreso")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SUMIFS(Movimientos!$J$1:$J$743,Movimientos!$C$1:$C$743,$B27,Movimientos!$D$1:$D$743,$C27,Movimientos!$L$1:$L$743,A$3,Movimientos!$F$1:$F$743,"Ingreso")</f>
        <v>0</v>
      </c>
      <c r="K27" s="44">
        <f>SUMIFS(Movimientos!$J$1:$J$743,Movimientos!$C$1:$C$743,$B27,Movimientos!$D$1:$D$743,$C27,Movimientos!$L$1:$L$743,A$3,Movimientos!$F$1:$F$743,"Egreso")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SUMIFS(Movimientos!$J$1:$J$743,Movimientos!$C$1:$C$743,$B27,Movimientos!$D$1:$D$743,$C27,Movimientos!$L$1:$L$743,A$4,Movimientos!$F$1:$F$743,"Ingreso")</f>
        <v>518.65</v>
      </c>
      <c r="P27" s="44">
        <f>SUMIFS(Movimientos!$J$1:$J$743,Movimientos!$C$1:$C$743,$B27,Movimientos!$D$1:$D$743,$C27,Movimientos!$L$1:$L$743,A$4,Movimientos!$F$1:$F$743,"Egreso")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SUMIFS(Movimientos!$J$1:$J$743,Movimientos!$C$1:$C$743,$B27,Movimientos!$D$1:$D$743,$C27,Movimientos!$L$1:$L$743,A$5,Movimientos!$F$1:$F$743,"Ingreso")</f>
        <v>0</v>
      </c>
      <c r="U27" s="44">
        <f>SUMIFS(Movimientos!$J$1:$J$743,Movimientos!$C$1:$C$743,$B27,Movimientos!$D$1:$D$743,$C27,Movimientos!$L$1:$L$743,A$5,Movimientos!$F$1:$F$743,"Egreso")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SUMIFS(Movimientos!$J$1:$J$743,Movimientos!$C$1:$C$743,$B28,Movimientos!$D$1:$D$743,$C28,Movimientos!$L$1:$L$743,A$3,Movimientos!$F$1:$F$743,"Ingreso")</f>
        <v>0</v>
      </c>
      <c r="K28" s="44">
        <f>SUMIFS(Movimientos!$J$1:$J$743,Movimientos!$C$1:$C$743,$B28,Movimientos!$D$1:$D$743,$C28,Movimientos!$L$1:$L$743,A$3,Movimientos!$F$1:$F$743,"Egreso")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SUMIFS(Movimientos!$J$1:$J$743,Movimientos!$C$1:$C$743,$B28,Movimientos!$D$1:$D$743,$C28,Movimientos!$L$1:$L$743,A$4,Movimientos!$F$1:$F$743,"Ingreso")</f>
        <v>0</v>
      </c>
      <c r="P28" s="44">
        <f>SUMIFS(Movimientos!$J$1:$J$743,Movimientos!$C$1:$C$743,$B28,Movimientos!$D$1:$D$743,$C28,Movimientos!$L$1:$L$743,A$4,Movimientos!$F$1:$F$743,"Egreso")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SUMIFS(Movimientos!$J$1:$J$743,Movimientos!$C$1:$C$743,$B28,Movimientos!$D$1:$D$743,$C28,Movimientos!$L$1:$L$743,A$5,Movimientos!$F$1:$F$743,"Ingreso")</f>
        <v>0</v>
      </c>
      <c r="U28" s="44">
        <f>SUMIFS(Movimientos!$J$1:$J$743,Movimientos!$C$1:$C$743,$B28,Movimientos!$D$1:$D$743,$C28,Movimientos!$L$1:$L$743,A$5,Movimientos!$F$1:$F$743,"Egreso")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SUMIFS(Movimientos!$J$1:$J$743,Movimientos!$C$1:$C$743,$B29,Movimientos!$D$1:$D$743,$C29,Movimientos!$L$1:$L$743,A$3,Movimientos!$F$1:$F$743,"Ingreso")</f>
        <v>5250</v>
      </c>
      <c r="K29" s="44">
        <f>SUMIFS(Movimientos!$J$1:$J$743,Movimientos!$C$1:$C$743,$B29,Movimientos!$D$1:$D$743,$C29,Movimientos!$L$1:$L$743,A$3,Movimientos!$F$1:$F$743,"Egreso")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SUMIFS(Movimientos!$J$1:$J$743,Movimientos!$C$1:$C$743,$B29,Movimientos!$D$1:$D$743,$C29,Movimientos!$L$1:$L$743,A$4,Movimientos!$F$1:$F$743,"Ingreso")</f>
        <v>0</v>
      </c>
      <c r="P29" s="44">
        <f>SUMIFS(Movimientos!$J$1:$J$743,Movimientos!$C$1:$C$743,$B29,Movimientos!$D$1:$D$743,$C29,Movimientos!$L$1:$L$743,A$4,Movimientos!$F$1:$F$743,"Egreso")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SUMIFS(Movimientos!$J$1:$J$743,Movimientos!$C$1:$C$743,$B29,Movimientos!$D$1:$D$743,$C29,Movimientos!$L$1:$L$743,A$5,Movimientos!$F$1:$F$743,"Ingreso")</f>
        <v>0</v>
      </c>
      <c r="U29" s="44">
        <f>SUMIFS(Movimientos!$J$1:$J$743,Movimientos!$C$1:$C$743,$B29,Movimientos!$D$1:$D$743,$C29,Movimientos!$L$1:$L$743,A$5,Movimientos!$F$1:$F$743,"Egreso")</f>
        <v>8533.33</v>
      </c>
      <c r="V29" s="7">
        <f t="shared" si="2"/>
        <v>-8533.33</v>
      </c>
      <c r="W29" s="12">
        <f t="shared" si="9"/>
        <v>13493.819999999965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SUMIFS(Movimientos!$J$1:$J$743,Movimientos!$C$1:$C$743,$B30,Movimientos!$D$1:$D$743,$C30,Movimientos!$L$1:$L$743,A$3,Movimientos!$F$1:$F$743,"Ingreso")</f>
        <v>0</v>
      </c>
      <c r="K30" s="44">
        <f>SUMIFS(Movimientos!$J$1:$J$743,Movimientos!$C$1:$C$743,$B30,Movimientos!$D$1:$D$743,$C30,Movimientos!$L$1:$L$743,A$3,Movimientos!$F$1:$F$743,"Egreso")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SUMIFS(Movimientos!$J$1:$J$743,Movimientos!$C$1:$C$743,$B30,Movimientos!$D$1:$D$743,$C30,Movimientos!$L$1:$L$743,A$4,Movimientos!$F$1:$F$743,"Ingreso")</f>
        <v>0</v>
      </c>
      <c r="P30" s="44">
        <f>SUMIFS(Movimientos!$J$1:$J$743,Movimientos!$C$1:$C$743,$B30,Movimientos!$D$1:$D$743,$C30,Movimientos!$L$1:$L$743,A$4,Movimientos!$F$1:$F$743,"Egreso")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SUMIFS(Movimientos!$J$1:$J$743,Movimientos!$C$1:$C$743,$B30,Movimientos!$D$1:$D$743,$C30,Movimientos!$L$1:$L$743,A$5,Movimientos!$F$1:$F$743,"Ingreso")</f>
        <v>0</v>
      </c>
      <c r="U30" s="44">
        <f>SUMIFS(Movimientos!$J$1:$J$743,Movimientos!$C$1:$C$743,$B30,Movimientos!$D$1:$D$743,$C30,Movimientos!$L$1:$L$743,A$5,Movimientos!$F$1:$F$743,"Egreso")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SUMIFS(Movimientos!$J$1:$J$743,Movimientos!$C$1:$C$743,$B31,Movimientos!$D$1:$D$743,$C31,Movimientos!$L$1:$L$743,A$3,Movimientos!$F$1:$F$743,"Ingreso")</f>
        <v>15000</v>
      </c>
      <c r="K31" s="44">
        <f>SUMIFS(Movimientos!$J$1:$J$743,Movimientos!$C$1:$C$743,$B31,Movimientos!$D$1:$D$743,$C31,Movimientos!$L$1:$L$743,A$3,Movimientos!$F$1:$F$743,"Egreso")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SUMIFS(Movimientos!$J$1:$J$743,Movimientos!$C$1:$C$743,$B31,Movimientos!$D$1:$D$743,$C31,Movimientos!$L$1:$L$743,A$4,Movimientos!$F$1:$F$743,"Ingreso")</f>
        <v>15000</v>
      </c>
      <c r="P31" s="44">
        <f>SUMIFS(Movimientos!$J$1:$J$743,Movimientos!$C$1:$C$743,$B31,Movimientos!$D$1:$D$743,$C31,Movimientos!$L$1:$L$743,A$4,Movimientos!$F$1:$F$743,"Egreso")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SUMIFS(Movimientos!$J$1:$J$743,Movimientos!$C$1:$C$743,$B31,Movimientos!$D$1:$D$743,$C31,Movimientos!$L$1:$L$743,A$5,Movimientos!$F$1:$F$743,"Ingreso")</f>
        <v>0</v>
      </c>
      <c r="U31" s="44">
        <f>SUMIFS(Movimientos!$J$1:$J$743,Movimientos!$C$1:$C$743,$B31,Movimientos!$D$1:$D$743,$C31,Movimientos!$L$1:$L$743,A$5,Movimientos!$F$1:$F$743,"Egreso")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SUMIFS(Movimientos!$J$1:$J$743,Movimientos!$C$1:$C$743,$B32,Movimientos!$D$1:$D$743,$C32,Movimientos!$L$1:$L$743,A$3,Movimientos!$F$1:$F$743,"Ingreso")</f>
        <v>12000</v>
      </c>
      <c r="K32" s="44">
        <f>SUMIFS(Movimientos!$J$1:$J$743,Movimientos!$C$1:$C$743,$B32,Movimientos!$D$1:$D$743,$C32,Movimientos!$L$1:$L$743,A$3,Movimientos!$F$1:$F$743,"Egreso")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SUMIFS(Movimientos!$J$1:$J$743,Movimientos!$C$1:$C$743,$B32,Movimientos!$D$1:$D$743,$C32,Movimientos!$L$1:$L$743,A$4,Movimientos!$F$1:$F$743,"Ingreso")</f>
        <v>4400</v>
      </c>
      <c r="P32" s="44">
        <f>SUMIFS(Movimientos!$J$1:$J$743,Movimientos!$C$1:$C$743,$B32,Movimientos!$D$1:$D$743,$C32,Movimientos!$L$1:$L$743,A$4,Movimientos!$F$1:$F$743,"Egreso")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SUMIFS(Movimientos!$J$1:$J$743,Movimientos!$C$1:$C$743,$B32,Movimientos!$D$1:$D$743,$C32,Movimientos!$L$1:$L$743,A$5,Movimientos!$F$1:$F$743,"Ingreso")</f>
        <v>0</v>
      </c>
      <c r="U32" s="44">
        <f>SUMIFS(Movimientos!$J$1:$J$743,Movimientos!$C$1:$C$743,$B32,Movimientos!$D$1:$D$743,$C32,Movimientos!$L$1:$L$743,A$5,Movimientos!$F$1:$F$743,"Egreso")</f>
        <v>13379.460000000001</v>
      </c>
      <c r="V32" s="7">
        <f t="shared" si="2"/>
        <v>-13379.460000000001</v>
      </c>
      <c r="W32" s="12">
        <f t="shared" si="9"/>
        <v>10706.099999999997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SUMIFS(Movimientos!$J$1:$J$743,Movimientos!$C$1:$C$743,$B33,Movimientos!$D$1:$D$743,$C33,Movimientos!$L$1:$L$743,A$3,Movimientos!$F$1:$F$743,"Ingreso")</f>
        <v>59000</v>
      </c>
      <c r="K33" s="44">
        <f>SUMIFS(Movimientos!$J$1:$J$743,Movimientos!$C$1:$C$743,$B33,Movimientos!$D$1:$D$743,$C33,Movimientos!$L$1:$L$743,A$3,Movimientos!$F$1:$F$743,"Egreso")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SUMIFS(Movimientos!$J$1:$J$743,Movimientos!$C$1:$C$743,$B33,Movimientos!$D$1:$D$743,$C33,Movimientos!$L$1:$L$743,A$4,Movimientos!$F$1:$F$743,"Ingreso")</f>
        <v>50000</v>
      </c>
      <c r="P33" s="44">
        <f>SUMIFS(Movimientos!$J$1:$J$743,Movimientos!$C$1:$C$743,$B33,Movimientos!$D$1:$D$743,$C33,Movimientos!$L$1:$L$743,A$4,Movimientos!$F$1:$F$743,"Egreso")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SUMIFS(Movimientos!$J$1:$J$743,Movimientos!$C$1:$C$743,$B33,Movimientos!$D$1:$D$743,$C33,Movimientos!$L$1:$L$743,A$5,Movimientos!$F$1:$F$743,"Ingreso")</f>
        <v>13000</v>
      </c>
      <c r="U33" s="44">
        <f>SUMIFS(Movimientos!$J$1:$J$743,Movimientos!$C$1:$C$743,$B33,Movimientos!$D$1:$D$743,$C33,Movimientos!$L$1:$L$743,A$5,Movimientos!$F$1:$F$743,"Egreso")</f>
        <v>13000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SUMIFS(Movimientos!$J$1:$J$743,Movimientos!$C$1:$C$743,$B34,Movimientos!$D$1:$D$743,$C34,Movimientos!$L$1:$L$743,A$3,Movimientos!$F$1:$F$743,"Ingreso")</f>
        <v>59000</v>
      </c>
      <c r="K34" s="44">
        <f>SUMIFS(Movimientos!$J$1:$J$743,Movimientos!$C$1:$C$743,$B34,Movimientos!$D$1:$D$743,$C34,Movimientos!$L$1:$L$743,A$3,Movimientos!$F$1:$F$743,"Egreso")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SUMIFS(Movimientos!$J$1:$J$743,Movimientos!$C$1:$C$743,$B34,Movimientos!$D$1:$D$743,$C34,Movimientos!$L$1:$L$743,A$4,Movimientos!$F$1:$F$743,"Ingreso")</f>
        <v>50000</v>
      </c>
      <c r="P34" s="44">
        <f>SUMIFS(Movimientos!$J$1:$J$743,Movimientos!$C$1:$C$743,$B34,Movimientos!$D$1:$D$743,$C34,Movimientos!$L$1:$L$743,A$4,Movimientos!$F$1:$F$743,"Egreso")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SUMIFS(Movimientos!$J$1:$J$743,Movimientos!$C$1:$C$743,$B34,Movimientos!$D$1:$D$743,$C34,Movimientos!$L$1:$L$743,A$5,Movimientos!$F$1:$F$743,"Ingreso")</f>
        <v>13000</v>
      </c>
      <c r="U34" s="44">
        <f>SUMIFS(Movimientos!$J$1:$J$743,Movimientos!$C$1:$C$743,$B34,Movimientos!$D$1:$D$743,$C34,Movimientos!$L$1:$L$743,A$5,Movimientos!$F$1:$F$743,"Egreso")</f>
        <v>11773.96</v>
      </c>
      <c r="V34" s="7">
        <f t="shared" si="2"/>
        <v>1226.0400000000009</v>
      </c>
      <c r="W34" s="12">
        <f t="shared" si="9"/>
        <v>10184.75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SUMIFS(Movimientos!$J$1:$J$743,Movimientos!$C$1:$C$743,$B35,Movimientos!$D$1:$D$743,$C35,Movimientos!$L$1:$L$743,A$3,Movimientos!$F$1:$F$743,"Ingreso")</f>
        <v>0</v>
      </c>
      <c r="K35" s="44">
        <f>SUMIFS(Movimientos!$J$1:$J$743,Movimientos!$C$1:$C$743,$B35,Movimientos!$D$1:$D$743,$C35,Movimientos!$L$1:$L$743,A$3,Movimientos!$F$1:$F$743,"Egreso")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SUMIFS(Movimientos!$J$1:$J$743,Movimientos!$C$1:$C$743,$B35,Movimientos!$D$1:$D$743,$C35,Movimientos!$L$1:$L$743,A$4,Movimientos!$F$1:$F$743,"Ingreso")</f>
        <v>15000</v>
      </c>
      <c r="P35" s="44">
        <f>SUMIFS(Movimientos!$J$1:$J$743,Movimientos!$C$1:$C$743,$B35,Movimientos!$D$1:$D$743,$C35,Movimientos!$L$1:$L$743,A$4,Movimientos!$F$1:$F$743,"Egreso")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SUMIFS(Movimientos!$J$1:$J$743,Movimientos!$C$1:$C$743,$B35,Movimientos!$D$1:$D$743,$C35,Movimientos!$L$1:$L$743,A$5,Movimientos!$F$1:$F$743,"Ingreso")</f>
        <v>0</v>
      </c>
      <c r="U35" s="44">
        <f>SUMIFS(Movimientos!$J$1:$J$743,Movimientos!$C$1:$C$743,$B35,Movimientos!$D$1:$D$743,$C35,Movimientos!$L$1:$L$743,A$5,Movimientos!$F$1:$F$743,"Egreso")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99"/>
  <sheetViews>
    <sheetView showGridLines="0" zoomScale="80" zoomScaleNormal="80" workbookViewId="0">
      <pane xSplit="2" ySplit="1" topLeftCell="G75" activePane="bottomRight" state="frozen"/>
      <selection pane="topRight" activeCell="C1" sqref="C1"/>
      <selection pane="bottomLeft" activeCell="A2" sqref="A2"/>
      <selection pane="bottomRight" activeCell="A94" sqref="A94:XFD9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Group")+SUMIFS(Movimientos!$K$1:$K$743,Movimientos!$C$1:$C$743,"CFT Group",Movimientos!$B$1:$B$743,"&lt;="&amp;$B33)</f>
        <v>983394.14000000013</v>
      </c>
      <c r="D33" s="24">
        <f>SUMIFS('Saldos Iniciales'!$D:$D,'Saldos Iniciales'!$A:$A,"M1B")+SUMIFS(Movimientos!$K$1:$K$743,Movimientos!$C$1:$C$743,"M1B",Movimientos!$B$1:$B$743,"&lt;="&amp;$B33)</f>
        <v>69376.390000000174</v>
      </c>
      <c r="E33" s="24">
        <f>SUMIFS('Saldos Iniciales'!$D:$D,'Saldos Iniciales'!$A:$A,"Durand")+SUMIFS(Movimientos!$K$1:$K$743,Movimientos!$C$1:$C$743,"Durand",Movimientos!$B$1:$B$743,"&lt;="&amp;$B33)</f>
        <v>1669.89</v>
      </c>
      <c r="F33" s="24">
        <f>SUMIFS('Saldos Iniciales'!$D:$D,'Saldos Iniciales'!$A:$A,"A&amp;M Imports")+SUMIFS(Movimientos!$K$1:$K$743,Movimientos!$C$1:$C$743,"A&amp;M Imports",Movimientos!$B$1:$B$743,"&lt;="&amp;$B33)</f>
        <v>804853.11999999988</v>
      </c>
      <c r="G33" s="24">
        <f>SUMIFS('Saldos Iniciales'!$D:$D,'Saldos Iniciales'!$A:$A,"SSP Capital")+SUMIFS(Movimientos!$K$1:$K$743,Movimientos!$C$1:$C$743,"SSP Capital",Movimientos!$B$1:$B$743,"&lt;="&amp;$B33)</f>
        <v>1015901.6699999992</v>
      </c>
      <c r="H33" s="24">
        <f>SUMIFS('Saldos Iniciales'!$D:$D,'Saldos Iniciales'!$A:$A,"Cross Family Trust")+SUMIFS(Movimientos!$K$1:$K$743,Movimientos!$C$1:$C$743,"Cross Family Trust",Movimientos!$B$1:$B$743,"&lt;="&amp;$B33)</f>
        <v>131496.38</v>
      </c>
      <c r="I33" s="24">
        <f>SUMIFS('Saldos Iniciales'!$D:$D,'Saldos Iniciales'!$A:$A,"Cross Security Trust")+SUMIFS(Movimientos!$K$1:$K$743,Movimientos!$C$1:$C$743,"Cross Security Trust",Movimientos!$B$1:$B$743,"&lt;="&amp;$B33)</f>
        <v>88090.37</v>
      </c>
      <c r="J33" s="24">
        <f>SUMIFS('Saldos Iniciales'!$D:$D,'Saldos Iniciales'!$A:$A,"Electrama")+SUMIFS(Movimientos!$K$1:$K$743,Movimientos!$C$1:$C$743,"Electrama",Movimientos!$B$1:$B$743,"&lt;="&amp;$B33)</f>
        <v>511.15999999999985</v>
      </c>
      <c r="K33" s="24">
        <f>SUMIFS('Saldos Iniciales'!$D:$D,'Saldos Iniciales'!$A:$A,"Sacred Valley Capital")+SUMIFS(Movimientos!$K$1:$K$743,Movimientos!$C$1:$C$743,"Sacred Valley Capital",Movimientos!$B$1:$B$743,"&lt;="&amp;$B33)</f>
        <v>84.35</v>
      </c>
      <c r="L33" s="24">
        <f>SUMIFS('Saldos Iniciales'!$D:$D,'Saldos Iniciales'!$A:$A,"YWC Capital")+SUMIFS(Movimientos!$K$1:$K$743,Movimientos!$C$1:$C$743,"YWC Capital",Movimientos!$B$1:$B$743,"&lt;="&amp;$B33)</f>
        <v>2237.77</v>
      </c>
      <c r="M33" s="24">
        <f>SUMIFS('Saldos Iniciales'!$D:$D,'Saldos Iniciales'!$A:$A,"Soweto")+SUMIFS(Movimientos!$K$1:$K$743,Movimientos!$C$1:$C$743,"Soweto",Movimientos!$B$1:$B$743,"&lt;="&amp;$B33)</f>
        <v>3349.94</v>
      </c>
      <c r="N33" s="24">
        <f>SUMIFS('Saldos Iniciales'!$D:$D,'Saldos Iniciales'!$A:$A,"Green Stone Trust")+SUMIFS(Movimientos!$K$1:$K$743,Movimientos!$C$1:$C$743,"Green Stone Trust",Movimientos!$B$1:$B$743,"&lt;="&amp;$B33)</f>
        <v>1968.99</v>
      </c>
      <c r="O33" s="24">
        <f>SUMIFS('Saldos Iniciales'!$D:$D,'Saldos Iniciales'!$A:$A,"EC Auto")+SUMIFS(Movimientos!$K$1:$K$743,Movimientos!$C$1:$C$743,"EC Auto",Movimientos!$B$1:$B$743,"&lt;="&amp;$B33)</f>
        <v>901.34</v>
      </c>
      <c r="P33" s="24">
        <f>SUMIFS('Saldos Iniciales'!$D:$D,'Saldos Iniciales'!$A:$A,"Arbor Capital Properties")+SUMIFS(Movimientos!$K$1:$K$743,Movimientos!$C$1:$C$743,"Arbor Capital Properties",Movimientos!$B$1:$B$743,"&lt;="&amp;$B33)</f>
        <v>1428.08</v>
      </c>
      <c r="Q33" s="24">
        <f>SUMIFS('Saldos Iniciales'!$D:$D,'Saldos Iniciales'!$A:$A,"2515 Overbrook")+SUMIFS(Movimientos!$K$1:$K$743,Movimientos!$C$1:$C$743,"2515 Overbrook",Movimientos!$B$1:$B$743,"&lt;="&amp;$B33)</f>
        <v>26416.26999999996</v>
      </c>
      <c r="R33" s="24">
        <f>SUMIFS('Saldos Iniciales'!$D:$D,'Saldos Iniciales'!$A:$A,"112 Florida Ave")+SUMIFS(Movimientos!$K$1:$K$743,Movimientos!$C$1:$C$743,"112 Florida Ave",Movimientos!$B$1:$B$743,"&lt;="&amp;$B33)</f>
        <v>5321.4300000000021</v>
      </c>
      <c r="S33" s="24">
        <f>SUMIFS('Saldos Iniciales'!$D:$D,'Saldos Iniciales'!$A:$A,"3628 Thomas Ave")+SUMIFS(Movimientos!$K$1:$K$743,Movimientos!$C$1:$C$743,"3628 Thomas Ave",Movimientos!$B$1:$B$743,"&lt;="&amp;$B33)</f>
        <v>24833.23</v>
      </c>
      <c r="T33" s="24">
        <f>SUMIFS('Saldos Iniciales'!$D:$D,'Saldos Iniciales'!$A:$A,"Green Harbor Trust")+SUMIFS(Movimientos!$K$1:$K$743,Movimientos!$C$1:$C$743,"Green Harbor Trust",Movimientos!$B$1:$B$743,"&lt;="&amp;$B33)</f>
        <v>345</v>
      </c>
      <c r="U33" s="24">
        <f>SUMIFS('Saldos Iniciales'!$D:$D,'Saldos Iniciales'!$A:$A,"Go Blue")+SUMIFS(Movimientos!$K$1:$K$743,Movimientos!$C$1:$C$743,"Go Blue",Movimientos!$B$1:$B$743,"&lt;="&amp;$B33)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Group")+SUMIFS(Movimientos!$K$1:$K$743,Movimientos!$C$1:$C$743,"CFT Group",Movimientos!$B$1:$B$743,"&lt;="&amp;$B34)</f>
        <v>983394.14000000013</v>
      </c>
      <c r="D34" s="24">
        <f>SUMIFS('Saldos Iniciales'!$D:$D,'Saldos Iniciales'!$A:$A,"M1B")+SUMIFS(Movimientos!$K$1:$K$743,Movimientos!$C$1:$C$743,"M1B",Movimientos!$B$1:$B$743,"&lt;="&amp;$B34)</f>
        <v>69376.390000000174</v>
      </c>
      <c r="E34" s="24">
        <f>SUMIFS('Saldos Iniciales'!$D:$D,'Saldos Iniciales'!$A:$A,"Durand")+SUMIFS(Movimientos!$K$1:$K$743,Movimientos!$C$1:$C$743,"Durand",Movimientos!$B$1:$B$743,"&lt;="&amp;$B34)</f>
        <v>1669.89</v>
      </c>
      <c r="F34" s="24">
        <f>SUMIFS('Saldos Iniciales'!$D:$D,'Saldos Iniciales'!$A:$A,"A&amp;M Imports")+SUMIFS(Movimientos!$K$1:$K$743,Movimientos!$C$1:$C$743,"A&amp;M Imports",Movimientos!$B$1:$B$743,"&lt;="&amp;$B34)</f>
        <v>804853.11999999988</v>
      </c>
      <c r="G34" s="24">
        <f>SUMIFS('Saldos Iniciales'!$D:$D,'Saldos Iniciales'!$A:$A,"SSP Capital")+SUMIFS(Movimientos!$K$1:$K$743,Movimientos!$C$1:$C$743,"SSP Capital",Movimientos!$B$1:$B$743,"&lt;="&amp;$B34)</f>
        <v>1015901.6699999992</v>
      </c>
      <c r="H34" s="24">
        <f>SUMIFS('Saldos Iniciales'!$D:$D,'Saldos Iniciales'!$A:$A,"Cross Family Trust")+SUMIFS(Movimientos!$K$1:$K$743,Movimientos!$C$1:$C$743,"Cross Family Trust",Movimientos!$B$1:$B$743,"&lt;="&amp;$B34)</f>
        <v>131496.38</v>
      </c>
      <c r="I34" s="24">
        <f>SUMIFS('Saldos Iniciales'!$D:$D,'Saldos Iniciales'!$A:$A,"Cross Security Trust")+SUMIFS(Movimientos!$K$1:$K$743,Movimientos!$C$1:$C$743,"Cross Security Trust",Movimientos!$B$1:$B$743,"&lt;="&amp;$B34)</f>
        <v>88090.37</v>
      </c>
      <c r="J34" s="24">
        <f>SUMIFS('Saldos Iniciales'!$D:$D,'Saldos Iniciales'!$A:$A,"Electrama")+SUMIFS(Movimientos!$K$1:$K$743,Movimientos!$C$1:$C$743,"Electrama",Movimientos!$B$1:$B$743,"&lt;="&amp;$B34)</f>
        <v>511.15999999999985</v>
      </c>
      <c r="K34" s="24">
        <f>SUMIFS('Saldos Iniciales'!$D:$D,'Saldos Iniciales'!$A:$A,"Sacred Valley Capital")+SUMIFS(Movimientos!$K$1:$K$743,Movimientos!$C$1:$C$743,"Sacred Valley Capital",Movimientos!$B$1:$B$743,"&lt;="&amp;$B34)</f>
        <v>84.35</v>
      </c>
      <c r="L34" s="24">
        <f>SUMIFS('Saldos Iniciales'!$D:$D,'Saldos Iniciales'!$A:$A,"YWC Capital")+SUMIFS(Movimientos!$K$1:$K$743,Movimientos!$C$1:$C$743,"YWC Capital",Movimientos!$B$1:$B$743,"&lt;="&amp;$B34)</f>
        <v>2237.77</v>
      </c>
      <c r="M34" s="24">
        <f>SUMIFS('Saldos Iniciales'!$D:$D,'Saldos Iniciales'!$A:$A,"Soweto")+SUMIFS(Movimientos!$K$1:$K$743,Movimientos!$C$1:$C$743,"Soweto",Movimientos!$B$1:$B$743,"&lt;="&amp;$B34)</f>
        <v>3349.94</v>
      </c>
      <c r="N34" s="24">
        <f>SUMIFS('Saldos Iniciales'!$D:$D,'Saldos Iniciales'!$A:$A,"Green Stone Trust")+SUMIFS(Movimientos!$K$1:$K$743,Movimientos!$C$1:$C$743,"Green Stone Trust",Movimientos!$B$1:$B$743,"&lt;="&amp;$B34)</f>
        <v>1968.99</v>
      </c>
      <c r="O34" s="24">
        <f>SUMIFS('Saldos Iniciales'!$D:$D,'Saldos Iniciales'!$A:$A,"EC Auto")+SUMIFS(Movimientos!$K$1:$K$743,Movimientos!$C$1:$C$743,"EC Auto",Movimientos!$B$1:$B$743,"&lt;="&amp;$B34)</f>
        <v>901.34</v>
      </c>
      <c r="P34" s="24">
        <f>SUMIFS('Saldos Iniciales'!$D:$D,'Saldos Iniciales'!$A:$A,"Arbor Capital Properties")+SUMIFS(Movimientos!$K$1:$K$743,Movimientos!$C$1:$C$743,"Arbor Capital Properties",Movimientos!$B$1:$B$743,"&lt;="&amp;$B34)</f>
        <v>1428.08</v>
      </c>
      <c r="Q34" s="24">
        <f>SUMIFS('Saldos Iniciales'!$D:$D,'Saldos Iniciales'!$A:$A,"2515 Overbrook")+SUMIFS(Movimientos!$K$1:$K$743,Movimientos!$C$1:$C$743,"2515 Overbrook",Movimientos!$B$1:$B$743,"&lt;="&amp;$B34)</f>
        <v>25789.969999999961</v>
      </c>
      <c r="R34" s="24">
        <f>SUMIFS('Saldos Iniciales'!$D:$D,'Saldos Iniciales'!$A:$A,"112 Florida Ave")+SUMIFS(Movimientos!$K$1:$K$743,Movimientos!$C$1:$C$743,"112 Florida Ave",Movimientos!$B$1:$B$743,"&lt;="&amp;$B34)</f>
        <v>5321.4300000000021</v>
      </c>
      <c r="S34" s="24">
        <f>SUMIFS('Saldos Iniciales'!$D:$D,'Saldos Iniciales'!$A:$A,"3628 Thomas Ave")+SUMIFS(Movimientos!$K$1:$K$743,Movimientos!$C$1:$C$743,"3628 Thomas Ave",Movimientos!$B$1:$B$743,"&lt;="&amp;$B34)</f>
        <v>24833.23</v>
      </c>
      <c r="T34" s="24">
        <f>SUMIFS('Saldos Iniciales'!$D:$D,'Saldos Iniciales'!$A:$A,"Green Harbor Trust")+SUMIFS(Movimientos!$K$1:$K$743,Movimientos!$C$1:$C$743,"Green Harbor Trust",Movimientos!$B$1:$B$743,"&lt;="&amp;$B34)</f>
        <v>345</v>
      </c>
      <c r="U34" s="24">
        <f>SUMIFS('Saldos Iniciales'!$D:$D,'Saldos Iniciales'!$A:$A,"Go Blue")+SUMIFS(Movimientos!$K$1:$K$743,Movimientos!$C$1:$C$743,"Go Blue",Movimientos!$B$1:$B$743,"&lt;="&amp;$B34)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Group")+SUMIFS(Movimientos!$K$1:$K$743,Movimientos!$C$1:$C$743,"CFT Group",Movimientos!$B$1:$B$743,"&lt;="&amp;$B35)</f>
        <v>983394.14000000013</v>
      </c>
      <c r="D35" s="24">
        <f>SUMIFS('Saldos Iniciales'!$D:$D,'Saldos Iniciales'!$A:$A,"M1B")+SUMIFS(Movimientos!$K$1:$K$743,Movimientos!$C$1:$C$743,"M1B",Movimientos!$B$1:$B$743,"&lt;="&amp;$B35)</f>
        <v>69376.390000000174</v>
      </c>
      <c r="E35" s="24">
        <f>SUMIFS('Saldos Iniciales'!$D:$D,'Saldos Iniciales'!$A:$A,"Durand")+SUMIFS(Movimientos!$K$1:$K$743,Movimientos!$C$1:$C$743,"Durand",Movimientos!$B$1:$B$743,"&lt;="&amp;$B35)</f>
        <v>1669.89</v>
      </c>
      <c r="F35" s="24">
        <f>SUMIFS('Saldos Iniciales'!$D:$D,'Saldos Iniciales'!$A:$A,"A&amp;M Imports")+SUMIFS(Movimientos!$K$1:$K$743,Movimientos!$C$1:$C$743,"A&amp;M Imports",Movimientos!$B$1:$B$743,"&lt;="&amp;$B35)</f>
        <v>804853.11999999988</v>
      </c>
      <c r="G35" s="24">
        <f>SUMIFS('Saldos Iniciales'!$D:$D,'Saldos Iniciales'!$A:$A,"SSP Capital")+SUMIFS(Movimientos!$K$1:$K$743,Movimientos!$C$1:$C$743,"SSP Capital",Movimientos!$B$1:$B$743,"&lt;="&amp;$B35)</f>
        <v>1015611.6599999993</v>
      </c>
      <c r="H35" s="24">
        <f>SUMIFS('Saldos Iniciales'!$D:$D,'Saldos Iniciales'!$A:$A,"Cross Family Trust")+SUMIFS(Movimientos!$K$1:$K$743,Movimientos!$C$1:$C$743,"Cross Family Trust",Movimientos!$B$1:$B$743,"&lt;="&amp;$B35)</f>
        <v>125496.38</v>
      </c>
      <c r="I35" s="24">
        <f>SUMIFS('Saldos Iniciales'!$D:$D,'Saldos Iniciales'!$A:$A,"Cross Security Trust")+SUMIFS(Movimientos!$K$1:$K$743,Movimientos!$C$1:$C$743,"Cross Security Trust",Movimientos!$B$1:$B$743,"&lt;="&amp;$B35)</f>
        <v>88090.37</v>
      </c>
      <c r="J35" s="24">
        <f>SUMIFS('Saldos Iniciales'!$D:$D,'Saldos Iniciales'!$A:$A,"Electrama")+SUMIFS(Movimientos!$K$1:$K$743,Movimientos!$C$1:$C$743,"Electrama",Movimientos!$B$1:$B$743,"&lt;="&amp;$B35)</f>
        <v>511.15999999999985</v>
      </c>
      <c r="K35" s="24">
        <f>SUMIFS('Saldos Iniciales'!$D:$D,'Saldos Iniciales'!$A:$A,"Sacred Valley Capital")+SUMIFS(Movimientos!$K$1:$K$743,Movimientos!$C$1:$C$743,"Sacred Valley Capital",Movimientos!$B$1:$B$743,"&lt;="&amp;$B35)</f>
        <v>84.35</v>
      </c>
      <c r="L35" s="24">
        <f>SUMIFS('Saldos Iniciales'!$D:$D,'Saldos Iniciales'!$A:$A,"YWC Capital")+SUMIFS(Movimientos!$K$1:$K$743,Movimientos!$C$1:$C$743,"YWC Capital",Movimientos!$B$1:$B$743,"&lt;="&amp;$B35)</f>
        <v>2237.77</v>
      </c>
      <c r="M35" s="24">
        <f>SUMIFS('Saldos Iniciales'!$D:$D,'Saldos Iniciales'!$A:$A,"Soweto")+SUMIFS(Movimientos!$K$1:$K$743,Movimientos!$C$1:$C$743,"Soweto",Movimientos!$B$1:$B$743,"&lt;="&amp;$B35)</f>
        <v>3349.94</v>
      </c>
      <c r="N35" s="24">
        <f>SUMIFS('Saldos Iniciales'!$D:$D,'Saldos Iniciales'!$A:$A,"Green Stone Trust")+SUMIFS(Movimientos!$K$1:$K$743,Movimientos!$C$1:$C$743,"Green Stone Trust",Movimientos!$B$1:$B$743,"&lt;="&amp;$B35)</f>
        <v>1968.99</v>
      </c>
      <c r="O35" s="24">
        <f>SUMIFS('Saldos Iniciales'!$D:$D,'Saldos Iniciales'!$A:$A,"EC Auto")+SUMIFS(Movimientos!$K$1:$K$743,Movimientos!$C$1:$C$743,"EC Auto",Movimientos!$B$1:$B$743,"&lt;="&amp;$B35)</f>
        <v>901.34</v>
      </c>
      <c r="P35" s="24">
        <f>SUMIFS('Saldos Iniciales'!$D:$D,'Saldos Iniciales'!$A:$A,"Arbor Capital Properties")+SUMIFS(Movimientos!$K$1:$K$743,Movimientos!$C$1:$C$743,"Arbor Capital Properties",Movimientos!$B$1:$B$743,"&lt;="&amp;$B35)</f>
        <v>1428.08</v>
      </c>
      <c r="Q35" s="24">
        <f>SUMIFS('Saldos Iniciales'!$D:$D,'Saldos Iniciales'!$A:$A,"2515 Overbrook")+SUMIFS(Movimientos!$K$1:$K$743,Movimientos!$C$1:$C$743,"2515 Overbrook",Movimientos!$B$1:$B$743,"&lt;="&amp;$B35)</f>
        <v>25789.969999999961</v>
      </c>
      <c r="R35" s="24">
        <f>SUMIFS('Saldos Iniciales'!$D:$D,'Saldos Iniciales'!$A:$A,"112 Florida Ave")+SUMIFS(Movimientos!$K$1:$K$743,Movimientos!$C$1:$C$743,"112 Florida Ave",Movimientos!$B$1:$B$743,"&lt;="&amp;$B35)</f>
        <v>5321.4300000000021</v>
      </c>
      <c r="S35" s="24">
        <f>SUMIFS('Saldos Iniciales'!$D:$D,'Saldos Iniciales'!$A:$A,"3628 Thomas Ave")+SUMIFS(Movimientos!$K$1:$K$743,Movimientos!$C$1:$C$743,"3628 Thomas Ave",Movimientos!$B$1:$B$743,"&lt;="&amp;$B35)</f>
        <v>24833.23</v>
      </c>
      <c r="T35" s="24">
        <f>SUMIFS('Saldos Iniciales'!$D:$D,'Saldos Iniciales'!$A:$A,"Green Harbor Trust")+SUMIFS(Movimientos!$K$1:$K$743,Movimientos!$C$1:$C$743,"Green Harbor Trust",Movimientos!$B$1:$B$743,"&lt;="&amp;$B35)</f>
        <v>345</v>
      </c>
      <c r="U35" s="24">
        <f>SUMIFS('Saldos Iniciales'!$D:$D,'Saldos Iniciales'!$A:$A,"Go Blue")+SUMIFS(Movimientos!$K$1:$K$743,Movimientos!$C$1:$C$743,"Go Blue",Movimientos!$B$1:$B$743,"&lt;="&amp;$B35)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Group")+SUMIFS(Movimientos!$K$1:$K$743,Movimientos!$C$1:$C$743,"CFT Group",Movimientos!$B$1:$B$743,"&lt;="&amp;$B36)</f>
        <v>733394.14000000013</v>
      </c>
      <c r="D36" s="24">
        <f>SUMIFS('Saldos Iniciales'!$D:$D,'Saldos Iniciales'!$A:$A,"M1B")+SUMIFS(Movimientos!$K$1:$K$743,Movimientos!$C$1:$C$743,"M1B",Movimientos!$B$1:$B$743,"&lt;="&amp;$B36)</f>
        <v>69376.390000000174</v>
      </c>
      <c r="E36" s="24">
        <f>SUMIFS('Saldos Iniciales'!$D:$D,'Saldos Iniciales'!$A:$A,"Durand")+SUMIFS(Movimientos!$K$1:$K$743,Movimientos!$C$1:$C$743,"Durand",Movimientos!$B$1:$B$743,"&lt;="&amp;$B36)</f>
        <v>1669.89</v>
      </c>
      <c r="F36" s="24">
        <f>SUMIFS('Saldos Iniciales'!$D:$D,'Saldos Iniciales'!$A:$A,"A&amp;M Imports")+SUMIFS(Movimientos!$K$1:$K$743,Movimientos!$C$1:$C$743,"A&amp;M Imports",Movimientos!$B$1:$B$743,"&lt;="&amp;$B36)</f>
        <v>729545.23999999987</v>
      </c>
      <c r="G36" s="24">
        <f>SUMIFS('Saldos Iniciales'!$D:$D,'Saldos Iniciales'!$A:$A,"SSP Capital")+SUMIFS(Movimientos!$K$1:$K$743,Movimientos!$C$1:$C$743,"SSP Capital",Movimientos!$B$1:$B$743,"&lt;="&amp;$B36)</f>
        <v>1171714.4499999993</v>
      </c>
      <c r="H36" s="24">
        <f>SUMIFS('Saldos Iniciales'!$D:$D,'Saldos Iniciales'!$A:$A,"Cross Family Trust")+SUMIFS(Movimientos!$K$1:$K$743,Movimientos!$C$1:$C$743,"Cross Family Trust",Movimientos!$B$1:$B$743,"&lt;="&amp;$B36)</f>
        <v>116496.38</v>
      </c>
      <c r="I36" s="24">
        <f>SUMIFS('Saldos Iniciales'!$D:$D,'Saldos Iniciales'!$A:$A,"Cross Security Trust")+SUMIFS(Movimientos!$K$1:$K$743,Movimientos!$C$1:$C$743,"Cross Security Trust",Movimientos!$B$1:$B$743,"&lt;="&amp;$B36)</f>
        <v>88090.37</v>
      </c>
      <c r="J36" s="24">
        <f>SUMIFS('Saldos Iniciales'!$D:$D,'Saldos Iniciales'!$A:$A,"Electrama")+SUMIFS(Movimientos!$K$1:$K$743,Movimientos!$C$1:$C$743,"Electrama",Movimientos!$B$1:$B$743,"&lt;="&amp;$B36)</f>
        <v>511.15999999999985</v>
      </c>
      <c r="K36" s="24">
        <f>SUMIFS('Saldos Iniciales'!$D:$D,'Saldos Iniciales'!$A:$A,"Sacred Valley Capital")+SUMIFS(Movimientos!$K$1:$K$743,Movimientos!$C$1:$C$743,"Sacred Valley Capital",Movimientos!$B$1:$B$743,"&lt;="&amp;$B36)</f>
        <v>84.35</v>
      </c>
      <c r="L36" s="24">
        <f>SUMIFS('Saldos Iniciales'!$D:$D,'Saldos Iniciales'!$A:$A,"YWC Capital")+SUMIFS(Movimientos!$K$1:$K$743,Movimientos!$C$1:$C$743,"YWC Capital",Movimientos!$B$1:$B$743,"&lt;="&amp;$B36)</f>
        <v>2237.77</v>
      </c>
      <c r="M36" s="24">
        <f>SUMIFS('Saldos Iniciales'!$D:$D,'Saldos Iniciales'!$A:$A,"Soweto")+SUMIFS(Movimientos!$K$1:$K$743,Movimientos!$C$1:$C$743,"Soweto",Movimientos!$B$1:$B$743,"&lt;="&amp;$B36)</f>
        <v>3349.94</v>
      </c>
      <c r="N36" s="24">
        <f>SUMIFS('Saldos Iniciales'!$D:$D,'Saldos Iniciales'!$A:$A,"Green Stone Trust")+SUMIFS(Movimientos!$K$1:$K$743,Movimientos!$C$1:$C$743,"Green Stone Trust",Movimientos!$B$1:$B$743,"&lt;="&amp;$B36)</f>
        <v>1968.99</v>
      </c>
      <c r="O36" s="24">
        <f>SUMIFS('Saldos Iniciales'!$D:$D,'Saldos Iniciales'!$A:$A,"EC Auto")+SUMIFS(Movimientos!$K$1:$K$743,Movimientos!$C$1:$C$743,"EC Auto",Movimientos!$B$1:$B$743,"&lt;="&amp;$B36)</f>
        <v>382.69000000000005</v>
      </c>
      <c r="P36" s="24">
        <f>SUMIFS('Saldos Iniciales'!$D:$D,'Saldos Iniciales'!$A:$A,"Arbor Capital Properties")+SUMIFS(Movimientos!$K$1:$K$743,Movimientos!$C$1:$C$743,"Arbor Capital Properties",Movimientos!$B$1:$B$743,"&lt;="&amp;$B36)</f>
        <v>1428.08</v>
      </c>
      <c r="Q36" s="24">
        <f>SUMIFS('Saldos Iniciales'!$D:$D,'Saldos Iniciales'!$A:$A,"2515 Overbrook")+SUMIFS(Movimientos!$K$1:$K$743,Movimientos!$C$1:$C$743,"2515 Overbrook",Movimientos!$B$1:$B$743,"&lt;="&amp;$B36)</f>
        <v>25789.969999999961</v>
      </c>
      <c r="R36" s="24">
        <f>SUMIFS('Saldos Iniciales'!$D:$D,'Saldos Iniciales'!$A:$A,"112 Florida Ave")+SUMIFS(Movimientos!$K$1:$K$743,Movimientos!$C$1:$C$743,"112 Florida Ave",Movimientos!$B$1:$B$743,"&lt;="&amp;$B36)</f>
        <v>5321.4300000000021</v>
      </c>
      <c r="S36" s="24">
        <f>SUMIFS('Saldos Iniciales'!$D:$D,'Saldos Iniciales'!$A:$A,"3628 Thomas Ave")+SUMIFS(Movimientos!$K$1:$K$743,Movimientos!$C$1:$C$743,"3628 Thomas Ave",Movimientos!$B$1:$B$743,"&lt;="&amp;$B36)</f>
        <v>24833.23</v>
      </c>
      <c r="T36" s="24">
        <f>SUMIFS('Saldos Iniciales'!$D:$D,'Saldos Iniciales'!$A:$A,"Green Harbor Trust")+SUMIFS(Movimientos!$K$1:$K$743,Movimientos!$C$1:$C$743,"Green Harbor Trust",Movimientos!$B$1:$B$743,"&lt;="&amp;$B36)</f>
        <v>345</v>
      </c>
      <c r="U36" s="24">
        <f>SUMIFS('Saldos Iniciales'!$D:$D,'Saldos Iniciales'!$A:$A,"Go Blue")+SUMIFS(Movimientos!$K$1:$K$743,Movimientos!$C$1:$C$743,"Go Blue",Movimientos!$B$1:$B$743,"&lt;="&amp;$B36)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Group")+SUMIFS(Movimientos!$K$1:$K$743,Movimientos!$C$1:$C$743,"CFT Group",Movimientos!$B$1:$B$743,"&lt;="&amp;$B37)</f>
        <v>733394.14000000013</v>
      </c>
      <c r="D37" s="24">
        <f>SUMIFS('Saldos Iniciales'!$D:$D,'Saldos Iniciales'!$A:$A,"M1B")+SUMIFS(Movimientos!$K$1:$K$743,Movimientos!$C$1:$C$743,"M1B",Movimientos!$B$1:$B$743,"&lt;="&amp;$B37)</f>
        <v>69376.390000000174</v>
      </c>
      <c r="E37" s="24">
        <f>SUMIFS('Saldos Iniciales'!$D:$D,'Saldos Iniciales'!$A:$A,"Durand")+SUMIFS(Movimientos!$K$1:$K$743,Movimientos!$C$1:$C$743,"Durand",Movimientos!$B$1:$B$743,"&lt;="&amp;$B37)</f>
        <v>1669.89</v>
      </c>
      <c r="F37" s="24">
        <f>SUMIFS('Saldos Iniciales'!$D:$D,'Saldos Iniciales'!$A:$A,"A&amp;M Imports")+SUMIFS(Movimientos!$K$1:$K$743,Movimientos!$C$1:$C$743,"A&amp;M Imports",Movimientos!$B$1:$B$743,"&lt;="&amp;$B37)</f>
        <v>729545.23999999987</v>
      </c>
      <c r="G37" s="24">
        <f>SUMIFS('Saldos Iniciales'!$D:$D,'Saldos Iniciales'!$A:$A,"SSP Capital")+SUMIFS(Movimientos!$K$1:$K$743,Movimientos!$C$1:$C$743,"SSP Capital",Movimientos!$B$1:$B$743,"&lt;="&amp;$B37)</f>
        <v>1164028.3199999994</v>
      </c>
      <c r="H37" s="24">
        <f>SUMIFS('Saldos Iniciales'!$D:$D,'Saldos Iniciales'!$A:$A,"Cross Family Trust")+SUMIFS(Movimientos!$K$1:$K$743,Movimientos!$C$1:$C$743,"Cross Family Trust",Movimientos!$B$1:$B$743,"&lt;="&amp;$B37)</f>
        <v>116496.38</v>
      </c>
      <c r="I37" s="24">
        <f>SUMIFS('Saldos Iniciales'!$D:$D,'Saldos Iniciales'!$A:$A,"Cross Security Trust")+SUMIFS(Movimientos!$K$1:$K$743,Movimientos!$C$1:$C$743,"Cross Security Trust",Movimientos!$B$1:$B$743,"&lt;="&amp;$B37)</f>
        <v>88090.37</v>
      </c>
      <c r="J37" s="24">
        <f>SUMIFS('Saldos Iniciales'!$D:$D,'Saldos Iniciales'!$A:$A,"Electrama")+SUMIFS(Movimientos!$K$1:$K$743,Movimientos!$C$1:$C$743,"Electrama",Movimientos!$B$1:$B$743,"&lt;="&amp;$B37)</f>
        <v>511.15999999999985</v>
      </c>
      <c r="K37" s="24">
        <f>SUMIFS('Saldos Iniciales'!$D:$D,'Saldos Iniciales'!$A:$A,"Sacred Valley Capital")+SUMIFS(Movimientos!$K$1:$K$743,Movimientos!$C$1:$C$743,"Sacred Valley Capital",Movimientos!$B$1:$B$743,"&lt;="&amp;$B37)</f>
        <v>84.35</v>
      </c>
      <c r="L37" s="24">
        <f>SUMIFS('Saldos Iniciales'!$D:$D,'Saldos Iniciales'!$A:$A,"YWC Capital")+SUMIFS(Movimientos!$K$1:$K$743,Movimientos!$C$1:$C$743,"YWC Capital",Movimientos!$B$1:$B$743,"&lt;="&amp;$B37)</f>
        <v>2237.77</v>
      </c>
      <c r="M37" s="24">
        <f>SUMIFS('Saldos Iniciales'!$D:$D,'Saldos Iniciales'!$A:$A,"Soweto")+SUMIFS(Movimientos!$K$1:$K$743,Movimientos!$C$1:$C$743,"Soweto",Movimientos!$B$1:$B$743,"&lt;="&amp;$B37)</f>
        <v>3349.94</v>
      </c>
      <c r="N37" s="24">
        <f>SUMIFS('Saldos Iniciales'!$D:$D,'Saldos Iniciales'!$A:$A,"Green Stone Trust")+SUMIFS(Movimientos!$K$1:$K$743,Movimientos!$C$1:$C$743,"Green Stone Trust",Movimientos!$B$1:$B$743,"&lt;="&amp;$B37)</f>
        <v>1968.99</v>
      </c>
      <c r="O37" s="24">
        <f>SUMIFS('Saldos Iniciales'!$D:$D,'Saldos Iniciales'!$A:$A,"EC Auto")+SUMIFS(Movimientos!$K$1:$K$743,Movimientos!$C$1:$C$743,"EC Auto",Movimientos!$B$1:$B$743,"&lt;="&amp;$B37)</f>
        <v>382.69000000000005</v>
      </c>
      <c r="P37" s="24">
        <f>SUMIFS('Saldos Iniciales'!$D:$D,'Saldos Iniciales'!$A:$A,"Arbor Capital Properties")+SUMIFS(Movimientos!$K$1:$K$743,Movimientos!$C$1:$C$743,"Arbor Capital Properties",Movimientos!$B$1:$B$743,"&lt;="&amp;$B37)</f>
        <v>1428.08</v>
      </c>
      <c r="Q37" s="24">
        <f>SUMIFS('Saldos Iniciales'!$D:$D,'Saldos Iniciales'!$A:$A,"2515 Overbrook")+SUMIFS(Movimientos!$K$1:$K$743,Movimientos!$C$1:$C$743,"2515 Overbrook",Movimientos!$B$1:$B$743,"&lt;="&amp;$B37)</f>
        <v>25789.969999999961</v>
      </c>
      <c r="R37" s="24">
        <f>SUMIFS('Saldos Iniciales'!$D:$D,'Saldos Iniciales'!$A:$A,"112 Florida Ave")+SUMIFS(Movimientos!$K$1:$K$743,Movimientos!$C$1:$C$743,"112 Florida Ave",Movimientos!$B$1:$B$743,"&lt;="&amp;$B37)</f>
        <v>5321.4300000000021</v>
      </c>
      <c r="S37" s="24">
        <f>SUMIFS('Saldos Iniciales'!$D:$D,'Saldos Iniciales'!$A:$A,"3628 Thomas Ave")+SUMIFS(Movimientos!$K$1:$K$743,Movimientos!$C$1:$C$743,"3628 Thomas Ave",Movimientos!$B$1:$B$743,"&lt;="&amp;$B37)</f>
        <v>24833.23</v>
      </c>
      <c r="T37" s="24">
        <f>SUMIFS('Saldos Iniciales'!$D:$D,'Saldos Iniciales'!$A:$A,"Green Harbor Trust")+SUMIFS(Movimientos!$K$1:$K$743,Movimientos!$C$1:$C$743,"Green Harbor Trust",Movimientos!$B$1:$B$743,"&lt;="&amp;$B37)</f>
        <v>345</v>
      </c>
      <c r="U37" s="24">
        <f>SUMIFS('Saldos Iniciales'!$D:$D,'Saldos Iniciales'!$A:$A,"Go Blue")+SUMIFS(Movimientos!$K$1:$K$743,Movimientos!$C$1:$C$743,"Go Blue",Movimientos!$B$1:$B$743,"&lt;="&amp;$B37)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Group")+SUMIFS(Movimientos!$K$1:$K$743,Movimientos!$C$1:$C$743,"CFT Group",Movimientos!$B$1:$B$743,"&lt;="&amp;$B38)</f>
        <v>733394.14000000013</v>
      </c>
      <c r="D38" s="24">
        <f>SUMIFS('Saldos Iniciales'!$D:$D,'Saldos Iniciales'!$A:$A,"M1B")+SUMIFS(Movimientos!$K$1:$K$743,Movimientos!$C$1:$C$743,"M1B",Movimientos!$B$1:$B$743,"&lt;="&amp;$B38)</f>
        <v>69376.390000000174</v>
      </c>
      <c r="E38" s="24">
        <f>SUMIFS('Saldos Iniciales'!$D:$D,'Saldos Iniciales'!$A:$A,"Durand")+SUMIFS(Movimientos!$K$1:$K$743,Movimientos!$C$1:$C$743,"Durand",Movimientos!$B$1:$B$743,"&lt;="&amp;$B38)</f>
        <v>1669.89</v>
      </c>
      <c r="F38" s="24">
        <f>SUMIFS('Saldos Iniciales'!$D:$D,'Saldos Iniciales'!$A:$A,"A&amp;M Imports")+SUMIFS(Movimientos!$K$1:$K$743,Movimientos!$C$1:$C$743,"A&amp;M Imports",Movimientos!$B$1:$B$743,"&lt;="&amp;$B38)</f>
        <v>729545.23999999987</v>
      </c>
      <c r="G38" s="24">
        <f>SUMIFS('Saldos Iniciales'!$D:$D,'Saldos Iniciales'!$A:$A,"SSP Capital")+SUMIFS(Movimientos!$K$1:$K$743,Movimientos!$C$1:$C$743,"SSP Capital",Movimientos!$B$1:$B$743,"&lt;="&amp;$B38)</f>
        <v>1164028.3199999994</v>
      </c>
      <c r="H38" s="24">
        <f>SUMIFS('Saldos Iniciales'!$D:$D,'Saldos Iniciales'!$A:$A,"Cross Family Trust")+SUMIFS(Movimientos!$K$1:$K$743,Movimientos!$C$1:$C$743,"Cross Family Trust",Movimientos!$B$1:$B$743,"&lt;="&amp;$B38)</f>
        <v>116496.38</v>
      </c>
      <c r="I38" s="24">
        <f>SUMIFS('Saldos Iniciales'!$D:$D,'Saldos Iniciales'!$A:$A,"Cross Security Trust")+SUMIFS(Movimientos!$K$1:$K$743,Movimientos!$C$1:$C$743,"Cross Security Trust",Movimientos!$B$1:$B$743,"&lt;="&amp;$B38)</f>
        <v>88090.37</v>
      </c>
      <c r="J38" s="24">
        <f>SUMIFS('Saldos Iniciales'!$D:$D,'Saldos Iniciales'!$A:$A,"Electrama")+SUMIFS(Movimientos!$K$1:$K$743,Movimientos!$C$1:$C$743,"Electrama",Movimientos!$B$1:$B$743,"&lt;="&amp;$B38)</f>
        <v>511.15999999999985</v>
      </c>
      <c r="K38" s="24">
        <f>SUMIFS('Saldos Iniciales'!$D:$D,'Saldos Iniciales'!$A:$A,"Sacred Valley Capital")+SUMIFS(Movimientos!$K$1:$K$743,Movimientos!$C$1:$C$743,"Sacred Valley Capital",Movimientos!$B$1:$B$743,"&lt;="&amp;$B38)</f>
        <v>84.35</v>
      </c>
      <c r="L38" s="24">
        <f>SUMIFS('Saldos Iniciales'!$D:$D,'Saldos Iniciales'!$A:$A,"YWC Capital")+SUMIFS(Movimientos!$K$1:$K$743,Movimientos!$C$1:$C$743,"YWC Capital",Movimientos!$B$1:$B$743,"&lt;="&amp;$B38)</f>
        <v>2237.77</v>
      </c>
      <c r="M38" s="24">
        <f>SUMIFS('Saldos Iniciales'!$D:$D,'Saldos Iniciales'!$A:$A,"Soweto")+SUMIFS(Movimientos!$K$1:$K$743,Movimientos!$C$1:$C$743,"Soweto",Movimientos!$B$1:$B$743,"&lt;="&amp;$B38)</f>
        <v>3349.94</v>
      </c>
      <c r="N38" s="24">
        <f>SUMIFS('Saldos Iniciales'!$D:$D,'Saldos Iniciales'!$A:$A,"Green Stone Trust")+SUMIFS(Movimientos!$K$1:$K$743,Movimientos!$C$1:$C$743,"Green Stone Trust",Movimientos!$B$1:$B$743,"&lt;="&amp;$B38)</f>
        <v>1968.99</v>
      </c>
      <c r="O38" s="24">
        <f>SUMIFS('Saldos Iniciales'!$D:$D,'Saldos Iniciales'!$A:$A,"EC Auto")+SUMIFS(Movimientos!$K$1:$K$743,Movimientos!$C$1:$C$743,"EC Auto",Movimientos!$B$1:$B$743,"&lt;="&amp;$B38)</f>
        <v>382.69000000000005</v>
      </c>
      <c r="P38" s="24">
        <f>SUMIFS('Saldos Iniciales'!$D:$D,'Saldos Iniciales'!$A:$A,"Arbor Capital Properties")+SUMIFS(Movimientos!$K$1:$K$743,Movimientos!$C$1:$C$743,"Arbor Capital Properties",Movimientos!$B$1:$B$743,"&lt;="&amp;$B38)</f>
        <v>1428.08</v>
      </c>
      <c r="Q38" s="24">
        <f>SUMIFS('Saldos Iniciales'!$D:$D,'Saldos Iniciales'!$A:$A,"2515 Overbrook")+SUMIFS(Movimientos!$K$1:$K$743,Movimientos!$C$1:$C$743,"2515 Overbrook",Movimientos!$B$1:$B$743,"&lt;="&amp;$B38)</f>
        <v>25789.969999999961</v>
      </c>
      <c r="R38" s="24">
        <f>SUMIFS('Saldos Iniciales'!$D:$D,'Saldos Iniciales'!$A:$A,"112 Florida Ave")+SUMIFS(Movimientos!$K$1:$K$743,Movimientos!$C$1:$C$743,"112 Florida Ave",Movimientos!$B$1:$B$743,"&lt;="&amp;$B38)</f>
        <v>5321.4300000000021</v>
      </c>
      <c r="S38" s="24">
        <f>SUMIFS('Saldos Iniciales'!$D:$D,'Saldos Iniciales'!$A:$A,"3628 Thomas Ave")+SUMIFS(Movimientos!$K$1:$K$743,Movimientos!$C$1:$C$743,"3628 Thomas Ave",Movimientos!$B$1:$B$743,"&lt;="&amp;$B38)</f>
        <v>24833.23</v>
      </c>
      <c r="T38" s="24">
        <f>SUMIFS('Saldos Iniciales'!$D:$D,'Saldos Iniciales'!$A:$A,"Green Harbor Trust")+SUMIFS(Movimientos!$K$1:$K$743,Movimientos!$C$1:$C$743,"Green Harbor Trust",Movimientos!$B$1:$B$743,"&lt;="&amp;$B38)</f>
        <v>345</v>
      </c>
      <c r="U38" s="24">
        <f>SUMIFS('Saldos Iniciales'!$D:$D,'Saldos Iniciales'!$A:$A,"Go Blue")+SUMIFS(Movimientos!$K$1:$K$743,Movimientos!$C$1:$C$743,"Go Blue",Movimientos!$B$1:$B$743,"&lt;="&amp;$B38)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Group")+SUMIFS(Movimientos!$K$1:$K$743,Movimientos!$C$1:$C$743,"CFT Group",Movimientos!$B$1:$B$743,"&lt;="&amp;$B39)</f>
        <v>733394.14000000013</v>
      </c>
      <c r="D39" s="24">
        <f>SUMIFS('Saldos Iniciales'!$D:$D,'Saldos Iniciales'!$A:$A,"M1B")+SUMIFS(Movimientos!$K$1:$K$743,Movimientos!$C$1:$C$743,"M1B",Movimientos!$B$1:$B$743,"&lt;="&amp;$B39)</f>
        <v>69376.390000000174</v>
      </c>
      <c r="E39" s="24">
        <f>SUMIFS('Saldos Iniciales'!$D:$D,'Saldos Iniciales'!$A:$A,"Durand")+SUMIFS(Movimientos!$K$1:$K$743,Movimientos!$C$1:$C$743,"Durand",Movimientos!$B$1:$B$743,"&lt;="&amp;$B39)</f>
        <v>1669.89</v>
      </c>
      <c r="F39" s="24">
        <f>SUMIFS('Saldos Iniciales'!$D:$D,'Saldos Iniciales'!$A:$A,"A&amp;M Imports")+SUMIFS(Movimientos!$K$1:$K$743,Movimientos!$C$1:$C$743,"A&amp;M Imports",Movimientos!$B$1:$B$743,"&lt;="&amp;$B39)</f>
        <v>729545.23999999987</v>
      </c>
      <c r="G39" s="24">
        <f>SUMIFS('Saldos Iniciales'!$D:$D,'Saldos Iniciales'!$A:$A,"SSP Capital")+SUMIFS(Movimientos!$K$1:$K$743,Movimientos!$C$1:$C$743,"SSP Capital",Movimientos!$B$1:$B$743,"&lt;="&amp;$B39)</f>
        <v>1164028.3199999994</v>
      </c>
      <c r="H39" s="24">
        <f>SUMIFS('Saldos Iniciales'!$D:$D,'Saldos Iniciales'!$A:$A,"Cross Family Trust")+SUMIFS(Movimientos!$K$1:$K$743,Movimientos!$C$1:$C$743,"Cross Family Trust",Movimientos!$B$1:$B$743,"&lt;="&amp;$B39)</f>
        <v>116496.38</v>
      </c>
      <c r="I39" s="24">
        <f>SUMIFS('Saldos Iniciales'!$D:$D,'Saldos Iniciales'!$A:$A,"Cross Security Trust")+SUMIFS(Movimientos!$K$1:$K$743,Movimientos!$C$1:$C$743,"Cross Security Trust",Movimientos!$B$1:$B$743,"&lt;="&amp;$B39)</f>
        <v>88090.37</v>
      </c>
      <c r="J39" s="24">
        <f>SUMIFS('Saldos Iniciales'!$D:$D,'Saldos Iniciales'!$A:$A,"Electrama")+SUMIFS(Movimientos!$K$1:$K$743,Movimientos!$C$1:$C$743,"Electrama",Movimientos!$B$1:$B$743,"&lt;="&amp;$B39)</f>
        <v>511.15999999999985</v>
      </c>
      <c r="K39" s="24">
        <f>SUMIFS('Saldos Iniciales'!$D:$D,'Saldos Iniciales'!$A:$A,"Sacred Valley Capital")+SUMIFS(Movimientos!$K$1:$K$743,Movimientos!$C$1:$C$743,"Sacred Valley Capital",Movimientos!$B$1:$B$743,"&lt;="&amp;$B39)</f>
        <v>84.35</v>
      </c>
      <c r="L39" s="24">
        <f>SUMIFS('Saldos Iniciales'!$D:$D,'Saldos Iniciales'!$A:$A,"YWC Capital")+SUMIFS(Movimientos!$K$1:$K$743,Movimientos!$C$1:$C$743,"YWC Capital",Movimientos!$B$1:$B$743,"&lt;="&amp;$B39)</f>
        <v>2237.77</v>
      </c>
      <c r="M39" s="24">
        <f>SUMIFS('Saldos Iniciales'!$D:$D,'Saldos Iniciales'!$A:$A,"Soweto")+SUMIFS(Movimientos!$K$1:$K$743,Movimientos!$C$1:$C$743,"Soweto",Movimientos!$B$1:$B$743,"&lt;="&amp;$B39)</f>
        <v>3349.94</v>
      </c>
      <c r="N39" s="24">
        <f>SUMIFS('Saldos Iniciales'!$D:$D,'Saldos Iniciales'!$A:$A,"Green Stone Trust")+SUMIFS(Movimientos!$K$1:$K$743,Movimientos!$C$1:$C$743,"Green Stone Trust",Movimientos!$B$1:$B$743,"&lt;="&amp;$B39)</f>
        <v>1968.99</v>
      </c>
      <c r="O39" s="24">
        <f>SUMIFS('Saldos Iniciales'!$D:$D,'Saldos Iniciales'!$A:$A,"EC Auto")+SUMIFS(Movimientos!$K$1:$K$743,Movimientos!$C$1:$C$743,"EC Auto",Movimientos!$B$1:$B$743,"&lt;="&amp;$B39)</f>
        <v>382.69000000000005</v>
      </c>
      <c r="P39" s="24">
        <f>SUMIFS('Saldos Iniciales'!$D:$D,'Saldos Iniciales'!$A:$A,"Arbor Capital Properties")+SUMIFS(Movimientos!$K$1:$K$743,Movimientos!$C$1:$C$743,"Arbor Capital Properties",Movimientos!$B$1:$B$743,"&lt;="&amp;$B39)</f>
        <v>1428.08</v>
      </c>
      <c r="Q39" s="24">
        <f>SUMIFS('Saldos Iniciales'!$D:$D,'Saldos Iniciales'!$A:$A,"2515 Overbrook")+SUMIFS(Movimientos!$K$1:$K$743,Movimientos!$C$1:$C$743,"2515 Overbrook",Movimientos!$B$1:$B$743,"&lt;="&amp;$B39)</f>
        <v>25789.969999999961</v>
      </c>
      <c r="R39" s="24">
        <f>SUMIFS('Saldos Iniciales'!$D:$D,'Saldos Iniciales'!$A:$A,"112 Florida Ave")+SUMIFS(Movimientos!$K$1:$K$743,Movimientos!$C$1:$C$743,"112 Florida Ave",Movimientos!$B$1:$B$743,"&lt;="&amp;$B39)</f>
        <v>5321.4300000000021</v>
      </c>
      <c r="S39" s="24">
        <f>SUMIFS('Saldos Iniciales'!$D:$D,'Saldos Iniciales'!$A:$A,"3628 Thomas Ave")+SUMIFS(Movimientos!$K$1:$K$743,Movimientos!$C$1:$C$743,"3628 Thomas Ave",Movimientos!$B$1:$B$743,"&lt;="&amp;$B39)</f>
        <v>24833.23</v>
      </c>
      <c r="T39" s="24">
        <f>SUMIFS('Saldos Iniciales'!$D:$D,'Saldos Iniciales'!$A:$A,"Green Harbor Trust")+SUMIFS(Movimientos!$K$1:$K$743,Movimientos!$C$1:$C$743,"Green Harbor Trust",Movimientos!$B$1:$B$743,"&lt;="&amp;$B39)</f>
        <v>345</v>
      </c>
      <c r="U39" s="24">
        <f>SUMIFS('Saldos Iniciales'!$D:$D,'Saldos Iniciales'!$A:$A,"Go Blue")+SUMIFS(Movimientos!$K$1:$K$743,Movimientos!$C$1:$C$743,"Go Blue",Movimientos!$B$1:$B$743,"&lt;="&amp;$B39)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Group")+SUMIFS(Movimientos!$K$1:$K$743,Movimientos!$C$1:$C$743,"CFT Group",Movimientos!$B$1:$B$743,"&lt;="&amp;$B40)</f>
        <v>733394.14000000013</v>
      </c>
      <c r="D40" s="24">
        <f>SUMIFS('Saldos Iniciales'!$D:$D,'Saldos Iniciales'!$A:$A,"M1B")+SUMIFS(Movimientos!$K$1:$K$743,Movimientos!$C$1:$C$743,"M1B",Movimientos!$B$1:$B$743,"&lt;="&amp;$B40)</f>
        <v>69376.390000000174</v>
      </c>
      <c r="E40" s="24">
        <f>SUMIFS('Saldos Iniciales'!$D:$D,'Saldos Iniciales'!$A:$A,"Durand")+SUMIFS(Movimientos!$K$1:$K$743,Movimientos!$C$1:$C$743,"Durand",Movimientos!$B$1:$B$743,"&lt;="&amp;$B40)</f>
        <v>1669.89</v>
      </c>
      <c r="F40" s="24">
        <f>SUMIFS('Saldos Iniciales'!$D:$D,'Saldos Iniciales'!$A:$A,"A&amp;M Imports")+SUMIFS(Movimientos!$K$1:$K$743,Movimientos!$C$1:$C$743,"A&amp;M Imports",Movimientos!$B$1:$B$743,"&lt;="&amp;$B40)</f>
        <v>729545.23999999987</v>
      </c>
      <c r="G40" s="24">
        <f>SUMIFS('Saldos Iniciales'!$D:$D,'Saldos Iniciales'!$A:$A,"SSP Capital")+SUMIFS(Movimientos!$K$1:$K$743,Movimientos!$C$1:$C$743,"SSP Capital",Movimientos!$B$1:$B$743,"&lt;="&amp;$B40)</f>
        <v>1164028.3199999994</v>
      </c>
      <c r="H40" s="24">
        <f>SUMIFS('Saldos Iniciales'!$D:$D,'Saldos Iniciales'!$A:$A,"Cross Family Trust")+SUMIFS(Movimientos!$K$1:$K$743,Movimientos!$C$1:$C$743,"Cross Family Trust",Movimientos!$B$1:$B$743,"&lt;="&amp;$B40)</f>
        <v>116496.38</v>
      </c>
      <c r="I40" s="24">
        <f>SUMIFS('Saldos Iniciales'!$D:$D,'Saldos Iniciales'!$A:$A,"Cross Security Trust")+SUMIFS(Movimientos!$K$1:$K$743,Movimientos!$C$1:$C$743,"Cross Security Trust",Movimientos!$B$1:$B$743,"&lt;="&amp;$B40)</f>
        <v>88090.37</v>
      </c>
      <c r="J40" s="24">
        <f>SUMIFS('Saldos Iniciales'!$D:$D,'Saldos Iniciales'!$A:$A,"Electrama")+SUMIFS(Movimientos!$K$1:$K$743,Movimientos!$C$1:$C$743,"Electrama",Movimientos!$B$1:$B$743,"&lt;="&amp;$B40)</f>
        <v>511.15999999999985</v>
      </c>
      <c r="K40" s="24">
        <f>SUMIFS('Saldos Iniciales'!$D:$D,'Saldos Iniciales'!$A:$A,"Sacred Valley Capital")+SUMIFS(Movimientos!$K$1:$K$743,Movimientos!$C$1:$C$743,"Sacred Valley Capital",Movimientos!$B$1:$B$743,"&lt;="&amp;$B40)</f>
        <v>84.35</v>
      </c>
      <c r="L40" s="24">
        <f>SUMIFS('Saldos Iniciales'!$D:$D,'Saldos Iniciales'!$A:$A,"YWC Capital")+SUMIFS(Movimientos!$K$1:$K$743,Movimientos!$C$1:$C$743,"YWC Capital",Movimientos!$B$1:$B$743,"&lt;="&amp;$B40)</f>
        <v>2237.77</v>
      </c>
      <c r="M40" s="24">
        <f>SUMIFS('Saldos Iniciales'!$D:$D,'Saldos Iniciales'!$A:$A,"Soweto")+SUMIFS(Movimientos!$K$1:$K$743,Movimientos!$C$1:$C$743,"Soweto",Movimientos!$B$1:$B$743,"&lt;="&amp;$B40)</f>
        <v>3349.94</v>
      </c>
      <c r="N40" s="24">
        <f>SUMIFS('Saldos Iniciales'!$D:$D,'Saldos Iniciales'!$A:$A,"Green Stone Trust")+SUMIFS(Movimientos!$K$1:$K$743,Movimientos!$C$1:$C$743,"Green Stone Trust",Movimientos!$B$1:$B$743,"&lt;="&amp;$B40)</f>
        <v>1968.99</v>
      </c>
      <c r="O40" s="24">
        <f>SUMIFS('Saldos Iniciales'!$D:$D,'Saldos Iniciales'!$A:$A,"EC Auto")+SUMIFS(Movimientos!$K$1:$K$743,Movimientos!$C$1:$C$743,"EC Auto",Movimientos!$B$1:$B$743,"&lt;="&amp;$B40)</f>
        <v>382.69000000000005</v>
      </c>
      <c r="P40" s="24">
        <f>SUMIFS('Saldos Iniciales'!$D:$D,'Saldos Iniciales'!$A:$A,"Arbor Capital Properties")+SUMIFS(Movimientos!$K$1:$K$743,Movimientos!$C$1:$C$743,"Arbor Capital Properties",Movimientos!$B$1:$B$743,"&lt;="&amp;$B40)</f>
        <v>1428.08</v>
      </c>
      <c r="Q40" s="24">
        <f>SUMIFS('Saldos Iniciales'!$D:$D,'Saldos Iniciales'!$A:$A,"2515 Overbrook")+SUMIFS(Movimientos!$K$1:$K$743,Movimientos!$C$1:$C$743,"2515 Overbrook",Movimientos!$B$1:$B$743,"&lt;="&amp;$B40)</f>
        <v>25789.969999999961</v>
      </c>
      <c r="R40" s="24">
        <f>SUMIFS('Saldos Iniciales'!$D:$D,'Saldos Iniciales'!$A:$A,"112 Florida Ave")+SUMIFS(Movimientos!$K$1:$K$743,Movimientos!$C$1:$C$743,"112 Florida Ave",Movimientos!$B$1:$B$743,"&lt;="&amp;$B40)</f>
        <v>5321.4300000000021</v>
      </c>
      <c r="S40" s="24">
        <f>SUMIFS('Saldos Iniciales'!$D:$D,'Saldos Iniciales'!$A:$A,"3628 Thomas Ave")+SUMIFS(Movimientos!$K$1:$K$743,Movimientos!$C$1:$C$743,"3628 Thomas Ave",Movimientos!$B$1:$B$743,"&lt;="&amp;$B40)</f>
        <v>24833.23</v>
      </c>
      <c r="T40" s="24">
        <f>SUMIFS('Saldos Iniciales'!$D:$D,'Saldos Iniciales'!$A:$A,"Green Harbor Trust")+SUMIFS(Movimientos!$K$1:$K$743,Movimientos!$C$1:$C$743,"Green Harbor Trust",Movimientos!$B$1:$B$743,"&lt;="&amp;$B40)</f>
        <v>345</v>
      </c>
      <c r="U40" s="24">
        <f>SUMIFS('Saldos Iniciales'!$D:$D,'Saldos Iniciales'!$A:$A,"Go Blue")+SUMIFS(Movimientos!$K$1:$K$743,Movimientos!$C$1:$C$743,"Go Blue",Movimientos!$B$1:$B$743,"&lt;="&amp;$B40)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Group")+SUMIFS(Movimientos!$K$1:$K$743,Movimientos!$C$1:$C$743,"CFT Group",Movimientos!$B$1:$B$743,"&lt;="&amp;$B41)</f>
        <v>847381.29000000015</v>
      </c>
      <c r="D41" s="24">
        <f>SUMIFS('Saldos Iniciales'!$D:$D,'Saldos Iniciales'!$A:$A,"M1B")+SUMIFS(Movimientos!$K$1:$K$743,Movimientos!$C$1:$C$743,"M1B",Movimientos!$B$1:$B$743,"&lt;="&amp;$B41)</f>
        <v>69376.390000000174</v>
      </c>
      <c r="E41" s="24">
        <f>SUMIFS('Saldos Iniciales'!$D:$D,'Saldos Iniciales'!$A:$A,"Durand")+SUMIFS(Movimientos!$K$1:$K$743,Movimientos!$C$1:$C$743,"Durand",Movimientos!$B$1:$B$743,"&lt;="&amp;$B41)</f>
        <v>1669.89</v>
      </c>
      <c r="F41" s="24">
        <f>SUMIFS('Saldos Iniciales'!$D:$D,'Saldos Iniciales'!$A:$A,"A&amp;M Imports")+SUMIFS(Movimientos!$K$1:$K$743,Movimientos!$C$1:$C$743,"A&amp;M Imports",Movimientos!$B$1:$B$743,"&lt;="&amp;$B41)</f>
        <v>729545.23999999987</v>
      </c>
      <c r="G41" s="24">
        <f>SUMIFS('Saldos Iniciales'!$D:$D,'Saldos Iniciales'!$A:$A,"SSP Capital")+SUMIFS(Movimientos!$K$1:$K$743,Movimientos!$C$1:$C$743,"SSP Capital",Movimientos!$B$1:$B$743,"&lt;="&amp;$B41)</f>
        <v>1160274.0499999993</v>
      </c>
      <c r="H41" s="24">
        <f>SUMIFS('Saldos Iniciales'!$D:$D,'Saldos Iniciales'!$A:$A,"Cross Family Trust")+SUMIFS(Movimientos!$K$1:$K$743,Movimientos!$C$1:$C$743,"Cross Family Trust",Movimientos!$B$1:$B$743,"&lt;="&amp;$B41)</f>
        <v>116496.38</v>
      </c>
      <c r="I41" s="24">
        <f>SUMIFS('Saldos Iniciales'!$D:$D,'Saldos Iniciales'!$A:$A,"Cross Security Trust")+SUMIFS(Movimientos!$K$1:$K$743,Movimientos!$C$1:$C$743,"Cross Security Trust",Movimientos!$B$1:$B$743,"&lt;="&amp;$B41)</f>
        <v>88090.37</v>
      </c>
      <c r="J41" s="24">
        <f>SUMIFS('Saldos Iniciales'!$D:$D,'Saldos Iniciales'!$A:$A,"Electrama")+SUMIFS(Movimientos!$K$1:$K$743,Movimientos!$C$1:$C$743,"Electrama",Movimientos!$B$1:$B$743,"&lt;="&amp;$B41)</f>
        <v>511.15999999999985</v>
      </c>
      <c r="K41" s="24">
        <f>SUMIFS('Saldos Iniciales'!$D:$D,'Saldos Iniciales'!$A:$A,"Sacred Valley Capital")+SUMIFS(Movimientos!$K$1:$K$743,Movimientos!$C$1:$C$743,"Sacred Valley Capital",Movimientos!$B$1:$B$743,"&lt;="&amp;$B41)</f>
        <v>84.35</v>
      </c>
      <c r="L41" s="24">
        <f>SUMIFS('Saldos Iniciales'!$D:$D,'Saldos Iniciales'!$A:$A,"YWC Capital")+SUMIFS(Movimientos!$K$1:$K$743,Movimientos!$C$1:$C$743,"YWC Capital",Movimientos!$B$1:$B$743,"&lt;="&amp;$B41)</f>
        <v>2237.77</v>
      </c>
      <c r="M41" s="24">
        <f>SUMIFS('Saldos Iniciales'!$D:$D,'Saldos Iniciales'!$A:$A,"Soweto")+SUMIFS(Movimientos!$K$1:$K$743,Movimientos!$C$1:$C$743,"Soweto",Movimientos!$B$1:$B$743,"&lt;="&amp;$B41)</f>
        <v>3349.94</v>
      </c>
      <c r="N41" s="24">
        <f>SUMIFS('Saldos Iniciales'!$D:$D,'Saldos Iniciales'!$A:$A,"Green Stone Trust")+SUMIFS(Movimientos!$K$1:$K$743,Movimientos!$C$1:$C$743,"Green Stone Trust",Movimientos!$B$1:$B$743,"&lt;="&amp;$B41)</f>
        <v>1968.99</v>
      </c>
      <c r="O41" s="24">
        <f>SUMIFS('Saldos Iniciales'!$D:$D,'Saldos Iniciales'!$A:$A,"EC Auto")+SUMIFS(Movimientos!$K$1:$K$743,Movimientos!$C$1:$C$743,"EC Auto",Movimientos!$B$1:$B$743,"&lt;="&amp;$B41)</f>
        <v>382.69000000000005</v>
      </c>
      <c r="P41" s="24">
        <f>SUMIFS('Saldos Iniciales'!$D:$D,'Saldos Iniciales'!$A:$A,"Arbor Capital Properties")+SUMIFS(Movimientos!$K$1:$K$743,Movimientos!$C$1:$C$743,"Arbor Capital Properties",Movimientos!$B$1:$B$743,"&lt;="&amp;$B41)</f>
        <v>1428.08</v>
      </c>
      <c r="Q41" s="24">
        <f>SUMIFS('Saldos Iniciales'!$D:$D,'Saldos Iniciales'!$A:$A,"2515 Overbrook")+SUMIFS(Movimientos!$K$1:$K$743,Movimientos!$C$1:$C$743,"2515 Overbrook",Movimientos!$B$1:$B$743,"&lt;="&amp;$B41)</f>
        <v>25789.969999999961</v>
      </c>
      <c r="R41" s="24">
        <f>SUMIFS('Saldos Iniciales'!$D:$D,'Saldos Iniciales'!$A:$A,"112 Florida Ave")+SUMIFS(Movimientos!$K$1:$K$743,Movimientos!$C$1:$C$743,"112 Florida Ave",Movimientos!$B$1:$B$743,"&lt;="&amp;$B41)</f>
        <v>5321.4300000000021</v>
      </c>
      <c r="S41" s="24">
        <f>SUMIFS('Saldos Iniciales'!$D:$D,'Saldos Iniciales'!$A:$A,"3628 Thomas Ave")+SUMIFS(Movimientos!$K$1:$K$743,Movimientos!$C$1:$C$743,"3628 Thomas Ave",Movimientos!$B$1:$B$743,"&lt;="&amp;$B41)</f>
        <v>24833.23</v>
      </c>
      <c r="T41" s="24">
        <f>SUMIFS('Saldos Iniciales'!$D:$D,'Saldos Iniciales'!$A:$A,"Green Harbor Trust")+SUMIFS(Movimientos!$K$1:$K$743,Movimientos!$C$1:$C$743,"Green Harbor Trust",Movimientos!$B$1:$B$743,"&lt;="&amp;$B41)</f>
        <v>345</v>
      </c>
      <c r="U41" s="24">
        <f>SUMIFS('Saldos Iniciales'!$D:$D,'Saldos Iniciales'!$A:$A,"Go Blue")+SUMIFS(Movimientos!$K$1:$K$743,Movimientos!$C$1:$C$743,"Go Blue",Movimientos!$B$1:$B$743,"&lt;="&amp;$B41)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Group")+SUMIFS(Movimientos!$K$1:$K$743,Movimientos!$C$1:$C$743,"CFT Group",Movimientos!$B$1:$B$743,"&lt;="&amp;$B42)</f>
        <v>2288745.9500000002</v>
      </c>
      <c r="D42" s="24">
        <f>SUMIFS('Saldos Iniciales'!$D:$D,'Saldos Iniciales'!$A:$A,"M1B")+SUMIFS(Movimientos!$K$1:$K$743,Movimientos!$C$1:$C$743,"M1B",Movimientos!$B$1:$B$743,"&lt;="&amp;$B42)</f>
        <v>69376.390000000174</v>
      </c>
      <c r="E42" s="24">
        <f>SUMIFS('Saldos Iniciales'!$D:$D,'Saldos Iniciales'!$A:$A,"Durand")+SUMIFS(Movimientos!$K$1:$K$743,Movimientos!$C$1:$C$743,"Durand",Movimientos!$B$1:$B$743,"&lt;="&amp;$B42)</f>
        <v>1669.89</v>
      </c>
      <c r="F42" s="24">
        <f>SUMIFS('Saldos Iniciales'!$D:$D,'Saldos Iniciales'!$A:$A,"A&amp;M Imports")+SUMIFS(Movimientos!$K$1:$K$743,Movimientos!$C$1:$C$743,"A&amp;M Imports",Movimientos!$B$1:$B$743,"&lt;="&amp;$B42)</f>
        <v>744306.80999999982</v>
      </c>
      <c r="G42" s="24">
        <f>SUMIFS('Saldos Iniciales'!$D:$D,'Saldos Iniciales'!$A:$A,"SSP Capital")+SUMIFS(Movimientos!$K$1:$K$743,Movimientos!$C$1:$C$743,"SSP Capital",Movimientos!$B$1:$B$743,"&lt;="&amp;$B42)</f>
        <v>1160274.0499999993</v>
      </c>
      <c r="H42" s="24">
        <f>SUMIFS('Saldos Iniciales'!$D:$D,'Saldos Iniciales'!$A:$A,"Cross Family Trust")+SUMIFS(Movimientos!$K$1:$K$743,Movimientos!$C$1:$C$743,"Cross Family Trust",Movimientos!$B$1:$B$743,"&lt;="&amp;$B42)</f>
        <v>116496.38</v>
      </c>
      <c r="I42" s="24">
        <f>SUMIFS('Saldos Iniciales'!$D:$D,'Saldos Iniciales'!$A:$A,"Cross Security Trust")+SUMIFS(Movimientos!$K$1:$K$743,Movimientos!$C$1:$C$743,"Cross Security Trust",Movimientos!$B$1:$B$743,"&lt;="&amp;$B42)</f>
        <v>88090.37</v>
      </c>
      <c r="J42" s="24">
        <f>SUMIFS('Saldos Iniciales'!$D:$D,'Saldos Iniciales'!$A:$A,"Electrama")+SUMIFS(Movimientos!$K$1:$K$743,Movimientos!$C$1:$C$743,"Electrama",Movimientos!$B$1:$B$743,"&lt;="&amp;$B42)</f>
        <v>511.15999999999985</v>
      </c>
      <c r="K42" s="24">
        <f>SUMIFS('Saldos Iniciales'!$D:$D,'Saldos Iniciales'!$A:$A,"Sacred Valley Capital")+SUMIFS(Movimientos!$K$1:$K$743,Movimientos!$C$1:$C$743,"Sacred Valley Capital",Movimientos!$B$1:$B$743,"&lt;="&amp;$B42)</f>
        <v>84.35</v>
      </c>
      <c r="L42" s="24">
        <f>SUMIFS('Saldos Iniciales'!$D:$D,'Saldos Iniciales'!$A:$A,"YWC Capital")+SUMIFS(Movimientos!$K$1:$K$743,Movimientos!$C$1:$C$743,"YWC Capital",Movimientos!$B$1:$B$743,"&lt;="&amp;$B42)</f>
        <v>2237.77</v>
      </c>
      <c r="M42" s="24">
        <f>SUMIFS('Saldos Iniciales'!$D:$D,'Saldos Iniciales'!$A:$A,"Soweto")+SUMIFS(Movimientos!$K$1:$K$743,Movimientos!$C$1:$C$743,"Soweto",Movimientos!$B$1:$B$743,"&lt;="&amp;$B42)</f>
        <v>3349.94</v>
      </c>
      <c r="N42" s="24">
        <f>SUMIFS('Saldos Iniciales'!$D:$D,'Saldos Iniciales'!$A:$A,"Green Stone Trust")+SUMIFS(Movimientos!$K$1:$K$743,Movimientos!$C$1:$C$743,"Green Stone Trust",Movimientos!$B$1:$B$743,"&lt;="&amp;$B42)</f>
        <v>1968.99</v>
      </c>
      <c r="O42" s="24">
        <f>SUMIFS('Saldos Iniciales'!$D:$D,'Saldos Iniciales'!$A:$A,"EC Auto")+SUMIFS(Movimientos!$K$1:$K$743,Movimientos!$C$1:$C$743,"EC Auto",Movimientos!$B$1:$B$743,"&lt;="&amp;$B42)</f>
        <v>382.69000000000005</v>
      </c>
      <c r="P42" s="24">
        <f>SUMIFS('Saldos Iniciales'!$D:$D,'Saldos Iniciales'!$A:$A,"Arbor Capital Properties")+SUMIFS(Movimientos!$K$1:$K$743,Movimientos!$C$1:$C$743,"Arbor Capital Properties",Movimientos!$B$1:$B$743,"&lt;="&amp;$B42)</f>
        <v>1428.08</v>
      </c>
      <c r="Q42" s="24">
        <f>SUMIFS('Saldos Iniciales'!$D:$D,'Saldos Iniciales'!$A:$A,"2515 Overbrook")+SUMIFS(Movimientos!$K$1:$K$743,Movimientos!$C$1:$C$743,"2515 Overbrook",Movimientos!$B$1:$B$743,"&lt;="&amp;$B42)</f>
        <v>25789.969999999961</v>
      </c>
      <c r="R42" s="24">
        <f>SUMIFS('Saldos Iniciales'!$D:$D,'Saldos Iniciales'!$A:$A,"112 Florida Ave")+SUMIFS(Movimientos!$K$1:$K$743,Movimientos!$C$1:$C$743,"112 Florida Ave",Movimientos!$B$1:$B$743,"&lt;="&amp;$B42)</f>
        <v>5321.4300000000021</v>
      </c>
      <c r="S42" s="24">
        <f>SUMIFS('Saldos Iniciales'!$D:$D,'Saldos Iniciales'!$A:$A,"3628 Thomas Ave")+SUMIFS(Movimientos!$K$1:$K$743,Movimientos!$C$1:$C$743,"3628 Thomas Ave",Movimientos!$B$1:$B$743,"&lt;="&amp;$B42)</f>
        <v>24743.98</v>
      </c>
      <c r="T42" s="24">
        <f>SUMIFS('Saldos Iniciales'!$D:$D,'Saldos Iniciales'!$A:$A,"Green Harbor Trust")+SUMIFS(Movimientos!$K$1:$K$743,Movimientos!$C$1:$C$743,"Green Harbor Trust",Movimientos!$B$1:$B$743,"&lt;="&amp;$B42)</f>
        <v>345</v>
      </c>
      <c r="U42" s="24">
        <f>SUMIFS('Saldos Iniciales'!$D:$D,'Saldos Iniciales'!$A:$A,"Go Blue")+SUMIFS(Movimientos!$K$1:$K$743,Movimientos!$C$1:$C$743,"Go Blue",Movimientos!$B$1:$B$743,"&lt;="&amp;$B42)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Group")+SUMIFS(Movimientos!$K$1:$K$743,Movimientos!$C$1:$C$743,"CFT Group",Movimientos!$B$1:$B$743,"&lt;="&amp;$B43)</f>
        <v>1837784.84</v>
      </c>
      <c r="D43" s="24">
        <f>SUMIFS('Saldos Iniciales'!$D:$D,'Saldos Iniciales'!$A:$A,"M1B")+SUMIFS(Movimientos!$K$1:$K$743,Movimientos!$C$1:$C$743,"M1B",Movimientos!$B$1:$B$743,"&lt;="&amp;$B43)</f>
        <v>69376.390000000174</v>
      </c>
      <c r="E43" s="24">
        <f>SUMIFS('Saldos Iniciales'!$D:$D,'Saldos Iniciales'!$A:$A,"Durand")+SUMIFS(Movimientos!$K$1:$K$743,Movimientos!$C$1:$C$743,"Durand",Movimientos!$B$1:$B$743,"&lt;="&amp;$B43)</f>
        <v>1669.89</v>
      </c>
      <c r="F43" s="24">
        <f>SUMIFS('Saldos Iniciales'!$D:$D,'Saldos Iniciales'!$A:$A,"A&amp;M Imports")+SUMIFS(Movimientos!$K$1:$K$743,Movimientos!$C$1:$C$743,"A&amp;M Imports",Movimientos!$B$1:$B$743,"&lt;="&amp;$B43)</f>
        <v>564626.20999999985</v>
      </c>
      <c r="G43" s="24">
        <f>SUMIFS('Saldos Iniciales'!$D:$D,'Saldos Iniciales'!$A:$A,"SSP Capital")+SUMIFS(Movimientos!$K$1:$K$743,Movimientos!$C$1:$C$743,"SSP Capital",Movimientos!$B$1:$B$743,"&lt;="&amp;$B43)</f>
        <v>794731.82999999926</v>
      </c>
      <c r="H43" s="24">
        <f>SUMIFS('Saldos Iniciales'!$D:$D,'Saldos Iniciales'!$A:$A,"Cross Family Trust")+SUMIFS(Movimientos!$K$1:$K$743,Movimientos!$C$1:$C$743,"Cross Family Trust",Movimientos!$B$1:$B$743,"&lt;="&amp;$B43)</f>
        <v>116496.38</v>
      </c>
      <c r="I43" s="24">
        <f>SUMIFS('Saldos Iniciales'!$D:$D,'Saldos Iniciales'!$A:$A,"Cross Security Trust")+SUMIFS(Movimientos!$K$1:$K$743,Movimientos!$C$1:$C$743,"Cross Security Trust",Movimientos!$B$1:$B$743,"&lt;="&amp;$B43)</f>
        <v>88090.37</v>
      </c>
      <c r="J43" s="24">
        <f>SUMIFS('Saldos Iniciales'!$D:$D,'Saldos Iniciales'!$A:$A,"Electrama")+SUMIFS(Movimientos!$K$1:$K$743,Movimientos!$C$1:$C$743,"Electrama",Movimientos!$B$1:$B$743,"&lt;="&amp;$B43)</f>
        <v>511.15999999999985</v>
      </c>
      <c r="K43" s="24">
        <f>SUMIFS('Saldos Iniciales'!$D:$D,'Saldos Iniciales'!$A:$A,"Sacred Valley Capital")+SUMIFS(Movimientos!$K$1:$K$743,Movimientos!$C$1:$C$743,"Sacred Valley Capital",Movimientos!$B$1:$B$743,"&lt;="&amp;$B43)</f>
        <v>84.35</v>
      </c>
      <c r="L43" s="24">
        <f>SUMIFS('Saldos Iniciales'!$D:$D,'Saldos Iniciales'!$A:$A,"YWC Capital")+SUMIFS(Movimientos!$K$1:$K$743,Movimientos!$C$1:$C$743,"YWC Capital",Movimientos!$B$1:$B$743,"&lt;="&amp;$B43)</f>
        <v>2237.77</v>
      </c>
      <c r="M43" s="24">
        <f>SUMIFS('Saldos Iniciales'!$D:$D,'Saldos Iniciales'!$A:$A,"Soweto")+SUMIFS(Movimientos!$K$1:$K$743,Movimientos!$C$1:$C$743,"Soweto",Movimientos!$B$1:$B$743,"&lt;="&amp;$B43)</f>
        <v>3349.94</v>
      </c>
      <c r="N43" s="24">
        <f>SUMIFS('Saldos Iniciales'!$D:$D,'Saldos Iniciales'!$A:$A,"Green Stone Trust")+SUMIFS(Movimientos!$K$1:$K$743,Movimientos!$C$1:$C$743,"Green Stone Trust",Movimientos!$B$1:$B$743,"&lt;="&amp;$B43)</f>
        <v>1968.99</v>
      </c>
      <c r="O43" s="24">
        <f>SUMIFS('Saldos Iniciales'!$D:$D,'Saldos Iniciales'!$A:$A,"EC Auto")+SUMIFS(Movimientos!$K$1:$K$743,Movimientos!$C$1:$C$743,"EC Auto",Movimientos!$B$1:$B$743,"&lt;="&amp;$B43)</f>
        <v>382.69000000000005</v>
      </c>
      <c r="P43" s="24">
        <f>SUMIFS('Saldos Iniciales'!$D:$D,'Saldos Iniciales'!$A:$A,"Arbor Capital Properties")+SUMIFS(Movimientos!$K$1:$K$743,Movimientos!$C$1:$C$743,"Arbor Capital Properties",Movimientos!$B$1:$B$743,"&lt;="&amp;$B43)</f>
        <v>1428.08</v>
      </c>
      <c r="Q43" s="24">
        <f>SUMIFS('Saldos Iniciales'!$D:$D,'Saldos Iniciales'!$A:$A,"2515 Overbrook")+SUMIFS(Movimientos!$K$1:$K$743,Movimientos!$C$1:$C$743,"2515 Overbrook",Movimientos!$B$1:$B$743,"&lt;="&amp;$B43)</f>
        <v>25789.969999999961</v>
      </c>
      <c r="R43" s="24">
        <f>SUMIFS('Saldos Iniciales'!$D:$D,'Saldos Iniciales'!$A:$A,"112 Florida Ave")+SUMIFS(Movimientos!$K$1:$K$743,Movimientos!$C$1:$C$743,"112 Florida Ave",Movimientos!$B$1:$B$743,"&lt;="&amp;$B43)</f>
        <v>5321.4300000000021</v>
      </c>
      <c r="S43" s="24">
        <f>SUMIFS('Saldos Iniciales'!$D:$D,'Saldos Iniciales'!$A:$A,"3628 Thomas Ave")+SUMIFS(Movimientos!$K$1:$K$743,Movimientos!$C$1:$C$743,"3628 Thomas Ave",Movimientos!$B$1:$B$743,"&lt;="&amp;$B43)</f>
        <v>24743.98</v>
      </c>
      <c r="T43" s="24">
        <f>SUMIFS('Saldos Iniciales'!$D:$D,'Saldos Iniciales'!$A:$A,"Green Harbor Trust")+SUMIFS(Movimientos!$K$1:$K$743,Movimientos!$C$1:$C$743,"Green Harbor Trust",Movimientos!$B$1:$B$743,"&lt;="&amp;$B43)</f>
        <v>345</v>
      </c>
      <c r="U43" s="24">
        <f>SUMIFS('Saldos Iniciales'!$D:$D,'Saldos Iniciales'!$A:$A,"Go Blue")+SUMIFS(Movimientos!$K$1:$K$743,Movimientos!$C$1:$C$743,"Go Blue",Movimientos!$B$1:$B$743,"&lt;="&amp;$B43)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Group")+SUMIFS(Movimientos!$K$1:$K$743,Movimientos!$C$1:$C$743,"CFT Group",Movimientos!$B$1:$B$743,"&lt;="&amp;$B44)</f>
        <v>1837784.84</v>
      </c>
      <c r="D44" s="24">
        <f>SUMIFS('Saldos Iniciales'!$D:$D,'Saldos Iniciales'!$A:$A,"M1B")+SUMIFS(Movimientos!$K$1:$K$743,Movimientos!$C$1:$C$743,"M1B",Movimientos!$B$1:$B$743,"&lt;="&amp;$B44)</f>
        <v>69376.390000000174</v>
      </c>
      <c r="E44" s="24">
        <f>SUMIFS('Saldos Iniciales'!$D:$D,'Saldos Iniciales'!$A:$A,"Durand")+SUMIFS(Movimientos!$K$1:$K$743,Movimientos!$C$1:$C$743,"Durand",Movimientos!$B$1:$B$743,"&lt;="&amp;$B44)</f>
        <v>1669.89</v>
      </c>
      <c r="F44" s="24">
        <f>SUMIFS('Saldos Iniciales'!$D:$D,'Saldos Iniciales'!$A:$A,"A&amp;M Imports")+SUMIFS(Movimientos!$K$1:$K$743,Movimientos!$C$1:$C$743,"A&amp;M Imports",Movimientos!$B$1:$B$743,"&lt;="&amp;$B44)</f>
        <v>564626.20999999985</v>
      </c>
      <c r="G44" s="24">
        <f>SUMIFS('Saldos Iniciales'!$D:$D,'Saldos Iniciales'!$A:$A,"SSP Capital")+SUMIFS(Movimientos!$K$1:$K$743,Movimientos!$C$1:$C$743,"SSP Capital",Movimientos!$B$1:$B$743,"&lt;="&amp;$B44)</f>
        <v>3763348.8299999996</v>
      </c>
      <c r="H44" s="24">
        <f>SUMIFS('Saldos Iniciales'!$D:$D,'Saldos Iniciales'!$A:$A,"Cross Family Trust")+SUMIFS(Movimientos!$K$1:$K$743,Movimientos!$C$1:$C$743,"Cross Family Trust",Movimientos!$B$1:$B$743,"&lt;="&amp;$B44)</f>
        <v>116496.38</v>
      </c>
      <c r="I44" s="24">
        <f>SUMIFS('Saldos Iniciales'!$D:$D,'Saldos Iniciales'!$A:$A,"Cross Security Trust")+SUMIFS(Movimientos!$K$1:$K$743,Movimientos!$C$1:$C$743,"Cross Security Trust",Movimientos!$B$1:$B$743,"&lt;="&amp;$B44)</f>
        <v>88090.37</v>
      </c>
      <c r="J44" s="24">
        <f>SUMIFS('Saldos Iniciales'!$D:$D,'Saldos Iniciales'!$A:$A,"Electrama")+SUMIFS(Movimientos!$K$1:$K$743,Movimientos!$C$1:$C$743,"Electrama",Movimientos!$B$1:$B$743,"&lt;="&amp;$B44)</f>
        <v>511.15999999999985</v>
      </c>
      <c r="K44" s="24">
        <f>SUMIFS('Saldos Iniciales'!$D:$D,'Saldos Iniciales'!$A:$A,"Sacred Valley Capital")+SUMIFS(Movimientos!$K$1:$K$743,Movimientos!$C$1:$C$743,"Sacred Valley Capital",Movimientos!$B$1:$B$743,"&lt;="&amp;$B44)</f>
        <v>84.35</v>
      </c>
      <c r="L44" s="24">
        <f>SUMIFS('Saldos Iniciales'!$D:$D,'Saldos Iniciales'!$A:$A,"YWC Capital")+SUMIFS(Movimientos!$K$1:$K$743,Movimientos!$C$1:$C$743,"YWC Capital",Movimientos!$B$1:$B$743,"&lt;="&amp;$B44)</f>
        <v>2237.77</v>
      </c>
      <c r="M44" s="24">
        <f>SUMIFS('Saldos Iniciales'!$D:$D,'Saldos Iniciales'!$A:$A,"Soweto")+SUMIFS(Movimientos!$K$1:$K$743,Movimientos!$C$1:$C$743,"Soweto",Movimientos!$B$1:$B$743,"&lt;="&amp;$B44)</f>
        <v>3349.94</v>
      </c>
      <c r="N44" s="24">
        <f>SUMIFS('Saldos Iniciales'!$D:$D,'Saldos Iniciales'!$A:$A,"Green Stone Trust")+SUMIFS(Movimientos!$K$1:$K$743,Movimientos!$C$1:$C$743,"Green Stone Trust",Movimientos!$B$1:$B$743,"&lt;="&amp;$B44)</f>
        <v>1968.99</v>
      </c>
      <c r="O44" s="24">
        <f>SUMIFS('Saldos Iniciales'!$D:$D,'Saldos Iniciales'!$A:$A,"EC Auto")+SUMIFS(Movimientos!$K$1:$K$743,Movimientos!$C$1:$C$743,"EC Auto",Movimientos!$B$1:$B$743,"&lt;="&amp;$B44)</f>
        <v>382.69000000000005</v>
      </c>
      <c r="P44" s="24">
        <f>SUMIFS('Saldos Iniciales'!$D:$D,'Saldos Iniciales'!$A:$A,"Arbor Capital Properties")+SUMIFS(Movimientos!$K$1:$K$743,Movimientos!$C$1:$C$743,"Arbor Capital Properties",Movimientos!$B$1:$B$743,"&lt;="&amp;$B44)</f>
        <v>1428.08</v>
      </c>
      <c r="Q44" s="24">
        <f>SUMIFS('Saldos Iniciales'!$D:$D,'Saldos Iniciales'!$A:$A,"2515 Overbrook")+SUMIFS(Movimientos!$K$1:$K$743,Movimientos!$C$1:$C$743,"2515 Overbrook",Movimientos!$B$1:$B$743,"&lt;="&amp;$B44)</f>
        <v>27789.969999999961</v>
      </c>
      <c r="R44" s="24">
        <f>SUMIFS('Saldos Iniciales'!$D:$D,'Saldos Iniciales'!$A:$A,"112 Florida Ave")+SUMIFS(Movimientos!$K$1:$K$743,Movimientos!$C$1:$C$743,"112 Florida Ave",Movimientos!$B$1:$B$743,"&lt;="&amp;$B44)</f>
        <v>5321.4300000000021</v>
      </c>
      <c r="S44" s="24">
        <f>SUMIFS('Saldos Iniciales'!$D:$D,'Saldos Iniciales'!$A:$A,"3628 Thomas Ave")+SUMIFS(Movimientos!$K$1:$K$743,Movimientos!$C$1:$C$743,"3628 Thomas Ave",Movimientos!$B$1:$B$743,"&lt;="&amp;$B44)</f>
        <v>24484.85</v>
      </c>
      <c r="T44" s="24">
        <f>SUMIFS('Saldos Iniciales'!$D:$D,'Saldos Iniciales'!$A:$A,"Green Harbor Trust")+SUMIFS(Movimientos!$K$1:$K$743,Movimientos!$C$1:$C$743,"Green Harbor Trust",Movimientos!$B$1:$B$743,"&lt;="&amp;$B44)</f>
        <v>345</v>
      </c>
      <c r="U44" s="24">
        <f>SUMIFS('Saldos Iniciales'!$D:$D,'Saldos Iniciales'!$A:$A,"Go Blue")+SUMIFS(Movimientos!$K$1:$K$743,Movimientos!$C$1:$C$743,"Go Blue",Movimientos!$B$1:$B$743,"&lt;="&amp;$B44)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Group")+SUMIFS(Movimientos!$K$1:$K$743,Movimientos!$C$1:$C$743,"CFT Group",Movimientos!$B$1:$B$743,"&lt;="&amp;$B45)</f>
        <v>1837784.84</v>
      </c>
      <c r="D45" s="24">
        <f>SUMIFS('Saldos Iniciales'!$D:$D,'Saldos Iniciales'!$A:$A,"M1B")+SUMIFS(Movimientos!$K$1:$K$743,Movimientos!$C$1:$C$743,"M1B",Movimientos!$B$1:$B$743,"&lt;="&amp;$B45)</f>
        <v>69376.390000000174</v>
      </c>
      <c r="E45" s="24">
        <f>SUMIFS('Saldos Iniciales'!$D:$D,'Saldos Iniciales'!$A:$A,"Durand")+SUMIFS(Movimientos!$K$1:$K$743,Movimientos!$C$1:$C$743,"Durand",Movimientos!$B$1:$B$743,"&lt;="&amp;$B45)</f>
        <v>1669.89</v>
      </c>
      <c r="F45" s="24">
        <f>SUMIFS('Saldos Iniciales'!$D:$D,'Saldos Iniciales'!$A:$A,"A&amp;M Imports")+SUMIFS(Movimientos!$K$1:$K$743,Movimientos!$C$1:$C$743,"A&amp;M Imports",Movimientos!$B$1:$B$743,"&lt;="&amp;$B45)</f>
        <v>564626.20999999985</v>
      </c>
      <c r="G45" s="24">
        <f>SUMIFS('Saldos Iniciales'!$D:$D,'Saldos Iniciales'!$A:$A,"SSP Capital")+SUMIFS(Movimientos!$K$1:$K$743,Movimientos!$C$1:$C$743,"SSP Capital",Movimientos!$B$1:$B$743,"&lt;="&amp;$B45)</f>
        <v>3763348.8299999996</v>
      </c>
      <c r="H45" s="24">
        <f>SUMIFS('Saldos Iniciales'!$D:$D,'Saldos Iniciales'!$A:$A,"Cross Family Trust")+SUMIFS(Movimientos!$K$1:$K$743,Movimientos!$C$1:$C$743,"Cross Family Trust",Movimientos!$B$1:$B$743,"&lt;="&amp;$B45)</f>
        <v>116496.38</v>
      </c>
      <c r="I45" s="24">
        <f>SUMIFS('Saldos Iniciales'!$D:$D,'Saldos Iniciales'!$A:$A,"Cross Security Trust")+SUMIFS(Movimientos!$K$1:$K$743,Movimientos!$C$1:$C$743,"Cross Security Trust",Movimientos!$B$1:$B$743,"&lt;="&amp;$B45)</f>
        <v>88090.37</v>
      </c>
      <c r="J45" s="24">
        <f>SUMIFS('Saldos Iniciales'!$D:$D,'Saldos Iniciales'!$A:$A,"Electrama")+SUMIFS(Movimientos!$K$1:$K$743,Movimientos!$C$1:$C$743,"Electrama",Movimientos!$B$1:$B$743,"&lt;="&amp;$B45)</f>
        <v>511.15999999999985</v>
      </c>
      <c r="K45" s="24">
        <f>SUMIFS('Saldos Iniciales'!$D:$D,'Saldos Iniciales'!$A:$A,"Sacred Valley Capital")+SUMIFS(Movimientos!$K$1:$K$743,Movimientos!$C$1:$C$743,"Sacred Valley Capital",Movimientos!$B$1:$B$743,"&lt;="&amp;$B45)</f>
        <v>84.35</v>
      </c>
      <c r="L45" s="24">
        <f>SUMIFS('Saldos Iniciales'!$D:$D,'Saldos Iniciales'!$A:$A,"YWC Capital")+SUMIFS(Movimientos!$K$1:$K$743,Movimientos!$C$1:$C$743,"YWC Capital",Movimientos!$B$1:$B$743,"&lt;="&amp;$B45)</f>
        <v>2237.77</v>
      </c>
      <c r="M45" s="24">
        <f>SUMIFS('Saldos Iniciales'!$D:$D,'Saldos Iniciales'!$A:$A,"Soweto")+SUMIFS(Movimientos!$K$1:$K$743,Movimientos!$C$1:$C$743,"Soweto",Movimientos!$B$1:$B$743,"&lt;="&amp;$B45)</f>
        <v>3349.94</v>
      </c>
      <c r="N45" s="24">
        <f>SUMIFS('Saldos Iniciales'!$D:$D,'Saldos Iniciales'!$A:$A,"Green Stone Trust")+SUMIFS(Movimientos!$K$1:$K$743,Movimientos!$C$1:$C$743,"Green Stone Trust",Movimientos!$B$1:$B$743,"&lt;="&amp;$B45)</f>
        <v>1968.99</v>
      </c>
      <c r="O45" s="24">
        <f>SUMIFS('Saldos Iniciales'!$D:$D,'Saldos Iniciales'!$A:$A,"EC Auto")+SUMIFS(Movimientos!$K$1:$K$743,Movimientos!$C$1:$C$743,"EC Auto",Movimientos!$B$1:$B$743,"&lt;="&amp;$B45)</f>
        <v>382.69000000000005</v>
      </c>
      <c r="P45" s="24">
        <f>SUMIFS('Saldos Iniciales'!$D:$D,'Saldos Iniciales'!$A:$A,"Arbor Capital Properties")+SUMIFS(Movimientos!$K$1:$K$743,Movimientos!$C$1:$C$743,"Arbor Capital Properties",Movimientos!$B$1:$B$743,"&lt;="&amp;$B45)</f>
        <v>1428.08</v>
      </c>
      <c r="Q45" s="24">
        <f>SUMIFS('Saldos Iniciales'!$D:$D,'Saldos Iniciales'!$A:$A,"2515 Overbrook")+SUMIFS(Movimientos!$K$1:$K$743,Movimientos!$C$1:$C$743,"2515 Overbrook",Movimientos!$B$1:$B$743,"&lt;="&amp;$B45)</f>
        <v>27789.969999999961</v>
      </c>
      <c r="R45" s="24">
        <f>SUMIFS('Saldos Iniciales'!$D:$D,'Saldos Iniciales'!$A:$A,"112 Florida Ave")+SUMIFS(Movimientos!$K$1:$K$743,Movimientos!$C$1:$C$743,"112 Florida Ave",Movimientos!$B$1:$B$743,"&lt;="&amp;$B45)</f>
        <v>5321.4300000000021</v>
      </c>
      <c r="S45" s="24">
        <f>SUMIFS('Saldos Iniciales'!$D:$D,'Saldos Iniciales'!$A:$A,"3628 Thomas Ave")+SUMIFS(Movimientos!$K$1:$K$743,Movimientos!$C$1:$C$743,"3628 Thomas Ave",Movimientos!$B$1:$B$743,"&lt;="&amp;$B45)</f>
        <v>24484.85</v>
      </c>
      <c r="T45" s="24">
        <f>SUMIFS('Saldos Iniciales'!$D:$D,'Saldos Iniciales'!$A:$A,"Green Harbor Trust")+SUMIFS(Movimientos!$K$1:$K$743,Movimientos!$C$1:$C$743,"Green Harbor Trust",Movimientos!$B$1:$B$743,"&lt;="&amp;$B45)</f>
        <v>345</v>
      </c>
      <c r="U45" s="24">
        <f>SUMIFS('Saldos Iniciales'!$D:$D,'Saldos Iniciales'!$A:$A,"Go Blue")+SUMIFS(Movimientos!$K$1:$K$743,Movimientos!$C$1:$C$743,"Go Blue",Movimientos!$B$1:$B$743,"&lt;="&amp;$B45)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Group")+SUMIFS(Movimientos!$K$1:$K$743,Movimientos!$C$1:$C$743,"CFT Group",Movimientos!$B$1:$B$743,"&lt;="&amp;$B46)</f>
        <v>1837784.84</v>
      </c>
      <c r="D46" s="24">
        <f>SUMIFS('Saldos Iniciales'!$D:$D,'Saldos Iniciales'!$A:$A,"M1B")+SUMIFS(Movimientos!$K$1:$K$743,Movimientos!$C$1:$C$743,"M1B",Movimientos!$B$1:$B$743,"&lt;="&amp;$B46)</f>
        <v>69376.390000000174</v>
      </c>
      <c r="E46" s="24">
        <f>SUMIFS('Saldos Iniciales'!$D:$D,'Saldos Iniciales'!$A:$A,"Durand")+SUMIFS(Movimientos!$K$1:$K$743,Movimientos!$C$1:$C$743,"Durand",Movimientos!$B$1:$B$743,"&lt;="&amp;$B46)</f>
        <v>1669.89</v>
      </c>
      <c r="F46" s="24">
        <f>SUMIFS('Saldos Iniciales'!$D:$D,'Saldos Iniciales'!$A:$A,"A&amp;M Imports")+SUMIFS(Movimientos!$K$1:$K$743,Movimientos!$C$1:$C$743,"A&amp;M Imports",Movimientos!$B$1:$B$743,"&lt;="&amp;$B46)</f>
        <v>564626.20999999985</v>
      </c>
      <c r="G46" s="24">
        <f>SUMIFS('Saldos Iniciales'!$D:$D,'Saldos Iniciales'!$A:$A,"SSP Capital")+SUMIFS(Movimientos!$K$1:$K$743,Movimientos!$C$1:$C$743,"SSP Capital",Movimientos!$B$1:$B$743,"&lt;="&amp;$B46)</f>
        <v>3763348.8299999996</v>
      </c>
      <c r="H46" s="24">
        <f>SUMIFS('Saldos Iniciales'!$D:$D,'Saldos Iniciales'!$A:$A,"Cross Family Trust")+SUMIFS(Movimientos!$K$1:$K$743,Movimientos!$C$1:$C$743,"Cross Family Trust",Movimientos!$B$1:$B$743,"&lt;="&amp;$B46)</f>
        <v>116496.38</v>
      </c>
      <c r="I46" s="24">
        <f>SUMIFS('Saldos Iniciales'!$D:$D,'Saldos Iniciales'!$A:$A,"Cross Security Trust")+SUMIFS(Movimientos!$K$1:$K$743,Movimientos!$C$1:$C$743,"Cross Security Trust",Movimientos!$B$1:$B$743,"&lt;="&amp;$B46)</f>
        <v>88090.37</v>
      </c>
      <c r="J46" s="24">
        <f>SUMIFS('Saldos Iniciales'!$D:$D,'Saldos Iniciales'!$A:$A,"Electrama")+SUMIFS(Movimientos!$K$1:$K$743,Movimientos!$C$1:$C$743,"Electrama",Movimientos!$B$1:$B$743,"&lt;="&amp;$B46)</f>
        <v>511.15999999999985</v>
      </c>
      <c r="K46" s="24">
        <f>SUMIFS('Saldos Iniciales'!$D:$D,'Saldos Iniciales'!$A:$A,"Sacred Valley Capital")+SUMIFS(Movimientos!$K$1:$K$743,Movimientos!$C$1:$C$743,"Sacred Valley Capital",Movimientos!$B$1:$B$743,"&lt;="&amp;$B46)</f>
        <v>84.35</v>
      </c>
      <c r="L46" s="24">
        <f>SUMIFS('Saldos Iniciales'!$D:$D,'Saldos Iniciales'!$A:$A,"YWC Capital")+SUMIFS(Movimientos!$K$1:$K$743,Movimientos!$C$1:$C$743,"YWC Capital",Movimientos!$B$1:$B$743,"&lt;="&amp;$B46)</f>
        <v>2237.77</v>
      </c>
      <c r="M46" s="24">
        <f>SUMIFS('Saldos Iniciales'!$D:$D,'Saldos Iniciales'!$A:$A,"Soweto")+SUMIFS(Movimientos!$K$1:$K$743,Movimientos!$C$1:$C$743,"Soweto",Movimientos!$B$1:$B$743,"&lt;="&amp;$B46)</f>
        <v>3349.94</v>
      </c>
      <c r="N46" s="24">
        <f>SUMIFS('Saldos Iniciales'!$D:$D,'Saldos Iniciales'!$A:$A,"Green Stone Trust")+SUMIFS(Movimientos!$K$1:$K$743,Movimientos!$C$1:$C$743,"Green Stone Trust",Movimientos!$B$1:$B$743,"&lt;="&amp;$B46)</f>
        <v>1968.99</v>
      </c>
      <c r="O46" s="24">
        <f>SUMIFS('Saldos Iniciales'!$D:$D,'Saldos Iniciales'!$A:$A,"EC Auto")+SUMIFS(Movimientos!$K$1:$K$743,Movimientos!$C$1:$C$743,"EC Auto",Movimientos!$B$1:$B$743,"&lt;="&amp;$B46)</f>
        <v>382.69000000000005</v>
      </c>
      <c r="P46" s="24">
        <f>SUMIFS('Saldos Iniciales'!$D:$D,'Saldos Iniciales'!$A:$A,"Arbor Capital Properties")+SUMIFS(Movimientos!$K$1:$K$743,Movimientos!$C$1:$C$743,"Arbor Capital Properties",Movimientos!$B$1:$B$743,"&lt;="&amp;$B46)</f>
        <v>1428.08</v>
      </c>
      <c r="Q46" s="24">
        <f>SUMIFS('Saldos Iniciales'!$D:$D,'Saldos Iniciales'!$A:$A,"2515 Overbrook")+SUMIFS(Movimientos!$K$1:$K$743,Movimientos!$C$1:$C$743,"2515 Overbrook",Movimientos!$B$1:$B$743,"&lt;="&amp;$B46)</f>
        <v>27789.969999999961</v>
      </c>
      <c r="R46" s="24">
        <f>SUMIFS('Saldos Iniciales'!$D:$D,'Saldos Iniciales'!$A:$A,"112 Florida Ave")+SUMIFS(Movimientos!$K$1:$K$743,Movimientos!$C$1:$C$743,"112 Florida Ave",Movimientos!$B$1:$B$743,"&lt;="&amp;$B46)</f>
        <v>5321.4300000000021</v>
      </c>
      <c r="S46" s="24">
        <f>SUMIFS('Saldos Iniciales'!$D:$D,'Saldos Iniciales'!$A:$A,"3628 Thomas Ave")+SUMIFS(Movimientos!$K$1:$K$743,Movimientos!$C$1:$C$743,"3628 Thomas Ave",Movimientos!$B$1:$B$743,"&lt;="&amp;$B46)</f>
        <v>24484.85</v>
      </c>
      <c r="T46" s="24">
        <f>SUMIFS('Saldos Iniciales'!$D:$D,'Saldos Iniciales'!$A:$A,"Green Harbor Trust")+SUMIFS(Movimientos!$K$1:$K$743,Movimientos!$C$1:$C$743,"Green Harbor Trust",Movimientos!$B$1:$B$743,"&lt;="&amp;$B46)</f>
        <v>345</v>
      </c>
      <c r="U46" s="24">
        <f>SUMIFS('Saldos Iniciales'!$D:$D,'Saldos Iniciales'!$A:$A,"Go Blue")+SUMIFS(Movimientos!$K$1:$K$743,Movimientos!$C$1:$C$743,"Go Blue",Movimientos!$B$1:$B$743,"&lt;="&amp;$B46)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Group")+SUMIFS(Movimientos!$K$1:$K$743,Movimientos!$C$1:$C$743,"CFT Group",Movimientos!$B$1:$B$743,"&lt;="&amp;$B47)</f>
        <v>985975.94000000029</v>
      </c>
      <c r="D47" s="24">
        <f>SUMIFS('Saldos Iniciales'!$D:$D,'Saldos Iniciales'!$A:$A,"M1B")+SUMIFS(Movimientos!$K$1:$K$743,Movimientos!$C$1:$C$743,"M1B",Movimientos!$B$1:$B$743,"&lt;="&amp;$B47)</f>
        <v>69376.390000000174</v>
      </c>
      <c r="E47" s="24">
        <f>SUMIFS('Saldos Iniciales'!$D:$D,'Saldos Iniciales'!$A:$A,"Durand")+SUMIFS(Movimientos!$K$1:$K$743,Movimientos!$C$1:$C$743,"Durand",Movimientos!$B$1:$B$743,"&lt;="&amp;$B47)</f>
        <v>1669.89</v>
      </c>
      <c r="F47" s="24">
        <f>SUMIFS('Saldos Iniciales'!$D:$D,'Saldos Iniciales'!$A:$A,"A&amp;M Imports")+SUMIFS(Movimientos!$K$1:$K$743,Movimientos!$C$1:$C$743,"A&amp;M Imports",Movimientos!$B$1:$B$743,"&lt;="&amp;$B47)</f>
        <v>503904.80999999982</v>
      </c>
      <c r="G47" s="24">
        <f>SUMIFS('Saldos Iniciales'!$D:$D,'Saldos Iniciales'!$A:$A,"SSP Capital")+SUMIFS(Movimientos!$K$1:$K$743,Movimientos!$C$1:$C$743,"SSP Capital",Movimientos!$B$1:$B$743,"&lt;="&amp;$B47)</f>
        <v>3331737.2399999998</v>
      </c>
      <c r="H47" s="24">
        <f>SUMIFS('Saldos Iniciales'!$D:$D,'Saldos Iniciales'!$A:$A,"Cross Family Trust")+SUMIFS(Movimientos!$K$1:$K$743,Movimientos!$C$1:$C$743,"Cross Family Trust",Movimientos!$B$1:$B$743,"&lt;="&amp;$B47)</f>
        <v>116496.38</v>
      </c>
      <c r="I47" s="24">
        <f>SUMIFS('Saldos Iniciales'!$D:$D,'Saldos Iniciales'!$A:$A,"Cross Security Trust")+SUMIFS(Movimientos!$K$1:$K$743,Movimientos!$C$1:$C$743,"Cross Security Trust",Movimientos!$B$1:$B$743,"&lt;="&amp;$B47)</f>
        <v>88090.37</v>
      </c>
      <c r="J47" s="24">
        <f>SUMIFS('Saldos Iniciales'!$D:$D,'Saldos Iniciales'!$A:$A,"Electrama")+SUMIFS(Movimientos!$K$1:$K$743,Movimientos!$C$1:$C$743,"Electrama",Movimientos!$B$1:$B$743,"&lt;="&amp;$B47)</f>
        <v>511.15999999999985</v>
      </c>
      <c r="K47" s="24">
        <f>SUMIFS('Saldos Iniciales'!$D:$D,'Saldos Iniciales'!$A:$A,"Sacred Valley Capital")+SUMIFS(Movimientos!$K$1:$K$743,Movimientos!$C$1:$C$743,"Sacred Valley Capital",Movimientos!$B$1:$B$743,"&lt;="&amp;$B47)</f>
        <v>84.35</v>
      </c>
      <c r="L47" s="24">
        <f>SUMIFS('Saldos Iniciales'!$D:$D,'Saldos Iniciales'!$A:$A,"YWC Capital")+SUMIFS(Movimientos!$K$1:$K$743,Movimientos!$C$1:$C$743,"YWC Capital",Movimientos!$B$1:$B$743,"&lt;="&amp;$B47)</f>
        <v>2237.77</v>
      </c>
      <c r="M47" s="24">
        <f>SUMIFS('Saldos Iniciales'!$D:$D,'Saldos Iniciales'!$A:$A,"Soweto")+SUMIFS(Movimientos!$K$1:$K$743,Movimientos!$C$1:$C$743,"Soweto",Movimientos!$B$1:$B$743,"&lt;="&amp;$B47)</f>
        <v>3349.94</v>
      </c>
      <c r="N47" s="24">
        <f>SUMIFS('Saldos Iniciales'!$D:$D,'Saldos Iniciales'!$A:$A,"Green Stone Trust")+SUMIFS(Movimientos!$K$1:$K$743,Movimientos!$C$1:$C$743,"Green Stone Trust",Movimientos!$B$1:$B$743,"&lt;="&amp;$B47)</f>
        <v>1968.99</v>
      </c>
      <c r="O47" s="24">
        <f>SUMIFS('Saldos Iniciales'!$D:$D,'Saldos Iniciales'!$A:$A,"EC Auto")+SUMIFS(Movimientos!$K$1:$K$743,Movimientos!$C$1:$C$743,"EC Auto",Movimientos!$B$1:$B$743,"&lt;="&amp;$B47)</f>
        <v>382.69000000000005</v>
      </c>
      <c r="P47" s="24">
        <f>SUMIFS('Saldos Iniciales'!$D:$D,'Saldos Iniciales'!$A:$A,"Arbor Capital Properties")+SUMIFS(Movimientos!$K$1:$K$743,Movimientos!$C$1:$C$743,"Arbor Capital Properties",Movimientos!$B$1:$B$743,"&lt;="&amp;$B47)</f>
        <v>1428.08</v>
      </c>
      <c r="Q47" s="24">
        <f>SUMIFS('Saldos Iniciales'!$D:$D,'Saldos Iniciales'!$A:$A,"2515 Overbrook")+SUMIFS(Movimientos!$K$1:$K$743,Movimientos!$C$1:$C$743,"2515 Overbrook",Movimientos!$B$1:$B$743,"&lt;="&amp;$B47)</f>
        <v>29789.969999999961</v>
      </c>
      <c r="R47" s="24">
        <f>SUMIFS('Saldos Iniciales'!$D:$D,'Saldos Iniciales'!$A:$A,"112 Florida Ave")+SUMIFS(Movimientos!$K$1:$K$743,Movimientos!$C$1:$C$743,"112 Florida Ave",Movimientos!$B$1:$B$743,"&lt;="&amp;$B47)</f>
        <v>5321.4300000000021</v>
      </c>
      <c r="S47" s="24">
        <f>SUMIFS('Saldos Iniciales'!$D:$D,'Saldos Iniciales'!$A:$A,"3628 Thomas Ave")+SUMIFS(Movimientos!$K$1:$K$743,Movimientos!$C$1:$C$743,"3628 Thomas Ave",Movimientos!$B$1:$B$743,"&lt;="&amp;$B47)</f>
        <v>20484.849999999999</v>
      </c>
      <c r="T47" s="24">
        <f>SUMIFS('Saldos Iniciales'!$D:$D,'Saldos Iniciales'!$A:$A,"Green Harbor Trust")+SUMIFS(Movimientos!$K$1:$K$743,Movimientos!$C$1:$C$743,"Green Harbor Trust",Movimientos!$B$1:$B$743,"&lt;="&amp;$B47)</f>
        <v>345</v>
      </c>
      <c r="U47" s="24">
        <f>SUMIFS('Saldos Iniciales'!$D:$D,'Saldos Iniciales'!$A:$A,"Go Blue")+SUMIFS(Movimientos!$K$1:$K$743,Movimientos!$C$1:$C$743,"Go Blue",Movimientos!$B$1:$B$743,"&lt;="&amp;$B47)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Group")+SUMIFS(Movimientos!$K$1:$K$743,Movimientos!$C$1:$C$743,"CFT Group",Movimientos!$B$1:$B$743,"&lt;="&amp;$B48)</f>
        <v>1086358.7500000002</v>
      </c>
      <c r="D48" s="24">
        <f>SUMIFS('Saldos Iniciales'!$D:$D,'Saldos Iniciales'!$A:$A,"M1B")+SUMIFS(Movimientos!$K$1:$K$743,Movimientos!$C$1:$C$743,"M1B",Movimientos!$B$1:$B$743,"&lt;="&amp;$B48)</f>
        <v>69376.390000000174</v>
      </c>
      <c r="E48" s="24">
        <f>SUMIFS('Saldos Iniciales'!$D:$D,'Saldos Iniciales'!$A:$A,"Durand")+SUMIFS(Movimientos!$K$1:$K$743,Movimientos!$C$1:$C$743,"Durand",Movimientos!$B$1:$B$743,"&lt;="&amp;$B48)</f>
        <v>1669.89</v>
      </c>
      <c r="F48" s="24">
        <f>SUMIFS('Saldos Iniciales'!$D:$D,'Saldos Iniciales'!$A:$A,"A&amp;M Imports")+SUMIFS(Movimientos!$K$1:$K$743,Movimientos!$C$1:$C$743,"A&amp;M Imports",Movimientos!$B$1:$B$743,"&lt;="&amp;$B48)</f>
        <v>503904.80999999982</v>
      </c>
      <c r="G48" s="24">
        <f>SUMIFS('Saldos Iniciales'!$D:$D,'Saldos Iniciales'!$A:$A,"SSP Capital")+SUMIFS(Movimientos!$K$1:$K$743,Movimientos!$C$1:$C$743,"SSP Capital",Movimientos!$B$1:$B$743,"&lt;="&amp;$B48)</f>
        <v>3329246.88</v>
      </c>
      <c r="H48" s="24">
        <f>SUMIFS('Saldos Iniciales'!$D:$D,'Saldos Iniciales'!$A:$A,"Cross Family Trust")+SUMIFS(Movimientos!$K$1:$K$743,Movimientos!$C$1:$C$743,"Cross Family Trust",Movimientos!$B$1:$B$743,"&lt;="&amp;$B48)</f>
        <v>116496.38</v>
      </c>
      <c r="I48" s="24">
        <f>SUMIFS('Saldos Iniciales'!$D:$D,'Saldos Iniciales'!$A:$A,"Cross Security Trust")+SUMIFS(Movimientos!$K$1:$K$743,Movimientos!$C$1:$C$743,"Cross Security Trust",Movimientos!$B$1:$B$743,"&lt;="&amp;$B48)</f>
        <v>88090.37</v>
      </c>
      <c r="J48" s="24">
        <f>SUMIFS('Saldos Iniciales'!$D:$D,'Saldos Iniciales'!$A:$A,"Electrama")+SUMIFS(Movimientos!$K$1:$K$743,Movimientos!$C$1:$C$743,"Electrama",Movimientos!$B$1:$B$743,"&lt;="&amp;$B48)</f>
        <v>511.15999999999985</v>
      </c>
      <c r="K48" s="24">
        <f>SUMIFS('Saldos Iniciales'!$D:$D,'Saldos Iniciales'!$A:$A,"Sacred Valley Capital")+SUMIFS(Movimientos!$K$1:$K$743,Movimientos!$C$1:$C$743,"Sacred Valley Capital",Movimientos!$B$1:$B$743,"&lt;="&amp;$B48)</f>
        <v>84.35</v>
      </c>
      <c r="L48" s="24">
        <f>SUMIFS('Saldos Iniciales'!$D:$D,'Saldos Iniciales'!$A:$A,"YWC Capital")+SUMIFS(Movimientos!$K$1:$K$743,Movimientos!$C$1:$C$743,"YWC Capital",Movimientos!$B$1:$B$743,"&lt;="&amp;$B48)</f>
        <v>2237.77</v>
      </c>
      <c r="M48" s="24">
        <f>SUMIFS('Saldos Iniciales'!$D:$D,'Saldos Iniciales'!$A:$A,"Soweto")+SUMIFS(Movimientos!$K$1:$K$743,Movimientos!$C$1:$C$743,"Soweto",Movimientos!$B$1:$B$743,"&lt;="&amp;$B48)</f>
        <v>3349.94</v>
      </c>
      <c r="N48" s="24">
        <f>SUMIFS('Saldos Iniciales'!$D:$D,'Saldos Iniciales'!$A:$A,"Green Stone Trust")+SUMIFS(Movimientos!$K$1:$K$743,Movimientos!$C$1:$C$743,"Green Stone Trust",Movimientos!$B$1:$B$743,"&lt;="&amp;$B48)</f>
        <v>1968.99</v>
      </c>
      <c r="O48" s="24">
        <f>SUMIFS('Saldos Iniciales'!$D:$D,'Saldos Iniciales'!$A:$A,"EC Auto")+SUMIFS(Movimientos!$K$1:$K$743,Movimientos!$C$1:$C$743,"EC Auto",Movimientos!$B$1:$B$743,"&lt;="&amp;$B48)</f>
        <v>382.69000000000005</v>
      </c>
      <c r="P48" s="24">
        <f>SUMIFS('Saldos Iniciales'!$D:$D,'Saldos Iniciales'!$A:$A,"Arbor Capital Properties")+SUMIFS(Movimientos!$K$1:$K$743,Movimientos!$C$1:$C$743,"Arbor Capital Properties",Movimientos!$B$1:$B$743,"&lt;="&amp;$B48)</f>
        <v>1428.08</v>
      </c>
      <c r="Q48" s="24">
        <f>SUMIFS('Saldos Iniciales'!$D:$D,'Saldos Iniciales'!$A:$A,"2515 Overbrook")+SUMIFS(Movimientos!$K$1:$K$743,Movimientos!$C$1:$C$743,"2515 Overbrook",Movimientos!$B$1:$B$743,"&lt;="&amp;$B48)</f>
        <v>29789.969999999961</v>
      </c>
      <c r="R48" s="24">
        <f>SUMIFS('Saldos Iniciales'!$D:$D,'Saldos Iniciales'!$A:$A,"112 Florida Ave")+SUMIFS(Movimientos!$K$1:$K$743,Movimientos!$C$1:$C$743,"112 Florida Ave",Movimientos!$B$1:$B$743,"&lt;="&amp;$B48)</f>
        <v>20321.43</v>
      </c>
      <c r="S48" s="24">
        <f>SUMIFS('Saldos Iniciales'!$D:$D,'Saldos Iniciales'!$A:$A,"3628 Thomas Ave")+SUMIFS(Movimientos!$K$1:$K$743,Movimientos!$C$1:$C$743,"3628 Thomas Ave",Movimientos!$B$1:$B$743,"&lt;="&amp;$B48)</f>
        <v>19811.349999999999</v>
      </c>
      <c r="T48" s="24">
        <f>SUMIFS('Saldos Iniciales'!$D:$D,'Saldos Iniciales'!$A:$A,"Green Harbor Trust")+SUMIFS(Movimientos!$K$1:$K$743,Movimientos!$C$1:$C$743,"Green Harbor Trust",Movimientos!$B$1:$B$743,"&lt;="&amp;$B48)</f>
        <v>345</v>
      </c>
      <c r="U48" s="24">
        <f>SUMIFS('Saldos Iniciales'!$D:$D,'Saldos Iniciales'!$A:$A,"Go Blue")+SUMIFS(Movimientos!$K$1:$K$743,Movimientos!$C$1:$C$743,"Go Blue",Movimientos!$B$1:$B$743,"&lt;="&amp;$B48)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Group")+SUMIFS(Movimientos!$K$1:$K$743,Movimientos!$C$1:$C$743,"CFT Group",Movimientos!$B$1:$B$743,"&lt;="&amp;$B49)</f>
        <v>1098358.7500000002</v>
      </c>
      <c r="D49" s="24">
        <f>SUMIFS('Saldos Iniciales'!$D:$D,'Saldos Iniciales'!$A:$A,"M1B")+SUMIFS(Movimientos!$K$1:$K$743,Movimientos!$C$1:$C$743,"M1B",Movimientos!$B$1:$B$743,"&lt;="&amp;$B49)</f>
        <v>69376.390000000174</v>
      </c>
      <c r="E49" s="24">
        <f>SUMIFS('Saldos Iniciales'!$D:$D,'Saldos Iniciales'!$A:$A,"Durand")+SUMIFS(Movimientos!$K$1:$K$743,Movimientos!$C$1:$C$743,"Durand",Movimientos!$B$1:$B$743,"&lt;="&amp;$B49)</f>
        <v>1669.89</v>
      </c>
      <c r="F49" s="24">
        <f>SUMIFS('Saldos Iniciales'!$D:$D,'Saldos Iniciales'!$A:$A,"A&amp;M Imports")+SUMIFS(Movimientos!$K$1:$K$743,Movimientos!$C$1:$C$743,"A&amp;M Imports",Movimientos!$B$1:$B$743,"&lt;="&amp;$B49)</f>
        <v>503904.80999999982</v>
      </c>
      <c r="G49" s="24">
        <f>SUMIFS('Saldos Iniciales'!$D:$D,'Saldos Iniciales'!$A:$A,"SSP Capital")+SUMIFS(Movimientos!$K$1:$K$743,Movimientos!$C$1:$C$743,"SSP Capital",Movimientos!$B$1:$B$743,"&lt;="&amp;$B49)</f>
        <v>3326863.3899999997</v>
      </c>
      <c r="H49" s="24">
        <f>SUMIFS('Saldos Iniciales'!$D:$D,'Saldos Iniciales'!$A:$A,"Cross Family Trust")+SUMIFS(Movimientos!$K$1:$K$743,Movimientos!$C$1:$C$743,"Cross Family Trust",Movimientos!$B$1:$B$743,"&lt;="&amp;$B49)</f>
        <v>116496.38</v>
      </c>
      <c r="I49" s="24">
        <f>SUMIFS('Saldos Iniciales'!$D:$D,'Saldos Iniciales'!$A:$A,"Cross Security Trust")+SUMIFS(Movimientos!$K$1:$K$743,Movimientos!$C$1:$C$743,"Cross Security Trust",Movimientos!$B$1:$B$743,"&lt;="&amp;$B49)</f>
        <v>88090.37</v>
      </c>
      <c r="J49" s="24">
        <f>SUMIFS('Saldos Iniciales'!$D:$D,'Saldos Iniciales'!$A:$A,"Electrama")+SUMIFS(Movimientos!$K$1:$K$743,Movimientos!$C$1:$C$743,"Electrama",Movimientos!$B$1:$B$743,"&lt;="&amp;$B49)</f>
        <v>511.15999999999985</v>
      </c>
      <c r="K49" s="24">
        <f>SUMIFS('Saldos Iniciales'!$D:$D,'Saldos Iniciales'!$A:$A,"Sacred Valley Capital")+SUMIFS(Movimientos!$K$1:$K$743,Movimientos!$C$1:$C$743,"Sacred Valley Capital",Movimientos!$B$1:$B$743,"&lt;="&amp;$B49)</f>
        <v>84.35</v>
      </c>
      <c r="L49" s="24">
        <f>SUMIFS('Saldos Iniciales'!$D:$D,'Saldos Iniciales'!$A:$A,"YWC Capital")+SUMIFS(Movimientos!$K$1:$K$743,Movimientos!$C$1:$C$743,"YWC Capital",Movimientos!$B$1:$B$743,"&lt;="&amp;$B49)</f>
        <v>2237.77</v>
      </c>
      <c r="M49" s="24">
        <f>SUMIFS('Saldos Iniciales'!$D:$D,'Saldos Iniciales'!$A:$A,"Soweto")+SUMIFS(Movimientos!$K$1:$K$743,Movimientos!$C$1:$C$743,"Soweto",Movimientos!$B$1:$B$743,"&lt;="&amp;$B49)</f>
        <v>3349.94</v>
      </c>
      <c r="N49" s="24">
        <f>SUMIFS('Saldos Iniciales'!$D:$D,'Saldos Iniciales'!$A:$A,"Green Stone Trust")+SUMIFS(Movimientos!$K$1:$K$743,Movimientos!$C$1:$C$743,"Green Stone Trust",Movimientos!$B$1:$B$743,"&lt;="&amp;$B49)</f>
        <v>1968.99</v>
      </c>
      <c r="O49" s="24">
        <f>SUMIFS('Saldos Iniciales'!$D:$D,'Saldos Iniciales'!$A:$A,"EC Auto")+SUMIFS(Movimientos!$K$1:$K$743,Movimientos!$C$1:$C$743,"EC Auto",Movimientos!$B$1:$B$743,"&lt;="&amp;$B49)</f>
        <v>382.69000000000005</v>
      </c>
      <c r="P49" s="24">
        <f>SUMIFS('Saldos Iniciales'!$D:$D,'Saldos Iniciales'!$A:$A,"Arbor Capital Properties")+SUMIFS(Movimientos!$K$1:$K$743,Movimientos!$C$1:$C$743,"Arbor Capital Properties",Movimientos!$B$1:$B$743,"&lt;="&amp;$B49)</f>
        <v>1428.08</v>
      </c>
      <c r="Q49" s="24">
        <f>SUMIFS('Saldos Iniciales'!$D:$D,'Saldos Iniciales'!$A:$A,"2515 Overbrook")+SUMIFS(Movimientos!$K$1:$K$743,Movimientos!$C$1:$C$743,"2515 Overbrook",Movimientos!$B$1:$B$743,"&lt;="&amp;$B49)</f>
        <v>29789.969999999961</v>
      </c>
      <c r="R49" s="24">
        <f>SUMIFS('Saldos Iniciales'!$D:$D,'Saldos Iniciales'!$A:$A,"112 Florida Ave")+SUMIFS(Movimientos!$K$1:$K$743,Movimientos!$C$1:$C$743,"112 Florida Ave",Movimientos!$B$1:$B$743,"&lt;="&amp;$B49)</f>
        <v>20321.43</v>
      </c>
      <c r="S49" s="24">
        <f>SUMIFS('Saldos Iniciales'!$D:$D,'Saldos Iniciales'!$A:$A,"3628 Thomas Ave")+SUMIFS(Movimientos!$K$1:$K$743,Movimientos!$C$1:$C$743,"3628 Thomas Ave",Movimientos!$B$1:$B$743,"&lt;="&amp;$B49)</f>
        <v>16681.349999999999</v>
      </c>
      <c r="T49" s="24">
        <f>SUMIFS('Saldos Iniciales'!$D:$D,'Saldos Iniciales'!$A:$A,"Green Harbor Trust")+SUMIFS(Movimientos!$K$1:$K$743,Movimientos!$C$1:$C$743,"Green Harbor Trust",Movimientos!$B$1:$B$743,"&lt;="&amp;$B49)</f>
        <v>345</v>
      </c>
      <c r="U49" s="24">
        <f>SUMIFS('Saldos Iniciales'!$D:$D,'Saldos Iniciales'!$A:$A,"Go Blue")+SUMIFS(Movimientos!$K$1:$K$743,Movimientos!$C$1:$C$743,"Go Blue",Movimientos!$B$1:$B$743,"&lt;="&amp;$B49)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Group")+SUMIFS(Movimientos!$K$1:$K$743,Movimientos!$C$1:$C$743,"CFT Group",Movimientos!$B$1:$B$743,"&lt;="&amp;$B50)</f>
        <v>1098358.7500000002</v>
      </c>
      <c r="D50" s="24">
        <f>SUMIFS('Saldos Iniciales'!$D:$D,'Saldos Iniciales'!$A:$A,"M1B")+SUMIFS(Movimientos!$K$1:$K$743,Movimientos!$C$1:$C$743,"M1B",Movimientos!$B$1:$B$743,"&lt;="&amp;$B50)</f>
        <v>69376.390000000174</v>
      </c>
      <c r="E50" s="24">
        <f>SUMIFS('Saldos Iniciales'!$D:$D,'Saldos Iniciales'!$A:$A,"Durand")+SUMIFS(Movimientos!$K$1:$K$743,Movimientos!$C$1:$C$743,"Durand",Movimientos!$B$1:$B$743,"&lt;="&amp;$B50)</f>
        <v>1669.89</v>
      </c>
      <c r="F50" s="24">
        <f>SUMIFS('Saldos Iniciales'!$D:$D,'Saldos Iniciales'!$A:$A,"A&amp;M Imports")+SUMIFS(Movimientos!$K$1:$K$743,Movimientos!$C$1:$C$743,"A&amp;M Imports",Movimientos!$B$1:$B$743,"&lt;="&amp;$B50)</f>
        <v>503904.80999999982</v>
      </c>
      <c r="G50" s="24">
        <f>SUMIFS('Saldos Iniciales'!$D:$D,'Saldos Iniciales'!$A:$A,"SSP Capital")+SUMIFS(Movimientos!$K$1:$K$743,Movimientos!$C$1:$C$743,"SSP Capital",Movimientos!$B$1:$B$743,"&lt;="&amp;$B50)</f>
        <v>3326696.7299999995</v>
      </c>
      <c r="H50" s="24">
        <f>SUMIFS('Saldos Iniciales'!$D:$D,'Saldos Iniciales'!$A:$A,"Cross Family Trust")+SUMIFS(Movimientos!$K$1:$K$743,Movimientos!$C$1:$C$743,"Cross Family Trust",Movimientos!$B$1:$B$743,"&lt;="&amp;$B50)</f>
        <v>116496.38</v>
      </c>
      <c r="I50" s="24">
        <f>SUMIFS('Saldos Iniciales'!$D:$D,'Saldos Iniciales'!$A:$A,"Cross Security Trust")+SUMIFS(Movimientos!$K$1:$K$743,Movimientos!$C$1:$C$743,"Cross Security Trust",Movimientos!$B$1:$B$743,"&lt;="&amp;$B50)</f>
        <v>88090.37</v>
      </c>
      <c r="J50" s="24">
        <f>SUMIFS('Saldos Iniciales'!$D:$D,'Saldos Iniciales'!$A:$A,"Electrama")+SUMIFS(Movimientos!$K$1:$K$743,Movimientos!$C$1:$C$743,"Electrama",Movimientos!$B$1:$B$743,"&lt;="&amp;$B50)</f>
        <v>511.15999999999985</v>
      </c>
      <c r="K50" s="24">
        <f>SUMIFS('Saldos Iniciales'!$D:$D,'Saldos Iniciales'!$A:$A,"Sacred Valley Capital")+SUMIFS(Movimientos!$K$1:$K$743,Movimientos!$C$1:$C$743,"Sacred Valley Capital",Movimientos!$B$1:$B$743,"&lt;="&amp;$B50)</f>
        <v>84.35</v>
      </c>
      <c r="L50" s="24">
        <f>SUMIFS('Saldos Iniciales'!$D:$D,'Saldos Iniciales'!$A:$A,"YWC Capital")+SUMIFS(Movimientos!$K$1:$K$743,Movimientos!$C$1:$C$743,"YWC Capital",Movimientos!$B$1:$B$743,"&lt;="&amp;$B50)</f>
        <v>2237.77</v>
      </c>
      <c r="M50" s="24">
        <f>SUMIFS('Saldos Iniciales'!$D:$D,'Saldos Iniciales'!$A:$A,"Soweto")+SUMIFS(Movimientos!$K$1:$K$743,Movimientos!$C$1:$C$743,"Soweto",Movimientos!$B$1:$B$743,"&lt;="&amp;$B50)</f>
        <v>3349.94</v>
      </c>
      <c r="N50" s="24">
        <f>SUMIFS('Saldos Iniciales'!$D:$D,'Saldos Iniciales'!$A:$A,"Green Stone Trust")+SUMIFS(Movimientos!$K$1:$K$743,Movimientos!$C$1:$C$743,"Green Stone Trust",Movimientos!$B$1:$B$743,"&lt;="&amp;$B50)</f>
        <v>1968.99</v>
      </c>
      <c r="O50" s="24">
        <f>SUMIFS('Saldos Iniciales'!$D:$D,'Saldos Iniciales'!$A:$A,"EC Auto")+SUMIFS(Movimientos!$K$1:$K$743,Movimientos!$C$1:$C$743,"EC Auto",Movimientos!$B$1:$B$743,"&lt;="&amp;$B50)</f>
        <v>382.69000000000005</v>
      </c>
      <c r="P50" s="24">
        <f>SUMIFS('Saldos Iniciales'!$D:$D,'Saldos Iniciales'!$A:$A,"Arbor Capital Properties")+SUMIFS(Movimientos!$K$1:$K$743,Movimientos!$C$1:$C$743,"Arbor Capital Properties",Movimientos!$B$1:$B$743,"&lt;="&amp;$B50)</f>
        <v>1428.08</v>
      </c>
      <c r="Q50" s="24">
        <f>SUMIFS('Saldos Iniciales'!$D:$D,'Saldos Iniciales'!$A:$A,"2515 Overbrook")+SUMIFS(Movimientos!$K$1:$K$743,Movimientos!$C$1:$C$743,"2515 Overbrook",Movimientos!$B$1:$B$743,"&lt;="&amp;$B50)</f>
        <v>29789.969999999961</v>
      </c>
      <c r="R50" s="24">
        <f>SUMIFS('Saldos Iniciales'!$D:$D,'Saldos Iniciales'!$A:$A,"112 Florida Ave")+SUMIFS(Movimientos!$K$1:$K$743,Movimientos!$C$1:$C$743,"112 Florida Ave",Movimientos!$B$1:$B$743,"&lt;="&amp;$B50)</f>
        <v>20321.43</v>
      </c>
      <c r="S50" s="24">
        <f>SUMIFS('Saldos Iniciales'!$D:$D,'Saldos Iniciales'!$A:$A,"3628 Thomas Ave")+SUMIFS(Movimientos!$K$1:$K$743,Movimientos!$C$1:$C$743,"3628 Thomas Ave",Movimientos!$B$1:$B$743,"&lt;="&amp;$B50)</f>
        <v>16681.349999999999</v>
      </c>
      <c r="T50" s="24">
        <f>SUMIFS('Saldos Iniciales'!$D:$D,'Saldos Iniciales'!$A:$A,"Green Harbor Trust")+SUMIFS(Movimientos!$K$1:$K$743,Movimientos!$C$1:$C$743,"Green Harbor Trust",Movimientos!$B$1:$B$743,"&lt;="&amp;$B50)</f>
        <v>345</v>
      </c>
      <c r="U50" s="24">
        <f>SUMIFS('Saldos Iniciales'!$D:$D,'Saldos Iniciales'!$A:$A,"Go Blue")+SUMIFS(Movimientos!$K$1:$K$743,Movimientos!$C$1:$C$743,"Go Blue",Movimientos!$B$1:$B$743,"&lt;="&amp;$B50)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Group")+SUMIFS(Movimientos!$K$1:$K$743,Movimientos!$C$1:$C$743,"CFT Group",Movimientos!$B$1:$B$743,"&lt;="&amp;$B51)</f>
        <v>1098358.7500000002</v>
      </c>
      <c r="D51" s="24">
        <f>SUMIFS('Saldos Iniciales'!$D:$D,'Saldos Iniciales'!$A:$A,"M1B")+SUMIFS(Movimientos!$K$1:$K$743,Movimientos!$C$1:$C$743,"M1B",Movimientos!$B$1:$B$743,"&lt;="&amp;$B51)</f>
        <v>69376.390000000174</v>
      </c>
      <c r="E51" s="24">
        <f>SUMIFS('Saldos Iniciales'!$D:$D,'Saldos Iniciales'!$A:$A,"Durand")+SUMIFS(Movimientos!$K$1:$K$743,Movimientos!$C$1:$C$743,"Durand",Movimientos!$B$1:$B$743,"&lt;="&amp;$B51)</f>
        <v>1669.89</v>
      </c>
      <c r="F51" s="24">
        <f>SUMIFS('Saldos Iniciales'!$D:$D,'Saldos Iniciales'!$A:$A,"A&amp;M Imports")+SUMIFS(Movimientos!$K$1:$K$743,Movimientos!$C$1:$C$743,"A&amp;M Imports",Movimientos!$B$1:$B$743,"&lt;="&amp;$B51)</f>
        <v>503904.80999999982</v>
      </c>
      <c r="G51" s="24">
        <f>SUMIFS('Saldos Iniciales'!$D:$D,'Saldos Iniciales'!$A:$A,"SSP Capital")+SUMIFS(Movimientos!$K$1:$K$743,Movimientos!$C$1:$C$743,"SSP Capital",Movimientos!$B$1:$B$743,"&lt;="&amp;$B51)</f>
        <v>3326696.7299999995</v>
      </c>
      <c r="H51" s="24">
        <f>SUMIFS('Saldos Iniciales'!$D:$D,'Saldos Iniciales'!$A:$A,"Cross Family Trust")+SUMIFS(Movimientos!$K$1:$K$743,Movimientos!$C$1:$C$743,"Cross Family Trust",Movimientos!$B$1:$B$743,"&lt;="&amp;$B51)</f>
        <v>116496.38</v>
      </c>
      <c r="I51" s="24">
        <f>SUMIFS('Saldos Iniciales'!$D:$D,'Saldos Iniciales'!$A:$A,"Cross Security Trust")+SUMIFS(Movimientos!$K$1:$K$743,Movimientos!$C$1:$C$743,"Cross Security Trust",Movimientos!$B$1:$B$743,"&lt;="&amp;$B51)</f>
        <v>88090.37</v>
      </c>
      <c r="J51" s="24">
        <f>SUMIFS('Saldos Iniciales'!$D:$D,'Saldos Iniciales'!$A:$A,"Electrama")+SUMIFS(Movimientos!$K$1:$K$743,Movimientos!$C$1:$C$743,"Electrama",Movimientos!$B$1:$B$743,"&lt;="&amp;$B51)</f>
        <v>511.15999999999985</v>
      </c>
      <c r="K51" s="24">
        <f>SUMIFS('Saldos Iniciales'!$D:$D,'Saldos Iniciales'!$A:$A,"Sacred Valley Capital")+SUMIFS(Movimientos!$K$1:$K$743,Movimientos!$C$1:$C$743,"Sacred Valley Capital",Movimientos!$B$1:$B$743,"&lt;="&amp;$B51)</f>
        <v>84.35</v>
      </c>
      <c r="L51" s="24">
        <f>SUMIFS('Saldos Iniciales'!$D:$D,'Saldos Iniciales'!$A:$A,"YWC Capital")+SUMIFS(Movimientos!$K$1:$K$743,Movimientos!$C$1:$C$743,"YWC Capital",Movimientos!$B$1:$B$743,"&lt;="&amp;$B51)</f>
        <v>2237.77</v>
      </c>
      <c r="M51" s="24">
        <f>SUMIFS('Saldos Iniciales'!$D:$D,'Saldos Iniciales'!$A:$A,"Soweto")+SUMIFS(Movimientos!$K$1:$K$743,Movimientos!$C$1:$C$743,"Soweto",Movimientos!$B$1:$B$743,"&lt;="&amp;$B51)</f>
        <v>3349.94</v>
      </c>
      <c r="N51" s="24">
        <f>SUMIFS('Saldos Iniciales'!$D:$D,'Saldos Iniciales'!$A:$A,"Green Stone Trust")+SUMIFS(Movimientos!$K$1:$K$743,Movimientos!$C$1:$C$743,"Green Stone Trust",Movimientos!$B$1:$B$743,"&lt;="&amp;$B51)</f>
        <v>1968.99</v>
      </c>
      <c r="O51" s="24">
        <f>SUMIFS('Saldos Iniciales'!$D:$D,'Saldos Iniciales'!$A:$A,"EC Auto")+SUMIFS(Movimientos!$K$1:$K$743,Movimientos!$C$1:$C$743,"EC Auto",Movimientos!$B$1:$B$743,"&lt;="&amp;$B51)</f>
        <v>382.69000000000005</v>
      </c>
      <c r="P51" s="24">
        <f>SUMIFS('Saldos Iniciales'!$D:$D,'Saldos Iniciales'!$A:$A,"Arbor Capital Properties")+SUMIFS(Movimientos!$K$1:$K$743,Movimientos!$C$1:$C$743,"Arbor Capital Properties",Movimientos!$B$1:$B$743,"&lt;="&amp;$B51)</f>
        <v>1428.08</v>
      </c>
      <c r="Q51" s="24">
        <f>SUMIFS('Saldos Iniciales'!$D:$D,'Saldos Iniciales'!$A:$A,"2515 Overbrook")+SUMIFS(Movimientos!$K$1:$K$743,Movimientos!$C$1:$C$743,"2515 Overbrook",Movimientos!$B$1:$B$743,"&lt;="&amp;$B51)</f>
        <v>29789.969999999961</v>
      </c>
      <c r="R51" s="24">
        <f>SUMIFS('Saldos Iniciales'!$D:$D,'Saldos Iniciales'!$A:$A,"112 Florida Ave")+SUMIFS(Movimientos!$K$1:$K$743,Movimientos!$C$1:$C$743,"112 Florida Ave",Movimientos!$B$1:$B$743,"&lt;="&amp;$B51)</f>
        <v>20321.43</v>
      </c>
      <c r="S51" s="24">
        <f>SUMIFS('Saldos Iniciales'!$D:$D,'Saldos Iniciales'!$A:$A,"3628 Thomas Ave")+SUMIFS(Movimientos!$K$1:$K$743,Movimientos!$C$1:$C$743,"3628 Thomas Ave",Movimientos!$B$1:$B$743,"&lt;="&amp;$B51)</f>
        <v>16681.349999999999</v>
      </c>
      <c r="T51" s="24">
        <f>SUMIFS('Saldos Iniciales'!$D:$D,'Saldos Iniciales'!$A:$A,"Green Harbor Trust")+SUMIFS(Movimientos!$K$1:$K$743,Movimientos!$C$1:$C$743,"Green Harbor Trust",Movimientos!$B$1:$B$743,"&lt;="&amp;$B51)</f>
        <v>345</v>
      </c>
      <c r="U51" s="24">
        <f>SUMIFS('Saldos Iniciales'!$D:$D,'Saldos Iniciales'!$A:$A,"Go Blue")+SUMIFS(Movimientos!$K$1:$K$743,Movimientos!$C$1:$C$743,"Go Blue",Movimientos!$B$1:$B$743,"&lt;="&amp;$B51)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Group")+SUMIFS(Movimientos!$K$1:$K$743,Movimientos!$C$1:$C$743,"CFT Group",Movimientos!$B$1:$B$743,"&lt;="&amp;$B52)</f>
        <v>1098358.7500000002</v>
      </c>
      <c r="D52" s="24">
        <f>SUMIFS('Saldos Iniciales'!$D:$D,'Saldos Iniciales'!$A:$A,"M1B")+SUMIFS(Movimientos!$K$1:$K$743,Movimientos!$C$1:$C$743,"M1B",Movimientos!$B$1:$B$743,"&lt;="&amp;$B52)</f>
        <v>69376.390000000174</v>
      </c>
      <c r="E52" s="24">
        <f>SUMIFS('Saldos Iniciales'!$D:$D,'Saldos Iniciales'!$A:$A,"Durand")+SUMIFS(Movimientos!$K$1:$K$743,Movimientos!$C$1:$C$743,"Durand",Movimientos!$B$1:$B$743,"&lt;="&amp;$B52)</f>
        <v>1669.89</v>
      </c>
      <c r="F52" s="24">
        <f>SUMIFS('Saldos Iniciales'!$D:$D,'Saldos Iniciales'!$A:$A,"A&amp;M Imports")+SUMIFS(Movimientos!$K$1:$K$743,Movimientos!$C$1:$C$743,"A&amp;M Imports",Movimientos!$B$1:$B$743,"&lt;="&amp;$B52)</f>
        <v>503904.80999999982</v>
      </c>
      <c r="G52" s="24">
        <f>SUMIFS('Saldos Iniciales'!$D:$D,'Saldos Iniciales'!$A:$A,"SSP Capital")+SUMIFS(Movimientos!$K$1:$K$743,Movimientos!$C$1:$C$743,"SSP Capital",Movimientos!$B$1:$B$743,"&lt;="&amp;$B52)</f>
        <v>3326696.7299999995</v>
      </c>
      <c r="H52" s="24">
        <f>SUMIFS('Saldos Iniciales'!$D:$D,'Saldos Iniciales'!$A:$A,"Cross Family Trust")+SUMIFS(Movimientos!$K$1:$K$743,Movimientos!$C$1:$C$743,"Cross Family Trust",Movimientos!$B$1:$B$743,"&lt;="&amp;$B52)</f>
        <v>116496.38</v>
      </c>
      <c r="I52" s="24">
        <f>SUMIFS('Saldos Iniciales'!$D:$D,'Saldos Iniciales'!$A:$A,"Cross Security Trust")+SUMIFS(Movimientos!$K$1:$K$743,Movimientos!$C$1:$C$743,"Cross Security Trust",Movimientos!$B$1:$B$743,"&lt;="&amp;$B52)</f>
        <v>88090.37</v>
      </c>
      <c r="J52" s="24">
        <f>SUMIFS('Saldos Iniciales'!$D:$D,'Saldos Iniciales'!$A:$A,"Electrama")+SUMIFS(Movimientos!$K$1:$K$743,Movimientos!$C$1:$C$743,"Electrama",Movimientos!$B$1:$B$743,"&lt;="&amp;$B52)</f>
        <v>511.15999999999985</v>
      </c>
      <c r="K52" s="24">
        <f>SUMIFS('Saldos Iniciales'!$D:$D,'Saldos Iniciales'!$A:$A,"Sacred Valley Capital")+SUMIFS(Movimientos!$K$1:$K$743,Movimientos!$C$1:$C$743,"Sacred Valley Capital",Movimientos!$B$1:$B$743,"&lt;="&amp;$B52)</f>
        <v>84.35</v>
      </c>
      <c r="L52" s="24">
        <f>SUMIFS('Saldos Iniciales'!$D:$D,'Saldos Iniciales'!$A:$A,"YWC Capital")+SUMIFS(Movimientos!$K$1:$K$743,Movimientos!$C$1:$C$743,"YWC Capital",Movimientos!$B$1:$B$743,"&lt;="&amp;$B52)</f>
        <v>2237.77</v>
      </c>
      <c r="M52" s="24">
        <f>SUMIFS('Saldos Iniciales'!$D:$D,'Saldos Iniciales'!$A:$A,"Soweto")+SUMIFS(Movimientos!$K$1:$K$743,Movimientos!$C$1:$C$743,"Soweto",Movimientos!$B$1:$B$743,"&lt;="&amp;$B52)</f>
        <v>3349.94</v>
      </c>
      <c r="N52" s="24">
        <f>SUMIFS('Saldos Iniciales'!$D:$D,'Saldos Iniciales'!$A:$A,"Green Stone Trust")+SUMIFS(Movimientos!$K$1:$K$743,Movimientos!$C$1:$C$743,"Green Stone Trust",Movimientos!$B$1:$B$743,"&lt;="&amp;$B52)</f>
        <v>1968.99</v>
      </c>
      <c r="O52" s="24">
        <f>SUMIFS('Saldos Iniciales'!$D:$D,'Saldos Iniciales'!$A:$A,"EC Auto")+SUMIFS(Movimientos!$K$1:$K$743,Movimientos!$C$1:$C$743,"EC Auto",Movimientos!$B$1:$B$743,"&lt;="&amp;$B52)</f>
        <v>382.69000000000005</v>
      </c>
      <c r="P52" s="24">
        <f>SUMIFS('Saldos Iniciales'!$D:$D,'Saldos Iniciales'!$A:$A,"Arbor Capital Properties")+SUMIFS(Movimientos!$K$1:$K$743,Movimientos!$C$1:$C$743,"Arbor Capital Properties",Movimientos!$B$1:$B$743,"&lt;="&amp;$B52)</f>
        <v>1428.08</v>
      </c>
      <c r="Q52" s="24">
        <f>SUMIFS('Saldos Iniciales'!$D:$D,'Saldos Iniciales'!$A:$A,"2515 Overbrook")+SUMIFS(Movimientos!$K$1:$K$743,Movimientos!$C$1:$C$743,"2515 Overbrook",Movimientos!$B$1:$B$743,"&lt;="&amp;$B52)</f>
        <v>29789.969999999961</v>
      </c>
      <c r="R52" s="24">
        <f>SUMIFS('Saldos Iniciales'!$D:$D,'Saldos Iniciales'!$A:$A,"112 Florida Ave")+SUMIFS(Movimientos!$K$1:$K$743,Movimientos!$C$1:$C$743,"112 Florida Ave",Movimientos!$B$1:$B$743,"&lt;="&amp;$B52)</f>
        <v>20321.43</v>
      </c>
      <c r="S52" s="24">
        <f>SUMIFS('Saldos Iniciales'!$D:$D,'Saldos Iniciales'!$A:$A,"3628 Thomas Ave")+SUMIFS(Movimientos!$K$1:$K$743,Movimientos!$C$1:$C$743,"3628 Thomas Ave",Movimientos!$B$1:$B$743,"&lt;="&amp;$B52)</f>
        <v>16681.349999999999</v>
      </c>
      <c r="T52" s="24">
        <f>SUMIFS('Saldos Iniciales'!$D:$D,'Saldos Iniciales'!$A:$A,"Green Harbor Trust")+SUMIFS(Movimientos!$K$1:$K$743,Movimientos!$C$1:$C$743,"Green Harbor Trust",Movimientos!$B$1:$B$743,"&lt;="&amp;$B52)</f>
        <v>345</v>
      </c>
      <c r="U52" s="24">
        <f>SUMIFS('Saldos Iniciales'!$D:$D,'Saldos Iniciales'!$A:$A,"Go Blue")+SUMIFS(Movimientos!$K$1:$K$743,Movimientos!$C$1:$C$743,"Go Blue",Movimientos!$B$1:$B$743,"&lt;="&amp;$B52)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Group")+SUMIFS(Movimientos!$K$1:$K$743,Movimientos!$C$1:$C$743,"CFT Group",Movimientos!$B$1:$B$743,"&lt;="&amp;$B53)</f>
        <v>1098358.7500000002</v>
      </c>
      <c r="D53" s="24">
        <f>SUMIFS('Saldos Iniciales'!$D:$D,'Saldos Iniciales'!$A:$A,"M1B")+SUMIFS(Movimientos!$K$1:$K$743,Movimientos!$C$1:$C$743,"M1B",Movimientos!$B$1:$B$743,"&lt;="&amp;$B53)</f>
        <v>69376.390000000174</v>
      </c>
      <c r="E53" s="24">
        <f>SUMIFS('Saldos Iniciales'!$D:$D,'Saldos Iniciales'!$A:$A,"Durand")+SUMIFS(Movimientos!$K$1:$K$743,Movimientos!$C$1:$C$743,"Durand",Movimientos!$B$1:$B$743,"&lt;="&amp;$B53)</f>
        <v>1669.89</v>
      </c>
      <c r="F53" s="24">
        <f>SUMIFS('Saldos Iniciales'!$D:$D,'Saldos Iniciales'!$A:$A,"A&amp;M Imports")+SUMIFS(Movimientos!$K$1:$K$743,Movimientos!$C$1:$C$743,"A&amp;M Imports",Movimientos!$B$1:$B$743,"&lt;="&amp;$B53)</f>
        <v>503904.80999999982</v>
      </c>
      <c r="G53" s="24">
        <f>SUMIFS('Saldos Iniciales'!$D:$D,'Saldos Iniciales'!$A:$A,"SSP Capital")+SUMIFS(Movimientos!$K$1:$K$743,Movimientos!$C$1:$C$743,"SSP Capital",Movimientos!$B$1:$B$743,"&lt;="&amp;$B53)</f>
        <v>3326696.7299999995</v>
      </c>
      <c r="H53" s="24">
        <f>SUMIFS('Saldos Iniciales'!$D:$D,'Saldos Iniciales'!$A:$A,"Cross Family Trust")+SUMIFS(Movimientos!$K$1:$K$743,Movimientos!$C$1:$C$743,"Cross Family Trust",Movimientos!$B$1:$B$743,"&lt;="&amp;$B53)</f>
        <v>116496.38</v>
      </c>
      <c r="I53" s="24">
        <f>SUMIFS('Saldos Iniciales'!$D:$D,'Saldos Iniciales'!$A:$A,"Cross Security Trust")+SUMIFS(Movimientos!$K$1:$K$743,Movimientos!$C$1:$C$743,"Cross Security Trust",Movimientos!$B$1:$B$743,"&lt;="&amp;$B53)</f>
        <v>88090.37</v>
      </c>
      <c r="J53" s="24">
        <f>SUMIFS('Saldos Iniciales'!$D:$D,'Saldos Iniciales'!$A:$A,"Electrama")+SUMIFS(Movimientos!$K$1:$K$743,Movimientos!$C$1:$C$743,"Electrama",Movimientos!$B$1:$B$743,"&lt;="&amp;$B53)</f>
        <v>511.15999999999985</v>
      </c>
      <c r="K53" s="24">
        <f>SUMIFS('Saldos Iniciales'!$D:$D,'Saldos Iniciales'!$A:$A,"Sacred Valley Capital")+SUMIFS(Movimientos!$K$1:$K$743,Movimientos!$C$1:$C$743,"Sacred Valley Capital",Movimientos!$B$1:$B$743,"&lt;="&amp;$B53)</f>
        <v>84.35</v>
      </c>
      <c r="L53" s="24">
        <f>SUMIFS('Saldos Iniciales'!$D:$D,'Saldos Iniciales'!$A:$A,"YWC Capital")+SUMIFS(Movimientos!$K$1:$K$743,Movimientos!$C$1:$C$743,"YWC Capital",Movimientos!$B$1:$B$743,"&lt;="&amp;$B53)</f>
        <v>2237.77</v>
      </c>
      <c r="M53" s="24">
        <f>SUMIFS('Saldos Iniciales'!$D:$D,'Saldos Iniciales'!$A:$A,"Soweto")+SUMIFS(Movimientos!$K$1:$K$743,Movimientos!$C$1:$C$743,"Soweto",Movimientos!$B$1:$B$743,"&lt;="&amp;$B53)</f>
        <v>3349.94</v>
      </c>
      <c r="N53" s="24">
        <f>SUMIFS('Saldos Iniciales'!$D:$D,'Saldos Iniciales'!$A:$A,"Green Stone Trust")+SUMIFS(Movimientos!$K$1:$K$743,Movimientos!$C$1:$C$743,"Green Stone Trust",Movimientos!$B$1:$B$743,"&lt;="&amp;$B53)</f>
        <v>1968.99</v>
      </c>
      <c r="O53" s="24">
        <f>SUMIFS('Saldos Iniciales'!$D:$D,'Saldos Iniciales'!$A:$A,"EC Auto")+SUMIFS(Movimientos!$K$1:$K$743,Movimientos!$C$1:$C$743,"EC Auto",Movimientos!$B$1:$B$743,"&lt;="&amp;$B53)</f>
        <v>382.69000000000005</v>
      </c>
      <c r="P53" s="24">
        <f>SUMIFS('Saldos Iniciales'!$D:$D,'Saldos Iniciales'!$A:$A,"Arbor Capital Properties")+SUMIFS(Movimientos!$K$1:$K$743,Movimientos!$C$1:$C$743,"Arbor Capital Properties",Movimientos!$B$1:$B$743,"&lt;="&amp;$B53)</f>
        <v>1428.08</v>
      </c>
      <c r="Q53" s="24">
        <f>SUMIFS('Saldos Iniciales'!$D:$D,'Saldos Iniciales'!$A:$A,"2515 Overbrook")+SUMIFS(Movimientos!$K$1:$K$743,Movimientos!$C$1:$C$743,"2515 Overbrook",Movimientos!$B$1:$B$743,"&lt;="&amp;$B53)</f>
        <v>29789.969999999961</v>
      </c>
      <c r="R53" s="24">
        <f>SUMIFS('Saldos Iniciales'!$D:$D,'Saldos Iniciales'!$A:$A,"112 Florida Ave")+SUMIFS(Movimientos!$K$1:$K$743,Movimientos!$C$1:$C$743,"112 Florida Ave",Movimientos!$B$1:$B$743,"&lt;="&amp;$B53)</f>
        <v>20321.43</v>
      </c>
      <c r="S53" s="24">
        <f>SUMIFS('Saldos Iniciales'!$D:$D,'Saldos Iniciales'!$A:$A,"3628 Thomas Ave")+SUMIFS(Movimientos!$K$1:$K$743,Movimientos!$C$1:$C$743,"3628 Thomas Ave",Movimientos!$B$1:$B$743,"&lt;="&amp;$B53)</f>
        <v>16681.349999999999</v>
      </c>
      <c r="T53" s="24">
        <f>SUMIFS('Saldos Iniciales'!$D:$D,'Saldos Iniciales'!$A:$A,"Green Harbor Trust")+SUMIFS(Movimientos!$K$1:$K$743,Movimientos!$C$1:$C$743,"Green Harbor Trust",Movimientos!$B$1:$B$743,"&lt;="&amp;$B53)</f>
        <v>345</v>
      </c>
      <c r="U53" s="24">
        <f>SUMIFS('Saldos Iniciales'!$D:$D,'Saldos Iniciales'!$A:$A,"Go Blue")+SUMIFS(Movimientos!$K$1:$K$743,Movimientos!$C$1:$C$743,"Go Blue",Movimientos!$B$1:$B$743,"&lt;="&amp;$B53)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Group")+SUMIFS(Movimientos!$K$1:$K$743,Movimientos!$C$1:$C$743,"CFT Group",Movimientos!$B$1:$B$743,"&lt;="&amp;$B54)</f>
        <v>7613332.1400000006</v>
      </c>
      <c r="D54" s="24">
        <f>SUMIFS('Saldos Iniciales'!$D:$D,'Saldos Iniciales'!$A:$A,"M1B")+SUMIFS(Movimientos!$K$1:$K$743,Movimientos!$C$1:$C$743,"M1B",Movimientos!$B$1:$B$743,"&lt;="&amp;$B54)</f>
        <v>69376.390000000174</v>
      </c>
      <c r="E54" s="24">
        <f>SUMIFS('Saldos Iniciales'!$D:$D,'Saldos Iniciales'!$A:$A,"Durand")+SUMIFS(Movimientos!$K$1:$K$743,Movimientos!$C$1:$C$743,"Durand",Movimientos!$B$1:$B$743,"&lt;="&amp;$B54)</f>
        <v>1669.89</v>
      </c>
      <c r="F54" s="24">
        <f>SUMIFS('Saldos Iniciales'!$D:$D,'Saldos Iniciales'!$A:$A,"A&amp;M Imports")+SUMIFS(Movimientos!$K$1:$K$743,Movimientos!$C$1:$C$743,"A&amp;M Imports",Movimientos!$B$1:$B$743,"&lt;="&amp;$B54)</f>
        <v>503904.80999999982</v>
      </c>
      <c r="G54" s="24">
        <f>SUMIFS('Saldos Iniciales'!$D:$D,'Saldos Iniciales'!$A:$A,"SSP Capital")+SUMIFS(Movimientos!$K$1:$K$743,Movimientos!$C$1:$C$743,"SSP Capital",Movimientos!$B$1:$B$743,"&lt;="&amp;$B54)</f>
        <v>3325868.6899999995</v>
      </c>
      <c r="H54" s="24">
        <f>SUMIFS('Saldos Iniciales'!$D:$D,'Saldos Iniciales'!$A:$A,"Cross Family Trust")+SUMIFS(Movimientos!$K$1:$K$743,Movimientos!$C$1:$C$743,"Cross Family Trust",Movimientos!$B$1:$B$743,"&lt;="&amp;$B54)</f>
        <v>116496.38</v>
      </c>
      <c r="I54" s="24">
        <f>SUMIFS('Saldos Iniciales'!$D:$D,'Saldos Iniciales'!$A:$A,"Cross Security Trust")+SUMIFS(Movimientos!$K$1:$K$743,Movimientos!$C$1:$C$743,"Cross Security Trust",Movimientos!$B$1:$B$743,"&lt;="&amp;$B54)</f>
        <v>88090.37</v>
      </c>
      <c r="J54" s="24">
        <f>SUMIFS('Saldos Iniciales'!$D:$D,'Saldos Iniciales'!$A:$A,"Electrama")+SUMIFS(Movimientos!$K$1:$K$743,Movimientos!$C$1:$C$743,"Electrama",Movimientos!$B$1:$B$743,"&lt;="&amp;$B54)</f>
        <v>511.15999999999985</v>
      </c>
      <c r="K54" s="24">
        <f>SUMIFS('Saldos Iniciales'!$D:$D,'Saldos Iniciales'!$A:$A,"Sacred Valley Capital")+SUMIFS(Movimientos!$K$1:$K$743,Movimientos!$C$1:$C$743,"Sacred Valley Capital",Movimientos!$B$1:$B$743,"&lt;="&amp;$B54)</f>
        <v>84.35</v>
      </c>
      <c r="L54" s="24">
        <f>SUMIFS('Saldos Iniciales'!$D:$D,'Saldos Iniciales'!$A:$A,"YWC Capital")+SUMIFS(Movimientos!$K$1:$K$743,Movimientos!$C$1:$C$743,"YWC Capital",Movimientos!$B$1:$B$743,"&lt;="&amp;$B54)</f>
        <v>2237.77</v>
      </c>
      <c r="M54" s="24">
        <f>SUMIFS('Saldos Iniciales'!$D:$D,'Saldos Iniciales'!$A:$A,"Soweto")+SUMIFS(Movimientos!$K$1:$K$743,Movimientos!$C$1:$C$743,"Soweto",Movimientos!$B$1:$B$743,"&lt;="&amp;$B54)</f>
        <v>3349.94</v>
      </c>
      <c r="N54" s="24">
        <f>SUMIFS('Saldos Iniciales'!$D:$D,'Saldos Iniciales'!$A:$A,"Green Stone Trust")+SUMIFS(Movimientos!$K$1:$K$743,Movimientos!$C$1:$C$743,"Green Stone Trust",Movimientos!$B$1:$B$743,"&lt;="&amp;$B54)</f>
        <v>1968.99</v>
      </c>
      <c r="O54" s="24">
        <f>SUMIFS('Saldos Iniciales'!$D:$D,'Saldos Iniciales'!$A:$A,"EC Auto")+SUMIFS(Movimientos!$K$1:$K$743,Movimientos!$C$1:$C$743,"EC Auto",Movimientos!$B$1:$B$743,"&lt;="&amp;$B54)</f>
        <v>382.69000000000005</v>
      </c>
      <c r="P54" s="24">
        <f>SUMIFS('Saldos Iniciales'!$D:$D,'Saldos Iniciales'!$A:$A,"Arbor Capital Properties")+SUMIFS(Movimientos!$K$1:$K$743,Movimientos!$C$1:$C$743,"Arbor Capital Properties",Movimientos!$B$1:$B$743,"&lt;="&amp;$B54)</f>
        <v>1428.08</v>
      </c>
      <c r="Q54" s="24">
        <f>SUMIFS('Saldos Iniciales'!$D:$D,'Saldos Iniciales'!$A:$A,"2515 Overbrook")+SUMIFS(Movimientos!$K$1:$K$743,Movimientos!$C$1:$C$743,"2515 Overbrook",Movimientos!$B$1:$B$743,"&lt;="&amp;$B54)</f>
        <v>31039.969999999961</v>
      </c>
      <c r="R54" s="24">
        <f>SUMIFS('Saldos Iniciales'!$D:$D,'Saldos Iniciales'!$A:$A,"112 Florida Ave")+SUMIFS(Movimientos!$K$1:$K$743,Movimientos!$C$1:$C$743,"112 Florida Ave",Movimientos!$B$1:$B$743,"&lt;="&amp;$B54)</f>
        <v>20321.43</v>
      </c>
      <c r="S54" s="24">
        <f>SUMIFS('Saldos Iniciales'!$D:$D,'Saldos Iniciales'!$A:$A,"3628 Thomas Ave")+SUMIFS(Movimientos!$K$1:$K$743,Movimientos!$C$1:$C$743,"3628 Thomas Ave",Movimientos!$B$1:$B$743,"&lt;="&amp;$B54)</f>
        <v>16681.349999999999</v>
      </c>
      <c r="T54" s="24">
        <f>SUMIFS('Saldos Iniciales'!$D:$D,'Saldos Iniciales'!$A:$A,"Green Harbor Trust")+SUMIFS(Movimientos!$K$1:$K$743,Movimientos!$C$1:$C$743,"Green Harbor Trust",Movimientos!$B$1:$B$743,"&lt;="&amp;$B54)</f>
        <v>345</v>
      </c>
      <c r="U54" s="24">
        <f>SUMIFS('Saldos Iniciales'!$D:$D,'Saldos Iniciales'!$A:$A,"Go Blue")+SUMIFS(Movimientos!$K$1:$K$743,Movimientos!$C$1:$C$743,"Go Blue",Movimientos!$B$1:$B$743,"&lt;="&amp;$B54)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Group")+SUMIFS(Movimientos!$K$1:$K$743,Movimientos!$C$1:$C$743,"CFT Group",Movimientos!$B$1:$B$743,"&lt;="&amp;$B55)</f>
        <v>7675741.5900000008</v>
      </c>
      <c r="D55" s="24">
        <f>SUMIFS('Saldos Iniciales'!$D:$D,'Saldos Iniciales'!$A:$A,"M1B")+SUMIFS(Movimientos!$K$1:$K$743,Movimientos!$C$1:$C$743,"M1B",Movimientos!$B$1:$B$743,"&lt;="&amp;$B55)</f>
        <v>69376.390000000174</v>
      </c>
      <c r="E55" s="24">
        <f>SUMIFS('Saldos Iniciales'!$D:$D,'Saldos Iniciales'!$A:$A,"Durand")+SUMIFS(Movimientos!$K$1:$K$743,Movimientos!$C$1:$C$743,"Durand",Movimientos!$B$1:$B$743,"&lt;="&amp;$B55)</f>
        <v>1669.89</v>
      </c>
      <c r="F55" s="24">
        <f>SUMIFS('Saldos Iniciales'!$D:$D,'Saldos Iniciales'!$A:$A,"A&amp;M Imports")+SUMIFS(Movimientos!$K$1:$K$743,Movimientos!$C$1:$C$743,"A&amp;M Imports",Movimientos!$B$1:$B$743,"&lt;="&amp;$B55)</f>
        <v>503904.80999999982</v>
      </c>
      <c r="G55" s="24">
        <f>SUMIFS('Saldos Iniciales'!$D:$D,'Saldos Iniciales'!$A:$A,"SSP Capital")+SUMIFS(Movimientos!$K$1:$K$743,Movimientos!$C$1:$C$743,"SSP Capital",Movimientos!$B$1:$B$743,"&lt;="&amp;$B55)</f>
        <v>3325868.6899999995</v>
      </c>
      <c r="H55" s="24">
        <f>SUMIFS('Saldos Iniciales'!$D:$D,'Saldos Iniciales'!$A:$A,"Cross Family Trust")+SUMIFS(Movimientos!$K$1:$K$743,Movimientos!$C$1:$C$743,"Cross Family Trust",Movimientos!$B$1:$B$743,"&lt;="&amp;$B55)</f>
        <v>116496.38</v>
      </c>
      <c r="I55" s="24">
        <f>SUMIFS('Saldos Iniciales'!$D:$D,'Saldos Iniciales'!$A:$A,"Cross Security Trust")+SUMIFS(Movimientos!$K$1:$K$743,Movimientos!$C$1:$C$743,"Cross Security Trust",Movimientos!$B$1:$B$743,"&lt;="&amp;$B55)</f>
        <v>88090.37</v>
      </c>
      <c r="J55" s="24">
        <f>SUMIFS('Saldos Iniciales'!$D:$D,'Saldos Iniciales'!$A:$A,"Electrama")+SUMIFS(Movimientos!$K$1:$K$743,Movimientos!$C$1:$C$743,"Electrama",Movimientos!$B$1:$B$743,"&lt;="&amp;$B55)</f>
        <v>511.15999999999985</v>
      </c>
      <c r="K55" s="24">
        <f>SUMIFS('Saldos Iniciales'!$D:$D,'Saldos Iniciales'!$A:$A,"Sacred Valley Capital")+SUMIFS(Movimientos!$K$1:$K$743,Movimientos!$C$1:$C$743,"Sacred Valley Capital",Movimientos!$B$1:$B$743,"&lt;="&amp;$B55)</f>
        <v>84.35</v>
      </c>
      <c r="L55" s="24">
        <f>SUMIFS('Saldos Iniciales'!$D:$D,'Saldos Iniciales'!$A:$A,"YWC Capital")+SUMIFS(Movimientos!$K$1:$K$743,Movimientos!$C$1:$C$743,"YWC Capital",Movimientos!$B$1:$B$743,"&lt;="&amp;$B55)</f>
        <v>2237.77</v>
      </c>
      <c r="M55" s="24">
        <f>SUMIFS('Saldos Iniciales'!$D:$D,'Saldos Iniciales'!$A:$A,"Soweto")+SUMIFS(Movimientos!$K$1:$K$743,Movimientos!$C$1:$C$743,"Soweto",Movimientos!$B$1:$B$743,"&lt;="&amp;$B55)</f>
        <v>3349.94</v>
      </c>
      <c r="N55" s="24">
        <f>SUMIFS('Saldos Iniciales'!$D:$D,'Saldos Iniciales'!$A:$A,"Green Stone Trust")+SUMIFS(Movimientos!$K$1:$K$743,Movimientos!$C$1:$C$743,"Green Stone Trust",Movimientos!$B$1:$B$743,"&lt;="&amp;$B55)</f>
        <v>1968.99</v>
      </c>
      <c r="O55" s="24">
        <f>SUMIFS('Saldos Iniciales'!$D:$D,'Saldos Iniciales'!$A:$A,"EC Auto")+SUMIFS(Movimientos!$K$1:$K$743,Movimientos!$C$1:$C$743,"EC Auto",Movimientos!$B$1:$B$743,"&lt;="&amp;$B55)</f>
        <v>382.69000000000005</v>
      </c>
      <c r="P55" s="24">
        <f>SUMIFS('Saldos Iniciales'!$D:$D,'Saldos Iniciales'!$A:$A,"Arbor Capital Properties")+SUMIFS(Movimientos!$K$1:$K$743,Movimientos!$C$1:$C$743,"Arbor Capital Properties",Movimientos!$B$1:$B$743,"&lt;="&amp;$B55)</f>
        <v>1428.08</v>
      </c>
      <c r="Q55" s="24">
        <f>SUMIFS('Saldos Iniciales'!$D:$D,'Saldos Iniciales'!$A:$A,"2515 Overbrook")+SUMIFS(Movimientos!$K$1:$K$743,Movimientos!$C$1:$C$743,"2515 Overbrook",Movimientos!$B$1:$B$743,"&lt;="&amp;$B55)</f>
        <v>31039.969999999961</v>
      </c>
      <c r="R55" s="24">
        <f>SUMIFS('Saldos Iniciales'!$D:$D,'Saldos Iniciales'!$A:$A,"112 Florida Ave")+SUMIFS(Movimientos!$K$1:$K$743,Movimientos!$C$1:$C$743,"112 Florida Ave",Movimientos!$B$1:$B$743,"&lt;="&amp;$B55)</f>
        <v>20321.43</v>
      </c>
      <c r="S55" s="24">
        <f>SUMIFS('Saldos Iniciales'!$D:$D,'Saldos Iniciales'!$A:$A,"3628 Thomas Ave")+SUMIFS(Movimientos!$K$1:$K$743,Movimientos!$C$1:$C$743,"3628 Thomas Ave",Movimientos!$B$1:$B$743,"&lt;="&amp;$B55)</f>
        <v>16681.349999999999</v>
      </c>
      <c r="T55" s="24">
        <f>SUMIFS('Saldos Iniciales'!$D:$D,'Saldos Iniciales'!$A:$A,"Green Harbor Trust")+SUMIFS(Movimientos!$K$1:$K$743,Movimientos!$C$1:$C$743,"Green Harbor Trust",Movimientos!$B$1:$B$743,"&lt;="&amp;$B55)</f>
        <v>345</v>
      </c>
      <c r="U55" s="24">
        <f>SUMIFS('Saldos Iniciales'!$D:$D,'Saldos Iniciales'!$A:$A,"Go Blue")+SUMIFS(Movimientos!$K$1:$K$743,Movimientos!$C$1:$C$743,"Go Blue",Movimientos!$B$1:$B$743,"&lt;="&amp;$B55)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Group")+SUMIFS(Movimientos!$K$1:$K$743,Movimientos!$C$1:$C$743,"CFT Group",Movimientos!$B$1:$B$743,"&lt;="&amp;$B56)</f>
        <v>7742810.7100000009</v>
      </c>
      <c r="D56" s="24">
        <f>SUMIFS('Saldos Iniciales'!$D:$D,'Saldos Iniciales'!$A:$A,"M1B")+SUMIFS(Movimientos!$K$1:$K$743,Movimientos!$C$1:$C$743,"M1B",Movimientos!$B$1:$B$743,"&lt;="&amp;$B56)</f>
        <v>72386.190000000177</v>
      </c>
      <c r="E56" s="24">
        <f>SUMIFS('Saldos Iniciales'!$D:$D,'Saldos Iniciales'!$A:$A,"Durand")+SUMIFS(Movimientos!$K$1:$K$743,Movimientos!$C$1:$C$743,"Durand",Movimientos!$B$1:$B$743,"&lt;="&amp;$B56)</f>
        <v>1669.89</v>
      </c>
      <c r="F56" s="24">
        <f>SUMIFS('Saldos Iniciales'!$D:$D,'Saldos Iniciales'!$A:$A,"A&amp;M Imports")+SUMIFS(Movimientos!$K$1:$K$743,Movimientos!$C$1:$C$743,"A&amp;M Imports",Movimientos!$B$1:$B$743,"&lt;="&amp;$B56)</f>
        <v>532766.72999999986</v>
      </c>
      <c r="G56" s="24">
        <f>SUMIFS('Saldos Iniciales'!$D:$D,'Saldos Iniciales'!$A:$A,"SSP Capital")+SUMIFS(Movimientos!$K$1:$K$743,Movimientos!$C$1:$C$743,"SSP Capital",Movimientos!$B$1:$B$743,"&lt;="&amp;$B56)</f>
        <v>3325868.6899999995</v>
      </c>
      <c r="H56" s="24">
        <f>SUMIFS('Saldos Iniciales'!$D:$D,'Saldos Iniciales'!$A:$A,"Cross Family Trust")+SUMIFS(Movimientos!$K$1:$K$743,Movimientos!$C$1:$C$743,"Cross Family Trust",Movimientos!$B$1:$B$743,"&lt;="&amp;$B56)</f>
        <v>116496.38</v>
      </c>
      <c r="I56" s="24">
        <f>SUMIFS('Saldos Iniciales'!$D:$D,'Saldos Iniciales'!$A:$A,"Cross Security Trust")+SUMIFS(Movimientos!$K$1:$K$743,Movimientos!$C$1:$C$743,"Cross Security Trust",Movimientos!$B$1:$B$743,"&lt;="&amp;$B56)</f>
        <v>88090.37</v>
      </c>
      <c r="J56" s="24">
        <f>SUMIFS('Saldos Iniciales'!$D:$D,'Saldos Iniciales'!$A:$A,"Electrama")+SUMIFS(Movimientos!$K$1:$K$743,Movimientos!$C$1:$C$743,"Electrama",Movimientos!$B$1:$B$743,"&lt;="&amp;$B56)</f>
        <v>511.15999999999985</v>
      </c>
      <c r="K56" s="24">
        <f>SUMIFS('Saldos Iniciales'!$D:$D,'Saldos Iniciales'!$A:$A,"Sacred Valley Capital")+SUMIFS(Movimientos!$K$1:$K$743,Movimientos!$C$1:$C$743,"Sacred Valley Capital",Movimientos!$B$1:$B$743,"&lt;="&amp;$B56)</f>
        <v>84.35</v>
      </c>
      <c r="L56" s="24">
        <f>SUMIFS('Saldos Iniciales'!$D:$D,'Saldos Iniciales'!$A:$A,"YWC Capital")+SUMIFS(Movimientos!$K$1:$K$743,Movimientos!$C$1:$C$743,"YWC Capital",Movimientos!$B$1:$B$743,"&lt;="&amp;$B56)</f>
        <v>2237.77</v>
      </c>
      <c r="M56" s="24">
        <f>SUMIFS('Saldos Iniciales'!$D:$D,'Saldos Iniciales'!$A:$A,"Soweto")+SUMIFS(Movimientos!$K$1:$K$743,Movimientos!$C$1:$C$743,"Soweto",Movimientos!$B$1:$B$743,"&lt;="&amp;$B56)</f>
        <v>3349.94</v>
      </c>
      <c r="N56" s="24">
        <f>SUMIFS('Saldos Iniciales'!$D:$D,'Saldos Iniciales'!$A:$A,"Green Stone Trust")+SUMIFS(Movimientos!$K$1:$K$743,Movimientos!$C$1:$C$743,"Green Stone Trust",Movimientos!$B$1:$B$743,"&lt;="&amp;$B56)</f>
        <v>1968.99</v>
      </c>
      <c r="O56" s="24">
        <f>SUMIFS('Saldos Iniciales'!$D:$D,'Saldos Iniciales'!$A:$A,"EC Auto")+SUMIFS(Movimientos!$K$1:$K$743,Movimientos!$C$1:$C$743,"EC Auto",Movimientos!$B$1:$B$743,"&lt;="&amp;$B56)</f>
        <v>382.69000000000005</v>
      </c>
      <c r="P56" s="24">
        <f>SUMIFS('Saldos Iniciales'!$D:$D,'Saldos Iniciales'!$A:$A,"Arbor Capital Properties")+SUMIFS(Movimientos!$K$1:$K$743,Movimientos!$C$1:$C$743,"Arbor Capital Properties",Movimientos!$B$1:$B$743,"&lt;="&amp;$B56)</f>
        <v>1428.08</v>
      </c>
      <c r="Q56" s="24">
        <f>SUMIFS('Saldos Iniciales'!$D:$D,'Saldos Iniciales'!$A:$A,"2515 Overbrook")+SUMIFS(Movimientos!$K$1:$K$743,Movimientos!$C$1:$C$743,"2515 Overbrook",Movimientos!$B$1:$B$743,"&lt;="&amp;$B56)</f>
        <v>31039.969999999961</v>
      </c>
      <c r="R56" s="24">
        <f>SUMIFS('Saldos Iniciales'!$D:$D,'Saldos Iniciales'!$A:$A,"112 Florida Ave")+SUMIFS(Movimientos!$K$1:$K$743,Movimientos!$C$1:$C$743,"112 Florida Ave",Movimientos!$B$1:$B$743,"&lt;="&amp;$B56)</f>
        <v>20321.43</v>
      </c>
      <c r="S56" s="24">
        <f>SUMIFS('Saldos Iniciales'!$D:$D,'Saldos Iniciales'!$A:$A,"3628 Thomas Ave")+SUMIFS(Movimientos!$K$1:$K$743,Movimientos!$C$1:$C$743,"3628 Thomas Ave",Movimientos!$B$1:$B$743,"&lt;="&amp;$B56)</f>
        <v>16681.349999999999</v>
      </c>
      <c r="T56" s="24">
        <f>SUMIFS('Saldos Iniciales'!$D:$D,'Saldos Iniciales'!$A:$A,"Green Harbor Trust")+SUMIFS(Movimientos!$K$1:$K$743,Movimientos!$C$1:$C$743,"Green Harbor Trust",Movimientos!$B$1:$B$743,"&lt;="&amp;$B56)</f>
        <v>345</v>
      </c>
      <c r="U56" s="24">
        <f>SUMIFS('Saldos Iniciales'!$D:$D,'Saldos Iniciales'!$A:$A,"Go Blue")+SUMIFS(Movimientos!$K$1:$K$743,Movimientos!$C$1:$C$743,"Go Blue",Movimientos!$B$1:$B$743,"&lt;="&amp;$B56)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Group")+SUMIFS(Movimientos!$K$1:$K$743,Movimientos!$C$1:$C$743,"CFT Group",Movimientos!$B$1:$B$743,"&lt;="&amp;$B57)</f>
        <v>6298935.7100000009</v>
      </c>
      <c r="D57" s="24">
        <f>SUMIFS('Saldos Iniciales'!$D:$D,'Saldos Iniciales'!$A:$A,"M1B")+SUMIFS(Movimientos!$K$1:$K$743,Movimientos!$C$1:$C$743,"M1B",Movimientos!$B$1:$B$743,"&lt;="&amp;$B57)</f>
        <v>72386.190000000177</v>
      </c>
      <c r="E57" s="24">
        <f>SUMIFS('Saldos Iniciales'!$D:$D,'Saldos Iniciales'!$A:$A,"Durand")+SUMIFS(Movimientos!$K$1:$K$743,Movimientos!$C$1:$C$743,"Durand",Movimientos!$B$1:$B$743,"&lt;="&amp;$B57)</f>
        <v>1669.89</v>
      </c>
      <c r="F57" s="24">
        <f>SUMIFS('Saldos Iniciales'!$D:$D,'Saldos Iniciales'!$A:$A,"A&amp;M Imports")+SUMIFS(Movimientos!$K$1:$K$743,Movimientos!$C$1:$C$743,"A&amp;M Imports",Movimientos!$B$1:$B$743,"&lt;="&amp;$B57)</f>
        <v>472766.72999999986</v>
      </c>
      <c r="G57" s="24">
        <f>SUMIFS('Saldos Iniciales'!$D:$D,'Saldos Iniciales'!$A:$A,"SSP Capital")+SUMIFS(Movimientos!$K$1:$K$743,Movimientos!$C$1:$C$743,"SSP Capital",Movimientos!$B$1:$B$743,"&lt;="&amp;$B57)</f>
        <v>1933152.7099999995</v>
      </c>
      <c r="H57" s="24">
        <f>SUMIFS('Saldos Iniciales'!$D:$D,'Saldos Iniciales'!$A:$A,"Cross Family Trust")+SUMIFS(Movimientos!$K$1:$K$743,Movimientos!$C$1:$C$743,"Cross Family Trust",Movimientos!$B$1:$B$743,"&lt;="&amp;$B57)</f>
        <v>1996496.38</v>
      </c>
      <c r="I57" s="24">
        <f>SUMIFS('Saldos Iniciales'!$D:$D,'Saldos Iniciales'!$A:$A,"Cross Security Trust")+SUMIFS(Movimientos!$K$1:$K$743,Movimientos!$C$1:$C$743,"Cross Security Trust",Movimientos!$B$1:$B$743,"&lt;="&amp;$B57)</f>
        <v>88090.37</v>
      </c>
      <c r="J57" s="24">
        <f>SUMIFS('Saldos Iniciales'!$D:$D,'Saldos Iniciales'!$A:$A,"Electrama")+SUMIFS(Movimientos!$K$1:$K$743,Movimientos!$C$1:$C$743,"Electrama",Movimientos!$B$1:$B$743,"&lt;="&amp;$B57)</f>
        <v>511.15999999999985</v>
      </c>
      <c r="K57" s="24">
        <f>SUMIFS('Saldos Iniciales'!$D:$D,'Saldos Iniciales'!$A:$A,"Sacred Valley Capital")+SUMIFS(Movimientos!$K$1:$K$743,Movimientos!$C$1:$C$743,"Sacred Valley Capital",Movimientos!$B$1:$B$743,"&lt;="&amp;$B57)</f>
        <v>84.35</v>
      </c>
      <c r="L57" s="24">
        <f>SUMIFS('Saldos Iniciales'!$D:$D,'Saldos Iniciales'!$A:$A,"YWC Capital")+SUMIFS(Movimientos!$K$1:$K$743,Movimientos!$C$1:$C$743,"YWC Capital",Movimientos!$B$1:$B$743,"&lt;="&amp;$B57)</f>
        <v>2237.77</v>
      </c>
      <c r="M57" s="24">
        <f>SUMIFS('Saldos Iniciales'!$D:$D,'Saldos Iniciales'!$A:$A,"Soweto")+SUMIFS(Movimientos!$K$1:$K$743,Movimientos!$C$1:$C$743,"Soweto",Movimientos!$B$1:$B$743,"&lt;="&amp;$B57)</f>
        <v>3349.94</v>
      </c>
      <c r="N57" s="24">
        <f>SUMIFS('Saldos Iniciales'!$D:$D,'Saldos Iniciales'!$A:$A,"Green Stone Trust")+SUMIFS(Movimientos!$K$1:$K$743,Movimientos!$C$1:$C$743,"Green Stone Trust",Movimientos!$B$1:$B$743,"&lt;="&amp;$B57)</f>
        <v>1968.99</v>
      </c>
      <c r="O57" s="24">
        <f>SUMIFS('Saldos Iniciales'!$D:$D,'Saldos Iniciales'!$A:$A,"EC Auto")+SUMIFS(Movimientos!$K$1:$K$743,Movimientos!$C$1:$C$743,"EC Auto",Movimientos!$B$1:$B$743,"&lt;="&amp;$B57)</f>
        <v>382.69000000000005</v>
      </c>
      <c r="P57" s="24">
        <f>SUMIFS('Saldos Iniciales'!$D:$D,'Saldos Iniciales'!$A:$A,"Arbor Capital Properties")+SUMIFS(Movimientos!$K$1:$K$743,Movimientos!$C$1:$C$743,"Arbor Capital Properties",Movimientos!$B$1:$B$743,"&lt;="&amp;$B57)</f>
        <v>1428.08</v>
      </c>
      <c r="Q57" s="24">
        <f>SUMIFS('Saldos Iniciales'!$D:$D,'Saldos Iniciales'!$A:$A,"2515 Overbrook")+SUMIFS(Movimientos!$K$1:$K$743,Movimientos!$C$1:$C$743,"2515 Overbrook",Movimientos!$B$1:$B$743,"&lt;="&amp;$B57)</f>
        <v>31039.969999999961</v>
      </c>
      <c r="R57" s="24">
        <f>SUMIFS('Saldos Iniciales'!$D:$D,'Saldos Iniciales'!$A:$A,"112 Florida Ave")+SUMIFS(Movimientos!$K$1:$K$743,Movimientos!$C$1:$C$743,"112 Florida Ave",Movimientos!$B$1:$B$743,"&lt;="&amp;$B57)</f>
        <v>20321.43</v>
      </c>
      <c r="S57" s="24">
        <f>SUMIFS('Saldos Iniciales'!$D:$D,'Saldos Iniciales'!$A:$A,"3628 Thomas Ave")+SUMIFS(Movimientos!$K$1:$K$743,Movimientos!$C$1:$C$743,"3628 Thomas Ave",Movimientos!$B$1:$B$743,"&lt;="&amp;$B57)</f>
        <v>28473.599999999999</v>
      </c>
      <c r="T57" s="24">
        <f>SUMIFS('Saldos Iniciales'!$D:$D,'Saldos Iniciales'!$A:$A,"Green Harbor Trust")+SUMIFS(Movimientos!$K$1:$K$743,Movimientos!$C$1:$C$743,"Green Harbor Trust",Movimientos!$B$1:$B$743,"&lt;="&amp;$B57)</f>
        <v>345</v>
      </c>
      <c r="U57" s="24">
        <f>SUMIFS('Saldos Iniciales'!$D:$D,'Saldos Iniciales'!$A:$A,"Go Blue")+SUMIFS(Movimientos!$K$1:$K$743,Movimientos!$C$1:$C$743,"Go Blue",Movimientos!$B$1:$B$743,"&lt;="&amp;$B57)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Group")+SUMIFS(Movimientos!$K$1:$K$743,Movimientos!$C$1:$C$743,"CFT Group",Movimientos!$B$1:$B$743,"&lt;="&amp;$B58)</f>
        <v>6288055.7100000009</v>
      </c>
      <c r="D58" s="24">
        <f>SUMIFS('Saldos Iniciales'!$D:$D,'Saldos Iniciales'!$A:$A,"M1B")+SUMIFS(Movimientos!$K$1:$K$743,Movimientos!$C$1:$C$743,"M1B",Movimientos!$B$1:$B$743,"&lt;="&amp;$B58)</f>
        <v>72386.190000000177</v>
      </c>
      <c r="E58" s="24">
        <f>SUMIFS('Saldos Iniciales'!$D:$D,'Saldos Iniciales'!$A:$A,"Durand")+SUMIFS(Movimientos!$K$1:$K$743,Movimientos!$C$1:$C$743,"Durand",Movimientos!$B$1:$B$743,"&lt;="&amp;$B58)</f>
        <v>1669.89</v>
      </c>
      <c r="F58" s="24">
        <f>SUMIFS('Saldos Iniciales'!$D:$D,'Saldos Iniciales'!$A:$A,"A&amp;M Imports")+SUMIFS(Movimientos!$K$1:$K$743,Movimientos!$C$1:$C$743,"A&amp;M Imports",Movimientos!$B$1:$B$743,"&lt;="&amp;$B58)</f>
        <v>472766.72999999986</v>
      </c>
      <c r="G58" s="24">
        <f>SUMIFS('Saldos Iniciales'!$D:$D,'Saldos Iniciales'!$A:$A,"SSP Capital")+SUMIFS(Movimientos!$K$1:$K$743,Movimientos!$C$1:$C$743,"SSP Capital",Movimientos!$B$1:$B$743,"&lt;="&amp;$B58)</f>
        <v>1932389.7199999993</v>
      </c>
      <c r="H58" s="24">
        <f>SUMIFS('Saldos Iniciales'!$D:$D,'Saldos Iniciales'!$A:$A,"Cross Family Trust")+SUMIFS(Movimientos!$K$1:$K$743,Movimientos!$C$1:$C$743,"Cross Family Trust",Movimientos!$B$1:$B$743,"&lt;="&amp;$B58)</f>
        <v>1396496.38</v>
      </c>
      <c r="I58" s="24">
        <f>SUMIFS('Saldos Iniciales'!$D:$D,'Saldos Iniciales'!$A:$A,"Cross Security Trust")+SUMIFS(Movimientos!$K$1:$K$743,Movimientos!$C$1:$C$743,"Cross Security Trust",Movimientos!$B$1:$B$743,"&lt;="&amp;$B58)</f>
        <v>88090.37</v>
      </c>
      <c r="J58" s="24">
        <f>SUMIFS('Saldos Iniciales'!$D:$D,'Saldos Iniciales'!$A:$A,"Electrama")+SUMIFS(Movimientos!$K$1:$K$743,Movimientos!$C$1:$C$743,"Electrama",Movimientos!$B$1:$B$743,"&lt;="&amp;$B58)</f>
        <v>511.15999999999985</v>
      </c>
      <c r="K58" s="24">
        <f>SUMIFS('Saldos Iniciales'!$D:$D,'Saldos Iniciales'!$A:$A,"Sacred Valley Capital")+SUMIFS(Movimientos!$K$1:$K$743,Movimientos!$C$1:$C$743,"Sacred Valley Capital",Movimientos!$B$1:$B$743,"&lt;="&amp;$B58)</f>
        <v>84.35</v>
      </c>
      <c r="L58" s="24">
        <f>SUMIFS('Saldos Iniciales'!$D:$D,'Saldos Iniciales'!$A:$A,"YWC Capital")+SUMIFS(Movimientos!$K$1:$K$743,Movimientos!$C$1:$C$743,"YWC Capital",Movimientos!$B$1:$B$743,"&lt;="&amp;$B58)</f>
        <v>2237.77</v>
      </c>
      <c r="M58" s="24">
        <f>SUMIFS('Saldos Iniciales'!$D:$D,'Saldos Iniciales'!$A:$A,"Soweto")+SUMIFS(Movimientos!$K$1:$K$743,Movimientos!$C$1:$C$743,"Soweto",Movimientos!$B$1:$B$743,"&lt;="&amp;$B58)</f>
        <v>3349.94</v>
      </c>
      <c r="N58" s="24">
        <f>SUMIFS('Saldos Iniciales'!$D:$D,'Saldos Iniciales'!$A:$A,"Green Stone Trust")+SUMIFS(Movimientos!$K$1:$K$743,Movimientos!$C$1:$C$743,"Green Stone Trust",Movimientos!$B$1:$B$743,"&lt;="&amp;$B58)</f>
        <v>1968.99</v>
      </c>
      <c r="O58" s="24">
        <f>SUMIFS('Saldos Iniciales'!$D:$D,'Saldos Iniciales'!$A:$A,"EC Auto")+SUMIFS(Movimientos!$K$1:$K$743,Movimientos!$C$1:$C$743,"EC Auto",Movimientos!$B$1:$B$743,"&lt;="&amp;$B58)</f>
        <v>382.69000000000005</v>
      </c>
      <c r="P58" s="24">
        <f>SUMIFS('Saldos Iniciales'!$D:$D,'Saldos Iniciales'!$A:$A,"Arbor Capital Properties")+SUMIFS(Movimientos!$K$1:$K$743,Movimientos!$C$1:$C$743,"Arbor Capital Properties",Movimientos!$B$1:$B$743,"&lt;="&amp;$B58)</f>
        <v>1428.08</v>
      </c>
      <c r="Q58" s="24">
        <f>SUMIFS('Saldos Iniciales'!$D:$D,'Saldos Iniciales'!$A:$A,"2515 Overbrook")+SUMIFS(Movimientos!$K$1:$K$743,Movimientos!$C$1:$C$743,"2515 Overbrook",Movimientos!$B$1:$B$743,"&lt;="&amp;$B58)</f>
        <v>31039.969999999961</v>
      </c>
      <c r="R58" s="24">
        <f>SUMIFS('Saldos Iniciales'!$D:$D,'Saldos Iniciales'!$A:$A,"112 Florida Ave")+SUMIFS(Movimientos!$K$1:$K$743,Movimientos!$C$1:$C$743,"112 Florida Ave",Movimientos!$B$1:$B$743,"&lt;="&amp;$B58)</f>
        <v>20321.43</v>
      </c>
      <c r="S58" s="24">
        <f>SUMIFS('Saldos Iniciales'!$D:$D,'Saldos Iniciales'!$A:$A,"3628 Thomas Ave")+SUMIFS(Movimientos!$K$1:$K$743,Movimientos!$C$1:$C$743,"3628 Thomas Ave",Movimientos!$B$1:$B$743,"&lt;="&amp;$B58)</f>
        <v>28458.6</v>
      </c>
      <c r="T58" s="24">
        <f>SUMIFS('Saldos Iniciales'!$D:$D,'Saldos Iniciales'!$A:$A,"Green Harbor Trust")+SUMIFS(Movimientos!$K$1:$K$743,Movimientos!$C$1:$C$743,"Green Harbor Trust",Movimientos!$B$1:$B$743,"&lt;="&amp;$B58)</f>
        <v>345</v>
      </c>
      <c r="U58" s="24">
        <f>SUMIFS('Saldos Iniciales'!$D:$D,'Saldos Iniciales'!$A:$A,"Go Blue")+SUMIFS(Movimientos!$K$1:$K$743,Movimientos!$C$1:$C$743,"Go Blue",Movimientos!$B$1:$B$743,"&lt;="&amp;$B58)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Group")+SUMIFS(Movimientos!$K$1:$K$743,Movimientos!$C$1:$C$743,"CFT Group",Movimientos!$B$1:$B$743,"&lt;="&amp;$B59)</f>
        <v>6288055.7100000009</v>
      </c>
      <c r="D59" s="24">
        <f>SUMIFS('Saldos Iniciales'!$D:$D,'Saldos Iniciales'!$A:$A,"M1B")+SUMIFS(Movimientos!$K$1:$K$743,Movimientos!$C$1:$C$743,"M1B",Movimientos!$B$1:$B$743,"&lt;="&amp;$B59)</f>
        <v>72386.190000000177</v>
      </c>
      <c r="E59" s="24">
        <f>SUMIFS('Saldos Iniciales'!$D:$D,'Saldos Iniciales'!$A:$A,"Durand")+SUMIFS(Movimientos!$K$1:$K$743,Movimientos!$C$1:$C$743,"Durand",Movimientos!$B$1:$B$743,"&lt;="&amp;$B59)</f>
        <v>1669.89</v>
      </c>
      <c r="F59" s="24">
        <f>SUMIFS('Saldos Iniciales'!$D:$D,'Saldos Iniciales'!$A:$A,"A&amp;M Imports")+SUMIFS(Movimientos!$K$1:$K$743,Movimientos!$C$1:$C$743,"A&amp;M Imports",Movimientos!$B$1:$B$743,"&lt;="&amp;$B59)</f>
        <v>472766.72999999986</v>
      </c>
      <c r="G59" s="24">
        <f>SUMIFS('Saldos Iniciales'!$D:$D,'Saldos Iniciales'!$A:$A,"SSP Capital")+SUMIFS(Movimientos!$K$1:$K$743,Movimientos!$C$1:$C$743,"SSP Capital",Movimientos!$B$1:$B$743,"&lt;="&amp;$B59)</f>
        <v>1932389.7199999993</v>
      </c>
      <c r="H59" s="24">
        <f>SUMIFS('Saldos Iniciales'!$D:$D,'Saldos Iniciales'!$A:$A,"Cross Family Trust")+SUMIFS(Movimientos!$K$1:$K$743,Movimientos!$C$1:$C$743,"Cross Family Trust",Movimientos!$B$1:$B$743,"&lt;="&amp;$B59)</f>
        <v>1396496.38</v>
      </c>
      <c r="I59" s="24">
        <f>SUMIFS('Saldos Iniciales'!$D:$D,'Saldos Iniciales'!$A:$A,"Cross Security Trust")+SUMIFS(Movimientos!$K$1:$K$743,Movimientos!$C$1:$C$743,"Cross Security Trust",Movimientos!$B$1:$B$743,"&lt;="&amp;$B59)</f>
        <v>88090.37</v>
      </c>
      <c r="J59" s="24">
        <f>SUMIFS('Saldos Iniciales'!$D:$D,'Saldos Iniciales'!$A:$A,"Electrama")+SUMIFS(Movimientos!$K$1:$K$743,Movimientos!$C$1:$C$743,"Electrama",Movimientos!$B$1:$B$743,"&lt;="&amp;$B59)</f>
        <v>511.15999999999985</v>
      </c>
      <c r="K59" s="24">
        <f>SUMIFS('Saldos Iniciales'!$D:$D,'Saldos Iniciales'!$A:$A,"Sacred Valley Capital")+SUMIFS(Movimientos!$K$1:$K$743,Movimientos!$C$1:$C$743,"Sacred Valley Capital",Movimientos!$B$1:$B$743,"&lt;="&amp;$B59)</f>
        <v>84.35</v>
      </c>
      <c r="L59" s="24">
        <f>SUMIFS('Saldos Iniciales'!$D:$D,'Saldos Iniciales'!$A:$A,"YWC Capital")+SUMIFS(Movimientos!$K$1:$K$743,Movimientos!$C$1:$C$743,"YWC Capital",Movimientos!$B$1:$B$743,"&lt;="&amp;$B59)</f>
        <v>2237.77</v>
      </c>
      <c r="M59" s="24">
        <f>SUMIFS('Saldos Iniciales'!$D:$D,'Saldos Iniciales'!$A:$A,"Soweto")+SUMIFS(Movimientos!$K$1:$K$743,Movimientos!$C$1:$C$743,"Soweto",Movimientos!$B$1:$B$743,"&lt;="&amp;$B59)</f>
        <v>3349.94</v>
      </c>
      <c r="N59" s="24">
        <f>SUMIFS('Saldos Iniciales'!$D:$D,'Saldos Iniciales'!$A:$A,"Green Stone Trust")+SUMIFS(Movimientos!$K$1:$K$743,Movimientos!$C$1:$C$743,"Green Stone Trust",Movimientos!$B$1:$B$743,"&lt;="&amp;$B59)</f>
        <v>1968.99</v>
      </c>
      <c r="O59" s="24">
        <f>SUMIFS('Saldos Iniciales'!$D:$D,'Saldos Iniciales'!$A:$A,"EC Auto")+SUMIFS(Movimientos!$K$1:$K$743,Movimientos!$C$1:$C$743,"EC Auto",Movimientos!$B$1:$B$743,"&lt;="&amp;$B59)</f>
        <v>382.69000000000005</v>
      </c>
      <c r="P59" s="24">
        <f>SUMIFS('Saldos Iniciales'!$D:$D,'Saldos Iniciales'!$A:$A,"Arbor Capital Properties")+SUMIFS(Movimientos!$K$1:$K$743,Movimientos!$C$1:$C$743,"Arbor Capital Properties",Movimientos!$B$1:$B$743,"&lt;="&amp;$B59)</f>
        <v>1428.08</v>
      </c>
      <c r="Q59" s="24">
        <f>SUMIFS('Saldos Iniciales'!$D:$D,'Saldos Iniciales'!$A:$A,"2515 Overbrook")+SUMIFS(Movimientos!$K$1:$K$743,Movimientos!$C$1:$C$743,"2515 Overbrook",Movimientos!$B$1:$B$743,"&lt;="&amp;$B59)</f>
        <v>31039.969999999961</v>
      </c>
      <c r="R59" s="24">
        <f>SUMIFS('Saldos Iniciales'!$D:$D,'Saldos Iniciales'!$A:$A,"112 Florida Ave")+SUMIFS(Movimientos!$K$1:$K$743,Movimientos!$C$1:$C$743,"112 Florida Ave",Movimientos!$B$1:$B$743,"&lt;="&amp;$B59)</f>
        <v>20321.43</v>
      </c>
      <c r="S59" s="24">
        <f>SUMIFS('Saldos Iniciales'!$D:$D,'Saldos Iniciales'!$A:$A,"3628 Thomas Ave")+SUMIFS(Movimientos!$K$1:$K$743,Movimientos!$C$1:$C$743,"3628 Thomas Ave",Movimientos!$B$1:$B$743,"&lt;="&amp;$B59)</f>
        <v>28458.6</v>
      </c>
      <c r="T59" s="24">
        <f>SUMIFS('Saldos Iniciales'!$D:$D,'Saldos Iniciales'!$A:$A,"Green Harbor Trust")+SUMIFS(Movimientos!$K$1:$K$743,Movimientos!$C$1:$C$743,"Green Harbor Trust",Movimientos!$B$1:$B$743,"&lt;="&amp;$B59)</f>
        <v>345</v>
      </c>
      <c r="U59" s="24">
        <f>SUMIFS('Saldos Iniciales'!$D:$D,'Saldos Iniciales'!$A:$A,"Go Blue")+SUMIFS(Movimientos!$K$1:$K$743,Movimientos!$C$1:$C$743,"Go Blue",Movimientos!$B$1:$B$743,"&lt;="&amp;$B59)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99" si="12">+A59+1</f>
        <v>59</v>
      </c>
      <c r="B60" s="23">
        <v>46201</v>
      </c>
      <c r="C60" s="24">
        <f>SUMIFS('Saldos Iniciales'!$D:$D,'Saldos Iniciales'!$A:$A,"CFT Group")+SUMIFS(Movimientos!$K$1:$K$743,Movimientos!$C$1:$C$743,"CFT Group",Movimientos!$B$1:$B$743,"&lt;="&amp;$B60)</f>
        <v>6288055.7100000009</v>
      </c>
      <c r="D60" s="24">
        <f>SUMIFS('Saldos Iniciales'!$D:$D,'Saldos Iniciales'!$A:$A,"M1B")+SUMIFS(Movimientos!$K$1:$K$743,Movimientos!$C$1:$C$743,"M1B",Movimientos!$B$1:$B$743,"&lt;="&amp;$B60)</f>
        <v>72386.190000000177</v>
      </c>
      <c r="E60" s="24">
        <f>SUMIFS('Saldos Iniciales'!$D:$D,'Saldos Iniciales'!$A:$A,"Durand")+SUMIFS(Movimientos!$K$1:$K$743,Movimientos!$C$1:$C$743,"Durand",Movimientos!$B$1:$B$743,"&lt;="&amp;$B60)</f>
        <v>1669.89</v>
      </c>
      <c r="F60" s="24">
        <f>SUMIFS('Saldos Iniciales'!$D:$D,'Saldos Iniciales'!$A:$A,"A&amp;M Imports")+SUMIFS(Movimientos!$K$1:$K$743,Movimientos!$C$1:$C$743,"A&amp;M Imports",Movimientos!$B$1:$B$743,"&lt;="&amp;$B60)</f>
        <v>472766.72999999986</v>
      </c>
      <c r="G60" s="24">
        <f>SUMIFS('Saldos Iniciales'!$D:$D,'Saldos Iniciales'!$A:$A,"SSP Capital")+SUMIFS(Movimientos!$K$1:$K$743,Movimientos!$C$1:$C$743,"SSP Capital",Movimientos!$B$1:$B$743,"&lt;="&amp;$B60)</f>
        <v>1932389.7199999993</v>
      </c>
      <c r="H60" s="24">
        <f>SUMIFS('Saldos Iniciales'!$D:$D,'Saldos Iniciales'!$A:$A,"Cross Family Trust")+SUMIFS(Movimientos!$K$1:$K$743,Movimientos!$C$1:$C$743,"Cross Family Trust",Movimientos!$B$1:$B$743,"&lt;="&amp;$B60)</f>
        <v>1396496.38</v>
      </c>
      <c r="I60" s="24">
        <f>SUMIFS('Saldos Iniciales'!$D:$D,'Saldos Iniciales'!$A:$A,"Cross Security Trust")+SUMIFS(Movimientos!$K$1:$K$743,Movimientos!$C$1:$C$743,"Cross Security Trust",Movimientos!$B$1:$B$743,"&lt;="&amp;$B60)</f>
        <v>88090.37</v>
      </c>
      <c r="J60" s="24">
        <f>SUMIFS('Saldos Iniciales'!$D:$D,'Saldos Iniciales'!$A:$A,"Electrama")+SUMIFS(Movimientos!$K$1:$K$743,Movimientos!$C$1:$C$743,"Electrama",Movimientos!$B$1:$B$743,"&lt;="&amp;$B60)</f>
        <v>511.15999999999985</v>
      </c>
      <c r="K60" s="24">
        <f>SUMIFS('Saldos Iniciales'!$D:$D,'Saldos Iniciales'!$A:$A,"Sacred Valley Capital")+SUMIFS(Movimientos!$K$1:$K$743,Movimientos!$C$1:$C$743,"Sacred Valley Capital",Movimientos!$B$1:$B$743,"&lt;="&amp;$B60)</f>
        <v>84.35</v>
      </c>
      <c r="L60" s="24">
        <f>SUMIFS('Saldos Iniciales'!$D:$D,'Saldos Iniciales'!$A:$A,"YWC Capital")+SUMIFS(Movimientos!$K$1:$K$743,Movimientos!$C$1:$C$743,"YWC Capital",Movimientos!$B$1:$B$743,"&lt;="&amp;$B60)</f>
        <v>2237.77</v>
      </c>
      <c r="M60" s="24">
        <f>SUMIFS('Saldos Iniciales'!$D:$D,'Saldos Iniciales'!$A:$A,"Soweto")+SUMIFS(Movimientos!$K$1:$K$743,Movimientos!$C$1:$C$743,"Soweto",Movimientos!$B$1:$B$743,"&lt;="&amp;$B60)</f>
        <v>3349.94</v>
      </c>
      <c r="N60" s="24">
        <f>SUMIFS('Saldos Iniciales'!$D:$D,'Saldos Iniciales'!$A:$A,"Green Stone Trust")+SUMIFS(Movimientos!$K$1:$K$743,Movimientos!$C$1:$C$743,"Green Stone Trust",Movimientos!$B$1:$B$743,"&lt;="&amp;$B60)</f>
        <v>1968.99</v>
      </c>
      <c r="O60" s="24">
        <f>SUMIFS('Saldos Iniciales'!$D:$D,'Saldos Iniciales'!$A:$A,"EC Auto")+SUMIFS(Movimientos!$K$1:$K$743,Movimientos!$C$1:$C$743,"EC Auto",Movimientos!$B$1:$B$743,"&lt;="&amp;$B60)</f>
        <v>382.69000000000005</v>
      </c>
      <c r="P60" s="24">
        <f>SUMIFS('Saldos Iniciales'!$D:$D,'Saldos Iniciales'!$A:$A,"Arbor Capital Properties")+SUMIFS(Movimientos!$K$1:$K$743,Movimientos!$C$1:$C$743,"Arbor Capital Properties",Movimientos!$B$1:$B$743,"&lt;="&amp;$B60)</f>
        <v>1428.08</v>
      </c>
      <c r="Q60" s="24">
        <f>SUMIFS('Saldos Iniciales'!$D:$D,'Saldos Iniciales'!$A:$A,"2515 Overbrook")+SUMIFS(Movimientos!$K$1:$K$743,Movimientos!$C$1:$C$743,"2515 Overbrook",Movimientos!$B$1:$B$743,"&lt;="&amp;$B60)</f>
        <v>31039.969999999961</v>
      </c>
      <c r="R60" s="24">
        <f>SUMIFS('Saldos Iniciales'!$D:$D,'Saldos Iniciales'!$A:$A,"112 Florida Ave")+SUMIFS(Movimientos!$K$1:$K$743,Movimientos!$C$1:$C$743,"112 Florida Ave",Movimientos!$B$1:$B$743,"&lt;="&amp;$B60)</f>
        <v>20321.43</v>
      </c>
      <c r="S60" s="24">
        <f>SUMIFS('Saldos Iniciales'!$D:$D,'Saldos Iniciales'!$A:$A,"3628 Thomas Ave")+SUMIFS(Movimientos!$K$1:$K$743,Movimientos!$C$1:$C$743,"3628 Thomas Ave",Movimientos!$B$1:$B$743,"&lt;="&amp;$B60)</f>
        <v>28458.6</v>
      </c>
      <c r="T60" s="24">
        <f>SUMIFS('Saldos Iniciales'!$D:$D,'Saldos Iniciales'!$A:$A,"Green Harbor Trust")+SUMIFS(Movimientos!$K$1:$K$743,Movimientos!$C$1:$C$743,"Green Harbor Trust",Movimientos!$B$1:$B$743,"&lt;="&amp;$B60)</f>
        <v>345</v>
      </c>
      <c r="U60" s="24">
        <f>SUMIFS('Saldos Iniciales'!$D:$D,'Saldos Iniciales'!$A:$A,"Go Blue")+SUMIFS(Movimientos!$K$1:$K$743,Movimientos!$C$1:$C$743,"Go Blue",Movimientos!$B$1:$B$743,"&lt;="&amp;$B60)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Group")+SUMIFS(Movimientos!$K$1:$K$743,Movimientos!$C$1:$C$743,"CFT Group",Movimientos!$B$1:$B$743,"&lt;="&amp;$B61)</f>
        <v>6299174.8100000015</v>
      </c>
      <c r="D61" s="24">
        <f>SUMIFS('Saldos Iniciales'!$D:$D,'Saldos Iniciales'!$A:$A,"M1B")+SUMIFS(Movimientos!$K$1:$K$743,Movimientos!$C$1:$C$743,"M1B",Movimientos!$B$1:$B$743,"&lt;="&amp;$B61)</f>
        <v>72386.190000000177</v>
      </c>
      <c r="E61" s="24">
        <f>SUMIFS('Saldos Iniciales'!$D:$D,'Saldos Iniciales'!$A:$A,"Durand")+SUMIFS(Movimientos!$K$1:$K$743,Movimientos!$C$1:$C$743,"Durand",Movimientos!$B$1:$B$743,"&lt;="&amp;$B61)</f>
        <v>1669.89</v>
      </c>
      <c r="F61" s="24">
        <f>SUMIFS('Saldos Iniciales'!$D:$D,'Saldos Iniciales'!$A:$A,"A&amp;M Imports")+SUMIFS(Movimientos!$K$1:$K$743,Movimientos!$C$1:$C$743,"A&amp;M Imports",Movimientos!$B$1:$B$743,"&lt;="&amp;$B61)</f>
        <v>489745.62999999989</v>
      </c>
      <c r="G61" s="24">
        <f>SUMIFS('Saldos Iniciales'!$D:$D,'Saldos Iniciales'!$A:$A,"SSP Capital")+SUMIFS(Movimientos!$K$1:$K$743,Movimientos!$C$1:$C$743,"SSP Capital",Movimientos!$B$1:$B$743,"&lt;="&amp;$B61)</f>
        <v>1768167.9199999995</v>
      </c>
      <c r="H61" s="24">
        <f>SUMIFS('Saldos Iniciales'!$D:$D,'Saldos Iniciales'!$A:$A,"Cross Family Trust")+SUMIFS(Movimientos!$K$1:$K$743,Movimientos!$C$1:$C$743,"Cross Family Trust",Movimientos!$B$1:$B$743,"&lt;="&amp;$B61)</f>
        <v>396496.38</v>
      </c>
      <c r="I61" s="24">
        <f>SUMIFS('Saldos Iniciales'!$D:$D,'Saldos Iniciales'!$A:$A,"Cross Security Trust")+SUMIFS(Movimientos!$K$1:$K$743,Movimientos!$C$1:$C$743,"Cross Security Trust",Movimientos!$B$1:$B$743,"&lt;="&amp;$B61)</f>
        <v>88090.37</v>
      </c>
      <c r="J61" s="24">
        <f>SUMIFS('Saldos Iniciales'!$D:$D,'Saldos Iniciales'!$A:$A,"Electrama")+SUMIFS(Movimientos!$K$1:$K$743,Movimientos!$C$1:$C$743,"Electrama",Movimientos!$B$1:$B$743,"&lt;="&amp;$B61)</f>
        <v>511.15999999999985</v>
      </c>
      <c r="K61" s="24">
        <f>SUMIFS('Saldos Iniciales'!$D:$D,'Saldos Iniciales'!$A:$A,"Sacred Valley Capital")+SUMIFS(Movimientos!$K$1:$K$743,Movimientos!$C$1:$C$743,"Sacred Valley Capital",Movimientos!$B$1:$B$743,"&lt;="&amp;$B61)</f>
        <v>84.35</v>
      </c>
      <c r="L61" s="24">
        <f>SUMIFS('Saldos Iniciales'!$D:$D,'Saldos Iniciales'!$A:$A,"YWC Capital")+SUMIFS(Movimientos!$K$1:$K$743,Movimientos!$C$1:$C$743,"YWC Capital",Movimientos!$B$1:$B$743,"&lt;="&amp;$B61)</f>
        <v>2237.77</v>
      </c>
      <c r="M61" s="24">
        <f>SUMIFS('Saldos Iniciales'!$D:$D,'Saldos Iniciales'!$A:$A,"Soweto")+SUMIFS(Movimientos!$K$1:$K$743,Movimientos!$C$1:$C$743,"Soweto",Movimientos!$B$1:$B$743,"&lt;="&amp;$B61)</f>
        <v>3349.94</v>
      </c>
      <c r="N61" s="24">
        <f>SUMIFS('Saldos Iniciales'!$D:$D,'Saldos Iniciales'!$A:$A,"Green Stone Trust")+SUMIFS(Movimientos!$K$1:$K$743,Movimientos!$C$1:$C$743,"Green Stone Trust",Movimientos!$B$1:$B$743,"&lt;="&amp;$B61)</f>
        <v>1968.99</v>
      </c>
      <c r="O61" s="24">
        <f>SUMIFS('Saldos Iniciales'!$D:$D,'Saldos Iniciales'!$A:$A,"EC Auto")+SUMIFS(Movimientos!$K$1:$K$743,Movimientos!$C$1:$C$743,"EC Auto",Movimientos!$B$1:$B$743,"&lt;="&amp;$B61)</f>
        <v>382.69000000000005</v>
      </c>
      <c r="P61" s="24">
        <f>SUMIFS('Saldos Iniciales'!$D:$D,'Saldos Iniciales'!$A:$A,"Arbor Capital Properties")+SUMIFS(Movimientos!$K$1:$K$743,Movimientos!$C$1:$C$743,"Arbor Capital Properties",Movimientos!$B$1:$B$743,"&lt;="&amp;$B61)</f>
        <v>1428.08</v>
      </c>
      <c r="Q61" s="24">
        <f>SUMIFS('Saldos Iniciales'!$D:$D,'Saldos Iniciales'!$A:$A,"2515 Overbrook")+SUMIFS(Movimientos!$K$1:$K$743,Movimientos!$C$1:$C$743,"2515 Overbrook",Movimientos!$B$1:$B$743,"&lt;="&amp;$B61)</f>
        <v>31039.969999999961</v>
      </c>
      <c r="R61" s="24">
        <f>SUMIFS('Saldos Iniciales'!$D:$D,'Saldos Iniciales'!$A:$A,"112 Florida Ave")+SUMIFS(Movimientos!$K$1:$K$743,Movimientos!$C$1:$C$743,"112 Florida Ave",Movimientos!$B$1:$B$743,"&lt;="&amp;$B61)</f>
        <v>20321.43</v>
      </c>
      <c r="S61" s="24">
        <f>SUMIFS('Saldos Iniciales'!$D:$D,'Saldos Iniciales'!$A:$A,"3628 Thomas Ave")+SUMIFS(Movimientos!$K$1:$K$743,Movimientos!$C$1:$C$743,"3628 Thomas Ave",Movimientos!$B$1:$B$743,"&lt;="&amp;$B61)</f>
        <v>28458.6</v>
      </c>
      <c r="T61" s="24">
        <f>SUMIFS('Saldos Iniciales'!$D:$D,'Saldos Iniciales'!$A:$A,"Green Harbor Trust")+SUMIFS(Movimientos!$K$1:$K$743,Movimientos!$C$1:$C$743,"Green Harbor Trust",Movimientos!$B$1:$B$743,"&lt;="&amp;$B61)</f>
        <v>345</v>
      </c>
      <c r="U61" s="24">
        <f>SUMIFS('Saldos Iniciales'!$D:$D,'Saldos Iniciales'!$A:$A,"Go Blue")+SUMIFS(Movimientos!$K$1:$K$743,Movimientos!$C$1:$C$743,"Go Blue",Movimientos!$B$1:$B$743,"&lt;="&amp;$B61)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Group")+SUMIFS(Movimientos!$K$1:$K$743,Movimientos!$C$1:$C$743,"CFT Group",Movimientos!$B$1:$B$743,"&lt;="&amp;$B62)</f>
        <v>6295585.7500000009</v>
      </c>
      <c r="D62" s="24">
        <f>SUMIFS('Saldos Iniciales'!$D:$D,'Saldos Iniciales'!$A:$A,"M1B")+SUMIFS(Movimientos!$K$1:$K$743,Movimientos!$C$1:$C$743,"M1B",Movimientos!$B$1:$B$743,"&lt;="&amp;$B62)</f>
        <v>79139.680000000168</v>
      </c>
      <c r="E62" s="24">
        <f>SUMIFS('Saldos Iniciales'!$D:$D,'Saldos Iniciales'!$A:$A,"Durand")+SUMIFS(Movimientos!$K$1:$K$743,Movimientos!$C$1:$C$743,"Durand",Movimientos!$B$1:$B$743,"&lt;="&amp;$B62)</f>
        <v>1669.89</v>
      </c>
      <c r="F62" s="24">
        <f>SUMIFS('Saldos Iniciales'!$D:$D,'Saldos Iniciales'!$A:$A,"A&amp;M Imports")+SUMIFS(Movimientos!$K$1:$K$743,Movimientos!$C$1:$C$743,"A&amp;M Imports",Movimientos!$B$1:$B$743,"&lt;="&amp;$B62)</f>
        <v>489745.62999999989</v>
      </c>
      <c r="G62" s="24">
        <f>SUMIFS('Saldos Iniciales'!$D:$D,'Saldos Iniciales'!$A:$A,"SSP Capital")+SUMIFS(Movimientos!$K$1:$K$743,Movimientos!$C$1:$C$743,"SSP Capital",Movimientos!$B$1:$B$743,"&lt;="&amp;$B62)</f>
        <v>1696284.7299999995</v>
      </c>
      <c r="H62" s="24">
        <f>SUMIFS('Saldos Iniciales'!$D:$D,'Saldos Iniciales'!$A:$A,"Cross Family Trust")+SUMIFS(Movimientos!$K$1:$K$743,Movimientos!$C$1:$C$743,"Cross Family Trust",Movimientos!$B$1:$B$743,"&lt;="&amp;$B62)</f>
        <v>390496.38</v>
      </c>
      <c r="I62" s="24">
        <f>SUMIFS('Saldos Iniciales'!$D:$D,'Saldos Iniciales'!$A:$A,"Cross Security Trust")+SUMIFS(Movimientos!$K$1:$K$743,Movimientos!$C$1:$C$743,"Cross Security Trust",Movimientos!$B$1:$B$743,"&lt;="&amp;$B62)</f>
        <v>88090.37</v>
      </c>
      <c r="J62" s="24">
        <f>SUMIFS('Saldos Iniciales'!$D:$D,'Saldos Iniciales'!$A:$A,"Electrama")+SUMIFS(Movimientos!$K$1:$K$743,Movimientos!$C$1:$C$743,"Electrama",Movimientos!$B$1:$B$743,"&lt;="&amp;$B62)</f>
        <v>511.15999999999985</v>
      </c>
      <c r="K62" s="24">
        <f>SUMIFS('Saldos Iniciales'!$D:$D,'Saldos Iniciales'!$A:$A,"Sacred Valley Capital")+SUMIFS(Movimientos!$K$1:$K$743,Movimientos!$C$1:$C$743,"Sacred Valley Capital",Movimientos!$B$1:$B$743,"&lt;="&amp;$B62)</f>
        <v>84.35</v>
      </c>
      <c r="L62" s="24">
        <f>SUMIFS('Saldos Iniciales'!$D:$D,'Saldos Iniciales'!$A:$A,"YWC Capital")+SUMIFS(Movimientos!$K$1:$K$743,Movimientos!$C$1:$C$743,"YWC Capital",Movimientos!$B$1:$B$743,"&lt;="&amp;$B62)</f>
        <v>2237.77</v>
      </c>
      <c r="M62" s="24">
        <f>SUMIFS('Saldos Iniciales'!$D:$D,'Saldos Iniciales'!$A:$A,"Soweto")+SUMIFS(Movimientos!$K$1:$K$743,Movimientos!$C$1:$C$743,"Soweto",Movimientos!$B$1:$B$743,"&lt;="&amp;$B62)</f>
        <v>3349.94</v>
      </c>
      <c r="N62" s="24">
        <f>SUMIFS('Saldos Iniciales'!$D:$D,'Saldos Iniciales'!$A:$A,"Green Stone Trust")+SUMIFS(Movimientos!$K$1:$K$743,Movimientos!$C$1:$C$743,"Green Stone Trust",Movimientos!$B$1:$B$743,"&lt;="&amp;$B62)</f>
        <v>1968.99</v>
      </c>
      <c r="O62" s="24">
        <f>SUMIFS('Saldos Iniciales'!$D:$D,'Saldos Iniciales'!$A:$A,"EC Auto")+SUMIFS(Movimientos!$K$1:$K$743,Movimientos!$C$1:$C$743,"EC Auto",Movimientos!$B$1:$B$743,"&lt;="&amp;$B62)</f>
        <v>382.69000000000005</v>
      </c>
      <c r="P62" s="24">
        <f>SUMIFS('Saldos Iniciales'!$D:$D,'Saldos Iniciales'!$A:$A,"Arbor Capital Properties")+SUMIFS(Movimientos!$K$1:$K$743,Movimientos!$C$1:$C$743,"Arbor Capital Properties",Movimientos!$B$1:$B$743,"&lt;="&amp;$B62)</f>
        <v>1428.08</v>
      </c>
      <c r="Q62" s="24">
        <f>SUMIFS('Saldos Iniciales'!$D:$D,'Saldos Iniciales'!$A:$A,"2515 Overbrook")+SUMIFS(Movimientos!$K$1:$K$743,Movimientos!$C$1:$C$743,"2515 Overbrook",Movimientos!$B$1:$B$743,"&lt;="&amp;$B62)</f>
        <v>31039.969999999961</v>
      </c>
      <c r="R62" s="24">
        <f>SUMIFS('Saldos Iniciales'!$D:$D,'Saldos Iniciales'!$A:$A,"112 Florida Ave")+SUMIFS(Movimientos!$K$1:$K$743,Movimientos!$C$1:$C$743,"112 Florida Ave",Movimientos!$B$1:$B$743,"&lt;="&amp;$B62)</f>
        <v>20321.43</v>
      </c>
      <c r="S62" s="24">
        <f>SUMIFS('Saldos Iniciales'!$D:$D,'Saldos Iniciales'!$A:$A,"3628 Thomas Ave")+SUMIFS(Movimientos!$K$1:$K$743,Movimientos!$C$1:$C$743,"3628 Thomas Ave",Movimientos!$B$1:$B$743,"&lt;="&amp;$B62)</f>
        <v>28458.6</v>
      </c>
      <c r="T62" s="24">
        <f>SUMIFS('Saldos Iniciales'!$D:$D,'Saldos Iniciales'!$A:$A,"Green Harbor Trust")+SUMIFS(Movimientos!$K$1:$K$743,Movimientos!$C$1:$C$743,"Green Harbor Trust",Movimientos!$B$1:$B$743,"&lt;="&amp;$B62)</f>
        <v>345</v>
      </c>
      <c r="U62" s="24">
        <f>SUMIFS('Saldos Iniciales'!$D:$D,'Saldos Iniciales'!$A:$A,"Go Blue")+SUMIFS(Movimientos!$K$1:$K$743,Movimientos!$C$1:$C$743,"Go Blue",Movimientos!$B$1:$B$743,"&lt;="&amp;$B62)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Group")+SUMIFS(Movimientos!$K$1:$K$743,Movimientos!$C$1:$C$743,"CFT Group",Movimientos!$B$1:$B$743,"&lt;="&amp;$B63)</f>
        <v>6295585.7500000009</v>
      </c>
      <c r="D63" s="24">
        <f>SUMIFS('Saldos Iniciales'!$D:$D,'Saldos Iniciales'!$A:$A,"M1B")+SUMIFS(Movimientos!$K$1:$K$743,Movimientos!$C$1:$C$743,"M1B",Movimientos!$B$1:$B$743,"&lt;="&amp;$B63)</f>
        <v>79139.680000000168</v>
      </c>
      <c r="E63" s="24">
        <f>SUMIFS('Saldos Iniciales'!$D:$D,'Saldos Iniciales'!$A:$A,"Durand")+SUMIFS(Movimientos!$K$1:$K$743,Movimientos!$C$1:$C$743,"Durand",Movimientos!$B$1:$B$743,"&lt;="&amp;$B63)</f>
        <v>1669.89</v>
      </c>
      <c r="F63" s="24">
        <f>SUMIFS('Saldos Iniciales'!$D:$D,'Saldos Iniciales'!$A:$A,"A&amp;M Imports")+SUMIFS(Movimientos!$K$1:$K$743,Movimientos!$C$1:$C$743,"A&amp;M Imports",Movimientos!$B$1:$B$743,"&lt;="&amp;$B63)</f>
        <v>507936.37999999989</v>
      </c>
      <c r="G63" s="24">
        <f>SUMIFS('Saldos Iniciales'!$D:$D,'Saldos Iniciales'!$A:$A,"SSP Capital")+SUMIFS(Movimientos!$K$1:$K$743,Movimientos!$C$1:$C$743,"SSP Capital",Movimientos!$B$1:$B$743,"&lt;="&amp;$B63)</f>
        <v>1696284.7299999995</v>
      </c>
      <c r="H63" s="24">
        <f>SUMIFS('Saldos Iniciales'!$D:$D,'Saldos Iniciales'!$A:$A,"Cross Family Trust")+SUMIFS(Movimientos!$K$1:$K$743,Movimientos!$C$1:$C$743,"Cross Family Trust",Movimientos!$B$1:$B$743,"&lt;="&amp;$B63)</f>
        <v>390496.38</v>
      </c>
      <c r="I63" s="24">
        <f>SUMIFS('Saldos Iniciales'!$D:$D,'Saldos Iniciales'!$A:$A,"Cross Security Trust")+SUMIFS(Movimientos!$K$1:$K$743,Movimientos!$C$1:$C$743,"Cross Security Trust",Movimientos!$B$1:$B$743,"&lt;="&amp;$B63)</f>
        <v>88090.37</v>
      </c>
      <c r="J63" s="24">
        <f>SUMIFS('Saldos Iniciales'!$D:$D,'Saldos Iniciales'!$A:$A,"Electrama")+SUMIFS(Movimientos!$K$1:$K$743,Movimientos!$C$1:$C$743,"Electrama",Movimientos!$B$1:$B$743,"&lt;="&amp;$B63)</f>
        <v>511.15999999999985</v>
      </c>
      <c r="K63" s="24">
        <f>SUMIFS('Saldos Iniciales'!$D:$D,'Saldos Iniciales'!$A:$A,"Sacred Valley Capital")+SUMIFS(Movimientos!$K$1:$K$743,Movimientos!$C$1:$C$743,"Sacred Valley Capital",Movimientos!$B$1:$B$743,"&lt;="&amp;$B63)</f>
        <v>54.400000000000006</v>
      </c>
      <c r="L63" s="24">
        <f>SUMIFS('Saldos Iniciales'!$D:$D,'Saldos Iniciales'!$A:$A,"YWC Capital")+SUMIFS(Movimientos!$K$1:$K$743,Movimientos!$C$1:$C$743,"YWC Capital",Movimientos!$B$1:$B$743,"&lt;="&amp;$B63)</f>
        <v>2207.8200000000002</v>
      </c>
      <c r="M63" s="24">
        <f>SUMIFS('Saldos Iniciales'!$D:$D,'Saldos Iniciales'!$A:$A,"Soweto")+SUMIFS(Movimientos!$K$1:$K$743,Movimientos!$C$1:$C$743,"Soweto",Movimientos!$B$1:$B$743,"&lt;="&amp;$B63)</f>
        <v>3349.94</v>
      </c>
      <c r="N63" s="24">
        <f>SUMIFS('Saldos Iniciales'!$D:$D,'Saldos Iniciales'!$A:$A,"Green Stone Trust")+SUMIFS(Movimientos!$K$1:$K$743,Movimientos!$C$1:$C$743,"Green Stone Trust",Movimientos!$B$1:$B$743,"&lt;="&amp;$B63)</f>
        <v>1968.99</v>
      </c>
      <c r="O63" s="24">
        <f>SUMIFS('Saldos Iniciales'!$D:$D,'Saldos Iniciales'!$A:$A,"EC Auto")+SUMIFS(Movimientos!$K$1:$K$743,Movimientos!$C$1:$C$743,"EC Auto",Movimientos!$B$1:$B$743,"&lt;="&amp;$B63)</f>
        <v>382.69000000000005</v>
      </c>
      <c r="P63" s="24">
        <f>SUMIFS('Saldos Iniciales'!$D:$D,'Saldos Iniciales'!$A:$A,"Arbor Capital Properties")+SUMIFS(Movimientos!$K$1:$K$743,Movimientos!$C$1:$C$743,"Arbor Capital Properties",Movimientos!$B$1:$B$743,"&lt;="&amp;$B63)</f>
        <v>1412.08</v>
      </c>
      <c r="Q63" s="24">
        <f>SUMIFS('Saldos Iniciales'!$D:$D,'Saldos Iniciales'!$A:$A,"2515 Overbrook")+SUMIFS(Movimientos!$K$1:$K$743,Movimientos!$C$1:$C$743,"2515 Overbrook",Movimientos!$B$1:$B$743,"&lt;="&amp;$B63)</f>
        <v>22496.639999999959</v>
      </c>
      <c r="R63" s="24">
        <f>SUMIFS('Saldos Iniciales'!$D:$D,'Saldos Iniciales'!$A:$A,"112 Florida Ave")+SUMIFS(Movimientos!$K$1:$K$743,Movimientos!$C$1:$C$743,"112 Florida Ave",Movimientos!$B$1:$B$743,"&lt;="&amp;$B63)</f>
        <v>10522.800000000003</v>
      </c>
      <c r="S63" s="24">
        <f>SUMIFS('Saldos Iniciales'!$D:$D,'Saldos Iniciales'!$A:$A,"3628 Thomas Ave")+SUMIFS(Movimientos!$K$1:$K$743,Movimientos!$C$1:$C$743,"3628 Thomas Ave",Movimientos!$B$1:$B$743,"&lt;="&amp;$B63)</f>
        <v>19685.559999999998</v>
      </c>
      <c r="T63" s="24">
        <f>SUMIFS('Saldos Iniciales'!$D:$D,'Saldos Iniciales'!$A:$A,"Green Harbor Trust")+SUMIFS(Movimientos!$K$1:$K$743,Movimientos!$C$1:$C$743,"Green Harbor Trust",Movimientos!$B$1:$B$743,"&lt;="&amp;$B63)</f>
        <v>345</v>
      </c>
      <c r="U63" s="24">
        <f>SUMIFS('Saldos Iniciales'!$D:$D,'Saldos Iniciales'!$A:$A,"Go Blue")+SUMIFS(Movimientos!$K$1:$K$743,Movimientos!$C$1:$C$743,"Go Blue",Movimientos!$B$1:$B$743,"&lt;="&amp;$B63)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Group")+SUMIFS(Movimientos!$K$1:$K$743,Movimientos!$C$1:$C$743,"CFT Group",Movimientos!$B$1:$B$743,"&lt;="&amp;$B64)</f>
        <v>5592585.7500000009</v>
      </c>
      <c r="D64" s="24">
        <f>SUMIFS('Saldos Iniciales'!$D:$D,'Saldos Iniciales'!$A:$A,"M1B")+SUMIFS(Movimientos!$K$1:$K$743,Movimientos!$C$1:$C$743,"M1B",Movimientos!$B$1:$B$743,"&lt;="&amp;$B64)</f>
        <v>79139.680000000168</v>
      </c>
      <c r="E64" s="24">
        <f>SUMIFS('Saldos Iniciales'!$D:$D,'Saldos Iniciales'!$A:$A,"Durand")+SUMIFS(Movimientos!$K$1:$K$743,Movimientos!$C$1:$C$743,"Durand",Movimientos!$B$1:$B$743,"&lt;="&amp;$B64)</f>
        <v>1669.89</v>
      </c>
      <c r="F64" s="24">
        <f>SUMIFS('Saldos Iniciales'!$D:$D,'Saldos Iniciales'!$A:$A,"A&amp;M Imports")+SUMIFS(Movimientos!$K$1:$K$743,Movimientos!$C$1:$C$743,"A&amp;M Imports",Movimientos!$B$1:$B$743,"&lt;="&amp;$B64)</f>
        <v>350475.62999999989</v>
      </c>
      <c r="G64" s="24">
        <f>SUMIFS('Saldos Iniciales'!$D:$D,'Saldos Iniciales'!$A:$A,"SSP Capital")+SUMIFS(Movimientos!$K$1:$K$743,Movimientos!$C$1:$C$743,"SSP Capital",Movimientos!$B$1:$B$743,"&lt;="&amp;$B64)</f>
        <v>1761564.8799999994</v>
      </c>
      <c r="H64" s="24">
        <f>SUMIFS('Saldos Iniciales'!$D:$D,'Saldos Iniciales'!$A:$A,"Cross Family Trust")+SUMIFS(Movimientos!$K$1:$K$743,Movimientos!$C$1:$C$743,"Cross Family Trust",Movimientos!$B$1:$B$743,"&lt;="&amp;$B64)</f>
        <v>220496.38</v>
      </c>
      <c r="I64" s="24">
        <f>SUMIFS('Saldos Iniciales'!$D:$D,'Saldos Iniciales'!$A:$A,"Cross Security Trust")+SUMIFS(Movimientos!$K$1:$K$743,Movimientos!$C$1:$C$743,"Cross Security Trust",Movimientos!$B$1:$B$743,"&lt;="&amp;$B64)</f>
        <v>88090.37</v>
      </c>
      <c r="J64" s="24">
        <f>SUMIFS('Saldos Iniciales'!$D:$D,'Saldos Iniciales'!$A:$A,"Electrama")+SUMIFS(Movimientos!$K$1:$K$743,Movimientos!$C$1:$C$743,"Electrama",Movimientos!$B$1:$B$743,"&lt;="&amp;$B64)</f>
        <v>511.15999999999985</v>
      </c>
      <c r="K64" s="24">
        <f>SUMIFS('Saldos Iniciales'!$D:$D,'Saldos Iniciales'!$A:$A,"Sacred Valley Capital")+SUMIFS(Movimientos!$K$1:$K$743,Movimientos!$C$1:$C$743,"Sacred Valley Capital",Movimientos!$B$1:$B$743,"&lt;="&amp;$B64)</f>
        <v>54.400000000000006</v>
      </c>
      <c r="L64" s="24">
        <f>SUMIFS('Saldos Iniciales'!$D:$D,'Saldos Iniciales'!$A:$A,"YWC Capital")+SUMIFS(Movimientos!$K$1:$K$743,Movimientos!$C$1:$C$743,"YWC Capital",Movimientos!$B$1:$B$743,"&lt;="&amp;$B64)</f>
        <v>2207.8200000000002</v>
      </c>
      <c r="M64" s="24">
        <f>SUMIFS('Saldos Iniciales'!$D:$D,'Saldos Iniciales'!$A:$A,"Soweto")+SUMIFS(Movimientos!$K$1:$K$743,Movimientos!$C$1:$C$743,"Soweto",Movimientos!$B$1:$B$743,"&lt;="&amp;$B64)</f>
        <v>3349.94</v>
      </c>
      <c r="N64" s="24">
        <f>SUMIFS('Saldos Iniciales'!$D:$D,'Saldos Iniciales'!$A:$A,"Green Stone Trust")+SUMIFS(Movimientos!$K$1:$K$743,Movimientos!$C$1:$C$743,"Green Stone Trust",Movimientos!$B$1:$B$743,"&lt;="&amp;$B64)</f>
        <v>1968.99</v>
      </c>
      <c r="O64" s="24">
        <f>SUMIFS('Saldos Iniciales'!$D:$D,'Saldos Iniciales'!$A:$A,"EC Auto")+SUMIFS(Movimientos!$K$1:$K$743,Movimientos!$C$1:$C$743,"EC Auto",Movimientos!$B$1:$B$743,"&lt;="&amp;$B64)</f>
        <v>382.69000000000005</v>
      </c>
      <c r="P64" s="24">
        <f>SUMIFS('Saldos Iniciales'!$D:$D,'Saldos Iniciales'!$A:$A,"Arbor Capital Properties")+SUMIFS(Movimientos!$K$1:$K$743,Movimientos!$C$1:$C$743,"Arbor Capital Properties",Movimientos!$B$1:$B$743,"&lt;="&amp;$B64)</f>
        <v>1412.08</v>
      </c>
      <c r="Q64" s="24">
        <f>SUMIFS('Saldos Iniciales'!$D:$D,'Saldos Iniciales'!$A:$A,"2515 Overbrook")+SUMIFS(Movimientos!$K$1:$K$743,Movimientos!$C$1:$C$743,"2515 Overbrook",Movimientos!$B$1:$B$743,"&lt;="&amp;$B64)</f>
        <v>22496.639999999959</v>
      </c>
      <c r="R64" s="24">
        <f>SUMIFS('Saldos Iniciales'!$D:$D,'Saldos Iniciales'!$A:$A,"112 Florida Ave")+SUMIFS(Movimientos!$K$1:$K$743,Movimientos!$C$1:$C$743,"112 Florida Ave",Movimientos!$B$1:$B$743,"&lt;="&amp;$B64)</f>
        <v>10522.800000000003</v>
      </c>
      <c r="S64" s="24">
        <f>SUMIFS('Saldos Iniciales'!$D:$D,'Saldos Iniciales'!$A:$A,"3628 Thomas Ave")+SUMIFS(Movimientos!$K$1:$K$743,Movimientos!$C$1:$C$743,"3628 Thomas Ave",Movimientos!$B$1:$B$743,"&lt;="&amp;$B64)</f>
        <v>24085.559999999998</v>
      </c>
      <c r="T64" s="24">
        <f>SUMIFS('Saldos Iniciales'!$D:$D,'Saldos Iniciales'!$A:$A,"Green Harbor Trust")+SUMIFS(Movimientos!$K$1:$K$743,Movimientos!$C$1:$C$743,"Green Harbor Trust",Movimientos!$B$1:$B$743,"&lt;="&amp;$B64)</f>
        <v>345</v>
      </c>
      <c r="U64" s="24">
        <f>SUMIFS('Saldos Iniciales'!$D:$D,'Saldos Iniciales'!$A:$A,"Go Blue")+SUMIFS(Movimientos!$K$1:$K$743,Movimientos!$C$1:$C$743,"Go Blue",Movimientos!$B$1:$B$743,"&lt;="&amp;$B64)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Group")+SUMIFS(Movimientos!$K$1:$K$743,Movimientos!$C$1:$C$743,"CFT Group",Movimientos!$B$1:$B$743,"&lt;="&amp;$B65)</f>
        <v>5592585.7500000009</v>
      </c>
      <c r="D65" s="24">
        <f>SUMIFS('Saldos Iniciales'!$D:$D,'Saldos Iniciales'!$A:$A,"M1B")+SUMIFS(Movimientos!$K$1:$K$743,Movimientos!$C$1:$C$743,"M1B",Movimientos!$B$1:$B$743,"&lt;="&amp;$B65)</f>
        <v>79139.680000000168</v>
      </c>
      <c r="E65" s="24">
        <f>SUMIFS('Saldos Iniciales'!$D:$D,'Saldos Iniciales'!$A:$A,"Durand")+SUMIFS(Movimientos!$K$1:$K$743,Movimientos!$C$1:$C$743,"Durand",Movimientos!$B$1:$B$743,"&lt;="&amp;$B65)</f>
        <v>1669.89</v>
      </c>
      <c r="F65" s="24">
        <f>SUMIFS('Saldos Iniciales'!$D:$D,'Saldos Iniciales'!$A:$A,"A&amp;M Imports")+SUMIFS(Movimientos!$K$1:$K$743,Movimientos!$C$1:$C$743,"A&amp;M Imports",Movimientos!$B$1:$B$743,"&lt;="&amp;$B65)</f>
        <v>350475.62999999989</v>
      </c>
      <c r="G65" s="24">
        <f>SUMIFS('Saldos Iniciales'!$D:$D,'Saldos Iniciales'!$A:$A,"SSP Capital")+SUMIFS(Movimientos!$K$1:$K$743,Movimientos!$C$1:$C$743,"SSP Capital",Movimientos!$B$1:$B$743,"&lt;="&amp;$B65)</f>
        <v>1761564.8799999994</v>
      </c>
      <c r="H65" s="24">
        <f>SUMIFS('Saldos Iniciales'!$D:$D,'Saldos Iniciales'!$A:$A,"Cross Family Trust")+SUMIFS(Movimientos!$K$1:$K$743,Movimientos!$C$1:$C$743,"Cross Family Trust",Movimientos!$B$1:$B$743,"&lt;="&amp;$B65)</f>
        <v>220496.38</v>
      </c>
      <c r="I65" s="24">
        <f>SUMIFS('Saldos Iniciales'!$D:$D,'Saldos Iniciales'!$A:$A,"Cross Security Trust")+SUMIFS(Movimientos!$K$1:$K$743,Movimientos!$C$1:$C$743,"Cross Security Trust",Movimientos!$B$1:$B$743,"&lt;="&amp;$B65)</f>
        <v>88090.37</v>
      </c>
      <c r="J65" s="24">
        <f>SUMIFS('Saldos Iniciales'!$D:$D,'Saldos Iniciales'!$A:$A,"Electrama")+SUMIFS(Movimientos!$K$1:$K$743,Movimientos!$C$1:$C$743,"Electrama",Movimientos!$B$1:$B$743,"&lt;="&amp;$B65)</f>
        <v>471.15999999999985</v>
      </c>
      <c r="K65" s="24">
        <f>SUMIFS('Saldos Iniciales'!$D:$D,'Saldos Iniciales'!$A:$A,"Sacred Valley Capital")+SUMIFS(Movimientos!$K$1:$K$743,Movimientos!$C$1:$C$743,"Sacred Valley Capital",Movimientos!$B$1:$B$743,"&lt;="&amp;$B65)</f>
        <v>54.400000000000006</v>
      </c>
      <c r="L65" s="24">
        <f>SUMIFS('Saldos Iniciales'!$D:$D,'Saldos Iniciales'!$A:$A,"YWC Capital")+SUMIFS(Movimientos!$K$1:$K$743,Movimientos!$C$1:$C$743,"YWC Capital",Movimientos!$B$1:$B$743,"&lt;="&amp;$B65)</f>
        <v>2207.8200000000002</v>
      </c>
      <c r="M65" s="24">
        <f>SUMIFS('Saldos Iniciales'!$D:$D,'Saldos Iniciales'!$A:$A,"Soweto")+SUMIFS(Movimientos!$K$1:$K$743,Movimientos!$C$1:$C$743,"Soweto",Movimientos!$B$1:$B$743,"&lt;="&amp;$B65)</f>
        <v>3349.94</v>
      </c>
      <c r="N65" s="24">
        <f>SUMIFS('Saldos Iniciales'!$D:$D,'Saldos Iniciales'!$A:$A,"Green Stone Trust")+SUMIFS(Movimientos!$K$1:$K$743,Movimientos!$C$1:$C$743,"Green Stone Trust",Movimientos!$B$1:$B$743,"&lt;="&amp;$B65)</f>
        <v>1968.99</v>
      </c>
      <c r="O65" s="24">
        <f>SUMIFS('Saldos Iniciales'!$D:$D,'Saldos Iniciales'!$A:$A,"EC Auto")+SUMIFS(Movimientos!$K$1:$K$743,Movimientos!$C$1:$C$743,"EC Auto",Movimientos!$B$1:$B$743,"&lt;="&amp;$B65)</f>
        <v>382.69000000000005</v>
      </c>
      <c r="P65" s="24">
        <f>SUMIFS('Saldos Iniciales'!$D:$D,'Saldos Iniciales'!$A:$A,"Arbor Capital Properties")+SUMIFS(Movimientos!$K$1:$K$743,Movimientos!$C$1:$C$743,"Arbor Capital Properties",Movimientos!$B$1:$B$743,"&lt;="&amp;$B65)</f>
        <v>1412.08</v>
      </c>
      <c r="Q65" s="24">
        <f>SUMIFS('Saldos Iniciales'!$D:$D,'Saldos Iniciales'!$A:$A,"2515 Overbrook")+SUMIFS(Movimientos!$K$1:$K$743,Movimientos!$C$1:$C$743,"2515 Overbrook",Movimientos!$B$1:$B$743,"&lt;="&amp;$B65)</f>
        <v>22496.639999999959</v>
      </c>
      <c r="R65" s="24">
        <f>SUMIFS('Saldos Iniciales'!$D:$D,'Saldos Iniciales'!$A:$A,"112 Florida Ave")+SUMIFS(Movimientos!$K$1:$K$743,Movimientos!$C$1:$C$743,"112 Florida Ave",Movimientos!$B$1:$B$743,"&lt;="&amp;$B65)</f>
        <v>10522.800000000003</v>
      </c>
      <c r="S65" s="24">
        <f>SUMIFS('Saldos Iniciales'!$D:$D,'Saldos Iniciales'!$A:$A,"3628 Thomas Ave")+SUMIFS(Movimientos!$K$1:$K$743,Movimientos!$C$1:$C$743,"3628 Thomas Ave",Movimientos!$B$1:$B$743,"&lt;="&amp;$B65)</f>
        <v>24085.559999999998</v>
      </c>
      <c r="T65" s="24">
        <f>SUMIFS('Saldos Iniciales'!$D:$D,'Saldos Iniciales'!$A:$A,"Green Harbor Trust")+SUMIFS(Movimientos!$K$1:$K$743,Movimientos!$C$1:$C$743,"Green Harbor Trust",Movimientos!$B$1:$B$743,"&lt;="&amp;$B65)</f>
        <v>345</v>
      </c>
      <c r="U65" s="24">
        <f>SUMIFS('Saldos Iniciales'!$D:$D,'Saldos Iniciales'!$A:$A,"Go Blue")+SUMIFS(Movimientos!$K$1:$K$743,Movimientos!$C$1:$C$743,"Go Blue",Movimientos!$B$1:$B$743,"&lt;="&amp;$B65)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Group")+SUMIFS(Movimientos!$K$1:$K$743,Movimientos!$C$1:$C$743,"CFT Group",Movimientos!$B$1:$B$743,"&lt;="&amp;$B66)</f>
        <v>5592585.7500000009</v>
      </c>
      <c r="D66" s="24">
        <f>SUMIFS('Saldos Iniciales'!$D:$D,'Saldos Iniciales'!$A:$A,"M1B")+SUMIFS(Movimientos!$K$1:$K$743,Movimientos!$C$1:$C$743,"M1B",Movimientos!$B$1:$B$743,"&lt;="&amp;$B66)</f>
        <v>79139.680000000168</v>
      </c>
      <c r="E66" s="24">
        <f>SUMIFS('Saldos Iniciales'!$D:$D,'Saldos Iniciales'!$A:$A,"Durand")+SUMIFS(Movimientos!$K$1:$K$743,Movimientos!$C$1:$C$743,"Durand",Movimientos!$B$1:$B$743,"&lt;="&amp;$B66)</f>
        <v>1669.89</v>
      </c>
      <c r="F66" s="24">
        <f>SUMIFS('Saldos Iniciales'!$D:$D,'Saldos Iniciales'!$A:$A,"A&amp;M Imports")+SUMIFS(Movimientos!$K$1:$K$743,Movimientos!$C$1:$C$743,"A&amp;M Imports",Movimientos!$B$1:$B$743,"&lt;="&amp;$B66)</f>
        <v>350475.62999999989</v>
      </c>
      <c r="G66" s="24">
        <f>SUMIFS('Saldos Iniciales'!$D:$D,'Saldos Iniciales'!$A:$A,"SSP Capital")+SUMIFS(Movimientos!$K$1:$K$743,Movimientos!$C$1:$C$743,"SSP Capital",Movimientos!$B$1:$B$743,"&lt;="&amp;$B66)</f>
        <v>1761564.8799999994</v>
      </c>
      <c r="H66" s="24">
        <f>SUMIFS('Saldos Iniciales'!$D:$D,'Saldos Iniciales'!$A:$A,"Cross Family Trust")+SUMIFS(Movimientos!$K$1:$K$743,Movimientos!$C$1:$C$743,"Cross Family Trust",Movimientos!$B$1:$B$743,"&lt;="&amp;$B66)</f>
        <v>220496.38</v>
      </c>
      <c r="I66" s="24">
        <f>SUMIFS('Saldos Iniciales'!$D:$D,'Saldos Iniciales'!$A:$A,"Cross Security Trust")+SUMIFS(Movimientos!$K$1:$K$743,Movimientos!$C$1:$C$743,"Cross Security Trust",Movimientos!$B$1:$B$743,"&lt;="&amp;$B66)</f>
        <v>88090.37</v>
      </c>
      <c r="J66" s="24">
        <f>SUMIFS('Saldos Iniciales'!$D:$D,'Saldos Iniciales'!$A:$A,"Electrama")+SUMIFS(Movimientos!$K$1:$K$743,Movimientos!$C$1:$C$743,"Electrama",Movimientos!$B$1:$B$743,"&lt;="&amp;$B66)</f>
        <v>471.15999999999985</v>
      </c>
      <c r="K66" s="24">
        <f>SUMIFS('Saldos Iniciales'!$D:$D,'Saldos Iniciales'!$A:$A,"Sacred Valley Capital")+SUMIFS(Movimientos!$K$1:$K$743,Movimientos!$C$1:$C$743,"Sacred Valley Capital",Movimientos!$B$1:$B$743,"&lt;="&amp;$B66)</f>
        <v>54.400000000000006</v>
      </c>
      <c r="L66" s="24">
        <f>SUMIFS('Saldos Iniciales'!$D:$D,'Saldos Iniciales'!$A:$A,"YWC Capital")+SUMIFS(Movimientos!$K$1:$K$743,Movimientos!$C$1:$C$743,"YWC Capital",Movimientos!$B$1:$B$743,"&lt;="&amp;$B66)</f>
        <v>2207.8200000000002</v>
      </c>
      <c r="M66" s="24">
        <f>SUMIFS('Saldos Iniciales'!$D:$D,'Saldos Iniciales'!$A:$A,"Soweto")+SUMIFS(Movimientos!$K$1:$K$743,Movimientos!$C$1:$C$743,"Soweto",Movimientos!$B$1:$B$743,"&lt;="&amp;$B66)</f>
        <v>3349.94</v>
      </c>
      <c r="N66" s="24">
        <f>SUMIFS('Saldos Iniciales'!$D:$D,'Saldos Iniciales'!$A:$A,"Green Stone Trust")+SUMIFS(Movimientos!$K$1:$K$743,Movimientos!$C$1:$C$743,"Green Stone Trust",Movimientos!$B$1:$B$743,"&lt;="&amp;$B66)</f>
        <v>1968.99</v>
      </c>
      <c r="O66" s="24">
        <f>SUMIFS('Saldos Iniciales'!$D:$D,'Saldos Iniciales'!$A:$A,"EC Auto")+SUMIFS(Movimientos!$K$1:$K$743,Movimientos!$C$1:$C$743,"EC Auto",Movimientos!$B$1:$B$743,"&lt;="&amp;$B66)</f>
        <v>382.69000000000005</v>
      </c>
      <c r="P66" s="24">
        <f>SUMIFS('Saldos Iniciales'!$D:$D,'Saldos Iniciales'!$A:$A,"Arbor Capital Properties")+SUMIFS(Movimientos!$K$1:$K$743,Movimientos!$C$1:$C$743,"Arbor Capital Properties",Movimientos!$B$1:$B$743,"&lt;="&amp;$B66)</f>
        <v>1412.08</v>
      </c>
      <c r="Q66" s="24">
        <f>SUMIFS('Saldos Iniciales'!$D:$D,'Saldos Iniciales'!$A:$A,"2515 Overbrook")+SUMIFS(Movimientos!$K$1:$K$743,Movimientos!$C$1:$C$743,"2515 Overbrook",Movimientos!$B$1:$B$743,"&lt;="&amp;$B66)</f>
        <v>22496.639999999959</v>
      </c>
      <c r="R66" s="24">
        <f>SUMIFS('Saldos Iniciales'!$D:$D,'Saldos Iniciales'!$A:$A,"112 Florida Ave")+SUMIFS(Movimientos!$K$1:$K$743,Movimientos!$C$1:$C$743,"112 Florida Ave",Movimientos!$B$1:$B$743,"&lt;="&amp;$B66)</f>
        <v>10522.800000000003</v>
      </c>
      <c r="S66" s="24">
        <f>SUMIFS('Saldos Iniciales'!$D:$D,'Saldos Iniciales'!$A:$A,"3628 Thomas Ave")+SUMIFS(Movimientos!$K$1:$K$743,Movimientos!$C$1:$C$743,"3628 Thomas Ave",Movimientos!$B$1:$B$743,"&lt;="&amp;$B66)</f>
        <v>24085.559999999998</v>
      </c>
      <c r="T66" s="24">
        <f>SUMIFS('Saldos Iniciales'!$D:$D,'Saldos Iniciales'!$A:$A,"Green Harbor Trust")+SUMIFS(Movimientos!$K$1:$K$743,Movimientos!$C$1:$C$743,"Green Harbor Trust",Movimientos!$B$1:$B$743,"&lt;="&amp;$B66)</f>
        <v>345</v>
      </c>
      <c r="U66" s="24">
        <f>SUMIFS('Saldos Iniciales'!$D:$D,'Saldos Iniciales'!$A:$A,"Go Blue")+SUMIFS(Movimientos!$K$1:$K$743,Movimientos!$C$1:$C$743,"Go Blue",Movimientos!$B$1:$B$743,"&lt;="&amp;$B66)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Group")+SUMIFS(Movimientos!$K$1:$K$743,Movimientos!$C$1:$C$743,"CFT Group",Movimientos!$B$1:$B$743,"&lt;="&amp;$B67)</f>
        <v>5592585.7500000009</v>
      </c>
      <c r="D67" s="24">
        <f>SUMIFS('Saldos Iniciales'!$D:$D,'Saldos Iniciales'!$A:$A,"M1B")+SUMIFS(Movimientos!$K$1:$K$743,Movimientos!$C$1:$C$743,"M1B",Movimientos!$B$1:$B$743,"&lt;="&amp;$B67)</f>
        <v>79139.680000000168</v>
      </c>
      <c r="E67" s="24">
        <f>SUMIFS('Saldos Iniciales'!$D:$D,'Saldos Iniciales'!$A:$A,"Durand")+SUMIFS(Movimientos!$K$1:$K$743,Movimientos!$C$1:$C$743,"Durand",Movimientos!$B$1:$B$743,"&lt;="&amp;$B67)</f>
        <v>1669.89</v>
      </c>
      <c r="F67" s="24">
        <f>SUMIFS('Saldos Iniciales'!$D:$D,'Saldos Iniciales'!$A:$A,"A&amp;M Imports")+SUMIFS(Movimientos!$K$1:$K$743,Movimientos!$C$1:$C$743,"A&amp;M Imports",Movimientos!$B$1:$B$743,"&lt;="&amp;$B67)</f>
        <v>350475.62999999989</v>
      </c>
      <c r="G67" s="24">
        <f>SUMIFS('Saldos Iniciales'!$D:$D,'Saldos Iniciales'!$A:$A,"SSP Capital")+SUMIFS(Movimientos!$K$1:$K$743,Movimientos!$C$1:$C$743,"SSP Capital",Movimientos!$B$1:$B$743,"&lt;="&amp;$B67)</f>
        <v>1761564.8799999994</v>
      </c>
      <c r="H67" s="24">
        <f>SUMIFS('Saldos Iniciales'!$D:$D,'Saldos Iniciales'!$A:$A,"Cross Family Trust")+SUMIFS(Movimientos!$K$1:$K$743,Movimientos!$C$1:$C$743,"Cross Family Trust",Movimientos!$B$1:$B$743,"&lt;="&amp;$B67)</f>
        <v>220496.38</v>
      </c>
      <c r="I67" s="24">
        <f>SUMIFS('Saldos Iniciales'!$D:$D,'Saldos Iniciales'!$A:$A,"Cross Security Trust")+SUMIFS(Movimientos!$K$1:$K$743,Movimientos!$C$1:$C$743,"Cross Security Trust",Movimientos!$B$1:$B$743,"&lt;="&amp;$B67)</f>
        <v>88090.37</v>
      </c>
      <c r="J67" s="24">
        <f>SUMIFS('Saldos Iniciales'!$D:$D,'Saldos Iniciales'!$A:$A,"Electrama")+SUMIFS(Movimientos!$K$1:$K$743,Movimientos!$C$1:$C$743,"Electrama",Movimientos!$B$1:$B$743,"&lt;="&amp;$B67)</f>
        <v>471.15999999999985</v>
      </c>
      <c r="K67" s="24">
        <f>SUMIFS('Saldos Iniciales'!$D:$D,'Saldos Iniciales'!$A:$A,"Sacred Valley Capital")+SUMIFS(Movimientos!$K$1:$K$743,Movimientos!$C$1:$C$743,"Sacred Valley Capital",Movimientos!$B$1:$B$743,"&lt;="&amp;$B67)</f>
        <v>54.400000000000006</v>
      </c>
      <c r="L67" s="24">
        <f>SUMIFS('Saldos Iniciales'!$D:$D,'Saldos Iniciales'!$A:$A,"YWC Capital")+SUMIFS(Movimientos!$K$1:$K$743,Movimientos!$C$1:$C$743,"YWC Capital",Movimientos!$B$1:$B$743,"&lt;="&amp;$B67)</f>
        <v>2207.8200000000002</v>
      </c>
      <c r="M67" s="24">
        <f>SUMIFS('Saldos Iniciales'!$D:$D,'Saldos Iniciales'!$A:$A,"Soweto")+SUMIFS(Movimientos!$K$1:$K$743,Movimientos!$C$1:$C$743,"Soweto",Movimientos!$B$1:$B$743,"&lt;="&amp;$B67)</f>
        <v>3349.94</v>
      </c>
      <c r="N67" s="24">
        <f>SUMIFS('Saldos Iniciales'!$D:$D,'Saldos Iniciales'!$A:$A,"Green Stone Trust")+SUMIFS(Movimientos!$K$1:$K$743,Movimientos!$C$1:$C$743,"Green Stone Trust",Movimientos!$B$1:$B$743,"&lt;="&amp;$B67)</f>
        <v>1968.99</v>
      </c>
      <c r="O67" s="24">
        <f>SUMIFS('Saldos Iniciales'!$D:$D,'Saldos Iniciales'!$A:$A,"EC Auto")+SUMIFS(Movimientos!$K$1:$K$743,Movimientos!$C$1:$C$743,"EC Auto",Movimientos!$B$1:$B$743,"&lt;="&amp;$B67)</f>
        <v>382.69000000000005</v>
      </c>
      <c r="P67" s="24">
        <f>SUMIFS('Saldos Iniciales'!$D:$D,'Saldos Iniciales'!$A:$A,"Arbor Capital Properties")+SUMIFS(Movimientos!$K$1:$K$743,Movimientos!$C$1:$C$743,"Arbor Capital Properties",Movimientos!$B$1:$B$743,"&lt;="&amp;$B67)</f>
        <v>1412.08</v>
      </c>
      <c r="Q67" s="24">
        <f>SUMIFS('Saldos Iniciales'!$D:$D,'Saldos Iniciales'!$A:$A,"2515 Overbrook")+SUMIFS(Movimientos!$K$1:$K$743,Movimientos!$C$1:$C$743,"2515 Overbrook",Movimientos!$B$1:$B$743,"&lt;="&amp;$B67)</f>
        <v>22496.639999999959</v>
      </c>
      <c r="R67" s="24">
        <f>SUMIFS('Saldos Iniciales'!$D:$D,'Saldos Iniciales'!$A:$A,"112 Florida Ave")+SUMIFS(Movimientos!$K$1:$K$743,Movimientos!$C$1:$C$743,"112 Florida Ave",Movimientos!$B$1:$B$743,"&lt;="&amp;$B67)</f>
        <v>10522.800000000003</v>
      </c>
      <c r="S67" s="24">
        <f>SUMIFS('Saldos Iniciales'!$D:$D,'Saldos Iniciales'!$A:$A,"3628 Thomas Ave")+SUMIFS(Movimientos!$K$1:$K$743,Movimientos!$C$1:$C$743,"3628 Thomas Ave",Movimientos!$B$1:$B$743,"&lt;="&amp;$B67)</f>
        <v>24085.559999999998</v>
      </c>
      <c r="T67" s="24">
        <f>SUMIFS('Saldos Iniciales'!$D:$D,'Saldos Iniciales'!$A:$A,"Green Harbor Trust")+SUMIFS(Movimientos!$K$1:$K$743,Movimientos!$C$1:$C$743,"Green Harbor Trust",Movimientos!$B$1:$B$743,"&lt;="&amp;$B67)</f>
        <v>345</v>
      </c>
      <c r="U67" s="24">
        <f>SUMIFS('Saldos Iniciales'!$D:$D,'Saldos Iniciales'!$A:$A,"Go Blue")+SUMIFS(Movimientos!$K$1:$K$743,Movimientos!$C$1:$C$743,"Go Blue",Movimientos!$B$1:$B$743,"&lt;="&amp;$B67)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Group")+SUMIFS(Movimientos!$K$1:$K$743,Movimientos!$C$1:$C$743,"CFT Group",Movimientos!$B$1:$B$743,"&lt;="&amp;$B68)</f>
        <v>5592585.7500000009</v>
      </c>
      <c r="D68" s="24">
        <f>SUMIFS('Saldos Iniciales'!$D:$D,'Saldos Iniciales'!$A:$A,"M1B")+SUMIFS(Movimientos!$K$1:$K$743,Movimientos!$C$1:$C$743,"M1B",Movimientos!$B$1:$B$743,"&lt;="&amp;$B68)</f>
        <v>79139.680000000168</v>
      </c>
      <c r="E68" s="24">
        <f>SUMIFS('Saldos Iniciales'!$D:$D,'Saldos Iniciales'!$A:$A,"Durand")+SUMIFS(Movimientos!$K$1:$K$743,Movimientos!$C$1:$C$743,"Durand",Movimientos!$B$1:$B$743,"&lt;="&amp;$B68)</f>
        <v>1669.89</v>
      </c>
      <c r="F68" s="24">
        <f>SUMIFS('Saldos Iniciales'!$D:$D,'Saldos Iniciales'!$A:$A,"A&amp;M Imports")+SUMIFS(Movimientos!$K$1:$K$743,Movimientos!$C$1:$C$743,"A&amp;M Imports",Movimientos!$B$1:$B$743,"&lt;="&amp;$B68)</f>
        <v>350475.62999999989</v>
      </c>
      <c r="G68" s="24">
        <f>SUMIFS('Saldos Iniciales'!$D:$D,'Saldos Iniciales'!$A:$A,"SSP Capital")+SUMIFS(Movimientos!$K$1:$K$743,Movimientos!$C$1:$C$743,"SSP Capital",Movimientos!$B$1:$B$743,"&lt;="&amp;$B68)</f>
        <v>1761026.4599999995</v>
      </c>
      <c r="H68" s="24">
        <f>SUMIFS('Saldos Iniciales'!$D:$D,'Saldos Iniciales'!$A:$A,"Cross Family Trust")+SUMIFS(Movimientos!$K$1:$K$743,Movimientos!$C$1:$C$743,"Cross Family Trust",Movimientos!$B$1:$B$743,"&lt;="&amp;$B68)</f>
        <v>220496.38</v>
      </c>
      <c r="I68" s="24">
        <f>SUMIFS('Saldos Iniciales'!$D:$D,'Saldos Iniciales'!$A:$A,"Cross Security Trust")+SUMIFS(Movimientos!$K$1:$K$743,Movimientos!$C$1:$C$743,"Cross Security Trust",Movimientos!$B$1:$B$743,"&lt;="&amp;$B68)</f>
        <v>88090.37</v>
      </c>
      <c r="J68" s="24">
        <f>SUMIFS('Saldos Iniciales'!$D:$D,'Saldos Iniciales'!$A:$A,"Electrama")+SUMIFS(Movimientos!$K$1:$K$743,Movimientos!$C$1:$C$743,"Electrama",Movimientos!$B$1:$B$743,"&lt;="&amp;$B68)</f>
        <v>471.15999999999985</v>
      </c>
      <c r="K68" s="24">
        <f>SUMIFS('Saldos Iniciales'!$D:$D,'Saldos Iniciales'!$A:$A,"Sacred Valley Capital")+SUMIFS(Movimientos!$K$1:$K$743,Movimientos!$C$1:$C$743,"Sacred Valley Capital",Movimientos!$B$1:$B$743,"&lt;="&amp;$B68)</f>
        <v>54.400000000000006</v>
      </c>
      <c r="L68" s="24">
        <f>SUMIFS('Saldos Iniciales'!$D:$D,'Saldos Iniciales'!$A:$A,"YWC Capital")+SUMIFS(Movimientos!$K$1:$K$743,Movimientos!$C$1:$C$743,"YWC Capital",Movimientos!$B$1:$B$743,"&lt;="&amp;$B68)</f>
        <v>2207.8200000000002</v>
      </c>
      <c r="M68" s="24">
        <f>SUMIFS('Saldos Iniciales'!$D:$D,'Saldos Iniciales'!$A:$A,"Soweto")+SUMIFS(Movimientos!$K$1:$K$743,Movimientos!$C$1:$C$743,"Soweto",Movimientos!$B$1:$B$743,"&lt;="&amp;$B68)</f>
        <v>3349.94</v>
      </c>
      <c r="N68" s="24">
        <f>SUMIFS('Saldos Iniciales'!$D:$D,'Saldos Iniciales'!$A:$A,"Green Stone Trust")+SUMIFS(Movimientos!$K$1:$K$743,Movimientos!$C$1:$C$743,"Green Stone Trust",Movimientos!$B$1:$B$743,"&lt;="&amp;$B68)</f>
        <v>1968.99</v>
      </c>
      <c r="O68" s="24">
        <f>SUMIFS('Saldos Iniciales'!$D:$D,'Saldos Iniciales'!$A:$A,"EC Auto")+SUMIFS(Movimientos!$K$1:$K$743,Movimientos!$C$1:$C$743,"EC Auto",Movimientos!$B$1:$B$743,"&lt;="&amp;$B68)</f>
        <v>382.69000000000005</v>
      </c>
      <c r="P68" s="24">
        <f>SUMIFS('Saldos Iniciales'!$D:$D,'Saldos Iniciales'!$A:$A,"Arbor Capital Properties")+SUMIFS(Movimientos!$K$1:$K$743,Movimientos!$C$1:$C$743,"Arbor Capital Properties",Movimientos!$B$1:$B$743,"&lt;="&amp;$B68)</f>
        <v>1412.08</v>
      </c>
      <c r="Q68" s="24">
        <f>SUMIFS('Saldos Iniciales'!$D:$D,'Saldos Iniciales'!$A:$A,"2515 Overbrook")+SUMIFS(Movimientos!$K$1:$K$743,Movimientos!$C$1:$C$743,"2515 Overbrook",Movimientos!$B$1:$B$743,"&lt;="&amp;$B68)</f>
        <v>22496.639999999959</v>
      </c>
      <c r="R68" s="24">
        <f>SUMIFS('Saldos Iniciales'!$D:$D,'Saldos Iniciales'!$A:$A,"112 Florida Ave")+SUMIFS(Movimientos!$K$1:$K$743,Movimientos!$C$1:$C$743,"112 Florida Ave",Movimientos!$B$1:$B$743,"&lt;="&amp;$B68)</f>
        <v>10522.800000000003</v>
      </c>
      <c r="S68" s="24">
        <f>SUMIFS('Saldos Iniciales'!$D:$D,'Saldos Iniciales'!$A:$A,"3628 Thomas Ave")+SUMIFS(Movimientos!$K$1:$K$743,Movimientos!$C$1:$C$743,"3628 Thomas Ave",Movimientos!$B$1:$B$743,"&lt;="&amp;$B68)</f>
        <v>24085.559999999998</v>
      </c>
      <c r="T68" s="24">
        <f>SUMIFS('Saldos Iniciales'!$D:$D,'Saldos Iniciales'!$A:$A,"Green Harbor Trust")+SUMIFS(Movimientos!$K$1:$K$743,Movimientos!$C$1:$C$743,"Green Harbor Trust",Movimientos!$B$1:$B$743,"&lt;="&amp;$B68)</f>
        <v>345</v>
      </c>
      <c r="U68" s="24">
        <f>SUMIFS('Saldos Iniciales'!$D:$D,'Saldos Iniciales'!$A:$A,"Go Blue")+SUMIFS(Movimientos!$K$1:$K$743,Movimientos!$C$1:$C$743,"Go Blue",Movimientos!$B$1:$B$743,"&lt;="&amp;$B68)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Group")+SUMIFS(Movimientos!$K$1:$K$743,Movimientos!$C$1:$C$743,"CFT Group",Movimientos!$B$1:$B$743,"&lt;="&amp;$B69)</f>
        <v>5592585.7500000009</v>
      </c>
      <c r="D69" s="24">
        <f>SUMIFS('Saldos Iniciales'!$D:$D,'Saldos Iniciales'!$A:$A,"M1B")+SUMIFS(Movimientos!$K$1:$K$743,Movimientos!$C$1:$C$743,"M1B",Movimientos!$B$1:$B$743,"&lt;="&amp;$B69)</f>
        <v>79139.680000000168</v>
      </c>
      <c r="E69" s="24">
        <f>SUMIFS('Saldos Iniciales'!$D:$D,'Saldos Iniciales'!$A:$A,"Durand")+SUMIFS(Movimientos!$K$1:$K$743,Movimientos!$C$1:$C$743,"Durand",Movimientos!$B$1:$B$743,"&lt;="&amp;$B69)</f>
        <v>1669.89</v>
      </c>
      <c r="F69" s="24">
        <f>SUMIFS('Saldos Iniciales'!$D:$D,'Saldos Iniciales'!$A:$A,"A&amp;M Imports")+SUMIFS(Movimientos!$K$1:$K$743,Movimientos!$C$1:$C$743,"A&amp;M Imports",Movimientos!$B$1:$B$743,"&lt;="&amp;$B69)</f>
        <v>350475.62999999989</v>
      </c>
      <c r="G69" s="24">
        <f>SUMIFS('Saldos Iniciales'!$D:$D,'Saldos Iniciales'!$A:$A,"SSP Capital")+SUMIFS(Movimientos!$K$1:$K$743,Movimientos!$C$1:$C$743,"SSP Capital",Movimientos!$B$1:$B$743,"&lt;="&amp;$B69)</f>
        <v>1761026.4599999995</v>
      </c>
      <c r="H69" s="24">
        <f>SUMIFS('Saldos Iniciales'!$D:$D,'Saldos Iniciales'!$A:$A,"Cross Family Trust")+SUMIFS(Movimientos!$K$1:$K$743,Movimientos!$C$1:$C$743,"Cross Family Trust",Movimientos!$B$1:$B$743,"&lt;="&amp;$B69)</f>
        <v>220496.38</v>
      </c>
      <c r="I69" s="24">
        <f>SUMIFS('Saldos Iniciales'!$D:$D,'Saldos Iniciales'!$A:$A,"Cross Security Trust")+SUMIFS(Movimientos!$K$1:$K$743,Movimientos!$C$1:$C$743,"Cross Security Trust",Movimientos!$B$1:$B$743,"&lt;="&amp;$B69)</f>
        <v>88090.37</v>
      </c>
      <c r="J69" s="24">
        <f>SUMIFS('Saldos Iniciales'!$D:$D,'Saldos Iniciales'!$A:$A,"Electrama")+SUMIFS(Movimientos!$K$1:$K$743,Movimientos!$C$1:$C$743,"Electrama",Movimientos!$B$1:$B$743,"&lt;="&amp;$B69)</f>
        <v>471.15999999999985</v>
      </c>
      <c r="K69" s="24">
        <f>SUMIFS('Saldos Iniciales'!$D:$D,'Saldos Iniciales'!$A:$A,"Sacred Valley Capital")+SUMIFS(Movimientos!$K$1:$K$743,Movimientos!$C$1:$C$743,"Sacred Valley Capital",Movimientos!$B$1:$B$743,"&lt;="&amp;$B69)</f>
        <v>54.400000000000006</v>
      </c>
      <c r="L69" s="24">
        <f>SUMIFS('Saldos Iniciales'!$D:$D,'Saldos Iniciales'!$A:$A,"YWC Capital")+SUMIFS(Movimientos!$K$1:$K$743,Movimientos!$C$1:$C$743,"YWC Capital",Movimientos!$B$1:$B$743,"&lt;="&amp;$B69)</f>
        <v>2207.8200000000002</v>
      </c>
      <c r="M69" s="24">
        <f>SUMIFS('Saldos Iniciales'!$D:$D,'Saldos Iniciales'!$A:$A,"Soweto")+SUMIFS(Movimientos!$K$1:$K$743,Movimientos!$C$1:$C$743,"Soweto",Movimientos!$B$1:$B$743,"&lt;="&amp;$B69)</f>
        <v>3349.94</v>
      </c>
      <c r="N69" s="24">
        <f>SUMIFS('Saldos Iniciales'!$D:$D,'Saldos Iniciales'!$A:$A,"Green Stone Trust")+SUMIFS(Movimientos!$K$1:$K$743,Movimientos!$C$1:$C$743,"Green Stone Trust",Movimientos!$B$1:$B$743,"&lt;="&amp;$B69)</f>
        <v>1968.99</v>
      </c>
      <c r="O69" s="24">
        <f>SUMIFS('Saldos Iniciales'!$D:$D,'Saldos Iniciales'!$A:$A,"EC Auto")+SUMIFS(Movimientos!$K$1:$K$743,Movimientos!$C$1:$C$743,"EC Auto",Movimientos!$B$1:$B$743,"&lt;="&amp;$B69)</f>
        <v>382.69000000000005</v>
      </c>
      <c r="P69" s="24">
        <f>SUMIFS('Saldos Iniciales'!$D:$D,'Saldos Iniciales'!$A:$A,"Arbor Capital Properties")+SUMIFS(Movimientos!$K$1:$K$743,Movimientos!$C$1:$C$743,"Arbor Capital Properties",Movimientos!$B$1:$B$743,"&lt;="&amp;$B69)</f>
        <v>1412.08</v>
      </c>
      <c r="Q69" s="24">
        <f>SUMIFS('Saldos Iniciales'!$D:$D,'Saldos Iniciales'!$A:$A,"2515 Overbrook")+SUMIFS(Movimientos!$K$1:$K$743,Movimientos!$C$1:$C$743,"2515 Overbrook",Movimientos!$B$1:$B$743,"&lt;="&amp;$B69)</f>
        <v>22496.639999999959</v>
      </c>
      <c r="R69" s="24">
        <f>SUMIFS('Saldos Iniciales'!$D:$D,'Saldos Iniciales'!$A:$A,"112 Florida Ave")+SUMIFS(Movimientos!$K$1:$K$743,Movimientos!$C$1:$C$743,"112 Florida Ave",Movimientos!$B$1:$B$743,"&lt;="&amp;$B69)</f>
        <v>10522.800000000003</v>
      </c>
      <c r="S69" s="24">
        <f>SUMIFS('Saldos Iniciales'!$D:$D,'Saldos Iniciales'!$A:$A,"3628 Thomas Ave")+SUMIFS(Movimientos!$K$1:$K$743,Movimientos!$C$1:$C$743,"3628 Thomas Ave",Movimientos!$B$1:$B$743,"&lt;="&amp;$B69)</f>
        <v>24085.559999999998</v>
      </c>
      <c r="T69" s="24">
        <f>SUMIFS('Saldos Iniciales'!$D:$D,'Saldos Iniciales'!$A:$A,"Green Harbor Trust")+SUMIFS(Movimientos!$K$1:$K$743,Movimientos!$C$1:$C$743,"Green Harbor Trust",Movimientos!$B$1:$B$743,"&lt;="&amp;$B69)</f>
        <v>345</v>
      </c>
      <c r="U69" s="24">
        <f>SUMIFS('Saldos Iniciales'!$D:$D,'Saldos Iniciales'!$A:$A,"Go Blue")+SUMIFS(Movimientos!$K$1:$K$743,Movimientos!$C$1:$C$743,"Go Blue",Movimientos!$B$1:$B$743,"&lt;="&amp;$B69)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Group")+SUMIFS(Movimientos!$K$1:$K$743,Movimientos!$C$1:$C$743,"CFT Group",Movimientos!$B$1:$B$743,"&lt;="&amp;$B70)</f>
        <v>5592585.7500000009</v>
      </c>
      <c r="D70" s="24">
        <f>SUMIFS('Saldos Iniciales'!$D:$D,'Saldos Iniciales'!$A:$A,"M1B")+SUMIFS(Movimientos!$K$1:$K$743,Movimientos!$C$1:$C$743,"M1B",Movimientos!$B$1:$B$743,"&lt;="&amp;$B70)</f>
        <v>79139.680000000168</v>
      </c>
      <c r="E70" s="24">
        <f>SUMIFS('Saldos Iniciales'!$D:$D,'Saldos Iniciales'!$A:$A,"Durand")+SUMIFS(Movimientos!$K$1:$K$743,Movimientos!$C$1:$C$743,"Durand",Movimientos!$B$1:$B$743,"&lt;="&amp;$B70)</f>
        <v>1669.89</v>
      </c>
      <c r="F70" s="24">
        <f>SUMIFS('Saldos Iniciales'!$D:$D,'Saldos Iniciales'!$A:$A,"A&amp;M Imports")+SUMIFS(Movimientos!$K$1:$K$743,Movimientos!$C$1:$C$743,"A&amp;M Imports",Movimientos!$B$1:$B$743,"&lt;="&amp;$B70)</f>
        <v>350475.62999999989</v>
      </c>
      <c r="G70" s="24">
        <f>SUMIFS('Saldos Iniciales'!$D:$D,'Saldos Iniciales'!$A:$A,"SSP Capital")+SUMIFS(Movimientos!$K$1:$K$743,Movimientos!$C$1:$C$743,"SSP Capital",Movimientos!$B$1:$B$743,"&lt;="&amp;$B70)</f>
        <v>1751695.8399999994</v>
      </c>
      <c r="H70" s="24">
        <f>SUMIFS('Saldos Iniciales'!$D:$D,'Saldos Iniciales'!$A:$A,"Cross Family Trust")+SUMIFS(Movimientos!$K$1:$K$743,Movimientos!$C$1:$C$743,"Cross Family Trust",Movimientos!$B$1:$B$743,"&lt;="&amp;$B70)</f>
        <v>220496.38</v>
      </c>
      <c r="I70" s="24">
        <f>SUMIFS('Saldos Iniciales'!$D:$D,'Saldos Iniciales'!$A:$A,"Cross Security Trust")+SUMIFS(Movimientos!$K$1:$K$743,Movimientos!$C$1:$C$743,"Cross Security Trust",Movimientos!$B$1:$B$743,"&lt;="&amp;$B70)</f>
        <v>88090.37</v>
      </c>
      <c r="J70" s="24">
        <f>SUMIFS('Saldos Iniciales'!$D:$D,'Saldos Iniciales'!$A:$A,"Electrama")+SUMIFS(Movimientos!$K$1:$K$743,Movimientos!$C$1:$C$743,"Electrama",Movimientos!$B$1:$B$743,"&lt;="&amp;$B70)</f>
        <v>471.15999999999985</v>
      </c>
      <c r="K70" s="24">
        <f>SUMIFS('Saldos Iniciales'!$D:$D,'Saldos Iniciales'!$A:$A,"Sacred Valley Capital")+SUMIFS(Movimientos!$K$1:$K$743,Movimientos!$C$1:$C$743,"Sacred Valley Capital",Movimientos!$B$1:$B$743,"&lt;="&amp;$B70)</f>
        <v>54.400000000000006</v>
      </c>
      <c r="L70" s="24">
        <f>SUMIFS('Saldos Iniciales'!$D:$D,'Saldos Iniciales'!$A:$A,"YWC Capital")+SUMIFS(Movimientos!$K$1:$K$743,Movimientos!$C$1:$C$743,"YWC Capital",Movimientos!$B$1:$B$743,"&lt;="&amp;$B70)</f>
        <v>2207.8200000000002</v>
      </c>
      <c r="M70" s="24">
        <f>SUMIFS('Saldos Iniciales'!$D:$D,'Saldos Iniciales'!$A:$A,"Soweto")+SUMIFS(Movimientos!$K$1:$K$743,Movimientos!$C$1:$C$743,"Soweto",Movimientos!$B$1:$B$743,"&lt;="&amp;$B70)</f>
        <v>3334.94</v>
      </c>
      <c r="N70" s="24">
        <f>SUMIFS('Saldos Iniciales'!$D:$D,'Saldos Iniciales'!$A:$A,"Green Stone Trust")+SUMIFS(Movimientos!$K$1:$K$743,Movimientos!$C$1:$C$743,"Green Stone Trust",Movimientos!$B$1:$B$743,"&lt;="&amp;$B70)</f>
        <v>1968.99</v>
      </c>
      <c r="O70" s="24">
        <f>SUMIFS('Saldos Iniciales'!$D:$D,'Saldos Iniciales'!$A:$A,"EC Auto")+SUMIFS(Movimientos!$K$1:$K$743,Movimientos!$C$1:$C$743,"EC Auto",Movimientos!$B$1:$B$743,"&lt;="&amp;$B70)</f>
        <v>382.69000000000005</v>
      </c>
      <c r="P70" s="24">
        <f>SUMIFS('Saldos Iniciales'!$D:$D,'Saldos Iniciales'!$A:$A,"Arbor Capital Properties")+SUMIFS(Movimientos!$K$1:$K$743,Movimientos!$C$1:$C$743,"Arbor Capital Properties",Movimientos!$B$1:$B$743,"&lt;="&amp;$B70)</f>
        <v>1412.08</v>
      </c>
      <c r="Q70" s="24">
        <f>SUMIFS('Saldos Iniciales'!$D:$D,'Saldos Iniciales'!$A:$A,"2515 Overbrook")+SUMIFS(Movimientos!$K$1:$K$743,Movimientos!$C$1:$C$743,"2515 Overbrook",Movimientos!$B$1:$B$743,"&lt;="&amp;$B70)</f>
        <v>22496.639999999959</v>
      </c>
      <c r="R70" s="24">
        <f>SUMIFS('Saldos Iniciales'!$D:$D,'Saldos Iniciales'!$A:$A,"112 Florida Ave")+SUMIFS(Movimientos!$K$1:$K$743,Movimientos!$C$1:$C$743,"112 Florida Ave",Movimientos!$B$1:$B$743,"&lt;="&amp;$B70)</f>
        <v>6522.8000000000029</v>
      </c>
      <c r="S70" s="24">
        <f>SUMIFS('Saldos Iniciales'!$D:$D,'Saldos Iniciales'!$A:$A,"3628 Thomas Ave")+SUMIFS(Movimientos!$K$1:$K$743,Movimientos!$C$1:$C$743,"3628 Thomas Ave",Movimientos!$B$1:$B$743,"&lt;="&amp;$B70)</f>
        <v>24085.559999999998</v>
      </c>
      <c r="T70" s="24">
        <f>SUMIFS('Saldos Iniciales'!$D:$D,'Saldos Iniciales'!$A:$A,"Green Harbor Trust")+SUMIFS(Movimientos!$K$1:$K$743,Movimientos!$C$1:$C$743,"Green Harbor Trust",Movimientos!$B$1:$B$743,"&lt;="&amp;$B70)</f>
        <v>345</v>
      </c>
      <c r="U70" s="24">
        <f>SUMIFS('Saldos Iniciales'!$D:$D,'Saldos Iniciales'!$A:$A,"Go Blue")+SUMIFS(Movimientos!$K$1:$K$743,Movimientos!$C$1:$C$743,"Go Blue",Movimientos!$B$1:$B$743,"&lt;="&amp;$B70)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Group")+SUMIFS(Movimientos!$K$1:$K$743,Movimientos!$C$1:$C$743,"CFT Group",Movimientos!$B$1:$B$743,"&lt;="&amp;$B71)</f>
        <v>4377944.080000001</v>
      </c>
      <c r="D71" s="24">
        <f>SUMIFS('Saldos Iniciales'!$D:$D,'Saldos Iniciales'!$A:$A,"M1B")+SUMIFS(Movimientos!$K$1:$K$743,Movimientos!$C$1:$C$743,"M1B",Movimientos!$B$1:$B$743,"&lt;="&amp;$B71)</f>
        <v>73157.680000000168</v>
      </c>
      <c r="E71" s="24">
        <f>SUMIFS('Saldos Iniciales'!$D:$D,'Saldos Iniciales'!$A:$A,"Durand")+SUMIFS(Movimientos!$K$1:$K$743,Movimientos!$C$1:$C$743,"Durand",Movimientos!$B$1:$B$743,"&lt;="&amp;$B71)</f>
        <v>1669.89</v>
      </c>
      <c r="F71" s="24">
        <f>SUMIFS('Saldos Iniciales'!$D:$D,'Saldos Iniciales'!$A:$A,"A&amp;M Imports")+SUMIFS(Movimientos!$K$1:$K$743,Movimientos!$C$1:$C$743,"A&amp;M Imports",Movimientos!$B$1:$B$743,"&lt;="&amp;$B71)</f>
        <v>290475.62999999989</v>
      </c>
      <c r="G71" s="24">
        <f>SUMIFS('Saldos Iniciales'!$D:$D,'Saldos Iniciales'!$A:$A,"SSP Capital")+SUMIFS(Movimientos!$K$1:$K$743,Movimientos!$C$1:$C$743,"SSP Capital",Movimientos!$B$1:$B$743,"&lt;="&amp;$B71)</f>
        <v>2119592.9399999995</v>
      </c>
      <c r="H71" s="24">
        <f>SUMIFS('Saldos Iniciales'!$D:$D,'Saldos Iniciales'!$A:$A,"Cross Family Trust")+SUMIFS(Movimientos!$K$1:$K$743,Movimientos!$C$1:$C$743,"Cross Family Trust",Movimientos!$B$1:$B$743,"&lt;="&amp;$B71)</f>
        <v>200496.38</v>
      </c>
      <c r="I71" s="24">
        <f>SUMIFS('Saldos Iniciales'!$D:$D,'Saldos Iniciales'!$A:$A,"Cross Security Trust")+SUMIFS(Movimientos!$K$1:$K$743,Movimientos!$C$1:$C$743,"Cross Security Trust",Movimientos!$B$1:$B$743,"&lt;="&amp;$B71)</f>
        <v>88090.37</v>
      </c>
      <c r="J71" s="24">
        <f>SUMIFS('Saldos Iniciales'!$D:$D,'Saldos Iniciales'!$A:$A,"Electrama")+SUMIFS(Movimientos!$K$1:$K$743,Movimientos!$C$1:$C$743,"Electrama",Movimientos!$B$1:$B$743,"&lt;="&amp;$B71)</f>
        <v>15130.45</v>
      </c>
      <c r="K71" s="24">
        <f>SUMIFS('Saldos Iniciales'!$D:$D,'Saldos Iniciales'!$A:$A,"Sacred Valley Capital")+SUMIFS(Movimientos!$K$1:$K$743,Movimientos!$C$1:$C$743,"Sacred Valley Capital",Movimientos!$B$1:$B$743,"&lt;="&amp;$B71)</f>
        <v>54.400000000000006</v>
      </c>
      <c r="L71" s="24">
        <f>SUMIFS('Saldos Iniciales'!$D:$D,'Saldos Iniciales'!$A:$A,"YWC Capital")+SUMIFS(Movimientos!$K$1:$K$743,Movimientos!$C$1:$C$743,"YWC Capital",Movimientos!$B$1:$B$743,"&lt;="&amp;$B71)</f>
        <v>2207.8200000000002</v>
      </c>
      <c r="M71" s="24">
        <f>SUMIFS('Saldos Iniciales'!$D:$D,'Saldos Iniciales'!$A:$A,"Soweto")+SUMIFS(Movimientos!$K$1:$K$743,Movimientos!$C$1:$C$743,"Soweto",Movimientos!$B$1:$B$743,"&lt;="&amp;$B71)</f>
        <v>1454604.72</v>
      </c>
      <c r="N71" s="24">
        <f>SUMIFS('Saldos Iniciales'!$D:$D,'Saldos Iniciales'!$A:$A,"Green Stone Trust")+SUMIFS(Movimientos!$K$1:$K$743,Movimientos!$C$1:$C$743,"Green Stone Trust",Movimientos!$B$1:$B$743,"&lt;="&amp;$B71)</f>
        <v>1968.99</v>
      </c>
      <c r="O71" s="24">
        <f>SUMIFS('Saldos Iniciales'!$D:$D,'Saldos Iniciales'!$A:$A,"EC Auto")+SUMIFS(Movimientos!$K$1:$K$743,Movimientos!$C$1:$C$743,"EC Auto",Movimientos!$B$1:$B$743,"&lt;="&amp;$B71)</f>
        <v>382.69000000000005</v>
      </c>
      <c r="P71" s="24">
        <f>SUMIFS('Saldos Iniciales'!$D:$D,'Saldos Iniciales'!$A:$A,"Arbor Capital Properties")+SUMIFS(Movimientos!$K$1:$K$743,Movimientos!$C$1:$C$743,"Arbor Capital Properties",Movimientos!$B$1:$B$743,"&lt;="&amp;$B71)</f>
        <v>1412.08</v>
      </c>
      <c r="Q71" s="24">
        <f>SUMIFS('Saldos Iniciales'!$D:$D,'Saldos Iniciales'!$A:$A,"2515 Overbrook")+SUMIFS(Movimientos!$K$1:$K$743,Movimientos!$C$1:$C$743,"2515 Overbrook",Movimientos!$B$1:$B$743,"&lt;="&amp;$B71)</f>
        <v>22496.639999999959</v>
      </c>
      <c r="R71" s="24">
        <f>SUMIFS('Saldos Iniciales'!$D:$D,'Saldos Iniciales'!$A:$A,"112 Florida Ave")+SUMIFS(Movimientos!$K$1:$K$743,Movimientos!$C$1:$C$743,"112 Florida Ave",Movimientos!$B$1:$B$743,"&lt;="&amp;$B71)</f>
        <v>6522.8000000000029</v>
      </c>
      <c r="S71" s="24">
        <f>SUMIFS('Saldos Iniciales'!$D:$D,'Saldos Iniciales'!$A:$A,"3628 Thomas Ave")+SUMIFS(Movimientos!$K$1:$K$743,Movimientos!$C$1:$C$743,"3628 Thomas Ave",Movimientos!$B$1:$B$743,"&lt;="&amp;$B71)</f>
        <v>24085.559999999998</v>
      </c>
      <c r="T71" s="24">
        <f>SUMIFS('Saldos Iniciales'!$D:$D,'Saldos Iniciales'!$A:$A,"Green Harbor Trust")+SUMIFS(Movimientos!$K$1:$K$743,Movimientos!$C$1:$C$743,"Green Harbor Trust",Movimientos!$B$1:$B$743,"&lt;="&amp;$B71)</f>
        <v>345</v>
      </c>
      <c r="U71" s="24">
        <f>SUMIFS('Saldos Iniciales'!$D:$D,'Saldos Iniciales'!$A:$A,"Go Blue")+SUMIFS(Movimientos!$K$1:$K$743,Movimientos!$C$1:$C$743,"Go Blue",Movimientos!$B$1:$B$743,"&lt;="&amp;$B71)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Group")+SUMIFS(Movimientos!$K$1:$K$743,Movimientos!$C$1:$C$743,"CFT Group",Movimientos!$B$1:$B$743,"&lt;="&amp;$B72)</f>
        <v>4163755.7500000005</v>
      </c>
      <c r="D72" s="24">
        <f>SUMIFS('Saldos Iniciales'!$D:$D,'Saldos Iniciales'!$A:$A,"M1B")+SUMIFS(Movimientos!$K$1:$K$743,Movimientos!$C$1:$C$743,"M1B",Movimientos!$B$1:$B$743,"&lt;="&amp;$B72)</f>
        <v>73157.680000000168</v>
      </c>
      <c r="E72" s="24">
        <f>SUMIFS('Saldos Iniciales'!$D:$D,'Saldos Iniciales'!$A:$A,"Durand")+SUMIFS(Movimientos!$K$1:$K$743,Movimientos!$C$1:$C$743,"Durand",Movimientos!$B$1:$B$743,"&lt;="&amp;$B72)</f>
        <v>1669.89</v>
      </c>
      <c r="F72" s="24">
        <f>SUMIFS('Saldos Iniciales'!$D:$D,'Saldos Iniciales'!$A:$A,"A&amp;M Imports")+SUMIFS(Movimientos!$K$1:$K$743,Movimientos!$C$1:$C$743,"A&amp;M Imports",Movimientos!$B$1:$B$743,"&lt;="&amp;$B72)</f>
        <v>290141.62999999989</v>
      </c>
      <c r="G72" s="24">
        <f>SUMIFS('Saldos Iniciales'!$D:$D,'Saldos Iniciales'!$A:$A,"SSP Capital")+SUMIFS(Movimientos!$K$1:$K$743,Movimientos!$C$1:$C$743,"SSP Capital",Movimientos!$B$1:$B$743,"&lt;="&amp;$B72)</f>
        <v>1921752.2699999993</v>
      </c>
      <c r="H72" s="24">
        <f>SUMIFS('Saldos Iniciales'!$D:$D,'Saldos Iniciales'!$A:$A,"Cross Family Trust")+SUMIFS(Movimientos!$K$1:$K$743,Movimientos!$C$1:$C$743,"Cross Family Trust",Movimientos!$B$1:$B$743,"&lt;="&amp;$B72)</f>
        <v>200496.38</v>
      </c>
      <c r="I72" s="24">
        <f>SUMIFS('Saldos Iniciales'!$D:$D,'Saldos Iniciales'!$A:$A,"Cross Security Trust")+SUMIFS(Movimientos!$K$1:$K$743,Movimientos!$C$1:$C$743,"Cross Security Trust",Movimientos!$B$1:$B$743,"&lt;="&amp;$B72)</f>
        <v>88090.37</v>
      </c>
      <c r="J72" s="24">
        <f>SUMIFS('Saldos Iniciales'!$D:$D,'Saldos Iniciales'!$A:$A,"Electrama")+SUMIFS(Movimientos!$K$1:$K$743,Movimientos!$C$1:$C$743,"Electrama",Movimientos!$B$1:$B$743,"&lt;="&amp;$B72)</f>
        <v>14580.45</v>
      </c>
      <c r="K72" s="24">
        <f>SUMIFS('Saldos Iniciales'!$D:$D,'Saldos Iniciales'!$A:$A,"Sacred Valley Capital")+SUMIFS(Movimientos!$K$1:$K$743,Movimientos!$C$1:$C$743,"Sacred Valley Capital",Movimientos!$B$1:$B$743,"&lt;="&amp;$B72)</f>
        <v>54.400000000000006</v>
      </c>
      <c r="L72" s="24">
        <f>SUMIFS('Saldos Iniciales'!$D:$D,'Saldos Iniciales'!$A:$A,"YWC Capital")+SUMIFS(Movimientos!$K$1:$K$743,Movimientos!$C$1:$C$743,"YWC Capital",Movimientos!$B$1:$B$743,"&lt;="&amp;$B72)</f>
        <v>2207.8200000000002</v>
      </c>
      <c r="M72" s="24">
        <f>SUMIFS('Saldos Iniciales'!$D:$D,'Saldos Iniciales'!$A:$A,"Soweto")+SUMIFS(Movimientos!$K$1:$K$743,Movimientos!$C$1:$C$743,"Soweto",Movimientos!$B$1:$B$743,"&lt;="&amp;$B72)</f>
        <v>1454589.72</v>
      </c>
      <c r="N72" s="24">
        <f>SUMIFS('Saldos Iniciales'!$D:$D,'Saldos Iniciales'!$A:$A,"Green Stone Trust")+SUMIFS(Movimientos!$K$1:$K$743,Movimientos!$C$1:$C$743,"Green Stone Trust",Movimientos!$B$1:$B$743,"&lt;="&amp;$B72)</f>
        <v>1968.99</v>
      </c>
      <c r="O72" s="24">
        <f>SUMIFS('Saldos Iniciales'!$D:$D,'Saldos Iniciales'!$A:$A,"EC Auto")+SUMIFS(Movimientos!$K$1:$K$743,Movimientos!$C$1:$C$743,"EC Auto",Movimientos!$B$1:$B$743,"&lt;="&amp;$B72)</f>
        <v>382.69000000000005</v>
      </c>
      <c r="P72" s="24">
        <f>SUMIFS('Saldos Iniciales'!$D:$D,'Saldos Iniciales'!$A:$A,"Arbor Capital Properties")+SUMIFS(Movimientos!$K$1:$K$743,Movimientos!$C$1:$C$743,"Arbor Capital Properties",Movimientos!$B$1:$B$743,"&lt;="&amp;$B72)</f>
        <v>1412.08</v>
      </c>
      <c r="Q72" s="24">
        <f>SUMIFS('Saldos Iniciales'!$D:$D,'Saldos Iniciales'!$A:$A,"2515 Overbrook")+SUMIFS(Movimientos!$K$1:$K$743,Movimientos!$C$1:$C$743,"2515 Overbrook",Movimientos!$B$1:$B$743,"&lt;="&amp;$B72)</f>
        <v>22496.639999999959</v>
      </c>
      <c r="R72" s="24">
        <f>SUMIFS('Saldos Iniciales'!$D:$D,'Saldos Iniciales'!$A:$A,"112 Florida Ave")+SUMIFS(Movimientos!$K$1:$K$743,Movimientos!$C$1:$C$743,"112 Florida Ave",Movimientos!$B$1:$B$743,"&lt;="&amp;$B72)</f>
        <v>6522.8000000000029</v>
      </c>
      <c r="S72" s="24">
        <f>SUMIFS('Saldos Iniciales'!$D:$D,'Saldos Iniciales'!$A:$A,"3628 Thomas Ave")+SUMIFS(Movimientos!$K$1:$K$743,Movimientos!$C$1:$C$743,"3628 Thomas Ave",Movimientos!$B$1:$B$743,"&lt;="&amp;$B72)</f>
        <v>24085.559999999998</v>
      </c>
      <c r="T72" s="24">
        <f>SUMIFS('Saldos Iniciales'!$D:$D,'Saldos Iniciales'!$A:$A,"Green Harbor Trust")+SUMIFS(Movimientos!$K$1:$K$743,Movimientos!$C$1:$C$743,"Green Harbor Trust",Movimientos!$B$1:$B$743,"&lt;="&amp;$B72)</f>
        <v>345</v>
      </c>
      <c r="U72" s="24">
        <f>SUMIFS('Saldos Iniciales'!$D:$D,'Saldos Iniciales'!$A:$A,"Go Blue")+SUMIFS(Movimientos!$K$1:$K$743,Movimientos!$C$1:$C$743,"Go Blue",Movimientos!$B$1:$B$743,"&lt;="&amp;$B72)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Group")+SUMIFS(Movimientos!$K$1:$K$743,Movimientos!$C$1:$C$743,"CFT Group",Movimientos!$B$1:$B$743,"&lt;="&amp;$B73)</f>
        <v>4163755.7500000005</v>
      </c>
      <c r="D73" s="24">
        <f>SUMIFS('Saldos Iniciales'!$D:$D,'Saldos Iniciales'!$A:$A,"M1B")+SUMIFS(Movimientos!$K$1:$K$743,Movimientos!$C$1:$C$743,"M1B",Movimientos!$B$1:$B$743,"&lt;="&amp;$B73)</f>
        <v>73157.680000000168</v>
      </c>
      <c r="E73" s="24">
        <f>SUMIFS('Saldos Iniciales'!$D:$D,'Saldos Iniciales'!$A:$A,"Durand")+SUMIFS(Movimientos!$K$1:$K$743,Movimientos!$C$1:$C$743,"Durand",Movimientos!$B$1:$B$743,"&lt;="&amp;$B73)</f>
        <v>1669.89</v>
      </c>
      <c r="F73" s="24">
        <f>SUMIFS('Saldos Iniciales'!$D:$D,'Saldos Iniciales'!$A:$A,"A&amp;M Imports")+SUMIFS(Movimientos!$K$1:$K$743,Movimientos!$C$1:$C$743,"A&amp;M Imports",Movimientos!$B$1:$B$743,"&lt;="&amp;$B73)</f>
        <v>290141.62999999989</v>
      </c>
      <c r="G73" s="24">
        <f>SUMIFS('Saldos Iniciales'!$D:$D,'Saldos Iniciales'!$A:$A,"SSP Capital")+SUMIFS(Movimientos!$K$1:$K$743,Movimientos!$C$1:$C$743,"SSP Capital",Movimientos!$B$1:$B$743,"&lt;="&amp;$B73)</f>
        <v>1921752.2699999993</v>
      </c>
      <c r="H73" s="24">
        <f>SUMIFS('Saldos Iniciales'!$D:$D,'Saldos Iniciales'!$A:$A,"Cross Family Trust")+SUMIFS(Movimientos!$K$1:$K$743,Movimientos!$C$1:$C$743,"Cross Family Trust",Movimientos!$B$1:$B$743,"&lt;="&amp;$B73)</f>
        <v>200496.38</v>
      </c>
      <c r="I73" s="24">
        <f>SUMIFS('Saldos Iniciales'!$D:$D,'Saldos Iniciales'!$A:$A,"Cross Security Trust")+SUMIFS(Movimientos!$K$1:$K$743,Movimientos!$C$1:$C$743,"Cross Security Trust",Movimientos!$B$1:$B$743,"&lt;="&amp;$B73)</f>
        <v>88090.37</v>
      </c>
      <c r="J73" s="24">
        <f>SUMIFS('Saldos Iniciales'!$D:$D,'Saldos Iniciales'!$A:$A,"Electrama")+SUMIFS(Movimientos!$K$1:$K$743,Movimientos!$C$1:$C$743,"Electrama",Movimientos!$B$1:$B$743,"&lt;="&amp;$B73)</f>
        <v>14580.45</v>
      </c>
      <c r="K73" s="24">
        <f>SUMIFS('Saldos Iniciales'!$D:$D,'Saldos Iniciales'!$A:$A,"Sacred Valley Capital")+SUMIFS(Movimientos!$K$1:$K$743,Movimientos!$C$1:$C$743,"Sacred Valley Capital",Movimientos!$B$1:$B$743,"&lt;="&amp;$B73)</f>
        <v>54.400000000000006</v>
      </c>
      <c r="L73" s="24">
        <f>SUMIFS('Saldos Iniciales'!$D:$D,'Saldos Iniciales'!$A:$A,"YWC Capital")+SUMIFS(Movimientos!$K$1:$K$743,Movimientos!$C$1:$C$743,"YWC Capital",Movimientos!$B$1:$B$743,"&lt;="&amp;$B73)</f>
        <v>2207.8200000000002</v>
      </c>
      <c r="M73" s="24">
        <f>SUMIFS('Saldos Iniciales'!$D:$D,'Saldos Iniciales'!$A:$A,"Soweto")+SUMIFS(Movimientos!$K$1:$K$743,Movimientos!$C$1:$C$743,"Soweto",Movimientos!$B$1:$B$743,"&lt;="&amp;$B73)</f>
        <v>1454589.72</v>
      </c>
      <c r="N73" s="24">
        <f>SUMIFS('Saldos Iniciales'!$D:$D,'Saldos Iniciales'!$A:$A,"Green Stone Trust")+SUMIFS(Movimientos!$K$1:$K$743,Movimientos!$C$1:$C$743,"Green Stone Trust",Movimientos!$B$1:$B$743,"&lt;="&amp;$B73)</f>
        <v>1968.99</v>
      </c>
      <c r="O73" s="24">
        <f>SUMIFS('Saldos Iniciales'!$D:$D,'Saldos Iniciales'!$A:$A,"EC Auto")+SUMIFS(Movimientos!$K$1:$K$743,Movimientos!$C$1:$C$743,"EC Auto",Movimientos!$B$1:$B$743,"&lt;="&amp;$B73)</f>
        <v>382.69000000000005</v>
      </c>
      <c r="P73" s="24">
        <f>SUMIFS('Saldos Iniciales'!$D:$D,'Saldos Iniciales'!$A:$A,"Arbor Capital Properties")+SUMIFS(Movimientos!$K$1:$K$743,Movimientos!$C$1:$C$743,"Arbor Capital Properties",Movimientos!$B$1:$B$743,"&lt;="&amp;$B73)</f>
        <v>1412.08</v>
      </c>
      <c r="Q73" s="24">
        <f>SUMIFS('Saldos Iniciales'!$D:$D,'Saldos Iniciales'!$A:$A,"2515 Overbrook")+SUMIFS(Movimientos!$K$1:$K$743,Movimientos!$C$1:$C$743,"2515 Overbrook",Movimientos!$B$1:$B$743,"&lt;="&amp;$B73)</f>
        <v>22496.639999999959</v>
      </c>
      <c r="R73" s="24">
        <f>SUMIFS('Saldos Iniciales'!$D:$D,'Saldos Iniciales'!$A:$A,"112 Florida Ave")+SUMIFS(Movimientos!$K$1:$K$743,Movimientos!$C$1:$C$743,"112 Florida Ave",Movimientos!$B$1:$B$743,"&lt;="&amp;$B73)</f>
        <v>6522.8000000000029</v>
      </c>
      <c r="S73" s="24">
        <f>SUMIFS('Saldos Iniciales'!$D:$D,'Saldos Iniciales'!$A:$A,"3628 Thomas Ave")+SUMIFS(Movimientos!$K$1:$K$743,Movimientos!$C$1:$C$743,"3628 Thomas Ave",Movimientos!$B$1:$B$743,"&lt;="&amp;$B73)</f>
        <v>24085.559999999998</v>
      </c>
      <c r="T73" s="24">
        <f>SUMIFS('Saldos Iniciales'!$D:$D,'Saldos Iniciales'!$A:$A,"Green Harbor Trust")+SUMIFS(Movimientos!$K$1:$K$743,Movimientos!$C$1:$C$743,"Green Harbor Trust",Movimientos!$B$1:$B$743,"&lt;="&amp;$B73)</f>
        <v>345</v>
      </c>
      <c r="U73" s="24">
        <f>SUMIFS('Saldos Iniciales'!$D:$D,'Saldos Iniciales'!$A:$A,"Go Blue")+SUMIFS(Movimientos!$K$1:$K$743,Movimientos!$C$1:$C$743,"Go Blue",Movimientos!$B$1:$B$743,"&lt;="&amp;$B73)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Group")+SUMIFS(Movimientos!$K$1:$K$743,Movimientos!$C$1:$C$743,"CFT Group",Movimientos!$B$1:$B$743,"&lt;="&amp;$B74)</f>
        <v>4163755.7500000005</v>
      </c>
      <c r="D74" s="24">
        <f>SUMIFS('Saldos Iniciales'!$D:$D,'Saldos Iniciales'!$A:$A,"M1B")+SUMIFS(Movimientos!$K$1:$K$743,Movimientos!$C$1:$C$743,"M1B",Movimientos!$B$1:$B$743,"&lt;="&amp;$B74)</f>
        <v>73157.680000000168</v>
      </c>
      <c r="E74" s="24">
        <f>SUMIFS('Saldos Iniciales'!$D:$D,'Saldos Iniciales'!$A:$A,"Durand")+SUMIFS(Movimientos!$K$1:$K$743,Movimientos!$C$1:$C$743,"Durand",Movimientos!$B$1:$B$743,"&lt;="&amp;$B74)</f>
        <v>1669.89</v>
      </c>
      <c r="F74" s="24">
        <f>SUMIFS('Saldos Iniciales'!$D:$D,'Saldos Iniciales'!$A:$A,"A&amp;M Imports")+SUMIFS(Movimientos!$K$1:$K$743,Movimientos!$C$1:$C$743,"A&amp;M Imports",Movimientos!$B$1:$B$743,"&lt;="&amp;$B74)</f>
        <v>290141.62999999989</v>
      </c>
      <c r="G74" s="24">
        <f>SUMIFS('Saldos Iniciales'!$D:$D,'Saldos Iniciales'!$A:$A,"SSP Capital")+SUMIFS(Movimientos!$K$1:$K$743,Movimientos!$C$1:$C$743,"SSP Capital",Movimientos!$B$1:$B$743,"&lt;="&amp;$B74)</f>
        <v>1921752.2699999993</v>
      </c>
      <c r="H74" s="24">
        <f>SUMIFS('Saldos Iniciales'!$D:$D,'Saldos Iniciales'!$A:$A,"Cross Family Trust")+SUMIFS(Movimientos!$K$1:$K$743,Movimientos!$C$1:$C$743,"Cross Family Trust",Movimientos!$B$1:$B$743,"&lt;="&amp;$B74)</f>
        <v>200496.38</v>
      </c>
      <c r="I74" s="24">
        <f>SUMIFS('Saldos Iniciales'!$D:$D,'Saldos Iniciales'!$A:$A,"Cross Security Trust")+SUMIFS(Movimientos!$K$1:$K$743,Movimientos!$C$1:$C$743,"Cross Security Trust",Movimientos!$B$1:$B$743,"&lt;="&amp;$B74)</f>
        <v>88090.37</v>
      </c>
      <c r="J74" s="24">
        <f>SUMIFS('Saldos Iniciales'!$D:$D,'Saldos Iniciales'!$A:$A,"Electrama")+SUMIFS(Movimientos!$K$1:$K$743,Movimientos!$C$1:$C$743,"Electrama",Movimientos!$B$1:$B$743,"&lt;="&amp;$B74)</f>
        <v>14580.45</v>
      </c>
      <c r="K74" s="24">
        <f>SUMIFS('Saldos Iniciales'!$D:$D,'Saldos Iniciales'!$A:$A,"Sacred Valley Capital")+SUMIFS(Movimientos!$K$1:$K$743,Movimientos!$C$1:$C$743,"Sacred Valley Capital",Movimientos!$B$1:$B$743,"&lt;="&amp;$B74)</f>
        <v>54.400000000000006</v>
      </c>
      <c r="L74" s="24">
        <f>SUMIFS('Saldos Iniciales'!$D:$D,'Saldos Iniciales'!$A:$A,"YWC Capital")+SUMIFS(Movimientos!$K$1:$K$743,Movimientos!$C$1:$C$743,"YWC Capital",Movimientos!$B$1:$B$743,"&lt;="&amp;$B74)</f>
        <v>2207.8200000000002</v>
      </c>
      <c r="M74" s="24">
        <f>SUMIFS('Saldos Iniciales'!$D:$D,'Saldos Iniciales'!$A:$A,"Soweto")+SUMIFS(Movimientos!$K$1:$K$743,Movimientos!$C$1:$C$743,"Soweto",Movimientos!$B$1:$B$743,"&lt;="&amp;$B74)</f>
        <v>1454589.72</v>
      </c>
      <c r="N74" s="24">
        <f>SUMIFS('Saldos Iniciales'!$D:$D,'Saldos Iniciales'!$A:$A,"Green Stone Trust")+SUMIFS(Movimientos!$K$1:$K$743,Movimientos!$C$1:$C$743,"Green Stone Trust",Movimientos!$B$1:$B$743,"&lt;="&amp;$B74)</f>
        <v>1968.99</v>
      </c>
      <c r="O74" s="24">
        <f>SUMIFS('Saldos Iniciales'!$D:$D,'Saldos Iniciales'!$A:$A,"EC Auto")+SUMIFS(Movimientos!$K$1:$K$743,Movimientos!$C$1:$C$743,"EC Auto",Movimientos!$B$1:$B$743,"&lt;="&amp;$B74)</f>
        <v>382.69000000000005</v>
      </c>
      <c r="P74" s="24">
        <f>SUMIFS('Saldos Iniciales'!$D:$D,'Saldos Iniciales'!$A:$A,"Arbor Capital Properties")+SUMIFS(Movimientos!$K$1:$K$743,Movimientos!$C$1:$C$743,"Arbor Capital Properties",Movimientos!$B$1:$B$743,"&lt;="&amp;$B74)</f>
        <v>1412.08</v>
      </c>
      <c r="Q74" s="24">
        <f>SUMIFS('Saldos Iniciales'!$D:$D,'Saldos Iniciales'!$A:$A,"2515 Overbrook")+SUMIFS(Movimientos!$K$1:$K$743,Movimientos!$C$1:$C$743,"2515 Overbrook",Movimientos!$B$1:$B$743,"&lt;="&amp;$B74)</f>
        <v>22496.639999999959</v>
      </c>
      <c r="R74" s="24">
        <f>SUMIFS('Saldos Iniciales'!$D:$D,'Saldos Iniciales'!$A:$A,"112 Florida Ave")+SUMIFS(Movimientos!$K$1:$K$743,Movimientos!$C$1:$C$743,"112 Florida Ave",Movimientos!$B$1:$B$743,"&lt;="&amp;$B74)</f>
        <v>6522.8000000000029</v>
      </c>
      <c r="S74" s="24">
        <f>SUMIFS('Saldos Iniciales'!$D:$D,'Saldos Iniciales'!$A:$A,"3628 Thomas Ave")+SUMIFS(Movimientos!$K$1:$K$743,Movimientos!$C$1:$C$743,"3628 Thomas Ave",Movimientos!$B$1:$B$743,"&lt;="&amp;$B74)</f>
        <v>24085.559999999998</v>
      </c>
      <c r="T74" s="24">
        <f>SUMIFS('Saldos Iniciales'!$D:$D,'Saldos Iniciales'!$A:$A,"Green Harbor Trust")+SUMIFS(Movimientos!$K$1:$K$743,Movimientos!$C$1:$C$743,"Green Harbor Trust",Movimientos!$B$1:$B$743,"&lt;="&amp;$B74)</f>
        <v>345</v>
      </c>
      <c r="U74" s="24">
        <f>SUMIFS('Saldos Iniciales'!$D:$D,'Saldos Iniciales'!$A:$A,"Go Blue")+SUMIFS(Movimientos!$K$1:$K$743,Movimientos!$C$1:$C$743,"Go Blue",Movimientos!$B$1:$B$743,"&lt;="&amp;$B74)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Group")+SUMIFS(Movimientos!$K$1:$K$743,Movimientos!$C$1:$C$743,"CFT Group",Movimientos!$B$1:$B$743,"&lt;="&amp;$B75)</f>
        <v>4163755.7500000005</v>
      </c>
      <c r="D75" s="24">
        <f>SUMIFS('Saldos Iniciales'!$D:$D,'Saldos Iniciales'!$A:$A,"M1B")+SUMIFS(Movimientos!$K$1:$K$743,Movimientos!$C$1:$C$743,"M1B",Movimientos!$B$1:$B$743,"&lt;="&amp;$B75)</f>
        <v>73157.680000000168</v>
      </c>
      <c r="E75" s="24">
        <f>SUMIFS('Saldos Iniciales'!$D:$D,'Saldos Iniciales'!$A:$A,"Durand")+SUMIFS(Movimientos!$K$1:$K$743,Movimientos!$C$1:$C$743,"Durand",Movimientos!$B$1:$B$743,"&lt;="&amp;$B75)</f>
        <v>1669.89</v>
      </c>
      <c r="F75" s="24">
        <f>SUMIFS('Saldos Iniciales'!$D:$D,'Saldos Iniciales'!$A:$A,"A&amp;M Imports")+SUMIFS(Movimientos!$K$1:$K$743,Movimientos!$C$1:$C$743,"A&amp;M Imports",Movimientos!$B$1:$B$743,"&lt;="&amp;$B75)</f>
        <v>290141.62999999989</v>
      </c>
      <c r="G75" s="24">
        <f>SUMIFS('Saldos Iniciales'!$D:$D,'Saldos Iniciales'!$A:$A,"SSP Capital")+SUMIFS(Movimientos!$K$1:$K$743,Movimientos!$C$1:$C$743,"SSP Capital",Movimientos!$B$1:$B$743,"&lt;="&amp;$B75)</f>
        <v>1921752.2699999993</v>
      </c>
      <c r="H75" s="24">
        <f>SUMIFS('Saldos Iniciales'!$D:$D,'Saldos Iniciales'!$A:$A,"Cross Family Trust")+SUMIFS(Movimientos!$K$1:$K$743,Movimientos!$C$1:$C$743,"Cross Family Trust",Movimientos!$B$1:$B$743,"&lt;="&amp;$B75)</f>
        <v>200496.38</v>
      </c>
      <c r="I75" s="24">
        <f>SUMIFS('Saldos Iniciales'!$D:$D,'Saldos Iniciales'!$A:$A,"Cross Security Trust")+SUMIFS(Movimientos!$K$1:$K$743,Movimientos!$C$1:$C$743,"Cross Security Trust",Movimientos!$B$1:$B$743,"&lt;="&amp;$B75)</f>
        <v>88090.37</v>
      </c>
      <c r="J75" s="24">
        <f>SUMIFS('Saldos Iniciales'!$D:$D,'Saldos Iniciales'!$A:$A,"Electrama")+SUMIFS(Movimientos!$K$1:$K$743,Movimientos!$C$1:$C$743,"Electrama",Movimientos!$B$1:$B$743,"&lt;="&amp;$B75)</f>
        <v>14580.45</v>
      </c>
      <c r="K75" s="24">
        <f>SUMIFS('Saldos Iniciales'!$D:$D,'Saldos Iniciales'!$A:$A,"Sacred Valley Capital")+SUMIFS(Movimientos!$K$1:$K$743,Movimientos!$C$1:$C$743,"Sacred Valley Capital",Movimientos!$B$1:$B$743,"&lt;="&amp;$B75)</f>
        <v>54.400000000000006</v>
      </c>
      <c r="L75" s="24">
        <f>SUMIFS('Saldos Iniciales'!$D:$D,'Saldos Iniciales'!$A:$A,"YWC Capital")+SUMIFS(Movimientos!$K$1:$K$743,Movimientos!$C$1:$C$743,"YWC Capital",Movimientos!$B$1:$B$743,"&lt;="&amp;$B75)</f>
        <v>2207.8200000000002</v>
      </c>
      <c r="M75" s="24">
        <f>SUMIFS('Saldos Iniciales'!$D:$D,'Saldos Iniciales'!$A:$A,"Soweto")+SUMIFS(Movimientos!$K$1:$K$743,Movimientos!$C$1:$C$743,"Soweto",Movimientos!$B$1:$B$743,"&lt;="&amp;$B75)</f>
        <v>1454589.72</v>
      </c>
      <c r="N75" s="24">
        <f>SUMIFS('Saldos Iniciales'!$D:$D,'Saldos Iniciales'!$A:$A,"Green Stone Trust")+SUMIFS(Movimientos!$K$1:$K$743,Movimientos!$C$1:$C$743,"Green Stone Trust",Movimientos!$B$1:$B$743,"&lt;="&amp;$B75)</f>
        <v>1968.99</v>
      </c>
      <c r="O75" s="24">
        <f>SUMIFS('Saldos Iniciales'!$D:$D,'Saldos Iniciales'!$A:$A,"EC Auto")+SUMIFS(Movimientos!$K$1:$K$743,Movimientos!$C$1:$C$743,"EC Auto",Movimientos!$B$1:$B$743,"&lt;="&amp;$B75)</f>
        <v>901.34</v>
      </c>
      <c r="P75" s="24">
        <f>SUMIFS('Saldos Iniciales'!$D:$D,'Saldos Iniciales'!$A:$A,"Arbor Capital Properties")+SUMIFS(Movimientos!$K$1:$K$743,Movimientos!$C$1:$C$743,"Arbor Capital Properties",Movimientos!$B$1:$B$743,"&lt;="&amp;$B75)</f>
        <v>1412.08</v>
      </c>
      <c r="Q75" s="24">
        <f>SUMIFS('Saldos Iniciales'!$D:$D,'Saldos Iniciales'!$A:$A,"2515 Overbrook")+SUMIFS(Movimientos!$K$1:$K$743,Movimientos!$C$1:$C$743,"2515 Overbrook",Movimientos!$B$1:$B$743,"&lt;="&amp;$B75)</f>
        <v>22496.639999999959</v>
      </c>
      <c r="R75" s="24">
        <f>SUMIFS('Saldos Iniciales'!$D:$D,'Saldos Iniciales'!$A:$A,"112 Florida Ave")+SUMIFS(Movimientos!$K$1:$K$743,Movimientos!$C$1:$C$743,"112 Florida Ave",Movimientos!$B$1:$B$743,"&lt;="&amp;$B75)</f>
        <v>6522.8000000000029</v>
      </c>
      <c r="S75" s="24">
        <f>SUMIFS('Saldos Iniciales'!$D:$D,'Saldos Iniciales'!$A:$A,"3628 Thomas Ave")+SUMIFS(Movimientos!$K$1:$K$743,Movimientos!$C$1:$C$743,"3628 Thomas Ave",Movimientos!$B$1:$B$743,"&lt;="&amp;$B75)</f>
        <v>24085.559999999998</v>
      </c>
      <c r="T75" s="24">
        <f>SUMIFS('Saldos Iniciales'!$D:$D,'Saldos Iniciales'!$A:$A,"Green Harbor Trust")+SUMIFS(Movimientos!$K$1:$K$743,Movimientos!$C$1:$C$743,"Green Harbor Trust",Movimientos!$B$1:$B$743,"&lt;="&amp;$B75)</f>
        <v>345</v>
      </c>
      <c r="U75" s="24">
        <f>SUMIFS('Saldos Iniciales'!$D:$D,'Saldos Iniciales'!$A:$A,"Go Blue")+SUMIFS(Movimientos!$K$1:$K$743,Movimientos!$C$1:$C$743,"Go Blue",Movimientos!$B$1:$B$743,"&lt;="&amp;$B75)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Group")+SUMIFS(Movimientos!$K$1:$K$743,Movimientos!$C$1:$C$743,"CFT Group",Movimientos!$B$1:$B$743,"&lt;="&amp;$B76)</f>
        <v>3363755.7500000005</v>
      </c>
      <c r="D76" s="24">
        <f>SUMIFS('Saldos Iniciales'!$D:$D,'Saldos Iniciales'!$A:$A,"M1B")+SUMIFS(Movimientos!$K$1:$K$743,Movimientos!$C$1:$C$743,"M1B",Movimientos!$B$1:$B$743,"&lt;="&amp;$B76)</f>
        <v>73157.680000000168</v>
      </c>
      <c r="E76" s="24">
        <f>SUMIFS('Saldos Iniciales'!$D:$D,'Saldos Iniciales'!$A:$A,"Durand")+SUMIFS(Movimientos!$K$1:$K$743,Movimientos!$C$1:$C$743,"Durand",Movimientos!$B$1:$B$743,"&lt;="&amp;$B76)</f>
        <v>1669.89</v>
      </c>
      <c r="F76" s="24">
        <f>SUMIFS('Saldos Iniciales'!$D:$D,'Saldos Iniciales'!$A:$A,"A&amp;M Imports")+SUMIFS(Movimientos!$K$1:$K$743,Movimientos!$C$1:$C$743,"A&amp;M Imports",Movimientos!$B$1:$B$743,"&lt;="&amp;$B76)</f>
        <v>1090141.6299999999</v>
      </c>
      <c r="G76" s="24">
        <f>SUMIFS('Saldos Iniciales'!$D:$D,'Saldos Iniciales'!$A:$A,"SSP Capital")+SUMIFS(Movimientos!$K$1:$K$743,Movimientos!$C$1:$C$743,"SSP Capital",Movimientos!$B$1:$B$743,"&lt;="&amp;$B76)</f>
        <v>1856542.8899999992</v>
      </c>
      <c r="H76" s="24">
        <f>SUMIFS('Saldos Iniciales'!$D:$D,'Saldos Iniciales'!$A:$A,"Cross Family Trust")+SUMIFS(Movimientos!$K$1:$K$743,Movimientos!$C$1:$C$743,"Cross Family Trust",Movimientos!$B$1:$B$743,"&lt;="&amp;$B76)</f>
        <v>200496.38</v>
      </c>
      <c r="I76" s="24">
        <f>SUMIFS('Saldos Iniciales'!$D:$D,'Saldos Iniciales'!$A:$A,"Cross Security Trust")+SUMIFS(Movimientos!$K$1:$K$743,Movimientos!$C$1:$C$743,"Cross Security Trust",Movimientos!$B$1:$B$743,"&lt;="&amp;$B76)</f>
        <v>88090.37</v>
      </c>
      <c r="J76" s="24">
        <f>SUMIFS('Saldos Iniciales'!$D:$D,'Saldos Iniciales'!$A:$A,"Electrama")+SUMIFS(Movimientos!$K$1:$K$743,Movimientos!$C$1:$C$743,"Electrama",Movimientos!$B$1:$B$743,"&lt;="&amp;$B76)</f>
        <v>14580.45</v>
      </c>
      <c r="K76" s="24">
        <f>SUMIFS('Saldos Iniciales'!$D:$D,'Saldos Iniciales'!$A:$A,"Sacred Valley Capital")+SUMIFS(Movimientos!$K$1:$K$743,Movimientos!$C$1:$C$743,"Sacred Valley Capital",Movimientos!$B$1:$B$743,"&lt;="&amp;$B76)</f>
        <v>54.400000000000006</v>
      </c>
      <c r="L76" s="24">
        <f>SUMIFS('Saldos Iniciales'!$D:$D,'Saldos Iniciales'!$A:$A,"YWC Capital")+SUMIFS(Movimientos!$K$1:$K$743,Movimientos!$C$1:$C$743,"YWC Capital",Movimientos!$B$1:$B$743,"&lt;="&amp;$B76)</f>
        <v>2207.8200000000002</v>
      </c>
      <c r="M76" s="24">
        <f>SUMIFS('Saldos Iniciales'!$D:$D,'Saldos Iniciales'!$A:$A,"Soweto")+SUMIFS(Movimientos!$K$1:$K$743,Movimientos!$C$1:$C$743,"Soweto",Movimientos!$B$1:$B$743,"&lt;="&amp;$B76)</f>
        <v>1454589.72</v>
      </c>
      <c r="N76" s="24">
        <f>SUMIFS('Saldos Iniciales'!$D:$D,'Saldos Iniciales'!$A:$A,"Green Stone Trust")+SUMIFS(Movimientos!$K$1:$K$743,Movimientos!$C$1:$C$743,"Green Stone Trust",Movimientos!$B$1:$B$743,"&lt;="&amp;$B76)</f>
        <v>1968.99</v>
      </c>
      <c r="O76" s="24">
        <f>SUMIFS('Saldos Iniciales'!$D:$D,'Saldos Iniciales'!$A:$A,"EC Auto")+SUMIFS(Movimientos!$K$1:$K$743,Movimientos!$C$1:$C$743,"EC Auto",Movimientos!$B$1:$B$743,"&lt;="&amp;$B76)</f>
        <v>901.34</v>
      </c>
      <c r="P76" s="24">
        <f>SUMIFS('Saldos Iniciales'!$D:$D,'Saldos Iniciales'!$A:$A,"Arbor Capital Properties")+SUMIFS(Movimientos!$K$1:$K$743,Movimientos!$C$1:$C$743,"Arbor Capital Properties",Movimientos!$B$1:$B$743,"&lt;="&amp;$B76)</f>
        <v>1412.08</v>
      </c>
      <c r="Q76" s="24">
        <f>SUMIFS('Saldos Iniciales'!$D:$D,'Saldos Iniciales'!$A:$A,"2515 Overbrook")+SUMIFS(Movimientos!$K$1:$K$743,Movimientos!$C$1:$C$743,"2515 Overbrook",Movimientos!$B$1:$B$743,"&lt;="&amp;$B76)</f>
        <v>22347.56999999996</v>
      </c>
      <c r="R76" s="24">
        <f>SUMIFS('Saldos Iniciales'!$D:$D,'Saldos Iniciales'!$A:$A,"112 Florida Ave")+SUMIFS(Movimientos!$K$1:$K$743,Movimientos!$C$1:$C$743,"112 Florida Ave",Movimientos!$B$1:$B$743,"&lt;="&amp;$B76)</f>
        <v>6522.8000000000029</v>
      </c>
      <c r="S76" s="24">
        <f>SUMIFS('Saldos Iniciales'!$D:$D,'Saldos Iniciales'!$A:$A,"3628 Thomas Ave")+SUMIFS(Movimientos!$K$1:$K$743,Movimientos!$C$1:$C$743,"3628 Thomas Ave",Movimientos!$B$1:$B$743,"&lt;="&amp;$B76)</f>
        <v>24085.559999999998</v>
      </c>
      <c r="T76" s="24">
        <f>SUMIFS('Saldos Iniciales'!$D:$D,'Saldos Iniciales'!$A:$A,"Green Harbor Trust")+SUMIFS(Movimientos!$K$1:$K$743,Movimientos!$C$1:$C$743,"Green Harbor Trust",Movimientos!$B$1:$B$743,"&lt;="&amp;$B76)</f>
        <v>345</v>
      </c>
      <c r="U76" s="24">
        <f>SUMIFS('Saldos Iniciales'!$D:$D,'Saldos Iniciales'!$A:$A,"Go Blue")+SUMIFS(Movimientos!$K$1:$K$743,Movimientos!$C$1:$C$743,"Go Blue",Movimientos!$B$1:$B$743,"&lt;="&amp;$B76)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Group")+SUMIFS(Movimientos!$K$1:$K$743,Movimientos!$C$1:$C$743,"CFT Group",Movimientos!$B$1:$B$743,"&lt;="&amp;$B77)</f>
        <v>3363755.7500000005</v>
      </c>
      <c r="D77" s="24">
        <f>SUMIFS('Saldos Iniciales'!$D:$D,'Saldos Iniciales'!$A:$A,"M1B")+SUMIFS(Movimientos!$K$1:$K$743,Movimientos!$C$1:$C$743,"M1B",Movimientos!$B$1:$B$743,"&lt;="&amp;$B77)</f>
        <v>73157.680000000168</v>
      </c>
      <c r="E77" s="24">
        <f>SUMIFS('Saldos Iniciales'!$D:$D,'Saldos Iniciales'!$A:$A,"Durand")+SUMIFS(Movimientos!$K$1:$K$743,Movimientos!$C$1:$C$743,"Durand",Movimientos!$B$1:$B$743,"&lt;="&amp;$B77)</f>
        <v>1669.89</v>
      </c>
      <c r="F77" s="24">
        <f>SUMIFS('Saldos Iniciales'!$D:$D,'Saldos Iniciales'!$A:$A,"A&amp;M Imports")+SUMIFS(Movimientos!$K$1:$K$743,Movimientos!$C$1:$C$743,"A&amp;M Imports",Movimientos!$B$1:$B$743,"&lt;="&amp;$B77)</f>
        <v>1089804.7499999998</v>
      </c>
      <c r="G77" s="24">
        <f>SUMIFS('Saldos Iniciales'!$D:$D,'Saldos Iniciales'!$A:$A,"SSP Capital")+SUMIFS(Movimientos!$K$1:$K$743,Movimientos!$C$1:$C$743,"SSP Capital",Movimientos!$B$1:$B$743,"&lt;="&amp;$B77)</f>
        <v>1856513.4499999993</v>
      </c>
      <c r="H77" s="24">
        <f>SUMIFS('Saldos Iniciales'!$D:$D,'Saldos Iniciales'!$A:$A,"Cross Family Trust")+SUMIFS(Movimientos!$K$1:$K$743,Movimientos!$C$1:$C$743,"Cross Family Trust",Movimientos!$B$1:$B$743,"&lt;="&amp;$B77)</f>
        <v>200496.38</v>
      </c>
      <c r="I77" s="24">
        <f>SUMIFS('Saldos Iniciales'!$D:$D,'Saldos Iniciales'!$A:$A,"Cross Security Trust")+SUMIFS(Movimientos!$K$1:$K$743,Movimientos!$C$1:$C$743,"Cross Security Trust",Movimientos!$B$1:$B$743,"&lt;="&amp;$B77)</f>
        <v>88090.37</v>
      </c>
      <c r="J77" s="24">
        <f>SUMIFS('Saldos Iniciales'!$D:$D,'Saldos Iniciales'!$A:$A,"Electrama")+SUMIFS(Movimientos!$K$1:$K$743,Movimientos!$C$1:$C$743,"Electrama",Movimientos!$B$1:$B$743,"&lt;="&amp;$B77)</f>
        <v>14580.45</v>
      </c>
      <c r="K77" s="24">
        <f>SUMIFS('Saldos Iniciales'!$D:$D,'Saldos Iniciales'!$A:$A,"Sacred Valley Capital")+SUMIFS(Movimientos!$K$1:$K$743,Movimientos!$C$1:$C$743,"Sacred Valley Capital",Movimientos!$B$1:$B$743,"&lt;="&amp;$B77)</f>
        <v>54.400000000000006</v>
      </c>
      <c r="L77" s="24">
        <f>SUMIFS('Saldos Iniciales'!$D:$D,'Saldos Iniciales'!$A:$A,"YWC Capital")+SUMIFS(Movimientos!$K$1:$K$743,Movimientos!$C$1:$C$743,"YWC Capital",Movimientos!$B$1:$B$743,"&lt;="&amp;$B77)</f>
        <v>2207.8200000000002</v>
      </c>
      <c r="M77" s="24">
        <f>SUMIFS('Saldos Iniciales'!$D:$D,'Saldos Iniciales'!$A:$A,"Soweto")+SUMIFS(Movimientos!$K$1:$K$743,Movimientos!$C$1:$C$743,"Soweto",Movimientos!$B$1:$B$743,"&lt;="&amp;$B77)</f>
        <v>1454589.72</v>
      </c>
      <c r="N77" s="24">
        <f>SUMIFS('Saldos Iniciales'!$D:$D,'Saldos Iniciales'!$A:$A,"Green Stone Trust")+SUMIFS(Movimientos!$K$1:$K$743,Movimientos!$C$1:$C$743,"Green Stone Trust",Movimientos!$B$1:$B$743,"&lt;="&amp;$B77)</f>
        <v>1968.99</v>
      </c>
      <c r="O77" s="24">
        <f>SUMIFS('Saldos Iniciales'!$D:$D,'Saldos Iniciales'!$A:$A,"EC Auto")+SUMIFS(Movimientos!$K$1:$K$743,Movimientos!$C$1:$C$743,"EC Auto",Movimientos!$B$1:$B$743,"&lt;="&amp;$B77)</f>
        <v>901.34</v>
      </c>
      <c r="P77" s="24">
        <f>SUMIFS('Saldos Iniciales'!$D:$D,'Saldos Iniciales'!$A:$A,"Arbor Capital Properties")+SUMIFS(Movimientos!$K$1:$K$743,Movimientos!$C$1:$C$743,"Arbor Capital Properties",Movimientos!$B$1:$B$743,"&lt;="&amp;$B77)</f>
        <v>1412.08</v>
      </c>
      <c r="Q77" s="24">
        <f>SUMIFS('Saldos Iniciales'!$D:$D,'Saldos Iniciales'!$A:$A,"2515 Overbrook")+SUMIFS(Movimientos!$K$1:$K$743,Movimientos!$C$1:$C$743,"2515 Overbrook",Movimientos!$B$1:$B$743,"&lt;="&amp;$B77)</f>
        <v>22347.56999999996</v>
      </c>
      <c r="R77" s="24">
        <f>SUMIFS('Saldos Iniciales'!$D:$D,'Saldos Iniciales'!$A:$A,"112 Florida Ave")+SUMIFS(Movimientos!$K$1:$K$743,Movimientos!$C$1:$C$743,"112 Florida Ave",Movimientos!$B$1:$B$743,"&lt;="&amp;$B77)</f>
        <v>6522.8000000000029</v>
      </c>
      <c r="S77" s="24">
        <f>SUMIFS('Saldos Iniciales'!$D:$D,'Saldos Iniciales'!$A:$A,"3628 Thomas Ave")+SUMIFS(Movimientos!$K$1:$K$743,Movimientos!$C$1:$C$743,"3628 Thomas Ave",Movimientos!$B$1:$B$743,"&lt;="&amp;$B77)</f>
        <v>24085.559999999998</v>
      </c>
      <c r="T77" s="24">
        <f>SUMIFS('Saldos Iniciales'!$D:$D,'Saldos Iniciales'!$A:$A,"Green Harbor Trust")+SUMIFS(Movimientos!$K$1:$K$743,Movimientos!$C$1:$C$743,"Green Harbor Trust",Movimientos!$B$1:$B$743,"&lt;="&amp;$B77)</f>
        <v>345</v>
      </c>
      <c r="U77" s="24">
        <f>SUMIFS('Saldos Iniciales'!$D:$D,'Saldos Iniciales'!$A:$A,"Go Blue")+SUMIFS(Movimientos!$K$1:$K$743,Movimientos!$C$1:$C$743,"Go Blue",Movimientos!$B$1:$B$743,"&lt;="&amp;$B77)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Group")+SUMIFS(Movimientos!$K$1:$K$743,Movimientos!$C$1:$C$743,"CFT Group",Movimientos!$B$1:$B$743,"&lt;="&amp;$B78)</f>
        <v>3110339.0700000008</v>
      </c>
      <c r="D78" s="24">
        <f>SUMIFS('Saldos Iniciales'!$D:$D,'Saldos Iniciales'!$A:$A,"M1B")+SUMIFS(Movimientos!$K$1:$K$743,Movimientos!$C$1:$C$743,"M1B",Movimientos!$B$1:$B$743,"&lt;="&amp;$B78)</f>
        <v>73157.680000000168</v>
      </c>
      <c r="E78" s="24">
        <f>SUMIFS('Saldos Iniciales'!$D:$D,'Saldos Iniciales'!$A:$A,"Durand")+SUMIFS(Movimientos!$K$1:$K$743,Movimientos!$C$1:$C$743,"Durand",Movimientos!$B$1:$B$743,"&lt;="&amp;$B78)</f>
        <v>1669.89</v>
      </c>
      <c r="F78" s="24">
        <f>SUMIFS('Saldos Iniciales'!$D:$D,'Saldos Iniciales'!$A:$A,"A&amp;M Imports")+SUMIFS(Movimientos!$K$1:$K$743,Movimientos!$C$1:$C$743,"A&amp;M Imports",Movimientos!$B$1:$B$743,"&lt;="&amp;$B78)</f>
        <v>1029804.7499999998</v>
      </c>
      <c r="G78" s="24">
        <f>SUMIFS('Saldos Iniciales'!$D:$D,'Saldos Iniciales'!$A:$A,"SSP Capital")+SUMIFS(Movimientos!$K$1:$K$743,Movimientos!$C$1:$C$743,"SSP Capital",Movimientos!$B$1:$B$743,"&lt;="&amp;$B78)</f>
        <v>1678189.7499999995</v>
      </c>
      <c r="H78" s="24">
        <f>SUMIFS('Saldos Iniciales'!$D:$D,'Saldos Iniciales'!$A:$A,"Cross Family Trust")+SUMIFS(Movimientos!$K$1:$K$743,Movimientos!$C$1:$C$743,"Cross Family Trust",Movimientos!$B$1:$B$743,"&lt;="&amp;$B78)</f>
        <v>200496.38</v>
      </c>
      <c r="I78" s="24">
        <f>SUMIFS('Saldos Iniciales'!$D:$D,'Saldos Iniciales'!$A:$A,"Cross Security Trust")+SUMIFS(Movimientos!$K$1:$K$743,Movimientos!$C$1:$C$743,"Cross Security Trust",Movimientos!$B$1:$B$743,"&lt;="&amp;$B78)</f>
        <v>88090.37</v>
      </c>
      <c r="J78" s="24">
        <f>SUMIFS('Saldos Iniciales'!$D:$D,'Saldos Iniciales'!$A:$A,"Electrama")+SUMIFS(Movimientos!$K$1:$K$743,Movimientos!$C$1:$C$743,"Electrama",Movimientos!$B$1:$B$743,"&lt;="&amp;$B78)</f>
        <v>14580.45</v>
      </c>
      <c r="K78" s="24">
        <f>SUMIFS('Saldos Iniciales'!$D:$D,'Saldos Iniciales'!$A:$A,"Sacred Valley Capital")+SUMIFS(Movimientos!$K$1:$K$743,Movimientos!$C$1:$C$743,"Sacred Valley Capital",Movimientos!$B$1:$B$743,"&lt;="&amp;$B78)</f>
        <v>54.400000000000006</v>
      </c>
      <c r="L78" s="24">
        <f>SUMIFS('Saldos Iniciales'!$D:$D,'Saldos Iniciales'!$A:$A,"YWC Capital")+SUMIFS(Movimientos!$K$1:$K$743,Movimientos!$C$1:$C$743,"YWC Capital",Movimientos!$B$1:$B$743,"&lt;="&amp;$B78)</f>
        <v>2207.8200000000002</v>
      </c>
      <c r="M78" s="24">
        <f>SUMIFS('Saldos Iniciales'!$D:$D,'Saldos Iniciales'!$A:$A,"Soweto")+SUMIFS(Movimientos!$K$1:$K$743,Movimientos!$C$1:$C$743,"Soweto",Movimientos!$B$1:$B$743,"&lt;="&amp;$B78)</f>
        <v>1454589.72</v>
      </c>
      <c r="N78" s="24">
        <f>SUMIFS('Saldos Iniciales'!$D:$D,'Saldos Iniciales'!$A:$A,"Green Stone Trust")+SUMIFS(Movimientos!$K$1:$K$743,Movimientos!$C$1:$C$743,"Green Stone Trust",Movimientos!$B$1:$B$743,"&lt;="&amp;$B78)</f>
        <v>1968.99</v>
      </c>
      <c r="O78" s="24">
        <f>SUMIFS('Saldos Iniciales'!$D:$D,'Saldos Iniciales'!$A:$A,"EC Auto")+SUMIFS(Movimientos!$K$1:$K$743,Movimientos!$C$1:$C$743,"EC Auto",Movimientos!$B$1:$B$743,"&lt;="&amp;$B78)</f>
        <v>901.34</v>
      </c>
      <c r="P78" s="24">
        <f>SUMIFS('Saldos Iniciales'!$D:$D,'Saldos Iniciales'!$A:$A,"Arbor Capital Properties")+SUMIFS(Movimientos!$K$1:$K$743,Movimientos!$C$1:$C$743,"Arbor Capital Properties",Movimientos!$B$1:$B$743,"&lt;="&amp;$B78)</f>
        <v>1412.08</v>
      </c>
      <c r="Q78" s="24">
        <f>SUMIFS('Saldos Iniciales'!$D:$D,'Saldos Iniciales'!$A:$A,"2515 Overbrook")+SUMIFS(Movimientos!$K$1:$K$743,Movimientos!$C$1:$C$743,"2515 Overbrook",Movimientos!$B$1:$B$743,"&lt;="&amp;$B78)</f>
        <v>22347.56999999996</v>
      </c>
      <c r="R78" s="24">
        <f>SUMIFS('Saldos Iniciales'!$D:$D,'Saldos Iniciales'!$A:$A,"112 Florida Ave")+SUMIFS(Movimientos!$K$1:$K$743,Movimientos!$C$1:$C$743,"112 Florida Ave",Movimientos!$B$1:$B$743,"&lt;="&amp;$B78)</f>
        <v>3522.8000000000029</v>
      </c>
      <c r="S78" s="24">
        <f>SUMIFS('Saldos Iniciales'!$D:$D,'Saldos Iniciales'!$A:$A,"3628 Thomas Ave")+SUMIFS(Movimientos!$K$1:$K$743,Movimientos!$C$1:$C$743,"3628 Thomas Ave",Movimientos!$B$1:$B$743,"&lt;="&amp;$B78)</f>
        <v>24085.559999999998</v>
      </c>
      <c r="T78" s="24">
        <f>SUMIFS('Saldos Iniciales'!$D:$D,'Saldos Iniciales'!$A:$A,"Green Harbor Trust")+SUMIFS(Movimientos!$K$1:$K$743,Movimientos!$C$1:$C$743,"Green Harbor Trust",Movimientos!$B$1:$B$743,"&lt;="&amp;$B78)</f>
        <v>345</v>
      </c>
      <c r="U78" s="24">
        <f>SUMIFS('Saldos Iniciales'!$D:$D,'Saldos Iniciales'!$A:$A,"Go Blue")+SUMIFS(Movimientos!$K$1:$K$743,Movimientos!$C$1:$C$743,"Go Blue",Movimientos!$B$1:$B$743,"&lt;="&amp;$B78)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Group")+SUMIFS(Movimientos!$K$1:$K$743,Movimientos!$C$1:$C$743,"CFT Group",Movimientos!$B$1:$B$743,"&lt;="&amp;$B79)</f>
        <v>3110339.0700000008</v>
      </c>
      <c r="D79" s="24">
        <f>SUMIFS('Saldos Iniciales'!$D:$D,'Saldos Iniciales'!$A:$A,"M1B")+SUMIFS(Movimientos!$K$1:$K$743,Movimientos!$C$1:$C$743,"M1B",Movimientos!$B$1:$B$743,"&lt;="&amp;$B79)</f>
        <v>73157.680000000168</v>
      </c>
      <c r="E79" s="24">
        <f>SUMIFS('Saldos Iniciales'!$D:$D,'Saldos Iniciales'!$A:$A,"Durand")+SUMIFS(Movimientos!$K$1:$K$743,Movimientos!$C$1:$C$743,"Durand",Movimientos!$B$1:$B$743,"&lt;="&amp;$B79)</f>
        <v>1669.89</v>
      </c>
      <c r="F79" s="24">
        <f>SUMIFS('Saldos Iniciales'!$D:$D,'Saldos Iniciales'!$A:$A,"A&amp;M Imports")+SUMIFS(Movimientos!$K$1:$K$743,Movimientos!$C$1:$C$743,"A&amp;M Imports",Movimientos!$B$1:$B$743,"&lt;="&amp;$B79)</f>
        <v>1029804.7499999998</v>
      </c>
      <c r="G79" s="24">
        <f>SUMIFS('Saldos Iniciales'!$D:$D,'Saldos Iniciales'!$A:$A,"SSP Capital")+SUMIFS(Movimientos!$K$1:$K$743,Movimientos!$C$1:$C$743,"SSP Capital",Movimientos!$B$1:$B$743,"&lt;="&amp;$B79)</f>
        <v>1748189.7499999995</v>
      </c>
      <c r="H79" s="24">
        <f>SUMIFS('Saldos Iniciales'!$D:$D,'Saldos Iniciales'!$A:$A,"Cross Family Trust")+SUMIFS(Movimientos!$K$1:$K$743,Movimientos!$C$1:$C$743,"Cross Family Trust",Movimientos!$B$1:$B$743,"&lt;="&amp;$B79)</f>
        <v>200496.38</v>
      </c>
      <c r="I79" s="24">
        <f>SUMIFS('Saldos Iniciales'!$D:$D,'Saldos Iniciales'!$A:$A,"Cross Security Trust")+SUMIFS(Movimientos!$K$1:$K$743,Movimientos!$C$1:$C$743,"Cross Security Trust",Movimientos!$B$1:$B$743,"&lt;="&amp;$B79)</f>
        <v>88090.37</v>
      </c>
      <c r="J79" s="24">
        <f>SUMIFS('Saldos Iniciales'!$D:$D,'Saldos Iniciales'!$A:$A,"Electrama")+SUMIFS(Movimientos!$K$1:$K$743,Movimientos!$C$1:$C$743,"Electrama",Movimientos!$B$1:$B$743,"&lt;="&amp;$B79)</f>
        <v>14580.45</v>
      </c>
      <c r="K79" s="24">
        <f>SUMIFS('Saldos Iniciales'!$D:$D,'Saldos Iniciales'!$A:$A,"Sacred Valley Capital")+SUMIFS(Movimientos!$K$1:$K$743,Movimientos!$C$1:$C$743,"Sacred Valley Capital",Movimientos!$B$1:$B$743,"&lt;="&amp;$B79)</f>
        <v>54.400000000000006</v>
      </c>
      <c r="L79" s="24">
        <f>SUMIFS('Saldos Iniciales'!$D:$D,'Saldos Iniciales'!$A:$A,"YWC Capital")+SUMIFS(Movimientos!$K$1:$K$743,Movimientos!$C$1:$C$743,"YWC Capital",Movimientos!$B$1:$B$743,"&lt;="&amp;$B79)</f>
        <v>2207.8200000000002</v>
      </c>
      <c r="M79" s="24">
        <f>SUMIFS('Saldos Iniciales'!$D:$D,'Saldos Iniciales'!$A:$A,"Soweto")+SUMIFS(Movimientos!$K$1:$K$743,Movimientos!$C$1:$C$743,"Soweto",Movimientos!$B$1:$B$743,"&lt;="&amp;$B79)</f>
        <v>1454589.72</v>
      </c>
      <c r="N79" s="24">
        <f>SUMIFS('Saldos Iniciales'!$D:$D,'Saldos Iniciales'!$A:$A,"Green Stone Trust")+SUMIFS(Movimientos!$K$1:$K$743,Movimientos!$C$1:$C$743,"Green Stone Trust",Movimientos!$B$1:$B$743,"&lt;="&amp;$B79)</f>
        <v>1968.99</v>
      </c>
      <c r="O79" s="24">
        <f>SUMIFS('Saldos Iniciales'!$D:$D,'Saldos Iniciales'!$A:$A,"EC Auto")+SUMIFS(Movimientos!$K$1:$K$743,Movimientos!$C$1:$C$743,"EC Auto",Movimientos!$B$1:$B$743,"&lt;="&amp;$B79)</f>
        <v>901.34</v>
      </c>
      <c r="P79" s="24">
        <f>SUMIFS('Saldos Iniciales'!$D:$D,'Saldos Iniciales'!$A:$A,"Arbor Capital Properties")+SUMIFS(Movimientos!$K$1:$K$743,Movimientos!$C$1:$C$743,"Arbor Capital Properties",Movimientos!$B$1:$B$743,"&lt;="&amp;$B79)</f>
        <v>1412.08</v>
      </c>
      <c r="Q79" s="24">
        <f>SUMIFS('Saldos Iniciales'!$D:$D,'Saldos Iniciales'!$A:$A,"2515 Overbrook")+SUMIFS(Movimientos!$K$1:$K$743,Movimientos!$C$1:$C$743,"2515 Overbrook",Movimientos!$B$1:$B$743,"&lt;="&amp;$B79)</f>
        <v>22347.56999999996</v>
      </c>
      <c r="R79" s="24">
        <f>SUMIFS('Saldos Iniciales'!$D:$D,'Saldos Iniciales'!$A:$A,"112 Florida Ave")+SUMIFS(Movimientos!$K$1:$K$743,Movimientos!$C$1:$C$743,"112 Florida Ave",Movimientos!$B$1:$B$743,"&lt;="&amp;$B79)</f>
        <v>3522.8000000000029</v>
      </c>
      <c r="S79" s="24">
        <f>SUMIFS('Saldos Iniciales'!$D:$D,'Saldos Iniciales'!$A:$A,"3628 Thomas Ave")+SUMIFS(Movimientos!$K$1:$K$743,Movimientos!$C$1:$C$743,"3628 Thomas Ave",Movimientos!$B$1:$B$743,"&lt;="&amp;$B79)</f>
        <v>24085.559999999998</v>
      </c>
      <c r="T79" s="24">
        <f>SUMIFS('Saldos Iniciales'!$D:$D,'Saldos Iniciales'!$A:$A,"Green Harbor Trust")+SUMIFS(Movimientos!$K$1:$K$743,Movimientos!$C$1:$C$743,"Green Harbor Trust",Movimientos!$B$1:$B$743,"&lt;="&amp;$B79)</f>
        <v>345</v>
      </c>
      <c r="U79" s="24">
        <f>SUMIFS('Saldos Iniciales'!$D:$D,'Saldos Iniciales'!$A:$A,"Go Blue")+SUMIFS(Movimientos!$K$1:$K$743,Movimientos!$C$1:$C$743,"Go Blue",Movimientos!$B$1:$B$743,"&lt;="&amp;$B79)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Group")+SUMIFS(Movimientos!$K$1:$K$743,Movimientos!$C$1:$C$743,"CFT Group",Movimientos!$B$1:$B$743,"&lt;="&amp;$B80)</f>
        <v>3110339.0700000008</v>
      </c>
      <c r="D80" s="24">
        <f>SUMIFS('Saldos Iniciales'!$D:$D,'Saldos Iniciales'!$A:$A,"M1B")+SUMIFS(Movimientos!$K$1:$K$743,Movimientos!$C$1:$C$743,"M1B",Movimientos!$B$1:$B$743,"&lt;="&amp;$B80)</f>
        <v>73157.680000000168</v>
      </c>
      <c r="E80" s="24">
        <f>SUMIFS('Saldos Iniciales'!$D:$D,'Saldos Iniciales'!$A:$A,"Durand")+SUMIFS(Movimientos!$K$1:$K$743,Movimientos!$C$1:$C$743,"Durand",Movimientos!$B$1:$B$743,"&lt;="&amp;$B80)</f>
        <v>1669.89</v>
      </c>
      <c r="F80" s="24">
        <f>SUMIFS('Saldos Iniciales'!$D:$D,'Saldos Iniciales'!$A:$A,"A&amp;M Imports")+SUMIFS(Movimientos!$K$1:$K$743,Movimientos!$C$1:$C$743,"A&amp;M Imports",Movimientos!$B$1:$B$743,"&lt;="&amp;$B80)</f>
        <v>1029804.7499999998</v>
      </c>
      <c r="G80" s="24">
        <f>SUMIFS('Saldos Iniciales'!$D:$D,'Saldos Iniciales'!$A:$A,"SSP Capital")+SUMIFS(Movimientos!$K$1:$K$743,Movimientos!$C$1:$C$743,"SSP Capital",Movimientos!$B$1:$B$743,"&lt;="&amp;$B80)</f>
        <v>1748189.7499999995</v>
      </c>
      <c r="H80" s="24">
        <f>SUMIFS('Saldos Iniciales'!$D:$D,'Saldos Iniciales'!$A:$A,"Cross Family Trust")+SUMIFS(Movimientos!$K$1:$K$743,Movimientos!$C$1:$C$743,"Cross Family Trust",Movimientos!$B$1:$B$743,"&lt;="&amp;$B80)</f>
        <v>200496.38</v>
      </c>
      <c r="I80" s="24">
        <f>SUMIFS('Saldos Iniciales'!$D:$D,'Saldos Iniciales'!$A:$A,"Cross Security Trust")+SUMIFS(Movimientos!$K$1:$K$743,Movimientos!$C$1:$C$743,"Cross Security Trust",Movimientos!$B$1:$B$743,"&lt;="&amp;$B80)</f>
        <v>88090.37</v>
      </c>
      <c r="J80" s="24">
        <f>SUMIFS('Saldos Iniciales'!$D:$D,'Saldos Iniciales'!$A:$A,"Electrama")+SUMIFS(Movimientos!$K$1:$K$743,Movimientos!$C$1:$C$743,"Electrama",Movimientos!$B$1:$B$743,"&lt;="&amp;$B80)</f>
        <v>14580.45</v>
      </c>
      <c r="K80" s="24">
        <f>SUMIFS('Saldos Iniciales'!$D:$D,'Saldos Iniciales'!$A:$A,"Sacred Valley Capital")+SUMIFS(Movimientos!$K$1:$K$743,Movimientos!$C$1:$C$743,"Sacred Valley Capital",Movimientos!$B$1:$B$743,"&lt;="&amp;$B80)</f>
        <v>54.400000000000006</v>
      </c>
      <c r="L80" s="24">
        <f>SUMIFS('Saldos Iniciales'!$D:$D,'Saldos Iniciales'!$A:$A,"YWC Capital")+SUMIFS(Movimientos!$K$1:$K$743,Movimientos!$C$1:$C$743,"YWC Capital",Movimientos!$B$1:$B$743,"&lt;="&amp;$B80)</f>
        <v>2207.8200000000002</v>
      </c>
      <c r="M80" s="24">
        <f>SUMIFS('Saldos Iniciales'!$D:$D,'Saldos Iniciales'!$A:$A,"Soweto")+SUMIFS(Movimientos!$K$1:$K$743,Movimientos!$C$1:$C$743,"Soweto",Movimientos!$B$1:$B$743,"&lt;="&amp;$B80)</f>
        <v>1454589.72</v>
      </c>
      <c r="N80" s="24">
        <f>SUMIFS('Saldos Iniciales'!$D:$D,'Saldos Iniciales'!$A:$A,"Green Stone Trust")+SUMIFS(Movimientos!$K$1:$K$743,Movimientos!$C$1:$C$743,"Green Stone Trust",Movimientos!$B$1:$B$743,"&lt;="&amp;$B80)</f>
        <v>1968.99</v>
      </c>
      <c r="O80" s="24">
        <f>SUMIFS('Saldos Iniciales'!$D:$D,'Saldos Iniciales'!$A:$A,"EC Auto")+SUMIFS(Movimientos!$K$1:$K$743,Movimientos!$C$1:$C$743,"EC Auto",Movimientos!$B$1:$B$743,"&lt;="&amp;$B80)</f>
        <v>901.34</v>
      </c>
      <c r="P80" s="24">
        <f>SUMIFS('Saldos Iniciales'!$D:$D,'Saldos Iniciales'!$A:$A,"Arbor Capital Properties")+SUMIFS(Movimientos!$K$1:$K$743,Movimientos!$C$1:$C$743,"Arbor Capital Properties",Movimientos!$B$1:$B$743,"&lt;="&amp;$B80)</f>
        <v>1412.08</v>
      </c>
      <c r="Q80" s="24">
        <f>SUMIFS('Saldos Iniciales'!$D:$D,'Saldos Iniciales'!$A:$A,"2515 Overbrook")+SUMIFS(Movimientos!$K$1:$K$743,Movimientos!$C$1:$C$743,"2515 Overbrook",Movimientos!$B$1:$B$743,"&lt;="&amp;$B80)</f>
        <v>22347.56999999996</v>
      </c>
      <c r="R80" s="24">
        <f>SUMIFS('Saldos Iniciales'!$D:$D,'Saldos Iniciales'!$A:$A,"112 Florida Ave")+SUMIFS(Movimientos!$K$1:$K$743,Movimientos!$C$1:$C$743,"112 Florida Ave",Movimientos!$B$1:$B$743,"&lt;="&amp;$B80)</f>
        <v>3522.8000000000029</v>
      </c>
      <c r="S80" s="24">
        <f>SUMIFS('Saldos Iniciales'!$D:$D,'Saldos Iniciales'!$A:$A,"3628 Thomas Ave")+SUMIFS(Movimientos!$K$1:$K$743,Movimientos!$C$1:$C$743,"3628 Thomas Ave",Movimientos!$B$1:$B$743,"&lt;="&amp;$B80)</f>
        <v>24085.559999999998</v>
      </c>
      <c r="T80" s="24">
        <f>SUMIFS('Saldos Iniciales'!$D:$D,'Saldos Iniciales'!$A:$A,"Green Harbor Trust")+SUMIFS(Movimientos!$K$1:$K$743,Movimientos!$C$1:$C$743,"Green Harbor Trust",Movimientos!$B$1:$B$743,"&lt;="&amp;$B80)</f>
        <v>345</v>
      </c>
      <c r="U80" s="24">
        <f>SUMIFS('Saldos Iniciales'!$D:$D,'Saldos Iniciales'!$A:$A,"Go Blue")+SUMIFS(Movimientos!$K$1:$K$743,Movimientos!$C$1:$C$743,"Go Blue",Movimientos!$B$1:$B$743,"&lt;="&amp;$B80)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Group")+SUMIFS(Movimientos!$K$1:$K$743,Movimientos!$C$1:$C$743,"CFT Group",Movimientos!$B$1:$B$743,"&lt;="&amp;$B81)</f>
        <v>3110339.0700000008</v>
      </c>
      <c r="D81" s="24">
        <f>SUMIFS('Saldos Iniciales'!$D:$D,'Saldos Iniciales'!$A:$A,"M1B")+SUMIFS(Movimientos!$K$1:$K$743,Movimientos!$C$1:$C$743,"M1B",Movimientos!$B$1:$B$743,"&lt;="&amp;$B81)</f>
        <v>73157.680000000168</v>
      </c>
      <c r="E81" s="24">
        <f>SUMIFS('Saldos Iniciales'!$D:$D,'Saldos Iniciales'!$A:$A,"Durand")+SUMIFS(Movimientos!$K$1:$K$743,Movimientos!$C$1:$C$743,"Durand",Movimientos!$B$1:$B$743,"&lt;="&amp;$B81)</f>
        <v>1669.89</v>
      </c>
      <c r="F81" s="24">
        <f>SUMIFS('Saldos Iniciales'!$D:$D,'Saldos Iniciales'!$A:$A,"A&amp;M Imports")+SUMIFS(Movimientos!$K$1:$K$743,Movimientos!$C$1:$C$743,"A&amp;M Imports",Movimientos!$B$1:$B$743,"&lt;="&amp;$B81)</f>
        <v>1029804.7499999998</v>
      </c>
      <c r="G81" s="24">
        <f>SUMIFS('Saldos Iniciales'!$D:$D,'Saldos Iniciales'!$A:$A,"SSP Capital")+SUMIFS(Movimientos!$K$1:$K$743,Movimientos!$C$1:$C$743,"SSP Capital",Movimientos!$B$1:$B$743,"&lt;="&amp;$B81)</f>
        <v>1748189.7499999995</v>
      </c>
      <c r="H81" s="24">
        <f>SUMIFS('Saldos Iniciales'!$D:$D,'Saldos Iniciales'!$A:$A,"Cross Family Trust")+SUMIFS(Movimientos!$K$1:$K$743,Movimientos!$C$1:$C$743,"Cross Family Trust",Movimientos!$B$1:$B$743,"&lt;="&amp;$B81)</f>
        <v>200496.38</v>
      </c>
      <c r="I81" s="24">
        <f>SUMIFS('Saldos Iniciales'!$D:$D,'Saldos Iniciales'!$A:$A,"Cross Security Trust")+SUMIFS(Movimientos!$K$1:$K$743,Movimientos!$C$1:$C$743,"Cross Security Trust",Movimientos!$B$1:$B$743,"&lt;="&amp;$B81)</f>
        <v>88090.37</v>
      </c>
      <c r="J81" s="24">
        <f>SUMIFS('Saldos Iniciales'!$D:$D,'Saldos Iniciales'!$A:$A,"Electrama")+SUMIFS(Movimientos!$K$1:$K$743,Movimientos!$C$1:$C$743,"Electrama",Movimientos!$B$1:$B$743,"&lt;="&amp;$B81)</f>
        <v>14580.45</v>
      </c>
      <c r="K81" s="24">
        <f>SUMIFS('Saldos Iniciales'!$D:$D,'Saldos Iniciales'!$A:$A,"Sacred Valley Capital")+SUMIFS(Movimientos!$K$1:$K$743,Movimientos!$C$1:$C$743,"Sacred Valley Capital",Movimientos!$B$1:$B$743,"&lt;="&amp;$B81)</f>
        <v>54.400000000000006</v>
      </c>
      <c r="L81" s="24">
        <f>SUMIFS('Saldos Iniciales'!$D:$D,'Saldos Iniciales'!$A:$A,"YWC Capital")+SUMIFS(Movimientos!$K$1:$K$743,Movimientos!$C$1:$C$743,"YWC Capital",Movimientos!$B$1:$B$743,"&lt;="&amp;$B81)</f>
        <v>2207.8200000000002</v>
      </c>
      <c r="M81" s="24">
        <f>SUMIFS('Saldos Iniciales'!$D:$D,'Saldos Iniciales'!$A:$A,"Soweto")+SUMIFS(Movimientos!$K$1:$K$743,Movimientos!$C$1:$C$743,"Soweto",Movimientos!$B$1:$B$743,"&lt;="&amp;$B81)</f>
        <v>1454589.72</v>
      </c>
      <c r="N81" s="24">
        <f>SUMIFS('Saldos Iniciales'!$D:$D,'Saldos Iniciales'!$A:$A,"Green Stone Trust")+SUMIFS(Movimientos!$K$1:$K$743,Movimientos!$C$1:$C$743,"Green Stone Trust",Movimientos!$B$1:$B$743,"&lt;="&amp;$B81)</f>
        <v>1968.99</v>
      </c>
      <c r="O81" s="24">
        <f>SUMIFS('Saldos Iniciales'!$D:$D,'Saldos Iniciales'!$A:$A,"EC Auto")+SUMIFS(Movimientos!$K$1:$K$743,Movimientos!$C$1:$C$743,"EC Auto",Movimientos!$B$1:$B$743,"&lt;="&amp;$B81)</f>
        <v>901.34</v>
      </c>
      <c r="P81" s="24">
        <f>SUMIFS('Saldos Iniciales'!$D:$D,'Saldos Iniciales'!$A:$A,"Arbor Capital Properties")+SUMIFS(Movimientos!$K$1:$K$743,Movimientos!$C$1:$C$743,"Arbor Capital Properties",Movimientos!$B$1:$B$743,"&lt;="&amp;$B81)</f>
        <v>1412.08</v>
      </c>
      <c r="Q81" s="24">
        <f>SUMIFS('Saldos Iniciales'!$D:$D,'Saldos Iniciales'!$A:$A,"2515 Overbrook")+SUMIFS(Movimientos!$K$1:$K$743,Movimientos!$C$1:$C$743,"2515 Overbrook",Movimientos!$B$1:$B$743,"&lt;="&amp;$B81)</f>
        <v>22347.56999999996</v>
      </c>
      <c r="R81" s="24">
        <f>SUMIFS('Saldos Iniciales'!$D:$D,'Saldos Iniciales'!$A:$A,"112 Florida Ave")+SUMIFS(Movimientos!$K$1:$K$743,Movimientos!$C$1:$C$743,"112 Florida Ave",Movimientos!$B$1:$B$743,"&lt;="&amp;$B81)</f>
        <v>3522.8000000000029</v>
      </c>
      <c r="S81" s="24">
        <f>SUMIFS('Saldos Iniciales'!$D:$D,'Saldos Iniciales'!$A:$A,"3628 Thomas Ave")+SUMIFS(Movimientos!$K$1:$K$743,Movimientos!$C$1:$C$743,"3628 Thomas Ave",Movimientos!$B$1:$B$743,"&lt;="&amp;$B81)</f>
        <v>24085.559999999998</v>
      </c>
      <c r="T81" s="24">
        <f>SUMIFS('Saldos Iniciales'!$D:$D,'Saldos Iniciales'!$A:$A,"Green Harbor Trust")+SUMIFS(Movimientos!$K$1:$K$743,Movimientos!$C$1:$C$743,"Green Harbor Trust",Movimientos!$B$1:$B$743,"&lt;="&amp;$B81)</f>
        <v>345</v>
      </c>
      <c r="U81" s="24">
        <f>SUMIFS('Saldos Iniciales'!$D:$D,'Saldos Iniciales'!$A:$A,"Go Blue")+SUMIFS(Movimientos!$K$1:$K$743,Movimientos!$C$1:$C$743,"Go Blue",Movimientos!$B$1:$B$743,"&lt;="&amp;$B81)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Group")+SUMIFS(Movimientos!$K$1:$K$743,Movimientos!$C$1:$C$743,"CFT Group",Movimientos!$B$1:$B$743,"&lt;="&amp;$B82)</f>
        <v>3110339.0700000008</v>
      </c>
      <c r="D82" s="24">
        <f>SUMIFS('Saldos Iniciales'!$D:$D,'Saldos Iniciales'!$A:$A,"M1B")+SUMIFS(Movimientos!$K$1:$K$743,Movimientos!$C$1:$C$743,"M1B",Movimientos!$B$1:$B$743,"&lt;="&amp;$B82)</f>
        <v>73157.680000000168</v>
      </c>
      <c r="E82" s="24">
        <f>SUMIFS('Saldos Iniciales'!$D:$D,'Saldos Iniciales'!$A:$A,"Durand")+SUMIFS(Movimientos!$K$1:$K$743,Movimientos!$C$1:$C$743,"Durand",Movimientos!$B$1:$B$743,"&lt;="&amp;$B82)</f>
        <v>1669.89</v>
      </c>
      <c r="F82" s="24">
        <f>SUMIFS('Saldos Iniciales'!$D:$D,'Saldos Iniciales'!$A:$A,"A&amp;M Imports")+SUMIFS(Movimientos!$K$1:$K$743,Movimientos!$C$1:$C$743,"A&amp;M Imports",Movimientos!$B$1:$B$743,"&lt;="&amp;$B82)</f>
        <v>1029804.7499999998</v>
      </c>
      <c r="G82" s="24">
        <f>SUMIFS('Saldos Iniciales'!$D:$D,'Saldos Iniciales'!$A:$A,"SSP Capital")+SUMIFS(Movimientos!$K$1:$K$743,Movimientos!$C$1:$C$743,"SSP Capital",Movimientos!$B$1:$B$743,"&lt;="&amp;$B82)</f>
        <v>1744257.8699999994</v>
      </c>
      <c r="H82" s="24">
        <f>SUMIFS('Saldos Iniciales'!$D:$D,'Saldos Iniciales'!$A:$A,"Cross Family Trust")+SUMIFS(Movimientos!$K$1:$K$743,Movimientos!$C$1:$C$743,"Cross Family Trust",Movimientos!$B$1:$B$743,"&lt;="&amp;$B82)</f>
        <v>200496.38</v>
      </c>
      <c r="I82" s="24">
        <f>SUMIFS('Saldos Iniciales'!$D:$D,'Saldos Iniciales'!$A:$A,"Cross Security Trust")+SUMIFS(Movimientos!$K$1:$K$743,Movimientos!$C$1:$C$743,"Cross Security Trust",Movimientos!$B$1:$B$743,"&lt;="&amp;$B82)</f>
        <v>88090.37</v>
      </c>
      <c r="J82" s="24">
        <f>SUMIFS('Saldos Iniciales'!$D:$D,'Saldos Iniciales'!$A:$A,"Electrama")+SUMIFS(Movimientos!$K$1:$K$743,Movimientos!$C$1:$C$743,"Electrama",Movimientos!$B$1:$B$743,"&lt;="&amp;$B82)</f>
        <v>14580.45</v>
      </c>
      <c r="K82" s="24">
        <f>SUMIFS('Saldos Iniciales'!$D:$D,'Saldos Iniciales'!$A:$A,"Sacred Valley Capital")+SUMIFS(Movimientos!$K$1:$K$743,Movimientos!$C$1:$C$743,"Sacred Valley Capital",Movimientos!$B$1:$B$743,"&lt;="&amp;$B82)</f>
        <v>54.400000000000006</v>
      </c>
      <c r="L82" s="24">
        <f>SUMIFS('Saldos Iniciales'!$D:$D,'Saldos Iniciales'!$A:$A,"YWC Capital")+SUMIFS(Movimientos!$K$1:$K$743,Movimientos!$C$1:$C$743,"YWC Capital",Movimientos!$B$1:$B$743,"&lt;="&amp;$B82)</f>
        <v>2207.8200000000002</v>
      </c>
      <c r="M82" s="24">
        <f>SUMIFS('Saldos Iniciales'!$D:$D,'Saldos Iniciales'!$A:$A,"Soweto")+SUMIFS(Movimientos!$K$1:$K$743,Movimientos!$C$1:$C$743,"Soweto",Movimientos!$B$1:$B$743,"&lt;="&amp;$B82)</f>
        <v>1454589.72</v>
      </c>
      <c r="N82" s="24">
        <f>SUMIFS('Saldos Iniciales'!$D:$D,'Saldos Iniciales'!$A:$A,"Green Stone Trust")+SUMIFS(Movimientos!$K$1:$K$743,Movimientos!$C$1:$C$743,"Green Stone Trust",Movimientos!$B$1:$B$743,"&lt;="&amp;$B82)</f>
        <v>1968.99</v>
      </c>
      <c r="O82" s="24">
        <f>SUMIFS('Saldos Iniciales'!$D:$D,'Saldos Iniciales'!$A:$A,"EC Auto")+SUMIFS(Movimientos!$K$1:$K$743,Movimientos!$C$1:$C$743,"EC Auto",Movimientos!$B$1:$B$743,"&lt;="&amp;$B82)</f>
        <v>901.34</v>
      </c>
      <c r="P82" s="24">
        <f>SUMIFS('Saldos Iniciales'!$D:$D,'Saldos Iniciales'!$A:$A,"Arbor Capital Properties")+SUMIFS(Movimientos!$K$1:$K$743,Movimientos!$C$1:$C$743,"Arbor Capital Properties",Movimientos!$B$1:$B$743,"&lt;="&amp;$B82)</f>
        <v>1412.08</v>
      </c>
      <c r="Q82" s="24">
        <f>SUMIFS('Saldos Iniciales'!$D:$D,'Saldos Iniciales'!$A:$A,"2515 Overbrook")+SUMIFS(Movimientos!$K$1:$K$743,Movimientos!$C$1:$C$743,"2515 Overbrook",Movimientos!$B$1:$B$743,"&lt;="&amp;$B82)</f>
        <v>22347.56999999996</v>
      </c>
      <c r="R82" s="24">
        <f>SUMIFS('Saldos Iniciales'!$D:$D,'Saldos Iniciales'!$A:$A,"112 Florida Ave")+SUMIFS(Movimientos!$K$1:$K$743,Movimientos!$C$1:$C$743,"112 Florida Ave",Movimientos!$B$1:$B$743,"&lt;="&amp;$B82)</f>
        <v>3522.8000000000029</v>
      </c>
      <c r="S82" s="24">
        <f>SUMIFS('Saldos Iniciales'!$D:$D,'Saldos Iniciales'!$A:$A,"3628 Thomas Ave")+SUMIFS(Movimientos!$K$1:$K$743,Movimientos!$C$1:$C$743,"3628 Thomas Ave",Movimientos!$B$1:$B$743,"&lt;="&amp;$B82)</f>
        <v>24085.559999999998</v>
      </c>
      <c r="T82" s="24">
        <f>SUMIFS('Saldos Iniciales'!$D:$D,'Saldos Iniciales'!$A:$A,"Green Harbor Trust")+SUMIFS(Movimientos!$K$1:$K$743,Movimientos!$C$1:$C$743,"Green Harbor Trust",Movimientos!$B$1:$B$743,"&lt;="&amp;$B82)</f>
        <v>345</v>
      </c>
      <c r="U82" s="24">
        <f>SUMIFS('Saldos Iniciales'!$D:$D,'Saldos Iniciales'!$A:$A,"Go Blue")+SUMIFS(Movimientos!$K$1:$K$743,Movimientos!$C$1:$C$743,"Go Blue",Movimientos!$B$1:$B$743,"&lt;="&amp;$B82)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Group")+SUMIFS(Movimientos!$K$1:$K$743,Movimientos!$C$1:$C$743,"CFT Group",Movimientos!$B$1:$B$743,"&lt;="&amp;$B83)</f>
        <v>3110339.0700000008</v>
      </c>
      <c r="D83" s="24">
        <f>SUMIFS('Saldos Iniciales'!$D:$D,'Saldos Iniciales'!$A:$A,"M1B")+SUMIFS(Movimientos!$K$1:$K$743,Movimientos!$C$1:$C$743,"M1B",Movimientos!$B$1:$B$743,"&lt;="&amp;$B83)</f>
        <v>73157.680000000168</v>
      </c>
      <c r="E83" s="24">
        <f>SUMIFS('Saldos Iniciales'!$D:$D,'Saldos Iniciales'!$A:$A,"Durand")+SUMIFS(Movimientos!$K$1:$K$743,Movimientos!$C$1:$C$743,"Durand",Movimientos!$B$1:$B$743,"&lt;="&amp;$B83)</f>
        <v>1669.89</v>
      </c>
      <c r="F83" s="24">
        <f>SUMIFS('Saldos Iniciales'!$D:$D,'Saldos Iniciales'!$A:$A,"A&amp;M Imports")+SUMIFS(Movimientos!$K$1:$K$743,Movimientos!$C$1:$C$743,"A&amp;M Imports",Movimientos!$B$1:$B$743,"&lt;="&amp;$B83)</f>
        <v>1029804.7499999998</v>
      </c>
      <c r="G83" s="24">
        <f>SUMIFS('Saldos Iniciales'!$D:$D,'Saldos Iniciales'!$A:$A,"SSP Capital")+SUMIFS(Movimientos!$K$1:$K$743,Movimientos!$C$1:$C$743,"SSP Capital",Movimientos!$B$1:$B$743,"&lt;="&amp;$B83)</f>
        <v>1744257.8699999994</v>
      </c>
      <c r="H83" s="24">
        <f>SUMIFS('Saldos Iniciales'!$D:$D,'Saldos Iniciales'!$A:$A,"Cross Family Trust")+SUMIFS(Movimientos!$K$1:$K$743,Movimientos!$C$1:$C$743,"Cross Family Trust",Movimientos!$B$1:$B$743,"&lt;="&amp;$B83)</f>
        <v>200496.38</v>
      </c>
      <c r="I83" s="24">
        <f>SUMIFS('Saldos Iniciales'!$D:$D,'Saldos Iniciales'!$A:$A,"Cross Security Trust")+SUMIFS(Movimientos!$K$1:$K$743,Movimientos!$C$1:$C$743,"Cross Security Trust",Movimientos!$B$1:$B$743,"&lt;="&amp;$B83)</f>
        <v>88090.37</v>
      </c>
      <c r="J83" s="24">
        <f>SUMIFS('Saldos Iniciales'!$D:$D,'Saldos Iniciales'!$A:$A,"Electrama")+SUMIFS(Movimientos!$K$1:$K$743,Movimientos!$C$1:$C$743,"Electrama",Movimientos!$B$1:$B$743,"&lt;="&amp;$B83)</f>
        <v>14580.45</v>
      </c>
      <c r="K83" s="24">
        <f>SUMIFS('Saldos Iniciales'!$D:$D,'Saldos Iniciales'!$A:$A,"Sacred Valley Capital")+SUMIFS(Movimientos!$K$1:$K$743,Movimientos!$C$1:$C$743,"Sacred Valley Capital",Movimientos!$B$1:$B$743,"&lt;="&amp;$B83)</f>
        <v>54.400000000000006</v>
      </c>
      <c r="L83" s="24">
        <f>SUMIFS('Saldos Iniciales'!$D:$D,'Saldos Iniciales'!$A:$A,"YWC Capital")+SUMIFS(Movimientos!$K$1:$K$743,Movimientos!$C$1:$C$743,"YWC Capital",Movimientos!$B$1:$B$743,"&lt;="&amp;$B83)</f>
        <v>2207.8200000000002</v>
      </c>
      <c r="M83" s="24">
        <f>SUMIFS('Saldos Iniciales'!$D:$D,'Saldos Iniciales'!$A:$A,"Soweto")+SUMIFS(Movimientos!$K$1:$K$743,Movimientos!$C$1:$C$743,"Soweto",Movimientos!$B$1:$B$743,"&lt;="&amp;$B83)</f>
        <v>1454589.72</v>
      </c>
      <c r="N83" s="24">
        <f>SUMIFS('Saldos Iniciales'!$D:$D,'Saldos Iniciales'!$A:$A,"Green Stone Trust")+SUMIFS(Movimientos!$K$1:$K$743,Movimientos!$C$1:$C$743,"Green Stone Trust",Movimientos!$B$1:$B$743,"&lt;="&amp;$B83)</f>
        <v>1968.99</v>
      </c>
      <c r="O83" s="24">
        <f>SUMIFS('Saldos Iniciales'!$D:$D,'Saldos Iniciales'!$A:$A,"EC Auto")+SUMIFS(Movimientos!$K$1:$K$743,Movimientos!$C$1:$C$743,"EC Auto",Movimientos!$B$1:$B$743,"&lt;="&amp;$B83)</f>
        <v>901.34</v>
      </c>
      <c r="P83" s="24">
        <f>SUMIFS('Saldos Iniciales'!$D:$D,'Saldos Iniciales'!$A:$A,"Arbor Capital Properties")+SUMIFS(Movimientos!$K$1:$K$743,Movimientos!$C$1:$C$743,"Arbor Capital Properties",Movimientos!$B$1:$B$743,"&lt;="&amp;$B83)</f>
        <v>1412.08</v>
      </c>
      <c r="Q83" s="24">
        <f>SUMIFS('Saldos Iniciales'!$D:$D,'Saldos Iniciales'!$A:$A,"2515 Overbrook")+SUMIFS(Movimientos!$K$1:$K$743,Movimientos!$C$1:$C$743,"2515 Overbrook",Movimientos!$B$1:$B$743,"&lt;="&amp;$B83)</f>
        <v>22347.56999999996</v>
      </c>
      <c r="R83" s="24">
        <f>SUMIFS('Saldos Iniciales'!$D:$D,'Saldos Iniciales'!$A:$A,"112 Florida Ave")+SUMIFS(Movimientos!$K$1:$K$743,Movimientos!$C$1:$C$743,"112 Florida Ave",Movimientos!$B$1:$B$743,"&lt;="&amp;$B83)</f>
        <v>3522.8000000000029</v>
      </c>
      <c r="S83" s="24">
        <f>SUMIFS('Saldos Iniciales'!$D:$D,'Saldos Iniciales'!$A:$A,"3628 Thomas Ave")+SUMIFS(Movimientos!$K$1:$K$743,Movimientos!$C$1:$C$743,"3628 Thomas Ave",Movimientos!$B$1:$B$743,"&lt;="&amp;$B83)</f>
        <v>24085.559999999998</v>
      </c>
      <c r="T83" s="24">
        <f>SUMIFS('Saldos Iniciales'!$D:$D,'Saldos Iniciales'!$A:$A,"Green Harbor Trust")+SUMIFS(Movimientos!$K$1:$K$743,Movimientos!$C$1:$C$743,"Green Harbor Trust",Movimientos!$B$1:$B$743,"&lt;="&amp;$B83)</f>
        <v>345</v>
      </c>
      <c r="U83" s="24">
        <f>SUMIFS('Saldos Iniciales'!$D:$D,'Saldos Iniciales'!$A:$A,"Go Blue")+SUMIFS(Movimientos!$K$1:$K$743,Movimientos!$C$1:$C$743,"Go Blue",Movimientos!$B$1:$B$743,"&lt;="&amp;$B83)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Group")+SUMIFS(Movimientos!$K$1:$K$743,Movimientos!$C$1:$C$743,"CFT Group",Movimientos!$B$1:$B$743,"&lt;="&amp;$B84)</f>
        <v>2255755.7400000007</v>
      </c>
      <c r="D84" s="24">
        <f>SUMIFS('Saldos Iniciales'!$D:$D,'Saldos Iniciales'!$A:$A,"M1B")+SUMIFS(Movimientos!$K$1:$K$743,Movimientos!$C$1:$C$743,"M1B",Movimientos!$B$1:$B$743,"&lt;="&amp;$B84)</f>
        <v>73157.680000000168</v>
      </c>
      <c r="E84" s="24">
        <f>SUMIFS('Saldos Iniciales'!$D:$D,'Saldos Iniciales'!$A:$A,"Durand")+SUMIFS(Movimientos!$K$1:$K$743,Movimientos!$C$1:$C$743,"Durand",Movimientos!$B$1:$B$743,"&lt;="&amp;$B84)</f>
        <v>1669.89</v>
      </c>
      <c r="F84" s="24">
        <f>SUMIFS('Saldos Iniciales'!$D:$D,'Saldos Iniciales'!$A:$A,"A&amp;M Imports")+SUMIFS(Movimientos!$K$1:$K$743,Movimientos!$C$1:$C$743,"A&amp;M Imports",Movimientos!$B$1:$B$743,"&lt;="&amp;$B84)</f>
        <v>1002754.9899999998</v>
      </c>
      <c r="G84" s="24">
        <f>SUMIFS('Saldos Iniciales'!$D:$D,'Saldos Iniciales'!$A:$A,"SSP Capital")+SUMIFS(Movimientos!$K$1:$K$743,Movimientos!$C$1:$C$743,"SSP Capital",Movimientos!$B$1:$B$743,"&lt;="&amp;$B84)</f>
        <v>2022877.8699999996</v>
      </c>
      <c r="H84" s="24">
        <f>SUMIFS('Saldos Iniciales'!$D:$D,'Saldos Iniciales'!$A:$A,"Cross Family Trust")+SUMIFS(Movimientos!$K$1:$K$743,Movimientos!$C$1:$C$743,"Cross Family Trust",Movimientos!$B$1:$B$743,"&lt;="&amp;$B84)</f>
        <v>200496.38</v>
      </c>
      <c r="I84" s="24">
        <f>SUMIFS('Saldos Iniciales'!$D:$D,'Saldos Iniciales'!$A:$A,"Cross Security Trust")+SUMIFS(Movimientos!$K$1:$K$743,Movimientos!$C$1:$C$743,"Cross Security Trust",Movimientos!$B$1:$B$743,"&lt;="&amp;$B84)</f>
        <v>88090.37</v>
      </c>
      <c r="J84" s="24">
        <f>SUMIFS('Saldos Iniciales'!$D:$D,'Saldos Iniciales'!$A:$A,"Electrama")+SUMIFS(Movimientos!$K$1:$K$743,Movimientos!$C$1:$C$743,"Electrama",Movimientos!$B$1:$B$743,"&lt;="&amp;$B84)</f>
        <v>14580.45</v>
      </c>
      <c r="K84" s="24">
        <f>SUMIFS('Saldos Iniciales'!$D:$D,'Saldos Iniciales'!$A:$A,"Sacred Valley Capital")+SUMIFS(Movimientos!$K$1:$K$743,Movimientos!$C$1:$C$743,"Sacred Valley Capital",Movimientos!$B$1:$B$743,"&lt;="&amp;$B84)</f>
        <v>54.400000000000006</v>
      </c>
      <c r="L84" s="24">
        <f>SUMIFS('Saldos Iniciales'!$D:$D,'Saldos Iniciales'!$A:$A,"YWC Capital")+SUMIFS(Movimientos!$K$1:$K$743,Movimientos!$C$1:$C$743,"YWC Capital",Movimientos!$B$1:$B$743,"&lt;="&amp;$B84)</f>
        <v>2207.8200000000002</v>
      </c>
      <c r="M84" s="24">
        <f>SUMIFS('Saldos Iniciales'!$D:$D,'Saldos Iniciales'!$A:$A,"Soweto")+SUMIFS(Movimientos!$K$1:$K$743,Movimientos!$C$1:$C$743,"Soweto",Movimientos!$B$1:$B$743,"&lt;="&amp;$B84)</f>
        <v>1454589.72</v>
      </c>
      <c r="N84" s="24">
        <f>SUMIFS('Saldos Iniciales'!$D:$D,'Saldos Iniciales'!$A:$A,"Green Stone Trust")+SUMIFS(Movimientos!$K$1:$K$743,Movimientos!$C$1:$C$743,"Green Stone Trust",Movimientos!$B$1:$B$743,"&lt;="&amp;$B84)</f>
        <v>1968.99</v>
      </c>
      <c r="O84" s="24">
        <f>SUMIFS('Saldos Iniciales'!$D:$D,'Saldos Iniciales'!$A:$A,"EC Auto")+SUMIFS(Movimientos!$K$1:$K$743,Movimientos!$C$1:$C$743,"EC Auto",Movimientos!$B$1:$B$743,"&lt;="&amp;$B84)</f>
        <v>901.34</v>
      </c>
      <c r="P84" s="24">
        <f>SUMIFS('Saldos Iniciales'!$D:$D,'Saldos Iniciales'!$A:$A,"Arbor Capital Properties")+SUMIFS(Movimientos!$K$1:$K$743,Movimientos!$C$1:$C$743,"Arbor Capital Properties",Movimientos!$B$1:$B$743,"&lt;="&amp;$B84)</f>
        <v>1412.08</v>
      </c>
      <c r="Q84" s="24">
        <f>SUMIFS('Saldos Iniciales'!$D:$D,'Saldos Iniciales'!$A:$A,"2515 Overbrook")+SUMIFS(Movimientos!$K$1:$K$743,Movimientos!$C$1:$C$743,"2515 Overbrook",Movimientos!$B$1:$B$743,"&lt;="&amp;$B84)</f>
        <v>22347.56999999996</v>
      </c>
      <c r="R84" s="24">
        <f>SUMIFS('Saldos Iniciales'!$D:$D,'Saldos Iniciales'!$A:$A,"112 Florida Ave")+SUMIFS(Movimientos!$K$1:$K$743,Movimientos!$C$1:$C$743,"112 Florida Ave",Movimientos!$B$1:$B$743,"&lt;="&amp;$B84)</f>
        <v>3522.8000000000029</v>
      </c>
      <c r="S84" s="24">
        <f>SUMIFS('Saldos Iniciales'!$D:$D,'Saldos Iniciales'!$A:$A,"3628 Thomas Ave")+SUMIFS(Movimientos!$K$1:$K$743,Movimientos!$C$1:$C$743,"3628 Thomas Ave",Movimientos!$B$1:$B$743,"&lt;="&amp;$B84)</f>
        <v>24085.559999999998</v>
      </c>
      <c r="T84" s="24">
        <f>SUMIFS('Saldos Iniciales'!$D:$D,'Saldos Iniciales'!$A:$A,"Green Harbor Trust")+SUMIFS(Movimientos!$K$1:$K$743,Movimientos!$C$1:$C$743,"Green Harbor Trust",Movimientos!$B$1:$B$743,"&lt;="&amp;$B84)</f>
        <v>345</v>
      </c>
      <c r="U84" s="24">
        <f>SUMIFS('Saldos Iniciales'!$D:$D,'Saldos Iniciales'!$A:$A,"Go Blue")+SUMIFS(Movimientos!$K$1:$K$743,Movimientos!$C$1:$C$743,"Go Blue",Movimientos!$B$1:$B$743,"&lt;="&amp;$B84)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Group")+SUMIFS(Movimientos!$K$1:$K$743,Movimientos!$C$1:$C$743,"CFT Group",Movimientos!$B$1:$B$743,"&lt;="&amp;$B85)</f>
        <v>2255750.7400000007</v>
      </c>
      <c r="D85" s="24">
        <f>SUMIFS('Saldos Iniciales'!$D:$D,'Saldos Iniciales'!$A:$A,"M1B")+SUMIFS(Movimientos!$K$1:$K$743,Movimientos!$C$1:$C$743,"M1B",Movimientos!$B$1:$B$743,"&lt;="&amp;$B85)</f>
        <v>73157.680000000168</v>
      </c>
      <c r="E85" s="24">
        <f>SUMIFS('Saldos Iniciales'!$D:$D,'Saldos Iniciales'!$A:$A,"Durand")+SUMIFS(Movimientos!$K$1:$K$743,Movimientos!$C$1:$C$743,"Durand",Movimientos!$B$1:$B$743,"&lt;="&amp;$B85)</f>
        <v>1669.89</v>
      </c>
      <c r="F85" s="24">
        <f>SUMIFS('Saldos Iniciales'!$D:$D,'Saldos Iniciales'!$A:$A,"A&amp;M Imports")+SUMIFS(Movimientos!$K$1:$K$743,Movimientos!$C$1:$C$743,"A&amp;M Imports",Movimientos!$B$1:$B$743,"&lt;="&amp;$B85)</f>
        <v>1042744.6899999997</v>
      </c>
      <c r="G85" s="24">
        <f>SUMIFS('Saldos Iniciales'!$D:$D,'Saldos Iniciales'!$A:$A,"SSP Capital")+SUMIFS(Movimientos!$K$1:$K$743,Movimientos!$C$1:$C$743,"SSP Capital",Movimientos!$B$1:$B$743,"&lt;="&amp;$B85)</f>
        <v>2022877.8699999996</v>
      </c>
      <c r="H85" s="24">
        <f>SUMIFS('Saldos Iniciales'!$D:$D,'Saldos Iniciales'!$A:$A,"Cross Family Trust")+SUMIFS(Movimientos!$K$1:$K$743,Movimientos!$C$1:$C$743,"Cross Family Trust",Movimientos!$B$1:$B$743,"&lt;="&amp;$B85)</f>
        <v>200496.38</v>
      </c>
      <c r="I85" s="24">
        <f>SUMIFS('Saldos Iniciales'!$D:$D,'Saldos Iniciales'!$A:$A,"Cross Security Trust")+SUMIFS(Movimientos!$K$1:$K$743,Movimientos!$C$1:$C$743,"Cross Security Trust",Movimientos!$B$1:$B$743,"&lt;="&amp;$B85)</f>
        <v>88090.37</v>
      </c>
      <c r="J85" s="24">
        <f>SUMIFS('Saldos Iniciales'!$D:$D,'Saldos Iniciales'!$A:$A,"Electrama")+SUMIFS(Movimientos!$K$1:$K$743,Movimientos!$C$1:$C$743,"Electrama",Movimientos!$B$1:$B$743,"&lt;="&amp;$B85)</f>
        <v>14580.45</v>
      </c>
      <c r="K85" s="24">
        <f>SUMIFS('Saldos Iniciales'!$D:$D,'Saldos Iniciales'!$A:$A,"Sacred Valley Capital")+SUMIFS(Movimientos!$K$1:$K$743,Movimientos!$C$1:$C$743,"Sacred Valley Capital",Movimientos!$B$1:$B$743,"&lt;="&amp;$B85)</f>
        <v>54.400000000000006</v>
      </c>
      <c r="L85" s="24">
        <f>SUMIFS('Saldos Iniciales'!$D:$D,'Saldos Iniciales'!$A:$A,"YWC Capital")+SUMIFS(Movimientos!$K$1:$K$743,Movimientos!$C$1:$C$743,"YWC Capital",Movimientos!$B$1:$B$743,"&lt;="&amp;$B85)</f>
        <v>2207.8200000000002</v>
      </c>
      <c r="M85" s="24">
        <f>SUMIFS('Saldos Iniciales'!$D:$D,'Saldos Iniciales'!$A:$A,"Soweto")+SUMIFS(Movimientos!$K$1:$K$743,Movimientos!$C$1:$C$743,"Soweto",Movimientos!$B$1:$B$743,"&lt;="&amp;$B85)</f>
        <v>1454589.72</v>
      </c>
      <c r="N85" s="24">
        <f>SUMIFS('Saldos Iniciales'!$D:$D,'Saldos Iniciales'!$A:$A,"Green Stone Trust")+SUMIFS(Movimientos!$K$1:$K$743,Movimientos!$C$1:$C$743,"Green Stone Trust",Movimientos!$B$1:$B$743,"&lt;="&amp;$B85)</f>
        <v>1968.99</v>
      </c>
      <c r="O85" s="24">
        <f>SUMIFS('Saldos Iniciales'!$D:$D,'Saldos Iniciales'!$A:$A,"EC Auto")+SUMIFS(Movimientos!$K$1:$K$743,Movimientos!$C$1:$C$743,"EC Auto",Movimientos!$B$1:$B$743,"&lt;="&amp;$B85)</f>
        <v>901.34</v>
      </c>
      <c r="P85" s="24">
        <f>SUMIFS('Saldos Iniciales'!$D:$D,'Saldos Iniciales'!$A:$A,"Arbor Capital Properties")+SUMIFS(Movimientos!$K$1:$K$743,Movimientos!$C$1:$C$743,"Arbor Capital Properties",Movimientos!$B$1:$B$743,"&lt;="&amp;$B85)</f>
        <v>1412.08</v>
      </c>
      <c r="Q85" s="24">
        <f>SUMIFS('Saldos Iniciales'!$D:$D,'Saldos Iniciales'!$A:$A,"2515 Overbrook")+SUMIFS(Movimientos!$K$1:$K$743,Movimientos!$C$1:$C$743,"2515 Overbrook",Movimientos!$B$1:$B$743,"&lt;="&amp;$B85)</f>
        <v>22347.56999999996</v>
      </c>
      <c r="R85" s="24">
        <f>SUMIFS('Saldos Iniciales'!$D:$D,'Saldos Iniciales'!$A:$A,"112 Florida Ave")+SUMIFS(Movimientos!$K$1:$K$743,Movimientos!$C$1:$C$743,"112 Florida Ave",Movimientos!$B$1:$B$743,"&lt;="&amp;$B85)</f>
        <v>18522.800000000003</v>
      </c>
      <c r="S85" s="24">
        <f>SUMIFS('Saldos Iniciales'!$D:$D,'Saldos Iniciales'!$A:$A,"3628 Thomas Ave")+SUMIFS(Movimientos!$K$1:$K$743,Movimientos!$C$1:$C$743,"3628 Thomas Ave",Movimientos!$B$1:$B$743,"&lt;="&amp;$B85)</f>
        <v>24085.559999999998</v>
      </c>
      <c r="T85" s="24">
        <f>SUMIFS('Saldos Iniciales'!$D:$D,'Saldos Iniciales'!$A:$A,"Green Harbor Trust")+SUMIFS(Movimientos!$K$1:$K$743,Movimientos!$C$1:$C$743,"Green Harbor Trust",Movimientos!$B$1:$B$743,"&lt;="&amp;$B85)</f>
        <v>345</v>
      </c>
      <c r="U85" s="24">
        <f>SUMIFS('Saldos Iniciales'!$D:$D,'Saldos Iniciales'!$A:$A,"Go Blue")+SUMIFS(Movimientos!$K$1:$K$743,Movimientos!$C$1:$C$743,"Go Blue",Movimientos!$B$1:$B$743,"&lt;="&amp;$B85)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Group")+SUMIFS(Movimientos!$K$1:$K$743,Movimientos!$C$1:$C$743,"CFT Group",Movimientos!$B$1:$B$743,"&lt;="&amp;$B86)</f>
        <v>2255750.7400000007</v>
      </c>
      <c r="D86" s="24">
        <f>SUMIFS('Saldos Iniciales'!$D:$D,'Saldos Iniciales'!$A:$A,"M1B")+SUMIFS(Movimientos!$K$1:$K$743,Movimientos!$C$1:$C$743,"M1B",Movimientos!$B$1:$B$743,"&lt;="&amp;$B86)</f>
        <v>73157.680000000168</v>
      </c>
      <c r="E86" s="24">
        <f>SUMIFS('Saldos Iniciales'!$D:$D,'Saldos Iniciales'!$A:$A,"Durand")+SUMIFS(Movimientos!$K$1:$K$743,Movimientos!$C$1:$C$743,"Durand",Movimientos!$B$1:$B$743,"&lt;="&amp;$B86)</f>
        <v>1669.89</v>
      </c>
      <c r="F86" s="24">
        <f>SUMIFS('Saldos Iniciales'!$D:$D,'Saldos Iniciales'!$A:$A,"A&amp;M Imports")+SUMIFS(Movimientos!$K$1:$K$743,Movimientos!$C$1:$C$743,"A&amp;M Imports",Movimientos!$B$1:$B$743,"&lt;="&amp;$B86)</f>
        <v>1042744.6899999997</v>
      </c>
      <c r="G86" s="24">
        <f>SUMIFS('Saldos Iniciales'!$D:$D,'Saldos Iniciales'!$A:$A,"SSP Capital")+SUMIFS(Movimientos!$K$1:$K$743,Movimientos!$C$1:$C$743,"SSP Capital",Movimientos!$B$1:$B$743,"&lt;="&amp;$B86)</f>
        <v>2022877.8699999996</v>
      </c>
      <c r="H86" s="24">
        <f>SUMIFS('Saldos Iniciales'!$D:$D,'Saldos Iniciales'!$A:$A,"Cross Family Trust")+SUMIFS(Movimientos!$K$1:$K$743,Movimientos!$C$1:$C$743,"Cross Family Trust",Movimientos!$B$1:$B$743,"&lt;="&amp;$B86)</f>
        <v>200496.38</v>
      </c>
      <c r="I86" s="24">
        <f>SUMIFS('Saldos Iniciales'!$D:$D,'Saldos Iniciales'!$A:$A,"Cross Security Trust")+SUMIFS(Movimientos!$K$1:$K$743,Movimientos!$C$1:$C$743,"Cross Security Trust",Movimientos!$B$1:$B$743,"&lt;="&amp;$B86)</f>
        <v>88090.37</v>
      </c>
      <c r="J86" s="24">
        <f>SUMIFS('Saldos Iniciales'!$D:$D,'Saldos Iniciales'!$A:$A,"Electrama")+SUMIFS(Movimientos!$K$1:$K$743,Movimientos!$C$1:$C$743,"Electrama",Movimientos!$B$1:$B$743,"&lt;="&amp;$B86)</f>
        <v>14580.45</v>
      </c>
      <c r="K86" s="24">
        <f>SUMIFS('Saldos Iniciales'!$D:$D,'Saldos Iniciales'!$A:$A,"Sacred Valley Capital")+SUMIFS(Movimientos!$K$1:$K$743,Movimientos!$C$1:$C$743,"Sacred Valley Capital",Movimientos!$B$1:$B$743,"&lt;="&amp;$B86)</f>
        <v>54.400000000000006</v>
      </c>
      <c r="L86" s="24">
        <f>SUMIFS('Saldos Iniciales'!$D:$D,'Saldos Iniciales'!$A:$A,"YWC Capital")+SUMIFS(Movimientos!$K$1:$K$743,Movimientos!$C$1:$C$743,"YWC Capital",Movimientos!$B$1:$B$743,"&lt;="&amp;$B86)</f>
        <v>2207.8200000000002</v>
      </c>
      <c r="M86" s="24">
        <f>SUMIFS('Saldos Iniciales'!$D:$D,'Saldos Iniciales'!$A:$A,"Soweto")+SUMIFS(Movimientos!$K$1:$K$743,Movimientos!$C$1:$C$743,"Soweto",Movimientos!$B$1:$B$743,"&lt;="&amp;$B86)</f>
        <v>1454589.72</v>
      </c>
      <c r="N86" s="24">
        <f>SUMIFS('Saldos Iniciales'!$D:$D,'Saldos Iniciales'!$A:$A,"Green Stone Trust")+SUMIFS(Movimientos!$K$1:$K$743,Movimientos!$C$1:$C$743,"Green Stone Trust",Movimientos!$B$1:$B$743,"&lt;="&amp;$B86)</f>
        <v>1968.99</v>
      </c>
      <c r="O86" s="24">
        <f>SUMIFS('Saldos Iniciales'!$D:$D,'Saldos Iniciales'!$A:$A,"EC Auto")+SUMIFS(Movimientos!$K$1:$K$743,Movimientos!$C$1:$C$743,"EC Auto",Movimientos!$B$1:$B$743,"&lt;="&amp;$B86)</f>
        <v>901.34</v>
      </c>
      <c r="P86" s="24">
        <f>SUMIFS('Saldos Iniciales'!$D:$D,'Saldos Iniciales'!$A:$A,"Arbor Capital Properties")+SUMIFS(Movimientos!$K$1:$K$743,Movimientos!$C$1:$C$743,"Arbor Capital Properties",Movimientos!$B$1:$B$743,"&lt;="&amp;$B86)</f>
        <v>1412.08</v>
      </c>
      <c r="Q86" s="24">
        <f>SUMIFS('Saldos Iniciales'!$D:$D,'Saldos Iniciales'!$A:$A,"2515 Overbrook")+SUMIFS(Movimientos!$K$1:$K$743,Movimientos!$C$1:$C$743,"2515 Overbrook",Movimientos!$B$1:$B$743,"&lt;="&amp;$B86)</f>
        <v>22347.56999999996</v>
      </c>
      <c r="R86" s="24">
        <f>SUMIFS('Saldos Iniciales'!$D:$D,'Saldos Iniciales'!$A:$A,"112 Florida Ave")+SUMIFS(Movimientos!$K$1:$K$743,Movimientos!$C$1:$C$743,"112 Florida Ave",Movimientos!$B$1:$B$743,"&lt;="&amp;$B86)</f>
        <v>18522.800000000003</v>
      </c>
      <c r="S86" s="24">
        <f>SUMIFS('Saldos Iniciales'!$D:$D,'Saldos Iniciales'!$A:$A,"3628 Thomas Ave")+SUMIFS(Movimientos!$K$1:$K$743,Movimientos!$C$1:$C$743,"3628 Thomas Ave",Movimientos!$B$1:$B$743,"&lt;="&amp;$B86)</f>
        <v>24085.559999999998</v>
      </c>
      <c r="T86" s="24">
        <f>SUMIFS('Saldos Iniciales'!$D:$D,'Saldos Iniciales'!$A:$A,"Green Harbor Trust")+SUMIFS(Movimientos!$K$1:$K$743,Movimientos!$C$1:$C$743,"Green Harbor Trust",Movimientos!$B$1:$B$743,"&lt;="&amp;$B86)</f>
        <v>345</v>
      </c>
      <c r="U86" s="24">
        <f>SUMIFS('Saldos Iniciales'!$D:$D,'Saldos Iniciales'!$A:$A,"Go Blue")+SUMIFS(Movimientos!$K$1:$K$743,Movimientos!$C$1:$C$743,"Go Blue",Movimientos!$B$1:$B$743,"&lt;="&amp;$B86)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Group")+SUMIFS(Movimientos!$K$1:$K$743,Movimientos!$C$1:$C$743,"CFT Group",Movimientos!$B$1:$B$743,"&lt;="&amp;$B87)</f>
        <v>2255750.7400000007</v>
      </c>
      <c r="D87" s="24">
        <f>SUMIFS('Saldos Iniciales'!$D:$D,'Saldos Iniciales'!$A:$A,"M1B")+SUMIFS(Movimientos!$K$1:$K$743,Movimientos!$C$1:$C$743,"M1B",Movimientos!$B$1:$B$743,"&lt;="&amp;$B87)</f>
        <v>73157.680000000168</v>
      </c>
      <c r="E87" s="24">
        <f>SUMIFS('Saldos Iniciales'!$D:$D,'Saldos Iniciales'!$A:$A,"Durand")+SUMIFS(Movimientos!$K$1:$K$743,Movimientos!$C$1:$C$743,"Durand",Movimientos!$B$1:$B$743,"&lt;="&amp;$B87)</f>
        <v>1669.89</v>
      </c>
      <c r="F87" s="24">
        <f>SUMIFS('Saldos Iniciales'!$D:$D,'Saldos Iniciales'!$A:$A,"A&amp;M Imports")+SUMIFS(Movimientos!$K$1:$K$743,Movimientos!$C$1:$C$743,"A&amp;M Imports",Movimientos!$B$1:$B$743,"&lt;="&amp;$B87)</f>
        <v>1042744.6899999997</v>
      </c>
      <c r="G87" s="24">
        <f>SUMIFS('Saldos Iniciales'!$D:$D,'Saldos Iniciales'!$A:$A,"SSP Capital")+SUMIFS(Movimientos!$K$1:$K$743,Movimientos!$C$1:$C$743,"SSP Capital",Movimientos!$B$1:$B$743,"&lt;="&amp;$B87)</f>
        <v>2022877.8699999996</v>
      </c>
      <c r="H87" s="24">
        <f>SUMIFS('Saldos Iniciales'!$D:$D,'Saldos Iniciales'!$A:$A,"Cross Family Trust")+SUMIFS(Movimientos!$K$1:$K$743,Movimientos!$C$1:$C$743,"Cross Family Trust",Movimientos!$B$1:$B$743,"&lt;="&amp;$B87)</f>
        <v>200496.38</v>
      </c>
      <c r="I87" s="24">
        <f>SUMIFS('Saldos Iniciales'!$D:$D,'Saldos Iniciales'!$A:$A,"Cross Security Trust")+SUMIFS(Movimientos!$K$1:$K$743,Movimientos!$C$1:$C$743,"Cross Security Trust",Movimientos!$B$1:$B$743,"&lt;="&amp;$B87)</f>
        <v>88090.37</v>
      </c>
      <c r="J87" s="24">
        <f>SUMIFS('Saldos Iniciales'!$D:$D,'Saldos Iniciales'!$A:$A,"Electrama")+SUMIFS(Movimientos!$K$1:$K$743,Movimientos!$C$1:$C$743,"Electrama",Movimientos!$B$1:$B$743,"&lt;="&amp;$B87)</f>
        <v>14580.45</v>
      </c>
      <c r="K87" s="24">
        <f>SUMIFS('Saldos Iniciales'!$D:$D,'Saldos Iniciales'!$A:$A,"Sacred Valley Capital")+SUMIFS(Movimientos!$K$1:$K$743,Movimientos!$C$1:$C$743,"Sacred Valley Capital",Movimientos!$B$1:$B$743,"&lt;="&amp;$B87)</f>
        <v>54.400000000000006</v>
      </c>
      <c r="L87" s="24">
        <f>SUMIFS('Saldos Iniciales'!$D:$D,'Saldos Iniciales'!$A:$A,"YWC Capital")+SUMIFS(Movimientos!$K$1:$K$743,Movimientos!$C$1:$C$743,"YWC Capital",Movimientos!$B$1:$B$743,"&lt;="&amp;$B87)</f>
        <v>2207.8200000000002</v>
      </c>
      <c r="M87" s="24">
        <f>SUMIFS('Saldos Iniciales'!$D:$D,'Saldos Iniciales'!$A:$A,"Soweto")+SUMIFS(Movimientos!$K$1:$K$743,Movimientos!$C$1:$C$743,"Soweto",Movimientos!$B$1:$B$743,"&lt;="&amp;$B87)</f>
        <v>1454589.72</v>
      </c>
      <c r="N87" s="24">
        <f>SUMIFS('Saldos Iniciales'!$D:$D,'Saldos Iniciales'!$A:$A,"Green Stone Trust")+SUMIFS(Movimientos!$K$1:$K$743,Movimientos!$C$1:$C$743,"Green Stone Trust",Movimientos!$B$1:$B$743,"&lt;="&amp;$B87)</f>
        <v>1968.99</v>
      </c>
      <c r="O87" s="24">
        <f>SUMIFS('Saldos Iniciales'!$D:$D,'Saldos Iniciales'!$A:$A,"EC Auto")+SUMIFS(Movimientos!$K$1:$K$743,Movimientos!$C$1:$C$743,"EC Auto",Movimientos!$B$1:$B$743,"&lt;="&amp;$B87)</f>
        <v>901.34</v>
      </c>
      <c r="P87" s="24">
        <f>SUMIFS('Saldos Iniciales'!$D:$D,'Saldos Iniciales'!$A:$A,"Arbor Capital Properties")+SUMIFS(Movimientos!$K$1:$K$743,Movimientos!$C$1:$C$743,"Arbor Capital Properties",Movimientos!$B$1:$B$743,"&lt;="&amp;$B87)</f>
        <v>1412.08</v>
      </c>
      <c r="Q87" s="24">
        <f>SUMIFS('Saldos Iniciales'!$D:$D,'Saldos Iniciales'!$A:$A,"2515 Overbrook")+SUMIFS(Movimientos!$K$1:$K$743,Movimientos!$C$1:$C$743,"2515 Overbrook",Movimientos!$B$1:$B$743,"&lt;="&amp;$B87)</f>
        <v>22347.56999999996</v>
      </c>
      <c r="R87" s="24">
        <f>SUMIFS('Saldos Iniciales'!$D:$D,'Saldos Iniciales'!$A:$A,"112 Florida Ave")+SUMIFS(Movimientos!$K$1:$K$743,Movimientos!$C$1:$C$743,"112 Florida Ave",Movimientos!$B$1:$B$743,"&lt;="&amp;$B87)</f>
        <v>18522.800000000003</v>
      </c>
      <c r="S87" s="24">
        <f>SUMIFS('Saldos Iniciales'!$D:$D,'Saldos Iniciales'!$A:$A,"3628 Thomas Ave")+SUMIFS(Movimientos!$K$1:$K$743,Movimientos!$C$1:$C$743,"3628 Thomas Ave",Movimientos!$B$1:$B$743,"&lt;="&amp;$B87)</f>
        <v>24085.559999999998</v>
      </c>
      <c r="T87" s="24">
        <f>SUMIFS('Saldos Iniciales'!$D:$D,'Saldos Iniciales'!$A:$A,"Green Harbor Trust")+SUMIFS(Movimientos!$K$1:$K$743,Movimientos!$C$1:$C$743,"Green Harbor Trust",Movimientos!$B$1:$B$743,"&lt;="&amp;$B87)</f>
        <v>345</v>
      </c>
      <c r="U87" s="24">
        <f>SUMIFS('Saldos Iniciales'!$D:$D,'Saldos Iniciales'!$A:$A,"Go Blue")+SUMIFS(Movimientos!$K$1:$K$743,Movimientos!$C$1:$C$743,"Go Blue",Movimientos!$B$1:$B$743,"&lt;="&amp;$B87)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Group")+SUMIFS(Movimientos!$K$1:$K$743,Movimientos!$C$1:$C$743,"CFT Group",Movimientos!$B$1:$B$743,"&lt;="&amp;$B88)</f>
        <v>2255750.7400000007</v>
      </c>
      <c r="D88" s="24">
        <f>SUMIFS('Saldos Iniciales'!$D:$D,'Saldos Iniciales'!$A:$A,"M1B")+SUMIFS(Movimientos!$K$1:$K$743,Movimientos!$C$1:$C$743,"M1B",Movimientos!$B$1:$B$743,"&lt;="&amp;$B88)</f>
        <v>73157.680000000168</v>
      </c>
      <c r="E88" s="24">
        <f>SUMIFS('Saldos Iniciales'!$D:$D,'Saldos Iniciales'!$A:$A,"Durand")+SUMIFS(Movimientos!$K$1:$K$743,Movimientos!$C$1:$C$743,"Durand",Movimientos!$B$1:$B$743,"&lt;="&amp;$B88)</f>
        <v>1669.89</v>
      </c>
      <c r="F88" s="24">
        <f>SUMIFS('Saldos Iniciales'!$D:$D,'Saldos Iniciales'!$A:$A,"A&amp;M Imports")+SUMIFS(Movimientos!$K$1:$K$743,Movimientos!$C$1:$C$743,"A&amp;M Imports",Movimientos!$B$1:$B$743,"&lt;="&amp;$B88)</f>
        <v>1042744.6899999997</v>
      </c>
      <c r="G88" s="24">
        <f>SUMIFS('Saldos Iniciales'!$D:$D,'Saldos Iniciales'!$A:$A,"SSP Capital")+SUMIFS(Movimientos!$K$1:$K$743,Movimientos!$C$1:$C$743,"SSP Capital",Movimientos!$B$1:$B$743,"&lt;="&amp;$B88)</f>
        <v>2022877.8699999996</v>
      </c>
      <c r="H88" s="24">
        <f>SUMIFS('Saldos Iniciales'!$D:$D,'Saldos Iniciales'!$A:$A,"Cross Family Trust")+SUMIFS(Movimientos!$K$1:$K$743,Movimientos!$C$1:$C$743,"Cross Family Trust",Movimientos!$B$1:$B$743,"&lt;="&amp;$B88)</f>
        <v>200496.38</v>
      </c>
      <c r="I88" s="24">
        <f>SUMIFS('Saldos Iniciales'!$D:$D,'Saldos Iniciales'!$A:$A,"Cross Security Trust")+SUMIFS(Movimientos!$K$1:$K$743,Movimientos!$C$1:$C$743,"Cross Security Trust",Movimientos!$B$1:$B$743,"&lt;="&amp;$B88)</f>
        <v>88090.37</v>
      </c>
      <c r="J88" s="24">
        <f>SUMIFS('Saldos Iniciales'!$D:$D,'Saldos Iniciales'!$A:$A,"Electrama")+SUMIFS(Movimientos!$K$1:$K$743,Movimientos!$C$1:$C$743,"Electrama",Movimientos!$B$1:$B$743,"&lt;="&amp;$B88)</f>
        <v>14580.45</v>
      </c>
      <c r="K88" s="24">
        <f>SUMIFS('Saldos Iniciales'!$D:$D,'Saldos Iniciales'!$A:$A,"Sacred Valley Capital")+SUMIFS(Movimientos!$K$1:$K$743,Movimientos!$C$1:$C$743,"Sacred Valley Capital",Movimientos!$B$1:$B$743,"&lt;="&amp;$B88)</f>
        <v>54.400000000000006</v>
      </c>
      <c r="L88" s="24">
        <f>SUMIFS('Saldos Iniciales'!$D:$D,'Saldos Iniciales'!$A:$A,"YWC Capital")+SUMIFS(Movimientos!$K$1:$K$743,Movimientos!$C$1:$C$743,"YWC Capital",Movimientos!$B$1:$B$743,"&lt;="&amp;$B88)</f>
        <v>2207.8200000000002</v>
      </c>
      <c r="M88" s="24">
        <f>SUMIFS('Saldos Iniciales'!$D:$D,'Saldos Iniciales'!$A:$A,"Soweto")+SUMIFS(Movimientos!$K$1:$K$743,Movimientos!$C$1:$C$743,"Soweto",Movimientos!$B$1:$B$743,"&lt;="&amp;$B88)</f>
        <v>1454589.72</v>
      </c>
      <c r="N88" s="24">
        <f>SUMIFS('Saldos Iniciales'!$D:$D,'Saldos Iniciales'!$A:$A,"Green Stone Trust")+SUMIFS(Movimientos!$K$1:$K$743,Movimientos!$C$1:$C$743,"Green Stone Trust",Movimientos!$B$1:$B$743,"&lt;="&amp;$B88)</f>
        <v>1968.99</v>
      </c>
      <c r="O88" s="24">
        <f>SUMIFS('Saldos Iniciales'!$D:$D,'Saldos Iniciales'!$A:$A,"EC Auto")+SUMIFS(Movimientos!$K$1:$K$743,Movimientos!$C$1:$C$743,"EC Auto",Movimientos!$B$1:$B$743,"&lt;="&amp;$B88)</f>
        <v>901.34</v>
      </c>
      <c r="P88" s="24">
        <f>SUMIFS('Saldos Iniciales'!$D:$D,'Saldos Iniciales'!$A:$A,"Arbor Capital Properties")+SUMIFS(Movimientos!$K$1:$K$743,Movimientos!$C$1:$C$743,"Arbor Capital Properties",Movimientos!$B$1:$B$743,"&lt;="&amp;$B88)</f>
        <v>1412.08</v>
      </c>
      <c r="Q88" s="24">
        <f>SUMIFS('Saldos Iniciales'!$D:$D,'Saldos Iniciales'!$A:$A,"2515 Overbrook")+SUMIFS(Movimientos!$K$1:$K$743,Movimientos!$C$1:$C$743,"2515 Overbrook",Movimientos!$B$1:$B$743,"&lt;="&amp;$B88)</f>
        <v>22347.56999999996</v>
      </c>
      <c r="R88" s="24">
        <f>SUMIFS('Saldos Iniciales'!$D:$D,'Saldos Iniciales'!$A:$A,"112 Florida Ave")+SUMIFS(Movimientos!$K$1:$K$743,Movimientos!$C$1:$C$743,"112 Florida Ave",Movimientos!$B$1:$B$743,"&lt;="&amp;$B88)</f>
        <v>18522.800000000003</v>
      </c>
      <c r="S88" s="24">
        <f>SUMIFS('Saldos Iniciales'!$D:$D,'Saldos Iniciales'!$A:$A,"3628 Thomas Ave")+SUMIFS(Movimientos!$K$1:$K$743,Movimientos!$C$1:$C$743,"3628 Thomas Ave",Movimientos!$B$1:$B$743,"&lt;="&amp;$B88)</f>
        <v>24085.559999999998</v>
      </c>
      <c r="T88" s="24">
        <f>SUMIFS('Saldos Iniciales'!$D:$D,'Saldos Iniciales'!$A:$A,"Green Harbor Trust")+SUMIFS(Movimientos!$K$1:$K$743,Movimientos!$C$1:$C$743,"Green Harbor Trust",Movimientos!$B$1:$B$743,"&lt;="&amp;$B88)</f>
        <v>345</v>
      </c>
      <c r="U88" s="24">
        <f>SUMIFS('Saldos Iniciales'!$D:$D,'Saldos Iniciales'!$A:$A,"Go Blue")+SUMIFS(Movimientos!$K$1:$K$743,Movimientos!$C$1:$C$743,"Go Blue",Movimientos!$B$1:$B$743,"&lt;="&amp;$B88)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Group")+SUMIFS(Movimientos!$K$1:$K$743,Movimientos!$C$1:$C$743,"CFT Group",Movimientos!$B$1:$B$743,"&lt;="&amp;$B89)</f>
        <v>2255750.7400000007</v>
      </c>
      <c r="D89" s="24">
        <f>SUMIFS('Saldos Iniciales'!$D:$D,'Saldos Iniciales'!$A:$A,"M1B")+SUMIFS(Movimientos!$K$1:$K$743,Movimientos!$C$1:$C$743,"M1B",Movimientos!$B$1:$B$743,"&lt;="&amp;$B89)</f>
        <v>73157.680000000168</v>
      </c>
      <c r="E89" s="24">
        <f>SUMIFS('Saldos Iniciales'!$D:$D,'Saldos Iniciales'!$A:$A,"Durand")+SUMIFS(Movimientos!$K$1:$K$743,Movimientos!$C$1:$C$743,"Durand",Movimientos!$B$1:$B$743,"&lt;="&amp;$B89)</f>
        <v>1669.89</v>
      </c>
      <c r="F89" s="24">
        <f>SUMIFS('Saldos Iniciales'!$D:$D,'Saldos Iniciales'!$A:$A,"A&amp;M Imports")+SUMIFS(Movimientos!$K$1:$K$743,Movimientos!$C$1:$C$743,"A&amp;M Imports",Movimientos!$B$1:$B$743,"&lt;="&amp;$B89)</f>
        <v>1392744.6899999997</v>
      </c>
      <c r="G89" s="24">
        <f>SUMIFS('Saldos Iniciales'!$D:$D,'Saldos Iniciales'!$A:$A,"SSP Capital")+SUMIFS(Movimientos!$K$1:$K$743,Movimientos!$C$1:$C$743,"SSP Capital",Movimientos!$B$1:$B$743,"&lt;="&amp;$B89)</f>
        <v>2022877.8699999996</v>
      </c>
      <c r="H89" s="24">
        <f>SUMIFS('Saldos Iniciales'!$D:$D,'Saldos Iniciales'!$A:$A,"Cross Family Trust")+SUMIFS(Movimientos!$K$1:$K$743,Movimientos!$C$1:$C$743,"Cross Family Trust",Movimientos!$B$1:$B$743,"&lt;="&amp;$B89)</f>
        <v>190496.38</v>
      </c>
      <c r="I89" s="24">
        <f>SUMIFS('Saldos Iniciales'!$D:$D,'Saldos Iniciales'!$A:$A,"Cross Security Trust")+SUMIFS(Movimientos!$K$1:$K$743,Movimientos!$C$1:$C$743,"Cross Security Trust",Movimientos!$B$1:$B$743,"&lt;="&amp;$B89)</f>
        <v>88090.37</v>
      </c>
      <c r="J89" s="24">
        <f>SUMIFS('Saldos Iniciales'!$D:$D,'Saldos Iniciales'!$A:$A,"Electrama")+SUMIFS(Movimientos!$K$1:$K$743,Movimientos!$C$1:$C$743,"Electrama",Movimientos!$B$1:$B$743,"&lt;="&amp;$B89)</f>
        <v>14580.45</v>
      </c>
      <c r="K89" s="24">
        <f>SUMIFS('Saldos Iniciales'!$D:$D,'Saldos Iniciales'!$A:$A,"Sacred Valley Capital")+SUMIFS(Movimientos!$K$1:$K$743,Movimientos!$C$1:$C$743,"Sacred Valley Capital",Movimientos!$B$1:$B$743,"&lt;="&amp;$B89)</f>
        <v>54.400000000000006</v>
      </c>
      <c r="L89" s="24">
        <f>SUMIFS('Saldos Iniciales'!$D:$D,'Saldos Iniciales'!$A:$A,"YWC Capital")+SUMIFS(Movimientos!$K$1:$K$743,Movimientos!$C$1:$C$743,"YWC Capital",Movimientos!$B$1:$B$743,"&lt;="&amp;$B89)</f>
        <v>2207.8200000000002</v>
      </c>
      <c r="M89" s="24">
        <f>SUMIFS('Saldos Iniciales'!$D:$D,'Saldos Iniciales'!$A:$A,"Soweto")+SUMIFS(Movimientos!$K$1:$K$743,Movimientos!$C$1:$C$743,"Soweto",Movimientos!$B$1:$B$743,"&lt;="&amp;$B89)</f>
        <v>1454589.72</v>
      </c>
      <c r="N89" s="24">
        <f>SUMIFS('Saldos Iniciales'!$D:$D,'Saldos Iniciales'!$A:$A,"Green Stone Trust")+SUMIFS(Movimientos!$K$1:$K$743,Movimientos!$C$1:$C$743,"Green Stone Trust",Movimientos!$B$1:$B$743,"&lt;="&amp;$B89)</f>
        <v>1968.99</v>
      </c>
      <c r="O89" s="24">
        <f>SUMIFS('Saldos Iniciales'!$D:$D,'Saldos Iniciales'!$A:$A,"EC Auto")+SUMIFS(Movimientos!$K$1:$K$743,Movimientos!$C$1:$C$743,"EC Auto",Movimientos!$B$1:$B$743,"&lt;="&amp;$B89)</f>
        <v>901.34</v>
      </c>
      <c r="P89" s="24">
        <f>SUMIFS('Saldos Iniciales'!$D:$D,'Saldos Iniciales'!$A:$A,"Arbor Capital Properties")+SUMIFS(Movimientos!$K$1:$K$743,Movimientos!$C$1:$C$743,"Arbor Capital Properties",Movimientos!$B$1:$B$743,"&lt;="&amp;$B89)</f>
        <v>1412.08</v>
      </c>
      <c r="Q89" s="24">
        <f>SUMIFS('Saldos Iniciales'!$D:$D,'Saldos Iniciales'!$A:$A,"2515 Overbrook")+SUMIFS(Movimientos!$K$1:$K$743,Movimientos!$C$1:$C$743,"2515 Overbrook",Movimientos!$B$1:$B$743,"&lt;="&amp;$B89)</f>
        <v>22347.56999999996</v>
      </c>
      <c r="R89" s="24">
        <f>SUMIFS('Saldos Iniciales'!$D:$D,'Saldos Iniciales'!$A:$A,"112 Florida Ave")+SUMIFS(Movimientos!$K$1:$K$743,Movimientos!$C$1:$C$743,"112 Florida Ave",Movimientos!$B$1:$B$743,"&lt;="&amp;$B89)</f>
        <v>18522.800000000003</v>
      </c>
      <c r="S89" s="24">
        <f>SUMIFS('Saldos Iniciales'!$D:$D,'Saldos Iniciales'!$A:$A,"3628 Thomas Ave")+SUMIFS(Movimientos!$K$1:$K$743,Movimientos!$C$1:$C$743,"3628 Thomas Ave",Movimientos!$B$1:$B$743,"&lt;="&amp;$B89)</f>
        <v>24085.559999999998</v>
      </c>
      <c r="T89" s="24">
        <f>SUMIFS('Saldos Iniciales'!$D:$D,'Saldos Iniciales'!$A:$A,"Green Harbor Trust")+SUMIFS(Movimientos!$K$1:$K$743,Movimientos!$C$1:$C$743,"Green Harbor Trust",Movimientos!$B$1:$B$743,"&lt;="&amp;$B89)</f>
        <v>345</v>
      </c>
      <c r="U89" s="24">
        <f>SUMIFS('Saldos Iniciales'!$D:$D,'Saldos Iniciales'!$A:$A,"Go Blue")+SUMIFS(Movimientos!$K$1:$K$743,Movimientos!$C$1:$C$743,"Go Blue",Movimientos!$B$1:$B$743,"&lt;="&amp;$B89)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Group")+SUMIFS(Movimientos!$K$1:$K$743,Movimientos!$C$1:$C$743,"CFT Group",Movimientos!$B$1:$B$743,"&lt;="&amp;$B90)</f>
        <v>2255750.7400000007</v>
      </c>
      <c r="D90" s="24">
        <f>SUMIFS('Saldos Iniciales'!$D:$D,'Saldos Iniciales'!$A:$A,"M1B")+SUMIFS(Movimientos!$K$1:$K$743,Movimientos!$C$1:$C$743,"M1B",Movimientos!$B$1:$B$743,"&lt;="&amp;$B90)</f>
        <v>80574.12000000017</v>
      </c>
      <c r="E90" s="24">
        <f>SUMIFS('Saldos Iniciales'!$D:$D,'Saldos Iniciales'!$A:$A,"Durand")+SUMIFS(Movimientos!$K$1:$K$743,Movimientos!$C$1:$C$743,"Durand",Movimientos!$B$1:$B$743,"&lt;="&amp;$B90)</f>
        <v>1669.89</v>
      </c>
      <c r="F90" s="24">
        <f>SUMIFS('Saldos Iniciales'!$D:$D,'Saldos Iniciales'!$A:$A,"A&amp;M Imports")+SUMIFS(Movimientos!$K$1:$K$743,Movimientos!$C$1:$C$743,"A&amp;M Imports",Movimientos!$B$1:$B$743,"&lt;="&amp;$B90)</f>
        <v>1415636.7399999998</v>
      </c>
      <c r="G90" s="24">
        <f>SUMIFS('Saldos Iniciales'!$D:$D,'Saldos Iniciales'!$A:$A,"SSP Capital")+SUMIFS(Movimientos!$K$1:$K$743,Movimientos!$C$1:$C$743,"SSP Capital",Movimientos!$B$1:$B$743,"&lt;="&amp;$B90)</f>
        <v>1857997.0999999996</v>
      </c>
      <c r="H90" s="24">
        <f>SUMIFS('Saldos Iniciales'!$D:$D,'Saldos Iniciales'!$A:$A,"Cross Family Trust")+SUMIFS(Movimientos!$K$1:$K$743,Movimientos!$C$1:$C$743,"Cross Family Trust",Movimientos!$B$1:$B$743,"&lt;="&amp;$B90)</f>
        <v>190496.38</v>
      </c>
      <c r="I90" s="24">
        <f>SUMIFS('Saldos Iniciales'!$D:$D,'Saldos Iniciales'!$A:$A,"Cross Security Trust")+SUMIFS(Movimientos!$K$1:$K$743,Movimientos!$C$1:$C$743,"Cross Security Trust",Movimientos!$B$1:$B$743,"&lt;="&amp;$B90)</f>
        <v>88090.37</v>
      </c>
      <c r="J90" s="24">
        <f>SUMIFS('Saldos Iniciales'!$D:$D,'Saldos Iniciales'!$A:$A,"Electrama")+SUMIFS(Movimientos!$K$1:$K$743,Movimientos!$C$1:$C$743,"Electrama",Movimientos!$B$1:$B$743,"&lt;="&amp;$B90)</f>
        <v>14580.45</v>
      </c>
      <c r="K90" s="24">
        <f>SUMIFS('Saldos Iniciales'!$D:$D,'Saldos Iniciales'!$A:$A,"Sacred Valley Capital")+SUMIFS(Movimientos!$K$1:$K$743,Movimientos!$C$1:$C$743,"Sacred Valley Capital",Movimientos!$B$1:$B$743,"&lt;="&amp;$B90)</f>
        <v>54.400000000000006</v>
      </c>
      <c r="L90" s="24">
        <f>SUMIFS('Saldos Iniciales'!$D:$D,'Saldos Iniciales'!$A:$A,"YWC Capital")+SUMIFS(Movimientos!$K$1:$K$743,Movimientos!$C$1:$C$743,"YWC Capital",Movimientos!$B$1:$B$743,"&lt;="&amp;$B90)</f>
        <v>2207.8200000000002</v>
      </c>
      <c r="M90" s="24">
        <f>SUMIFS('Saldos Iniciales'!$D:$D,'Saldos Iniciales'!$A:$A,"Soweto")+SUMIFS(Movimientos!$K$1:$K$743,Movimientos!$C$1:$C$743,"Soweto",Movimientos!$B$1:$B$743,"&lt;="&amp;$B90)</f>
        <v>1454589.72</v>
      </c>
      <c r="N90" s="24">
        <f>SUMIFS('Saldos Iniciales'!$D:$D,'Saldos Iniciales'!$A:$A,"Green Stone Trust")+SUMIFS(Movimientos!$K$1:$K$743,Movimientos!$C$1:$C$743,"Green Stone Trust",Movimientos!$B$1:$B$743,"&lt;="&amp;$B90)</f>
        <v>1968.99</v>
      </c>
      <c r="O90" s="24">
        <f>SUMIFS('Saldos Iniciales'!$D:$D,'Saldos Iniciales'!$A:$A,"EC Auto")+SUMIFS(Movimientos!$K$1:$K$743,Movimientos!$C$1:$C$743,"EC Auto",Movimientos!$B$1:$B$743,"&lt;="&amp;$B90)</f>
        <v>901.34</v>
      </c>
      <c r="P90" s="24">
        <f>SUMIFS('Saldos Iniciales'!$D:$D,'Saldos Iniciales'!$A:$A,"Arbor Capital Properties")+SUMIFS(Movimientos!$K$1:$K$743,Movimientos!$C$1:$C$743,"Arbor Capital Properties",Movimientos!$B$1:$B$743,"&lt;="&amp;$B90)</f>
        <v>1412.08</v>
      </c>
      <c r="Q90" s="24">
        <f>SUMIFS('Saldos Iniciales'!$D:$D,'Saldos Iniciales'!$A:$A,"2515 Overbrook")+SUMIFS(Movimientos!$K$1:$K$743,Movimientos!$C$1:$C$743,"2515 Overbrook",Movimientos!$B$1:$B$743,"&lt;="&amp;$B90)</f>
        <v>22347.56999999996</v>
      </c>
      <c r="R90" s="24">
        <f>SUMIFS('Saldos Iniciales'!$D:$D,'Saldos Iniciales'!$A:$A,"112 Florida Ave")+SUMIFS(Movimientos!$K$1:$K$743,Movimientos!$C$1:$C$743,"112 Florida Ave",Movimientos!$B$1:$B$743,"&lt;="&amp;$B90)</f>
        <v>18522.800000000003</v>
      </c>
      <c r="S90" s="24">
        <f>SUMIFS('Saldos Iniciales'!$D:$D,'Saldos Iniciales'!$A:$A,"3628 Thomas Ave")+SUMIFS(Movimientos!$K$1:$K$743,Movimientos!$C$1:$C$743,"3628 Thomas Ave",Movimientos!$B$1:$B$743,"&lt;="&amp;$B90)</f>
        <v>24085.559999999998</v>
      </c>
      <c r="T90" s="24">
        <f>SUMIFS('Saldos Iniciales'!$D:$D,'Saldos Iniciales'!$A:$A,"Green Harbor Trust")+SUMIFS(Movimientos!$K$1:$K$743,Movimientos!$C$1:$C$743,"Green Harbor Trust",Movimientos!$B$1:$B$743,"&lt;="&amp;$B90)</f>
        <v>345</v>
      </c>
      <c r="U90" s="24">
        <f>SUMIFS('Saldos Iniciales'!$D:$D,'Saldos Iniciales'!$A:$A,"Go Blue")+SUMIFS(Movimientos!$K$1:$K$743,Movimientos!$C$1:$C$743,"Go Blue",Movimientos!$B$1:$B$743,"&lt;="&amp;$B90)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Group")+SUMIFS(Movimientos!$K$1:$K$743,Movimientos!$C$1:$C$743,"CFT Group",Movimientos!$B$1:$B$743,"&lt;="&amp;$B91)</f>
        <v>2270539.1300000008</v>
      </c>
      <c r="D91" s="24">
        <f>SUMIFS('Saldos Iniciales'!$D:$D,'Saldos Iniciales'!$A:$A,"M1B")+SUMIFS(Movimientos!$K$1:$K$743,Movimientos!$C$1:$C$743,"M1B",Movimientos!$B$1:$B$743,"&lt;="&amp;$B91)</f>
        <v>83211.250000000175</v>
      </c>
      <c r="E91" s="24">
        <f>SUMIFS('Saldos Iniciales'!$D:$D,'Saldos Iniciales'!$A:$A,"Durand")+SUMIFS(Movimientos!$K$1:$K$743,Movimientos!$C$1:$C$743,"Durand",Movimientos!$B$1:$B$743,"&lt;="&amp;$B91)</f>
        <v>1669.89</v>
      </c>
      <c r="F91" s="24">
        <f>SUMIFS('Saldos Iniciales'!$D:$D,'Saldos Iniciales'!$A:$A,"A&amp;M Imports")+SUMIFS(Movimientos!$K$1:$K$743,Movimientos!$C$1:$C$743,"A&amp;M Imports",Movimientos!$B$1:$B$743,"&lt;="&amp;$B91)</f>
        <v>1434634.5999999999</v>
      </c>
      <c r="G91" s="24">
        <f>SUMIFS('Saldos Iniciales'!$D:$D,'Saldos Iniciales'!$A:$A,"SSP Capital")+SUMIFS(Movimientos!$K$1:$K$743,Movimientos!$C$1:$C$743,"SSP Capital",Movimientos!$B$1:$B$743,"&lt;="&amp;$B91)</f>
        <v>1857997.0999999996</v>
      </c>
      <c r="H91" s="24">
        <f>SUMIFS('Saldos Iniciales'!$D:$D,'Saldos Iniciales'!$A:$A,"Cross Family Trust")+SUMIFS(Movimientos!$K$1:$K$743,Movimientos!$C$1:$C$743,"Cross Family Trust",Movimientos!$B$1:$B$743,"&lt;="&amp;$B91)</f>
        <v>190496.38</v>
      </c>
      <c r="I91" s="24">
        <f>SUMIFS('Saldos Iniciales'!$D:$D,'Saldos Iniciales'!$A:$A,"Cross Security Trust")+SUMIFS(Movimientos!$K$1:$K$743,Movimientos!$C$1:$C$743,"Cross Security Trust",Movimientos!$B$1:$B$743,"&lt;="&amp;$B91)</f>
        <v>88090.37</v>
      </c>
      <c r="J91" s="24">
        <f>SUMIFS('Saldos Iniciales'!$D:$D,'Saldos Iniciales'!$A:$A,"Electrama")+SUMIFS(Movimientos!$K$1:$K$743,Movimientos!$C$1:$C$743,"Electrama",Movimientos!$B$1:$B$743,"&lt;="&amp;$B91)</f>
        <v>14580.45</v>
      </c>
      <c r="K91" s="24">
        <f>SUMIFS('Saldos Iniciales'!$D:$D,'Saldos Iniciales'!$A:$A,"Sacred Valley Capital")+SUMIFS(Movimientos!$K$1:$K$743,Movimientos!$C$1:$C$743,"Sacred Valley Capital",Movimientos!$B$1:$B$743,"&lt;="&amp;$B91)</f>
        <v>54.400000000000006</v>
      </c>
      <c r="L91" s="24">
        <f>SUMIFS('Saldos Iniciales'!$D:$D,'Saldos Iniciales'!$A:$A,"YWC Capital")+SUMIFS(Movimientos!$K$1:$K$743,Movimientos!$C$1:$C$743,"YWC Capital",Movimientos!$B$1:$B$743,"&lt;="&amp;$B91)</f>
        <v>2207.8200000000002</v>
      </c>
      <c r="M91" s="24">
        <f>SUMIFS('Saldos Iniciales'!$D:$D,'Saldos Iniciales'!$A:$A,"Soweto")+SUMIFS(Movimientos!$K$1:$K$743,Movimientos!$C$1:$C$743,"Soweto",Movimientos!$B$1:$B$743,"&lt;="&amp;$B91)</f>
        <v>1454589.72</v>
      </c>
      <c r="N91" s="24">
        <f>SUMIFS('Saldos Iniciales'!$D:$D,'Saldos Iniciales'!$A:$A,"Green Stone Trust")+SUMIFS(Movimientos!$K$1:$K$743,Movimientos!$C$1:$C$743,"Green Stone Trust",Movimientos!$B$1:$B$743,"&lt;="&amp;$B91)</f>
        <v>1968.99</v>
      </c>
      <c r="O91" s="24">
        <f>SUMIFS('Saldos Iniciales'!$D:$D,'Saldos Iniciales'!$A:$A,"EC Auto")+SUMIFS(Movimientos!$K$1:$K$743,Movimientos!$C$1:$C$743,"EC Auto",Movimientos!$B$1:$B$743,"&lt;="&amp;$B91)</f>
        <v>901.34</v>
      </c>
      <c r="P91" s="24">
        <f>SUMIFS('Saldos Iniciales'!$D:$D,'Saldos Iniciales'!$A:$A,"Arbor Capital Properties")+SUMIFS(Movimientos!$K$1:$K$743,Movimientos!$C$1:$C$743,"Arbor Capital Properties",Movimientos!$B$1:$B$743,"&lt;="&amp;$B91)</f>
        <v>1412.08</v>
      </c>
      <c r="Q91" s="24">
        <f>SUMIFS('Saldos Iniciales'!$D:$D,'Saldos Iniciales'!$A:$A,"2515 Overbrook")+SUMIFS(Movimientos!$K$1:$K$743,Movimientos!$C$1:$C$743,"2515 Overbrook",Movimientos!$B$1:$B$743,"&lt;="&amp;$B91)</f>
        <v>22347.56999999996</v>
      </c>
      <c r="R91" s="24">
        <f>SUMIFS('Saldos Iniciales'!$D:$D,'Saldos Iniciales'!$A:$A,"112 Florida Ave")+SUMIFS(Movimientos!$K$1:$K$743,Movimientos!$C$1:$C$743,"112 Florida Ave",Movimientos!$B$1:$B$743,"&lt;="&amp;$B91)</f>
        <v>18522.800000000003</v>
      </c>
      <c r="S91" s="24">
        <f>SUMIFS('Saldos Iniciales'!$D:$D,'Saldos Iniciales'!$A:$A,"3628 Thomas Ave")+SUMIFS(Movimientos!$K$1:$K$743,Movimientos!$C$1:$C$743,"3628 Thomas Ave",Movimientos!$B$1:$B$743,"&lt;="&amp;$B91)</f>
        <v>24085.559999999998</v>
      </c>
      <c r="T91" s="24">
        <f>SUMIFS('Saldos Iniciales'!$D:$D,'Saldos Iniciales'!$A:$A,"Green Harbor Trust")+SUMIFS(Movimientos!$K$1:$K$743,Movimientos!$C$1:$C$743,"Green Harbor Trust",Movimientos!$B$1:$B$743,"&lt;="&amp;$B91)</f>
        <v>345</v>
      </c>
      <c r="U91" s="24">
        <f>SUMIFS('Saldos Iniciales'!$D:$D,'Saldos Iniciales'!$A:$A,"Go Blue")+SUMIFS(Movimientos!$K$1:$K$743,Movimientos!$C$1:$C$743,"Go Blue",Movimientos!$B$1:$B$743,"&lt;="&amp;$B91)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Group")+SUMIFS(Movimientos!$K$1:$K$743,Movimientos!$C$1:$C$743,"CFT Group",Movimientos!$B$1:$B$743,"&lt;="&amp;$B92)</f>
        <v>2470350.7000000002</v>
      </c>
      <c r="D92" s="24">
        <f>SUMIFS('Saldos Iniciales'!$D:$D,'Saldos Iniciales'!$A:$A,"M1B")+SUMIFS(Movimientos!$K$1:$K$743,Movimientos!$C$1:$C$743,"M1B",Movimientos!$B$1:$B$743,"&lt;="&amp;$B92)</f>
        <v>83211.250000000175</v>
      </c>
      <c r="E92" s="24">
        <f>SUMIFS('Saldos Iniciales'!$D:$D,'Saldos Iniciales'!$A:$A,"Durand")+SUMIFS(Movimientos!$K$1:$K$743,Movimientos!$C$1:$C$743,"Durand",Movimientos!$B$1:$B$743,"&lt;="&amp;$B92)</f>
        <v>1669.89</v>
      </c>
      <c r="F92" s="24">
        <f>SUMIFS('Saldos Iniciales'!$D:$D,'Saldos Iniciales'!$A:$A,"A&amp;M Imports")+SUMIFS(Movimientos!$K$1:$K$743,Movimientos!$C$1:$C$743,"A&amp;M Imports",Movimientos!$B$1:$B$743,"&lt;="&amp;$B92)</f>
        <v>1458426.0399999998</v>
      </c>
      <c r="G92" s="24">
        <f>SUMIFS('Saldos Iniciales'!$D:$D,'Saldos Iniciales'!$A:$A,"SSP Capital")+SUMIFS(Movimientos!$K$1:$K$743,Movimientos!$C$1:$C$743,"SSP Capital",Movimientos!$B$1:$B$743,"&lt;="&amp;$B92)</f>
        <v>1857993.8499999996</v>
      </c>
      <c r="H92" s="24">
        <f>SUMIFS('Saldos Iniciales'!$D:$D,'Saldos Iniciales'!$A:$A,"Cross Family Trust")+SUMIFS(Movimientos!$K$1:$K$743,Movimientos!$C$1:$C$743,"Cross Family Trust",Movimientos!$B$1:$B$743,"&lt;="&amp;$B92)</f>
        <v>190496.38</v>
      </c>
      <c r="I92" s="24">
        <f>SUMIFS('Saldos Iniciales'!$D:$D,'Saldos Iniciales'!$A:$A,"Cross Security Trust")+SUMIFS(Movimientos!$K$1:$K$743,Movimientos!$C$1:$C$743,"Cross Security Trust",Movimientos!$B$1:$B$743,"&lt;="&amp;$B92)</f>
        <v>88090.37</v>
      </c>
      <c r="J92" s="24">
        <f>SUMIFS('Saldos Iniciales'!$D:$D,'Saldos Iniciales'!$A:$A,"Electrama")+SUMIFS(Movimientos!$K$1:$K$743,Movimientos!$C$1:$C$743,"Electrama",Movimientos!$B$1:$B$743,"&lt;="&amp;$B92)</f>
        <v>14580.45</v>
      </c>
      <c r="K92" s="24">
        <f>SUMIFS('Saldos Iniciales'!$D:$D,'Saldos Iniciales'!$A:$A,"Sacred Valley Capital")+SUMIFS(Movimientos!$K$1:$K$743,Movimientos!$C$1:$C$743,"Sacred Valley Capital",Movimientos!$B$1:$B$743,"&lt;="&amp;$B92)</f>
        <v>54.400000000000006</v>
      </c>
      <c r="L92" s="24">
        <f>SUMIFS('Saldos Iniciales'!$D:$D,'Saldos Iniciales'!$A:$A,"YWC Capital")+SUMIFS(Movimientos!$K$1:$K$743,Movimientos!$C$1:$C$743,"YWC Capital",Movimientos!$B$1:$B$743,"&lt;="&amp;$B92)</f>
        <v>2207.8200000000002</v>
      </c>
      <c r="M92" s="24">
        <f>SUMIFS('Saldos Iniciales'!$D:$D,'Saldos Iniciales'!$A:$A,"Soweto")+SUMIFS(Movimientos!$K$1:$K$743,Movimientos!$C$1:$C$743,"Soweto",Movimientos!$B$1:$B$743,"&lt;="&amp;$B92)</f>
        <v>1454589.72</v>
      </c>
      <c r="N92" s="24">
        <f>SUMIFS('Saldos Iniciales'!$D:$D,'Saldos Iniciales'!$A:$A,"Green Stone Trust")+SUMIFS(Movimientos!$K$1:$K$743,Movimientos!$C$1:$C$743,"Green Stone Trust",Movimientos!$B$1:$B$743,"&lt;="&amp;$B92)</f>
        <v>1968.99</v>
      </c>
      <c r="O92" s="24">
        <f>SUMIFS('Saldos Iniciales'!$D:$D,'Saldos Iniciales'!$A:$A,"EC Auto")+SUMIFS(Movimientos!$K$1:$K$743,Movimientos!$C$1:$C$743,"EC Auto",Movimientos!$B$1:$B$743,"&lt;="&amp;$B92)</f>
        <v>901.34</v>
      </c>
      <c r="P92" s="24">
        <f>SUMIFS('Saldos Iniciales'!$D:$D,'Saldos Iniciales'!$A:$A,"Arbor Capital Properties")+SUMIFS(Movimientos!$K$1:$K$743,Movimientos!$C$1:$C$743,"Arbor Capital Properties",Movimientos!$B$1:$B$743,"&lt;="&amp;$B92)</f>
        <v>1412.08</v>
      </c>
      <c r="Q92" s="24">
        <f>SUMIFS('Saldos Iniciales'!$D:$D,'Saldos Iniciales'!$A:$A,"2515 Overbrook")+SUMIFS(Movimientos!$K$1:$K$743,Movimientos!$C$1:$C$743,"2515 Overbrook",Movimientos!$B$1:$B$743,"&lt;="&amp;$B92)</f>
        <v>22347.56999999996</v>
      </c>
      <c r="R92" s="24">
        <f>SUMIFS('Saldos Iniciales'!$D:$D,'Saldos Iniciales'!$A:$A,"112 Florida Ave")+SUMIFS(Movimientos!$K$1:$K$743,Movimientos!$C$1:$C$743,"112 Florida Ave",Movimientos!$B$1:$B$743,"&lt;="&amp;$B92)</f>
        <v>18522.800000000003</v>
      </c>
      <c r="S92" s="24">
        <f>SUMIFS('Saldos Iniciales'!$D:$D,'Saldos Iniciales'!$A:$A,"3628 Thomas Ave")+SUMIFS(Movimientos!$K$1:$K$743,Movimientos!$C$1:$C$743,"3628 Thomas Ave",Movimientos!$B$1:$B$743,"&lt;="&amp;$B92)</f>
        <v>24085.559999999998</v>
      </c>
      <c r="T92" s="24">
        <f>SUMIFS('Saldos Iniciales'!$D:$D,'Saldos Iniciales'!$A:$A,"Green Harbor Trust")+SUMIFS(Movimientos!$K$1:$K$743,Movimientos!$C$1:$C$743,"Green Harbor Trust",Movimientos!$B$1:$B$743,"&lt;="&amp;$B92)</f>
        <v>345</v>
      </c>
      <c r="U92" s="24">
        <f>SUMIFS('Saldos Iniciales'!$D:$D,'Saldos Iniciales'!$A:$A,"Go Blue")+SUMIFS(Movimientos!$K$1:$K$743,Movimientos!$C$1:$C$743,"Go Blue",Movimientos!$B$1:$B$743,"&lt;="&amp;$B92)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Group")+SUMIFS(Movimientos!$K$1:$K$743,Movimientos!$C$1:$C$743,"CFT Group",Movimientos!$B$1:$B$743,"&lt;="&amp;$B93)</f>
        <v>2468032.08</v>
      </c>
      <c r="D93" s="24">
        <f>SUMIFS('Saldos Iniciales'!$D:$D,'Saldos Iniciales'!$A:$A,"M1B")+SUMIFS(Movimientos!$K$1:$K$743,Movimientos!$C$1:$C$743,"M1B",Movimientos!$B$1:$B$743,"&lt;="&amp;$B93)</f>
        <v>83211.250000000175</v>
      </c>
      <c r="E93" s="24">
        <f>SUMIFS('Saldos Iniciales'!$D:$D,'Saldos Iniciales'!$A:$A,"Durand")+SUMIFS(Movimientos!$K$1:$K$743,Movimientos!$C$1:$C$743,"Durand",Movimientos!$B$1:$B$743,"&lt;="&amp;$B93)</f>
        <v>1669.89</v>
      </c>
      <c r="F93" s="24">
        <f>SUMIFS('Saldos Iniciales'!$D:$D,'Saldos Iniciales'!$A:$A,"A&amp;M Imports")+SUMIFS(Movimientos!$K$1:$K$743,Movimientos!$C$1:$C$743,"A&amp;M Imports",Movimientos!$B$1:$B$743,"&lt;="&amp;$B93)</f>
        <v>1458426.0399999998</v>
      </c>
      <c r="G93" s="24">
        <f>SUMIFS('Saldos Iniciales'!$D:$D,'Saldos Iniciales'!$A:$A,"SSP Capital")+SUMIFS(Movimientos!$K$1:$K$743,Movimientos!$C$1:$C$743,"SSP Capital",Movimientos!$B$1:$B$743,"&lt;="&amp;$B93)</f>
        <v>1514477.1199999996</v>
      </c>
      <c r="H93" s="24">
        <f>SUMIFS('Saldos Iniciales'!$D:$D,'Saldos Iniciales'!$A:$A,"Cross Family Trust")+SUMIFS(Movimientos!$K$1:$K$743,Movimientos!$C$1:$C$743,"Cross Family Trust",Movimientos!$B$1:$B$743,"&lt;="&amp;$B93)</f>
        <v>190496.38</v>
      </c>
      <c r="I93" s="24">
        <f>SUMIFS('Saldos Iniciales'!$D:$D,'Saldos Iniciales'!$A:$A,"Cross Security Trust")+SUMIFS(Movimientos!$K$1:$K$743,Movimientos!$C$1:$C$743,"Cross Security Trust",Movimientos!$B$1:$B$743,"&lt;="&amp;$B93)</f>
        <v>88090.37</v>
      </c>
      <c r="J93" s="24">
        <f>SUMIFS('Saldos Iniciales'!$D:$D,'Saldos Iniciales'!$A:$A,"Electrama")+SUMIFS(Movimientos!$K$1:$K$743,Movimientos!$C$1:$C$743,"Electrama",Movimientos!$B$1:$B$743,"&lt;="&amp;$B93)</f>
        <v>14580.45</v>
      </c>
      <c r="K93" s="24">
        <f>SUMIFS('Saldos Iniciales'!$D:$D,'Saldos Iniciales'!$A:$A,"Sacred Valley Capital")+SUMIFS(Movimientos!$K$1:$K$743,Movimientos!$C$1:$C$743,"Sacred Valley Capital",Movimientos!$B$1:$B$743,"&lt;="&amp;$B93)</f>
        <v>54.400000000000006</v>
      </c>
      <c r="L93" s="24">
        <f>SUMIFS('Saldos Iniciales'!$D:$D,'Saldos Iniciales'!$A:$A,"YWC Capital")+SUMIFS(Movimientos!$K$1:$K$743,Movimientos!$C$1:$C$743,"YWC Capital",Movimientos!$B$1:$B$743,"&lt;="&amp;$B93)</f>
        <v>2207.8200000000002</v>
      </c>
      <c r="M93" s="24">
        <f>SUMIFS('Saldos Iniciales'!$D:$D,'Saldos Iniciales'!$A:$A,"Soweto")+SUMIFS(Movimientos!$K$1:$K$743,Movimientos!$C$1:$C$743,"Soweto",Movimientos!$B$1:$B$743,"&lt;="&amp;$B93)</f>
        <v>1454589.72</v>
      </c>
      <c r="N93" s="24">
        <f>SUMIFS('Saldos Iniciales'!$D:$D,'Saldos Iniciales'!$A:$A,"Green Stone Trust")+SUMIFS(Movimientos!$K$1:$K$743,Movimientos!$C$1:$C$743,"Green Stone Trust",Movimientos!$B$1:$B$743,"&lt;="&amp;$B93)</f>
        <v>1968.99</v>
      </c>
      <c r="O93" s="24">
        <f>SUMIFS('Saldos Iniciales'!$D:$D,'Saldos Iniciales'!$A:$A,"EC Auto")+SUMIFS(Movimientos!$K$1:$K$743,Movimientos!$C$1:$C$743,"EC Auto",Movimientos!$B$1:$B$743,"&lt;="&amp;$B93)</f>
        <v>901.34</v>
      </c>
      <c r="P93" s="24">
        <f>SUMIFS('Saldos Iniciales'!$D:$D,'Saldos Iniciales'!$A:$A,"Arbor Capital Properties")+SUMIFS(Movimientos!$K$1:$K$743,Movimientos!$C$1:$C$743,"Arbor Capital Properties",Movimientos!$B$1:$B$743,"&lt;="&amp;$B93)</f>
        <v>1412.08</v>
      </c>
      <c r="Q93" s="24">
        <f>SUMIFS('Saldos Iniciales'!$D:$D,'Saldos Iniciales'!$A:$A,"2515 Overbrook")+SUMIFS(Movimientos!$K$1:$K$743,Movimientos!$C$1:$C$743,"2515 Overbrook",Movimientos!$B$1:$B$743,"&lt;="&amp;$B93)</f>
        <v>22347.56999999996</v>
      </c>
      <c r="R93" s="24">
        <f>SUMIFS('Saldos Iniciales'!$D:$D,'Saldos Iniciales'!$A:$A,"112 Florida Ave")+SUMIFS(Movimientos!$K$1:$K$743,Movimientos!$C$1:$C$743,"112 Florida Ave",Movimientos!$B$1:$B$743,"&lt;="&amp;$B93)</f>
        <v>18522.800000000003</v>
      </c>
      <c r="S93" s="24">
        <f>SUMIFS('Saldos Iniciales'!$D:$D,'Saldos Iniciales'!$A:$A,"3628 Thomas Ave")+SUMIFS(Movimientos!$K$1:$K$743,Movimientos!$C$1:$C$743,"3628 Thomas Ave",Movimientos!$B$1:$B$743,"&lt;="&amp;$B93)</f>
        <v>24085.559999999998</v>
      </c>
      <c r="T93" s="24">
        <f>SUMIFS('Saldos Iniciales'!$D:$D,'Saldos Iniciales'!$A:$A,"Green Harbor Trust")+SUMIFS(Movimientos!$K$1:$K$743,Movimientos!$C$1:$C$743,"Green Harbor Trust",Movimientos!$B$1:$B$743,"&lt;="&amp;$B93)</f>
        <v>345</v>
      </c>
      <c r="U93" s="24">
        <f>SUMIFS('Saldos Iniciales'!$D:$D,'Saldos Iniciales'!$A:$A,"Go Blue")+SUMIFS(Movimientos!$K$1:$K$743,Movimientos!$C$1:$C$743,"Go Blue",Movimientos!$B$1:$B$743,"&lt;="&amp;$B93)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Group")+SUMIFS(Movimientos!$K$1:$K$743,Movimientos!$C$1:$C$743,"CFT Group",Movimientos!$B$1:$B$743,"&lt;="&amp;$B94)</f>
        <v>2468032.08</v>
      </c>
      <c r="D94" s="24">
        <f>SUMIFS('Saldos Iniciales'!$D:$D,'Saldos Iniciales'!$A:$A,"M1B")+SUMIFS(Movimientos!$K$1:$K$743,Movimientos!$C$1:$C$743,"M1B",Movimientos!$B$1:$B$743,"&lt;="&amp;$B94)</f>
        <v>83211.250000000175</v>
      </c>
      <c r="E94" s="24">
        <f>SUMIFS('Saldos Iniciales'!$D:$D,'Saldos Iniciales'!$A:$A,"Durand")+SUMIFS(Movimientos!$K$1:$K$743,Movimientos!$C$1:$C$743,"Durand",Movimientos!$B$1:$B$743,"&lt;="&amp;$B94)</f>
        <v>1669.89</v>
      </c>
      <c r="F94" s="24">
        <f>SUMIFS('Saldos Iniciales'!$D:$D,'Saldos Iniciales'!$A:$A,"A&amp;M Imports")+SUMIFS(Movimientos!$K$1:$K$743,Movimientos!$C$1:$C$743,"A&amp;M Imports",Movimientos!$B$1:$B$743,"&lt;="&amp;$B94)</f>
        <v>1458426.0399999998</v>
      </c>
      <c r="G94" s="24">
        <f>SUMIFS('Saldos Iniciales'!$D:$D,'Saldos Iniciales'!$A:$A,"SSP Capital")+SUMIFS(Movimientos!$K$1:$K$743,Movimientos!$C$1:$C$743,"SSP Capital",Movimientos!$B$1:$B$743,"&lt;="&amp;$B94)</f>
        <v>1514477.1199999996</v>
      </c>
      <c r="H94" s="24">
        <f>SUMIFS('Saldos Iniciales'!$D:$D,'Saldos Iniciales'!$A:$A,"Cross Family Trust")+SUMIFS(Movimientos!$K$1:$K$743,Movimientos!$C$1:$C$743,"Cross Family Trust",Movimientos!$B$1:$B$743,"&lt;="&amp;$B94)</f>
        <v>190496.38</v>
      </c>
      <c r="I94" s="24">
        <f>SUMIFS('Saldos Iniciales'!$D:$D,'Saldos Iniciales'!$A:$A,"Cross Security Trust")+SUMIFS(Movimientos!$K$1:$K$743,Movimientos!$C$1:$C$743,"Cross Security Trust",Movimientos!$B$1:$B$743,"&lt;="&amp;$B94)</f>
        <v>88090.37</v>
      </c>
      <c r="J94" s="24">
        <f>SUMIFS('Saldos Iniciales'!$D:$D,'Saldos Iniciales'!$A:$A,"Electrama")+SUMIFS(Movimientos!$K$1:$K$743,Movimientos!$C$1:$C$743,"Electrama",Movimientos!$B$1:$B$743,"&lt;="&amp;$B94)</f>
        <v>14580.45</v>
      </c>
      <c r="K94" s="24">
        <f>SUMIFS('Saldos Iniciales'!$D:$D,'Saldos Iniciales'!$A:$A,"Sacred Valley Capital")+SUMIFS(Movimientos!$K$1:$K$743,Movimientos!$C$1:$C$743,"Sacred Valley Capital",Movimientos!$B$1:$B$743,"&lt;="&amp;$B94)</f>
        <v>54.400000000000006</v>
      </c>
      <c r="L94" s="24">
        <f>SUMIFS('Saldos Iniciales'!$D:$D,'Saldos Iniciales'!$A:$A,"YWC Capital")+SUMIFS(Movimientos!$K$1:$K$743,Movimientos!$C$1:$C$743,"YWC Capital",Movimientos!$B$1:$B$743,"&lt;="&amp;$B94)</f>
        <v>2207.8200000000002</v>
      </c>
      <c r="M94" s="24">
        <f>SUMIFS('Saldos Iniciales'!$D:$D,'Saldos Iniciales'!$A:$A,"Soweto")+SUMIFS(Movimientos!$K$1:$K$743,Movimientos!$C$1:$C$743,"Soweto",Movimientos!$B$1:$B$743,"&lt;="&amp;$B94)</f>
        <v>1454589.72</v>
      </c>
      <c r="N94" s="24">
        <f>SUMIFS('Saldos Iniciales'!$D:$D,'Saldos Iniciales'!$A:$A,"Green Stone Trust")+SUMIFS(Movimientos!$K$1:$K$743,Movimientos!$C$1:$C$743,"Green Stone Trust",Movimientos!$B$1:$B$743,"&lt;="&amp;$B94)</f>
        <v>1968.99</v>
      </c>
      <c r="O94" s="24">
        <f>SUMIFS('Saldos Iniciales'!$D:$D,'Saldos Iniciales'!$A:$A,"EC Auto")+SUMIFS(Movimientos!$K$1:$K$743,Movimientos!$C$1:$C$743,"EC Auto",Movimientos!$B$1:$B$743,"&lt;="&amp;$B94)</f>
        <v>901.34</v>
      </c>
      <c r="P94" s="24">
        <f>SUMIFS('Saldos Iniciales'!$D:$D,'Saldos Iniciales'!$A:$A,"Arbor Capital Properties")+SUMIFS(Movimientos!$K$1:$K$743,Movimientos!$C$1:$C$743,"Arbor Capital Properties",Movimientos!$B$1:$B$743,"&lt;="&amp;$B94)</f>
        <v>1412.08</v>
      </c>
      <c r="Q94" s="24">
        <f>SUMIFS('Saldos Iniciales'!$D:$D,'Saldos Iniciales'!$A:$A,"2515 Overbrook")+SUMIFS(Movimientos!$K$1:$K$743,Movimientos!$C$1:$C$743,"2515 Overbrook",Movimientos!$B$1:$B$743,"&lt;="&amp;$B94)</f>
        <v>22347.56999999996</v>
      </c>
      <c r="R94" s="24">
        <f>SUMIFS('Saldos Iniciales'!$D:$D,'Saldos Iniciales'!$A:$A,"112 Florida Ave")+SUMIFS(Movimientos!$K$1:$K$743,Movimientos!$C$1:$C$743,"112 Florida Ave",Movimientos!$B$1:$B$743,"&lt;="&amp;$B94)</f>
        <v>18522.800000000003</v>
      </c>
      <c r="S94" s="24">
        <f>SUMIFS('Saldos Iniciales'!$D:$D,'Saldos Iniciales'!$A:$A,"3628 Thomas Ave")+SUMIFS(Movimientos!$K$1:$K$743,Movimientos!$C$1:$C$743,"3628 Thomas Ave",Movimientos!$B$1:$B$743,"&lt;="&amp;$B94)</f>
        <v>24085.559999999998</v>
      </c>
      <c r="T94" s="24">
        <f>SUMIFS('Saldos Iniciales'!$D:$D,'Saldos Iniciales'!$A:$A,"Green Harbor Trust")+SUMIFS(Movimientos!$K$1:$K$743,Movimientos!$C$1:$C$743,"Green Harbor Trust",Movimientos!$B$1:$B$743,"&lt;="&amp;$B94)</f>
        <v>345</v>
      </c>
      <c r="U94" s="24">
        <f>SUMIFS('Saldos Iniciales'!$D:$D,'Saldos Iniciales'!$A:$A,"Go Blue")+SUMIFS(Movimientos!$K$1:$K$743,Movimientos!$C$1:$C$743,"Go Blue",Movimientos!$B$1:$B$743,"&lt;="&amp;$B94)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Group")+SUMIFS(Movimientos!$K$1:$K$743,Movimientos!$C$1:$C$743,"CFT Group",Movimientos!$B$1:$B$743,"&lt;="&amp;$B95)</f>
        <v>2468032.08</v>
      </c>
      <c r="D95" s="24">
        <f>SUMIFS('Saldos Iniciales'!$D:$D,'Saldos Iniciales'!$A:$A,"M1B")+SUMIFS(Movimientos!$K$1:$K$743,Movimientos!$C$1:$C$743,"M1B",Movimientos!$B$1:$B$743,"&lt;="&amp;$B95)</f>
        <v>83211.250000000175</v>
      </c>
      <c r="E95" s="24">
        <f>SUMIFS('Saldos Iniciales'!$D:$D,'Saldos Iniciales'!$A:$A,"Durand")+SUMIFS(Movimientos!$K$1:$K$743,Movimientos!$C$1:$C$743,"Durand",Movimientos!$B$1:$B$743,"&lt;="&amp;$B95)</f>
        <v>1669.89</v>
      </c>
      <c r="F95" s="24">
        <f>SUMIFS('Saldos Iniciales'!$D:$D,'Saldos Iniciales'!$A:$A,"A&amp;M Imports")+SUMIFS(Movimientos!$K$1:$K$743,Movimientos!$C$1:$C$743,"A&amp;M Imports",Movimientos!$B$1:$B$743,"&lt;="&amp;$B95)</f>
        <v>1458426.0399999998</v>
      </c>
      <c r="G95" s="24">
        <f>SUMIFS('Saldos Iniciales'!$D:$D,'Saldos Iniciales'!$A:$A,"SSP Capital")+SUMIFS(Movimientos!$K$1:$K$743,Movimientos!$C$1:$C$743,"SSP Capital",Movimientos!$B$1:$B$743,"&lt;="&amp;$B95)</f>
        <v>1514477.1199999996</v>
      </c>
      <c r="H95" s="24">
        <f>SUMIFS('Saldos Iniciales'!$D:$D,'Saldos Iniciales'!$A:$A,"Cross Family Trust")+SUMIFS(Movimientos!$K$1:$K$743,Movimientos!$C$1:$C$743,"Cross Family Trust",Movimientos!$B$1:$B$743,"&lt;="&amp;$B95)</f>
        <v>190496.38</v>
      </c>
      <c r="I95" s="24">
        <f>SUMIFS('Saldos Iniciales'!$D:$D,'Saldos Iniciales'!$A:$A,"Cross Security Trust")+SUMIFS(Movimientos!$K$1:$K$743,Movimientos!$C$1:$C$743,"Cross Security Trust",Movimientos!$B$1:$B$743,"&lt;="&amp;$B95)</f>
        <v>88090.37</v>
      </c>
      <c r="J95" s="24">
        <f>SUMIFS('Saldos Iniciales'!$D:$D,'Saldos Iniciales'!$A:$A,"Electrama")+SUMIFS(Movimientos!$K$1:$K$743,Movimientos!$C$1:$C$743,"Electrama",Movimientos!$B$1:$B$743,"&lt;="&amp;$B95)</f>
        <v>14580.45</v>
      </c>
      <c r="K95" s="24">
        <f>SUMIFS('Saldos Iniciales'!$D:$D,'Saldos Iniciales'!$A:$A,"Sacred Valley Capital")+SUMIFS(Movimientos!$K$1:$K$743,Movimientos!$C$1:$C$743,"Sacred Valley Capital",Movimientos!$B$1:$B$743,"&lt;="&amp;$B95)</f>
        <v>54.400000000000006</v>
      </c>
      <c r="L95" s="24">
        <f>SUMIFS('Saldos Iniciales'!$D:$D,'Saldos Iniciales'!$A:$A,"YWC Capital")+SUMIFS(Movimientos!$K$1:$K$743,Movimientos!$C$1:$C$743,"YWC Capital",Movimientos!$B$1:$B$743,"&lt;="&amp;$B95)</f>
        <v>2207.8200000000002</v>
      </c>
      <c r="M95" s="24">
        <f>SUMIFS('Saldos Iniciales'!$D:$D,'Saldos Iniciales'!$A:$A,"Soweto")+SUMIFS(Movimientos!$K$1:$K$743,Movimientos!$C$1:$C$743,"Soweto",Movimientos!$B$1:$B$743,"&lt;="&amp;$B95)</f>
        <v>1454589.72</v>
      </c>
      <c r="N95" s="24">
        <f>SUMIFS('Saldos Iniciales'!$D:$D,'Saldos Iniciales'!$A:$A,"Green Stone Trust")+SUMIFS(Movimientos!$K$1:$K$743,Movimientos!$C$1:$C$743,"Green Stone Trust",Movimientos!$B$1:$B$743,"&lt;="&amp;$B95)</f>
        <v>1968.99</v>
      </c>
      <c r="O95" s="24">
        <f>SUMIFS('Saldos Iniciales'!$D:$D,'Saldos Iniciales'!$A:$A,"EC Auto")+SUMIFS(Movimientos!$K$1:$K$743,Movimientos!$C$1:$C$743,"EC Auto",Movimientos!$B$1:$B$743,"&lt;="&amp;$B95)</f>
        <v>901.34</v>
      </c>
      <c r="P95" s="24">
        <f>SUMIFS('Saldos Iniciales'!$D:$D,'Saldos Iniciales'!$A:$A,"Arbor Capital Properties")+SUMIFS(Movimientos!$K$1:$K$743,Movimientos!$C$1:$C$743,"Arbor Capital Properties",Movimientos!$B$1:$B$743,"&lt;="&amp;$B95)</f>
        <v>1412.08</v>
      </c>
      <c r="Q95" s="24">
        <f>SUMIFS('Saldos Iniciales'!$D:$D,'Saldos Iniciales'!$A:$A,"2515 Overbrook")+SUMIFS(Movimientos!$K$1:$K$743,Movimientos!$C$1:$C$743,"2515 Overbrook",Movimientos!$B$1:$B$743,"&lt;="&amp;$B95)</f>
        <v>22347.56999999996</v>
      </c>
      <c r="R95" s="24">
        <f>SUMIFS('Saldos Iniciales'!$D:$D,'Saldos Iniciales'!$A:$A,"112 Florida Ave")+SUMIFS(Movimientos!$K$1:$K$743,Movimientos!$C$1:$C$743,"112 Florida Ave",Movimientos!$B$1:$B$743,"&lt;="&amp;$B95)</f>
        <v>18522.800000000003</v>
      </c>
      <c r="S95" s="24">
        <f>SUMIFS('Saldos Iniciales'!$D:$D,'Saldos Iniciales'!$A:$A,"3628 Thomas Ave")+SUMIFS(Movimientos!$K$1:$K$743,Movimientos!$C$1:$C$743,"3628 Thomas Ave",Movimientos!$B$1:$B$743,"&lt;="&amp;$B95)</f>
        <v>24085.559999999998</v>
      </c>
      <c r="T95" s="24">
        <f>SUMIFS('Saldos Iniciales'!$D:$D,'Saldos Iniciales'!$A:$A,"Green Harbor Trust")+SUMIFS(Movimientos!$K$1:$K$743,Movimientos!$C$1:$C$743,"Green Harbor Trust",Movimientos!$B$1:$B$743,"&lt;="&amp;$B95)</f>
        <v>345</v>
      </c>
      <c r="U95" s="24">
        <f>SUMIFS('Saldos Iniciales'!$D:$D,'Saldos Iniciales'!$A:$A,"Go Blue")+SUMIFS(Movimientos!$K$1:$K$743,Movimientos!$C$1:$C$743,"Go Blue",Movimientos!$B$1:$B$743,"&lt;="&amp;$B95)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Group")+SUMIFS(Movimientos!$K$1:$K$743,Movimientos!$C$1:$C$743,"CFT Group",Movimientos!$B$1:$B$743,"&lt;="&amp;$B96)</f>
        <v>2468032.08</v>
      </c>
      <c r="D96" s="24">
        <f>SUMIFS('Saldos Iniciales'!$D:$D,'Saldos Iniciales'!$A:$A,"M1B")+SUMIFS(Movimientos!$K$1:$K$743,Movimientos!$C$1:$C$743,"M1B",Movimientos!$B$1:$B$743,"&lt;="&amp;$B96)</f>
        <v>83211.250000000175</v>
      </c>
      <c r="E96" s="24">
        <f>SUMIFS('Saldos Iniciales'!$D:$D,'Saldos Iniciales'!$A:$A,"Durand")+SUMIFS(Movimientos!$K$1:$K$743,Movimientos!$C$1:$C$743,"Durand",Movimientos!$B$1:$B$743,"&lt;="&amp;$B96)</f>
        <v>1669.89</v>
      </c>
      <c r="F96" s="24">
        <f>SUMIFS('Saldos Iniciales'!$D:$D,'Saldos Iniciales'!$A:$A,"A&amp;M Imports")+SUMIFS(Movimientos!$K$1:$K$743,Movimientos!$C$1:$C$743,"A&amp;M Imports",Movimientos!$B$1:$B$743,"&lt;="&amp;$B96)</f>
        <v>1458426.0399999998</v>
      </c>
      <c r="G96" s="24">
        <f>SUMIFS('Saldos Iniciales'!$D:$D,'Saldos Iniciales'!$A:$A,"SSP Capital")+SUMIFS(Movimientos!$K$1:$K$743,Movimientos!$C$1:$C$743,"SSP Capital",Movimientos!$B$1:$B$743,"&lt;="&amp;$B96)</f>
        <v>1514477.1199999996</v>
      </c>
      <c r="H96" s="24">
        <f>SUMIFS('Saldos Iniciales'!$D:$D,'Saldos Iniciales'!$A:$A,"Cross Family Trust")+SUMIFS(Movimientos!$K$1:$K$743,Movimientos!$C$1:$C$743,"Cross Family Trust",Movimientos!$B$1:$B$743,"&lt;="&amp;$B96)</f>
        <v>190496.38</v>
      </c>
      <c r="I96" s="24">
        <f>SUMIFS('Saldos Iniciales'!$D:$D,'Saldos Iniciales'!$A:$A,"Cross Security Trust")+SUMIFS(Movimientos!$K$1:$K$743,Movimientos!$C$1:$C$743,"Cross Security Trust",Movimientos!$B$1:$B$743,"&lt;="&amp;$B96)</f>
        <v>88090.37</v>
      </c>
      <c r="J96" s="24">
        <f>SUMIFS('Saldos Iniciales'!$D:$D,'Saldos Iniciales'!$A:$A,"Electrama")+SUMIFS(Movimientos!$K$1:$K$743,Movimientos!$C$1:$C$743,"Electrama",Movimientos!$B$1:$B$743,"&lt;="&amp;$B96)</f>
        <v>14580.45</v>
      </c>
      <c r="K96" s="24">
        <f>SUMIFS('Saldos Iniciales'!$D:$D,'Saldos Iniciales'!$A:$A,"Sacred Valley Capital")+SUMIFS(Movimientos!$K$1:$K$743,Movimientos!$C$1:$C$743,"Sacred Valley Capital",Movimientos!$B$1:$B$743,"&lt;="&amp;$B96)</f>
        <v>24.450000000000003</v>
      </c>
      <c r="L96" s="24">
        <f>SUMIFS('Saldos Iniciales'!$D:$D,'Saldos Iniciales'!$A:$A,"YWC Capital")+SUMIFS(Movimientos!$K$1:$K$743,Movimientos!$C$1:$C$743,"YWC Capital",Movimientos!$B$1:$B$743,"&lt;="&amp;$B96)</f>
        <v>2177.87</v>
      </c>
      <c r="M96" s="24">
        <f>SUMIFS('Saldos Iniciales'!$D:$D,'Saldos Iniciales'!$A:$A,"Soweto")+SUMIFS(Movimientos!$K$1:$K$743,Movimientos!$C$1:$C$743,"Soweto",Movimientos!$B$1:$B$743,"&lt;="&amp;$B96)</f>
        <v>1454589.72</v>
      </c>
      <c r="N96" s="24">
        <f>SUMIFS('Saldos Iniciales'!$D:$D,'Saldos Iniciales'!$A:$A,"Green Stone Trust")+SUMIFS(Movimientos!$K$1:$K$743,Movimientos!$C$1:$C$743,"Green Stone Trust",Movimientos!$B$1:$B$743,"&lt;="&amp;$B96)</f>
        <v>1968.99</v>
      </c>
      <c r="O96" s="24">
        <f>SUMIFS('Saldos Iniciales'!$D:$D,'Saldos Iniciales'!$A:$A,"EC Auto")+SUMIFS(Movimientos!$K$1:$K$743,Movimientos!$C$1:$C$743,"EC Auto",Movimientos!$B$1:$B$743,"&lt;="&amp;$B96)</f>
        <v>901.34</v>
      </c>
      <c r="P96" s="24">
        <f>SUMIFS('Saldos Iniciales'!$D:$D,'Saldos Iniciales'!$A:$A,"Arbor Capital Properties")+SUMIFS(Movimientos!$K$1:$K$743,Movimientos!$C$1:$C$743,"Arbor Capital Properties",Movimientos!$B$1:$B$743,"&lt;="&amp;$B96)</f>
        <v>1396.08</v>
      </c>
      <c r="Q96" s="24">
        <f>SUMIFS('Saldos Iniciales'!$D:$D,'Saldos Iniciales'!$A:$A,"2515 Overbrook")+SUMIFS(Movimientos!$K$1:$K$743,Movimientos!$C$1:$C$743,"2515 Overbrook",Movimientos!$B$1:$B$743,"&lt;="&amp;$B96)</f>
        <v>13804.239999999962</v>
      </c>
      <c r="R96" s="24">
        <f>SUMIFS('Saldos Iniciales'!$D:$D,'Saldos Iniciales'!$A:$A,"112 Florida Ave")+SUMIFS(Movimientos!$K$1:$K$743,Movimientos!$C$1:$C$743,"112 Florida Ave",Movimientos!$B$1:$B$743,"&lt;="&amp;$B96)</f>
        <v>8724.1700000000037</v>
      </c>
      <c r="S96" s="24">
        <f>SUMIFS('Saldos Iniciales'!$D:$D,'Saldos Iniciales'!$A:$A,"3628 Thomas Ave")+SUMIFS(Movimientos!$K$1:$K$743,Movimientos!$C$1:$C$743,"3628 Thomas Ave",Movimientos!$B$1:$B$743,"&lt;="&amp;$B96)</f>
        <v>10706.099999999997</v>
      </c>
      <c r="T96" s="24">
        <f>SUMIFS('Saldos Iniciales'!$D:$D,'Saldos Iniciales'!$A:$A,"Green Harbor Trust")+SUMIFS(Movimientos!$K$1:$K$743,Movimientos!$C$1:$C$743,"Green Harbor Trust",Movimientos!$B$1:$B$743,"&lt;="&amp;$B96)</f>
        <v>345</v>
      </c>
      <c r="U96" s="24">
        <f>SUMIFS('Saldos Iniciales'!$D:$D,'Saldos Iniciales'!$A:$A,"Go Blue")+SUMIFS(Movimientos!$K$1:$K$743,Movimientos!$C$1:$C$743,"Go Blue",Movimientos!$B$1:$B$743,"&lt;="&amp;$B96)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Group")+SUMIFS(Movimientos!$K$1:$K$743,Movimientos!$C$1:$C$743,"CFT Group",Movimientos!$B$1:$B$743,"&lt;="&amp;$B97)</f>
        <v>2468032.08</v>
      </c>
      <c r="D97" s="24">
        <f>SUMIFS('Saldos Iniciales'!$D:$D,'Saldos Iniciales'!$A:$A,"M1B")+SUMIFS(Movimientos!$K$1:$K$743,Movimientos!$C$1:$C$743,"M1B",Movimientos!$B$1:$B$743,"&lt;="&amp;$B97)</f>
        <v>83211.250000000175</v>
      </c>
      <c r="E97" s="24">
        <f>SUMIFS('Saldos Iniciales'!$D:$D,'Saldos Iniciales'!$A:$A,"Durand")+SUMIFS(Movimientos!$K$1:$K$743,Movimientos!$C$1:$C$743,"Durand",Movimientos!$B$1:$B$743,"&lt;="&amp;$B97)</f>
        <v>1669.89</v>
      </c>
      <c r="F97" s="24">
        <f>SUMIFS('Saldos Iniciales'!$D:$D,'Saldos Iniciales'!$A:$A,"A&amp;M Imports")+SUMIFS(Movimientos!$K$1:$K$743,Movimientos!$C$1:$C$743,"A&amp;M Imports",Movimientos!$B$1:$B$743,"&lt;="&amp;$B97)</f>
        <v>1458426.0399999998</v>
      </c>
      <c r="G97" s="24">
        <f>SUMIFS('Saldos Iniciales'!$D:$D,'Saldos Iniciales'!$A:$A,"SSP Capital")+SUMIFS(Movimientos!$K$1:$K$743,Movimientos!$C$1:$C$743,"SSP Capital",Movimientos!$B$1:$B$743,"&lt;="&amp;$B97)</f>
        <v>1513867.4199999995</v>
      </c>
      <c r="H97" s="24">
        <f>SUMIFS('Saldos Iniciales'!$D:$D,'Saldos Iniciales'!$A:$A,"Cross Family Trust")+SUMIFS(Movimientos!$K$1:$K$743,Movimientos!$C$1:$C$743,"Cross Family Trust",Movimientos!$B$1:$B$743,"&lt;="&amp;$B97)</f>
        <v>184496.38</v>
      </c>
      <c r="I97" s="24">
        <f>SUMIFS('Saldos Iniciales'!$D:$D,'Saldos Iniciales'!$A:$A,"Cross Security Trust")+SUMIFS(Movimientos!$K$1:$K$743,Movimientos!$C$1:$C$743,"Cross Security Trust",Movimientos!$B$1:$B$743,"&lt;="&amp;$B97)</f>
        <v>88090.37</v>
      </c>
      <c r="J97" s="24">
        <f>SUMIFS('Saldos Iniciales'!$D:$D,'Saldos Iniciales'!$A:$A,"Electrama")+SUMIFS(Movimientos!$K$1:$K$743,Movimientos!$C$1:$C$743,"Electrama",Movimientos!$B$1:$B$743,"&lt;="&amp;$B97)</f>
        <v>14580.45</v>
      </c>
      <c r="K97" s="24">
        <f>SUMIFS('Saldos Iniciales'!$D:$D,'Saldos Iniciales'!$A:$A,"Sacred Valley Capital")+SUMIFS(Movimientos!$K$1:$K$743,Movimientos!$C$1:$C$743,"Sacred Valley Capital",Movimientos!$B$1:$B$743,"&lt;="&amp;$B97)</f>
        <v>24.450000000000003</v>
      </c>
      <c r="L97" s="24">
        <f>SUMIFS('Saldos Iniciales'!$D:$D,'Saldos Iniciales'!$A:$A,"YWC Capital")+SUMIFS(Movimientos!$K$1:$K$743,Movimientos!$C$1:$C$743,"YWC Capital",Movimientos!$B$1:$B$743,"&lt;="&amp;$B97)</f>
        <v>2177.87</v>
      </c>
      <c r="M97" s="24">
        <f>SUMIFS('Saldos Iniciales'!$D:$D,'Saldos Iniciales'!$A:$A,"Soweto")+SUMIFS(Movimientos!$K$1:$K$743,Movimientos!$C$1:$C$743,"Soweto",Movimientos!$B$1:$B$743,"&lt;="&amp;$B97)</f>
        <v>1454589.72</v>
      </c>
      <c r="N97" s="24">
        <f>SUMIFS('Saldos Iniciales'!$D:$D,'Saldos Iniciales'!$A:$A,"Green Stone Trust")+SUMIFS(Movimientos!$K$1:$K$743,Movimientos!$C$1:$C$743,"Green Stone Trust",Movimientos!$B$1:$B$743,"&lt;="&amp;$B97)</f>
        <v>1968.99</v>
      </c>
      <c r="O97" s="24">
        <f>SUMIFS('Saldos Iniciales'!$D:$D,'Saldos Iniciales'!$A:$A,"EC Auto")+SUMIFS(Movimientos!$K$1:$K$743,Movimientos!$C$1:$C$743,"EC Auto",Movimientos!$B$1:$B$743,"&lt;="&amp;$B97)</f>
        <v>901.34</v>
      </c>
      <c r="P97" s="24">
        <f>SUMIFS('Saldos Iniciales'!$D:$D,'Saldos Iniciales'!$A:$A,"Arbor Capital Properties")+SUMIFS(Movimientos!$K$1:$K$743,Movimientos!$C$1:$C$743,"Arbor Capital Properties",Movimientos!$B$1:$B$743,"&lt;="&amp;$B97)</f>
        <v>1396.08</v>
      </c>
      <c r="Q97" s="24">
        <f>SUMIFS('Saldos Iniciales'!$D:$D,'Saldos Iniciales'!$A:$A,"2515 Overbrook")+SUMIFS(Movimientos!$K$1:$K$743,Movimientos!$C$1:$C$743,"2515 Overbrook",Movimientos!$B$1:$B$743,"&lt;="&amp;$B97)</f>
        <v>13804.239999999962</v>
      </c>
      <c r="R97" s="24">
        <f>SUMIFS('Saldos Iniciales'!$D:$D,'Saldos Iniciales'!$A:$A,"112 Florida Ave")+SUMIFS(Movimientos!$K$1:$K$743,Movimientos!$C$1:$C$743,"112 Florida Ave",Movimientos!$B$1:$B$743,"&lt;="&amp;$B97)</f>
        <v>8724.1700000000037</v>
      </c>
      <c r="S97" s="24">
        <f>SUMIFS('Saldos Iniciales'!$D:$D,'Saldos Iniciales'!$A:$A,"3628 Thomas Ave")+SUMIFS(Movimientos!$K$1:$K$743,Movimientos!$C$1:$C$743,"3628 Thomas Ave",Movimientos!$B$1:$B$743,"&lt;="&amp;$B97)</f>
        <v>10706.099999999997</v>
      </c>
      <c r="T97" s="24">
        <f>SUMIFS('Saldos Iniciales'!$D:$D,'Saldos Iniciales'!$A:$A,"Green Harbor Trust")+SUMIFS(Movimientos!$K$1:$K$743,Movimientos!$C$1:$C$743,"Green Harbor Trust",Movimientos!$B$1:$B$743,"&lt;="&amp;$B97)</f>
        <v>345</v>
      </c>
      <c r="U97" s="24">
        <f>SUMIFS('Saldos Iniciales'!$D:$D,'Saldos Iniciales'!$A:$A,"Go Blue")+SUMIFS(Movimientos!$K$1:$K$743,Movimientos!$C$1:$C$743,"Go Blue",Movimientos!$B$1:$B$743,"&lt;="&amp;$B97)</f>
        <v>7879.4200000000019</v>
      </c>
      <c r="V97" s="25">
        <f t="shared" ref="V97:V99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Group")+SUMIFS(Movimientos!$K$1:$K$743,Movimientos!$C$1:$C$743,"CFT Group",Movimientos!$B$1:$B$743,"&lt;="&amp;$B98)</f>
        <v>2468032.08</v>
      </c>
      <c r="D98" s="24">
        <f>SUMIFS('Saldos Iniciales'!$D:$D,'Saldos Iniciales'!$A:$A,"M1B")+SUMIFS(Movimientos!$K$1:$K$743,Movimientos!$C$1:$C$743,"M1B",Movimientos!$B$1:$B$743,"&lt;="&amp;$B98)</f>
        <v>83211.250000000175</v>
      </c>
      <c r="E98" s="24">
        <f>SUMIFS('Saldos Iniciales'!$D:$D,'Saldos Iniciales'!$A:$A,"Durand")+SUMIFS(Movimientos!$K$1:$K$743,Movimientos!$C$1:$C$743,"Durand",Movimientos!$B$1:$B$743,"&lt;="&amp;$B98)</f>
        <v>1669.89</v>
      </c>
      <c r="F98" s="24">
        <f>SUMIFS('Saldos Iniciales'!$D:$D,'Saldos Iniciales'!$A:$A,"A&amp;M Imports")+SUMIFS(Movimientos!$K$1:$K$743,Movimientos!$C$1:$C$743,"A&amp;M Imports",Movimientos!$B$1:$B$743,"&lt;="&amp;$B98)</f>
        <v>1452426.0399999998</v>
      </c>
      <c r="G98" s="24">
        <f>SUMIFS('Saldos Iniciales'!$D:$D,'Saldos Iniciales'!$A:$A,"SSP Capital")+SUMIFS(Movimientos!$K$1:$K$743,Movimientos!$C$1:$C$743,"SSP Capital",Movimientos!$B$1:$B$743,"&lt;="&amp;$B98)</f>
        <v>1512187.6399999997</v>
      </c>
      <c r="H98" s="24">
        <f>SUMIFS('Saldos Iniciales'!$D:$D,'Saldos Iniciales'!$A:$A,"Cross Family Trust")+SUMIFS(Movimientos!$K$1:$K$743,Movimientos!$C$1:$C$743,"Cross Family Trust",Movimientos!$B$1:$B$743,"&lt;="&amp;$B98)</f>
        <v>184496.38</v>
      </c>
      <c r="I98" s="24">
        <f>SUMIFS('Saldos Iniciales'!$D:$D,'Saldos Iniciales'!$A:$A,"Cross Security Trust")+SUMIFS(Movimientos!$K$1:$K$743,Movimientos!$C$1:$C$743,"Cross Security Trust",Movimientos!$B$1:$B$743,"&lt;="&amp;$B98)</f>
        <v>88090.37</v>
      </c>
      <c r="J98" s="24">
        <f>SUMIFS('Saldos Iniciales'!$D:$D,'Saldos Iniciales'!$A:$A,"Electrama")+SUMIFS(Movimientos!$K$1:$K$743,Movimientos!$C$1:$C$743,"Electrama",Movimientos!$B$1:$B$743,"&lt;="&amp;$B98)</f>
        <v>14580.45</v>
      </c>
      <c r="K98" s="24">
        <f>SUMIFS('Saldos Iniciales'!$D:$D,'Saldos Iniciales'!$A:$A,"Sacred Valley Capital")+SUMIFS(Movimientos!$K$1:$K$743,Movimientos!$C$1:$C$743,"Sacred Valley Capital",Movimientos!$B$1:$B$743,"&lt;="&amp;$B98)</f>
        <v>24.450000000000003</v>
      </c>
      <c r="L98" s="24">
        <f>SUMIFS('Saldos Iniciales'!$D:$D,'Saldos Iniciales'!$A:$A,"YWC Capital")+SUMIFS(Movimientos!$K$1:$K$743,Movimientos!$C$1:$C$743,"YWC Capital",Movimientos!$B$1:$B$743,"&lt;="&amp;$B98)</f>
        <v>2177.87</v>
      </c>
      <c r="M98" s="24">
        <f>SUMIFS('Saldos Iniciales'!$D:$D,'Saldos Iniciales'!$A:$A,"Soweto")+SUMIFS(Movimientos!$K$1:$K$743,Movimientos!$C$1:$C$743,"Soweto",Movimientos!$B$1:$B$743,"&lt;="&amp;$B98)</f>
        <v>1454589.72</v>
      </c>
      <c r="N98" s="24">
        <f>SUMIFS('Saldos Iniciales'!$D:$D,'Saldos Iniciales'!$A:$A,"Green Stone Trust")+SUMIFS(Movimientos!$K$1:$K$743,Movimientos!$C$1:$C$743,"Green Stone Trust",Movimientos!$B$1:$B$743,"&lt;="&amp;$B98)</f>
        <v>1968.99</v>
      </c>
      <c r="O98" s="24">
        <f>SUMIFS('Saldos Iniciales'!$D:$D,'Saldos Iniciales'!$A:$A,"EC Auto")+SUMIFS(Movimientos!$K$1:$K$743,Movimientos!$C$1:$C$743,"EC Auto",Movimientos!$B$1:$B$743,"&lt;="&amp;$B98)</f>
        <v>901.34</v>
      </c>
      <c r="P98" s="24">
        <f>SUMIFS('Saldos Iniciales'!$D:$D,'Saldos Iniciales'!$A:$A,"Arbor Capital Properties")+SUMIFS(Movimientos!$K$1:$K$743,Movimientos!$C$1:$C$743,"Arbor Capital Properties",Movimientos!$B$1:$B$743,"&lt;="&amp;$B98)</f>
        <v>1396.08</v>
      </c>
      <c r="Q98" s="24">
        <f>SUMIFS('Saldos Iniciales'!$D:$D,'Saldos Iniciales'!$A:$A,"2515 Overbrook")+SUMIFS(Movimientos!$K$1:$K$743,Movimientos!$C$1:$C$743,"2515 Overbrook",Movimientos!$B$1:$B$743,"&lt;="&amp;$B98)</f>
        <v>13804.239999999962</v>
      </c>
      <c r="R98" s="24">
        <f>SUMIFS('Saldos Iniciales'!$D:$D,'Saldos Iniciales'!$A:$A,"112 Florida Ave")+SUMIFS(Movimientos!$K$1:$K$743,Movimientos!$C$1:$C$743,"112 Florida Ave",Movimientos!$B$1:$B$743,"&lt;="&amp;$B98)</f>
        <v>8724.1700000000037</v>
      </c>
      <c r="S98" s="24">
        <f>SUMIFS('Saldos Iniciales'!$D:$D,'Saldos Iniciales'!$A:$A,"3628 Thomas Ave")+SUMIFS(Movimientos!$K$1:$K$743,Movimientos!$C$1:$C$743,"3628 Thomas Ave",Movimientos!$B$1:$B$743,"&lt;="&amp;$B98)</f>
        <v>10706.099999999997</v>
      </c>
      <c r="T98" s="24">
        <f>SUMIFS('Saldos Iniciales'!$D:$D,'Saldos Iniciales'!$A:$A,"Green Harbor Trust")+SUMIFS(Movimientos!$K$1:$K$743,Movimientos!$C$1:$C$743,"Green Harbor Trust",Movimientos!$B$1:$B$743,"&lt;="&amp;$B98)</f>
        <v>345</v>
      </c>
      <c r="U98" s="24">
        <f>SUMIFS('Saldos Iniciales'!$D:$D,'Saldos Iniciales'!$A:$A,"Go Blue")+SUMIFS(Movimientos!$K$1:$K$743,Movimientos!$C$1:$C$743,"Go Blue",Movimientos!$B$1:$B$743,"&lt;="&amp;$B98)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Group")+SUMIFS(Movimientos!$K$1:$K$743,Movimientos!$C$1:$C$743,"CFT Group",Movimientos!$B$1:$B$743,"&lt;="&amp;$B99)</f>
        <v>1153390.4100000001</v>
      </c>
      <c r="D99" s="24">
        <f>SUMIFS('Saldos Iniciales'!$D:$D,'Saldos Iniciales'!$A:$A,"M1B")+SUMIFS(Movimientos!$K$1:$K$743,Movimientos!$C$1:$C$743,"M1B",Movimientos!$B$1:$B$743,"&lt;="&amp;$B99)</f>
        <v>83211.250000000175</v>
      </c>
      <c r="E99" s="24">
        <f>SUMIFS('Saldos Iniciales'!$D:$D,'Saldos Iniciales'!$A:$A,"Durand")+SUMIFS(Movimientos!$K$1:$K$743,Movimientos!$C$1:$C$743,"Durand",Movimientos!$B$1:$B$743,"&lt;="&amp;$B99)</f>
        <v>1669.89</v>
      </c>
      <c r="F99" s="24">
        <f>SUMIFS('Saldos Iniciales'!$D:$D,'Saldos Iniciales'!$A:$A,"A&amp;M Imports")+SUMIFS(Movimientos!$K$1:$K$743,Movimientos!$C$1:$C$743,"A&amp;M Imports",Movimientos!$B$1:$B$743,"&lt;="&amp;$B99)</f>
        <v>1349451.94</v>
      </c>
      <c r="G99" s="24">
        <f>SUMIFS('Saldos Iniciales'!$D:$D,'Saldos Iniciales'!$A:$A,"SSP Capital")+SUMIFS(Movimientos!$K$1:$K$743,Movimientos!$C$1:$C$743,"SSP Capital",Movimientos!$B$1:$B$743,"&lt;="&amp;$B99)</f>
        <v>2102073.7899999996</v>
      </c>
      <c r="H99" s="24">
        <f>SUMIFS('Saldos Iniciales'!$D:$D,'Saldos Iniciales'!$A:$A,"Cross Family Trust")+SUMIFS(Movimientos!$K$1:$K$743,Movimientos!$C$1:$C$743,"Cross Family Trust",Movimientos!$B$1:$B$743,"&lt;="&amp;$B99)</f>
        <v>171496.38</v>
      </c>
      <c r="I99" s="24">
        <f>SUMIFS('Saldos Iniciales'!$D:$D,'Saldos Iniciales'!$A:$A,"Cross Security Trust")+SUMIFS(Movimientos!$K$1:$K$743,Movimientos!$C$1:$C$743,"Cross Security Trust",Movimientos!$B$1:$B$743,"&lt;="&amp;$B99)</f>
        <v>88090.37</v>
      </c>
      <c r="J99" s="24">
        <f>SUMIFS('Saldos Iniciales'!$D:$D,'Saldos Iniciales'!$A:$A,"Electrama")+SUMIFS(Movimientos!$K$1:$K$743,Movimientos!$C$1:$C$743,"Electrama",Movimientos!$B$1:$B$743,"&lt;="&amp;$B99)</f>
        <v>14580.45</v>
      </c>
      <c r="K99" s="24">
        <f>SUMIFS('Saldos Iniciales'!$D:$D,'Saldos Iniciales'!$A:$A,"Sacred Valley Capital")+SUMIFS(Movimientos!$K$1:$K$743,Movimientos!$C$1:$C$743,"Sacred Valley Capital",Movimientos!$B$1:$B$743,"&lt;="&amp;$B99)</f>
        <v>24.450000000000003</v>
      </c>
      <c r="L99" s="24">
        <f>SUMIFS('Saldos Iniciales'!$D:$D,'Saldos Iniciales'!$A:$A,"YWC Capital")+SUMIFS(Movimientos!$K$1:$K$743,Movimientos!$C$1:$C$743,"YWC Capital",Movimientos!$B$1:$B$743,"&lt;="&amp;$B99)</f>
        <v>2177.87</v>
      </c>
      <c r="M99" s="24">
        <f>SUMIFS('Saldos Iniciales'!$D:$D,'Saldos Iniciales'!$A:$A,"Soweto")+SUMIFS(Movimientos!$K$1:$K$743,Movimientos!$C$1:$C$743,"Soweto",Movimientos!$B$1:$B$743,"&lt;="&amp;$B99)</f>
        <v>1454589.72</v>
      </c>
      <c r="N99" s="24">
        <f>SUMIFS('Saldos Iniciales'!$D:$D,'Saldos Iniciales'!$A:$A,"Green Stone Trust")+SUMIFS(Movimientos!$K$1:$K$743,Movimientos!$C$1:$C$743,"Green Stone Trust",Movimientos!$B$1:$B$743,"&lt;="&amp;$B99)</f>
        <v>1968.99</v>
      </c>
      <c r="O99" s="24">
        <f>SUMIFS('Saldos Iniciales'!$D:$D,'Saldos Iniciales'!$A:$A,"EC Auto")+SUMIFS(Movimientos!$K$1:$K$743,Movimientos!$C$1:$C$743,"EC Auto",Movimientos!$B$1:$B$743,"&lt;="&amp;$B99)</f>
        <v>901.34</v>
      </c>
      <c r="P99" s="24">
        <f>SUMIFS('Saldos Iniciales'!$D:$D,'Saldos Iniciales'!$A:$A,"Arbor Capital Properties")+SUMIFS(Movimientos!$K$1:$K$743,Movimientos!$C$1:$C$743,"Arbor Capital Properties",Movimientos!$B$1:$B$743,"&lt;="&amp;$B99)</f>
        <v>1396.08</v>
      </c>
      <c r="Q99" s="24">
        <f>SUMIFS('Saldos Iniciales'!$D:$D,'Saldos Iniciales'!$A:$A,"2515 Overbrook")+SUMIFS(Movimientos!$K$1:$K$743,Movimientos!$C$1:$C$743,"2515 Overbrook",Movimientos!$B$1:$B$743,"&lt;="&amp;$B99)</f>
        <v>13804.239999999962</v>
      </c>
      <c r="R99" s="24">
        <f>SUMIFS('Saldos Iniciales'!$D:$D,'Saldos Iniciales'!$A:$A,"112 Florida Ave")+SUMIFS(Movimientos!$K$1:$K$743,Movimientos!$C$1:$C$743,"112 Florida Ave",Movimientos!$B$1:$B$743,"&lt;="&amp;$B99)</f>
        <v>8724.1700000000037</v>
      </c>
      <c r="S99" s="24">
        <f>SUMIFS('Saldos Iniciales'!$D:$D,'Saldos Iniciales'!$A:$A,"3628 Thomas Ave")+SUMIFS(Movimientos!$K$1:$K$743,Movimientos!$C$1:$C$743,"3628 Thomas Ave",Movimientos!$B$1:$B$743,"&lt;="&amp;$B99)</f>
        <v>10706.099999999997</v>
      </c>
      <c r="T99" s="24">
        <f>SUMIFS('Saldos Iniciales'!$D:$D,'Saldos Iniciales'!$A:$A,"Green Harbor Trust")+SUMIFS(Movimientos!$K$1:$K$743,Movimientos!$C$1:$C$743,"Green Harbor Trust",Movimientos!$B$1:$B$743,"&lt;="&amp;$B99)</f>
        <v>345</v>
      </c>
      <c r="U99" s="24">
        <f>SUMIFS('Saldos Iniciales'!$D:$D,'Saldos Iniciales'!$A:$A,"Go Blue")+SUMIFS(Movimientos!$K$1:$K$743,Movimientos!$C$1:$C$743,"Go Blue",Movimientos!$B$1:$B$743,"&lt;="&amp;$B99)</f>
        <v>12470.040000000003</v>
      </c>
      <c r="V99" s="25">
        <f t="shared" si="22"/>
        <v>6471072.4799999995</v>
      </c>
    </row>
  </sheetData>
  <conditionalFormatting sqref="C2:V99">
    <cfRule type="cellIs" dxfId="4" priority="1" operator="lessThan">
      <formula>0</formula>
    </cfRule>
  </conditionalFormatting>
  <conditionalFormatting sqref="V2:V99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863"/>
  <sheetViews>
    <sheetView tabSelected="1" zoomScale="80" zoomScaleNormal="80" workbookViewId="0">
      <pane ySplit="1" topLeftCell="A1830" activePane="bottomLeft" state="frozen"/>
      <selection pane="bottomLeft" activeCell="B1857" sqref="B185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5" t="s">
        <v>17</v>
      </c>
      <c r="B2" s="75"/>
      <c r="C2" s="16">
        <v>46143</v>
      </c>
      <c r="D2">
        <v>200763.43000000025</v>
      </c>
    </row>
    <row r="3" spans="1:10" x14ac:dyDescent="0.3">
      <c r="A3" s="75" t="s">
        <v>18</v>
      </c>
      <c r="B3" s="75"/>
      <c r="C3" s="16">
        <v>46143</v>
      </c>
      <c r="D3">
        <v>51288.029999999948</v>
      </c>
    </row>
    <row r="4" spans="1:10" x14ac:dyDescent="0.3">
      <c r="A4" s="75" t="s">
        <v>19</v>
      </c>
      <c r="B4" s="75"/>
      <c r="C4" s="16">
        <v>46143</v>
      </c>
      <c r="D4">
        <v>1669.89</v>
      </c>
    </row>
    <row r="5" spans="1:10" x14ac:dyDescent="0.3">
      <c r="A5" s="75" t="s">
        <v>20</v>
      </c>
      <c r="B5" s="75"/>
      <c r="C5" s="16">
        <v>46143</v>
      </c>
      <c r="D5">
        <v>589990.30000000005</v>
      </c>
    </row>
    <row r="6" spans="1:10" x14ac:dyDescent="0.3">
      <c r="A6" s="75" t="s">
        <v>21</v>
      </c>
      <c r="B6" s="75"/>
      <c r="C6" s="16">
        <v>46143</v>
      </c>
      <c r="D6">
        <v>990387.37999999931</v>
      </c>
    </row>
    <row r="7" spans="1:10" x14ac:dyDescent="0.3">
      <c r="A7" s="75" t="s">
        <v>22</v>
      </c>
      <c r="B7" s="75"/>
      <c r="C7" s="16">
        <v>46143</v>
      </c>
      <c r="D7">
        <v>142511.38</v>
      </c>
    </row>
    <row r="8" spans="1:10" x14ac:dyDescent="0.3">
      <c r="A8" s="75" t="s">
        <v>23</v>
      </c>
      <c r="B8" s="75"/>
      <c r="C8" s="16">
        <v>46143</v>
      </c>
      <c r="D8">
        <v>13088.589999999997</v>
      </c>
    </row>
    <row r="9" spans="1:10" x14ac:dyDescent="0.3">
      <c r="A9" s="75" t="s">
        <v>24</v>
      </c>
      <c r="B9" s="75"/>
      <c r="C9" s="16">
        <v>46143</v>
      </c>
      <c r="D9">
        <v>808.82999999999993</v>
      </c>
    </row>
    <row r="10" spans="1:10" x14ac:dyDescent="0.3">
      <c r="A10" s="75" t="s">
        <v>25</v>
      </c>
      <c r="B10" s="75"/>
      <c r="C10" s="16">
        <v>46143</v>
      </c>
      <c r="D10">
        <v>114.3</v>
      </c>
    </row>
    <row r="11" spans="1:10" x14ac:dyDescent="0.3">
      <c r="A11" s="75" t="s">
        <v>26</v>
      </c>
      <c r="B11" s="75"/>
      <c r="C11" s="16">
        <v>46143</v>
      </c>
      <c r="D11">
        <v>2267.7200000000003</v>
      </c>
    </row>
    <row r="12" spans="1:10" x14ac:dyDescent="0.3">
      <c r="A12" s="75" t="s">
        <v>27</v>
      </c>
      <c r="B12" s="75"/>
      <c r="C12" s="16">
        <v>46143</v>
      </c>
      <c r="D12">
        <v>3364.94</v>
      </c>
    </row>
    <row r="13" spans="1:10" x14ac:dyDescent="0.3">
      <c r="A13" s="75" t="s">
        <v>28</v>
      </c>
      <c r="B13" s="75"/>
      <c r="C13" s="16">
        <v>46143</v>
      </c>
      <c r="D13">
        <v>1968.99</v>
      </c>
    </row>
    <row r="14" spans="1:10" x14ac:dyDescent="0.3">
      <c r="A14" s="75" t="s">
        <v>29</v>
      </c>
      <c r="B14" s="75"/>
      <c r="C14" s="16">
        <v>46143</v>
      </c>
      <c r="D14">
        <v>901.34</v>
      </c>
    </row>
    <row r="15" spans="1:10" x14ac:dyDescent="0.3">
      <c r="A15" s="75" t="s">
        <v>30</v>
      </c>
      <c r="B15" s="75"/>
      <c r="C15" s="16">
        <v>46143</v>
      </c>
      <c r="D15">
        <v>1444.08</v>
      </c>
    </row>
    <row r="16" spans="1:10" x14ac:dyDescent="0.3">
      <c r="A16" s="75" t="s">
        <v>31</v>
      </c>
      <c r="B16" s="75"/>
      <c r="C16" s="16">
        <v>46143</v>
      </c>
      <c r="D16">
        <v>23262.599999999962</v>
      </c>
    </row>
    <row r="17" spans="1:4" x14ac:dyDescent="0.3">
      <c r="A17" s="75" t="s">
        <v>32</v>
      </c>
      <c r="B17" s="75"/>
      <c r="C17" s="16">
        <v>46143</v>
      </c>
      <c r="D17">
        <v>6853.9100000000017</v>
      </c>
    </row>
    <row r="18" spans="1:4" x14ac:dyDescent="0.3">
      <c r="A18" s="75" t="s">
        <v>33</v>
      </c>
      <c r="B18" s="75"/>
      <c r="C18" s="16">
        <v>46143</v>
      </c>
      <c r="D18">
        <v>21338.39</v>
      </c>
    </row>
    <row r="19" spans="1:4" x14ac:dyDescent="0.3">
      <c r="A19" s="75" t="s">
        <v>34</v>
      </c>
      <c r="B19" s="75"/>
      <c r="C19" s="16">
        <v>46143</v>
      </c>
      <c r="D19">
        <v>345</v>
      </c>
    </row>
    <row r="20" spans="1:4" x14ac:dyDescent="0.3">
      <c r="A20" s="75" t="s">
        <v>35</v>
      </c>
      <c r="B20" s="75"/>
      <c r="C20" s="16">
        <v>46143</v>
      </c>
      <c r="D20">
        <v>13491.26</v>
      </c>
    </row>
    <row r="21" spans="1:4" x14ac:dyDescent="0.3">
      <c r="A21" s="75" t="s">
        <v>17</v>
      </c>
      <c r="B21" s="75"/>
      <c r="C21" s="16">
        <v>46144</v>
      </c>
      <c r="D21">
        <v>200763.43000000025</v>
      </c>
    </row>
    <row r="22" spans="1:4" x14ac:dyDescent="0.3">
      <c r="A22" s="75" t="s">
        <v>18</v>
      </c>
      <c r="B22" s="75"/>
      <c r="C22" s="16">
        <v>46144</v>
      </c>
      <c r="D22">
        <v>51288.029999999948</v>
      </c>
    </row>
    <row r="23" spans="1:4" x14ac:dyDescent="0.3">
      <c r="A23" s="75" t="s">
        <v>19</v>
      </c>
      <c r="B23" s="75"/>
      <c r="C23" s="16">
        <v>46144</v>
      </c>
      <c r="D23">
        <v>1669.89</v>
      </c>
    </row>
    <row r="24" spans="1:4" x14ac:dyDescent="0.3">
      <c r="A24" s="75" t="s">
        <v>20</v>
      </c>
      <c r="B24" s="75"/>
      <c r="C24" s="16">
        <v>46144</v>
      </c>
      <c r="D24">
        <v>589990.30000000005</v>
      </c>
    </row>
    <row r="25" spans="1:4" x14ac:dyDescent="0.3">
      <c r="A25" s="75" t="s">
        <v>21</v>
      </c>
      <c r="B25" s="75"/>
      <c r="C25" s="16">
        <v>46144</v>
      </c>
      <c r="D25">
        <v>990387.37999999931</v>
      </c>
    </row>
    <row r="26" spans="1:4" x14ac:dyDescent="0.3">
      <c r="A26" s="75" t="s">
        <v>22</v>
      </c>
      <c r="B26" s="75"/>
      <c r="C26" s="16">
        <v>46144</v>
      </c>
      <c r="D26">
        <v>142511.38</v>
      </c>
    </row>
    <row r="27" spans="1:4" x14ac:dyDescent="0.3">
      <c r="A27" s="75" t="s">
        <v>23</v>
      </c>
      <c r="B27" s="75"/>
      <c r="C27" s="16">
        <v>46144</v>
      </c>
      <c r="D27">
        <v>13088.589999999997</v>
      </c>
    </row>
    <row r="28" spans="1:4" x14ac:dyDescent="0.3">
      <c r="A28" s="75" t="s">
        <v>24</v>
      </c>
      <c r="B28" s="75"/>
      <c r="C28" s="16">
        <v>46144</v>
      </c>
      <c r="D28">
        <v>808.82999999999993</v>
      </c>
    </row>
    <row r="29" spans="1:4" x14ac:dyDescent="0.3">
      <c r="A29" s="75" t="s">
        <v>25</v>
      </c>
      <c r="B29" s="75"/>
      <c r="C29" s="16">
        <v>46144</v>
      </c>
      <c r="D29">
        <v>114.3</v>
      </c>
    </row>
    <row r="30" spans="1:4" x14ac:dyDescent="0.3">
      <c r="A30" s="75" t="s">
        <v>26</v>
      </c>
      <c r="B30" s="75"/>
      <c r="C30" s="16">
        <v>46144</v>
      </c>
      <c r="D30">
        <v>2267.7200000000003</v>
      </c>
    </row>
    <row r="31" spans="1:4" x14ac:dyDescent="0.3">
      <c r="A31" s="75" t="s">
        <v>27</v>
      </c>
      <c r="B31" s="75"/>
      <c r="C31" s="16">
        <v>46144</v>
      </c>
      <c r="D31">
        <v>3364.94</v>
      </c>
    </row>
    <row r="32" spans="1:4" x14ac:dyDescent="0.3">
      <c r="A32" s="75" t="s">
        <v>28</v>
      </c>
      <c r="B32" s="75"/>
      <c r="C32" s="16">
        <v>46144</v>
      </c>
      <c r="D32">
        <v>1968.99</v>
      </c>
    </row>
    <row r="33" spans="1:4" x14ac:dyDescent="0.3">
      <c r="A33" s="75" t="s">
        <v>29</v>
      </c>
      <c r="B33" s="75"/>
      <c r="C33" s="16">
        <v>46144</v>
      </c>
      <c r="D33">
        <v>901.34</v>
      </c>
    </row>
    <row r="34" spans="1:4" x14ac:dyDescent="0.3">
      <c r="A34" s="75" t="s">
        <v>30</v>
      </c>
      <c r="B34" s="75"/>
      <c r="C34" s="16">
        <v>46144</v>
      </c>
      <c r="D34">
        <v>1444.08</v>
      </c>
    </row>
    <row r="35" spans="1:4" x14ac:dyDescent="0.3">
      <c r="A35" s="75" t="s">
        <v>31</v>
      </c>
      <c r="B35" s="75"/>
      <c r="C35" s="16">
        <v>46144</v>
      </c>
      <c r="D35">
        <v>23262.599999999962</v>
      </c>
    </row>
    <row r="36" spans="1:4" x14ac:dyDescent="0.3">
      <c r="A36" s="75" t="s">
        <v>32</v>
      </c>
      <c r="B36" s="75"/>
      <c r="C36" s="16">
        <v>46144</v>
      </c>
      <c r="D36">
        <v>6853.9100000000017</v>
      </c>
    </row>
    <row r="37" spans="1:4" x14ac:dyDescent="0.3">
      <c r="A37" s="75" t="s">
        <v>33</v>
      </c>
      <c r="B37" s="75"/>
      <c r="C37" s="16">
        <v>46144</v>
      </c>
      <c r="D37">
        <v>21338.39</v>
      </c>
    </row>
    <row r="38" spans="1:4" x14ac:dyDescent="0.3">
      <c r="A38" s="75" t="s">
        <v>34</v>
      </c>
      <c r="B38" s="75"/>
      <c r="C38" s="16">
        <v>46144</v>
      </c>
      <c r="D38">
        <v>345</v>
      </c>
    </row>
    <row r="39" spans="1:4" x14ac:dyDescent="0.3">
      <c r="A39" s="75" t="s">
        <v>35</v>
      </c>
      <c r="B39" s="75"/>
      <c r="C39" s="16">
        <v>46144</v>
      </c>
      <c r="D39">
        <v>13491.26</v>
      </c>
    </row>
    <row r="40" spans="1:4" x14ac:dyDescent="0.3">
      <c r="A40" s="75" t="s">
        <v>17</v>
      </c>
      <c r="B40" s="75"/>
      <c r="C40" s="16">
        <v>46145</v>
      </c>
      <c r="D40">
        <v>200763.43000000025</v>
      </c>
    </row>
    <row r="41" spans="1:4" x14ac:dyDescent="0.3">
      <c r="A41" s="75" t="s">
        <v>18</v>
      </c>
      <c r="B41" s="75"/>
      <c r="C41" s="16">
        <v>46145</v>
      </c>
      <c r="D41">
        <v>51288.029999999948</v>
      </c>
    </row>
    <row r="42" spans="1:4" x14ac:dyDescent="0.3">
      <c r="A42" s="75" t="s">
        <v>19</v>
      </c>
      <c r="B42" s="75"/>
      <c r="C42" s="16">
        <v>46145</v>
      </c>
      <c r="D42">
        <v>1669.89</v>
      </c>
    </row>
    <row r="43" spans="1:4" x14ac:dyDescent="0.3">
      <c r="A43" s="75" t="s">
        <v>20</v>
      </c>
      <c r="B43" s="75"/>
      <c r="C43" s="16">
        <v>46145</v>
      </c>
      <c r="D43">
        <v>589990.30000000005</v>
      </c>
    </row>
    <row r="44" spans="1:4" x14ac:dyDescent="0.3">
      <c r="A44" s="75" t="s">
        <v>21</v>
      </c>
      <c r="B44" s="75"/>
      <c r="C44" s="16">
        <v>46145</v>
      </c>
      <c r="D44">
        <v>990387.37999999931</v>
      </c>
    </row>
    <row r="45" spans="1:4" x14ac:dyDescent="0.3">
      <c r="A45" s="75" t="s">
        <v>22</v>
      </c>
      <c r="B45" s="75"/>
      <c r="C45" s="16">
        <v>46145</v>
      </c>
      <c r="D45">
        <v>142511.38</v>
      </c>
    </row>
    <row r="46" spans="1:4" x14ac:dyDescent="0.3">
      <c r="A46" s="75" t="s">
        <v>23</v>
      </c>
      <c r="B46" s="75"/>
      <c r="C46" s="16">
        <v>46145</v>
      </c>
      <c r="D46">
        <v>13088.589999999997</v>
      </c>
    </row>
    <row r="47" spans="1:4" x14ac:dyDescent="0.3">
      <c r="A47" s="75" t="s">
        <v>24</v>
      </c>
      <c r="B47" s="75"/>
      <c r="C47" s="16">
        <v>46145</v>
      </c>
      <c r="D47">
        <v>808.82999999999993</v>
      </c>
    </row>
    <row r="48" spans="1:4" x14ac:dyDescent="0.3">
      <c r="A48" s="75" t="s">
        <v>25</v>
      </c>
      <c r="B48" s="75"/>
      <c r="C48" s="16">
        <v>46145</v>
      </c>
      <c r="D48">
        <v>114.3</v>
      </c>
    </row>
    <row r="49" spans="1:4" x14ac:dyDescent="0.3">
      <c r="A49" s="75" t="s">
        <v>26</v>
      </c>
      <c r="B49" s="75"/>
      <c r="C49" s="16">
        <v>46145</v>
      </c>
      <c r="D49">
        <v>2267.7200000000003</v>
      </c>
    </row>
    <row r="50" spans="1:4" x14ac:dyDescent="0.3">
      <c r="A50" s="75" t="s">
        <v>27</v>
      </c>
      <c r="B50" s="75"/>
      <c r="C50" s="16">
        <v>46145</v>
      </c>
      <c r="D50">
        <v>3364.94</v>
      </c>
    </row>
    <row r="51" spans="1:4" x14ac:dyDescent="0.3">
      <c r="A51" s="75" t="s">
        <v>28</v>
      </c>
      <c r="B51" s="75"/>
      <c r="C51" s="16">
        <v>46145</v>
      </c>
      <c r="D51">
        <v>1968.99</v>
      </c>
    </row>
    <row r="52" spans="1:4" x14ac:dyDescent="0.3">
      <c r="A52" s="75" t="s">
        <v>29</v>
      </c>
      <c r="B52" s="75"/>
      <c r="C52" s="16">
        <v>46145</v>
      </c>
      <c r="D52">
        <v>901.34</v>
      </c>
    </row>
    <row r="53" spans="1:4" x14ac:dyDescent="0.3">
      <c r="A53" s="75" t="s">
        <v>30</v>
      </c>
      <c r="B53" s="75"/>
      <c r="C53" s="16">
        <v>46145</v>
      </c>
      <c r="D53">
        <v>1444.08</v>
      </c>
    </row>
    <row r="54" spans="1:4" x14ac:dyDescent="0.3">
      <c r="A54" s="75" t="s">
        <v>31</v>
      </c>
      <c r="B54" s="75"/>
      <c r="C54" s="16">
        <v>46145</v>
      </c>
      <c r="D54">
        <v>23262.599999999962</v>
      </c>
    </row>
    <row r="55" spans="1:4" x14ac:dyDescent="0.3">
      <c r="A55" s="75" t="s">
        <v>32</v>
      </c>
      <c r="B55" s="75"/>
      <c r="C55" s="16">
        <v>46145</v>
      </c>
      <c r="D55">
        <v>6853.9100000000017</v>
      </c>
    </row>
    <row r="56" spans="1:4" x14ac:dyDescent="0.3">
      <c r="A56" s="75" t="s">
        <v>33</v>
      </c>
      <c r="B56" s="75"/>
      <c r="C56" s="16">
        <v>46145</v>
      </c>
      <c r="D56">
        <v>21338.39</v>
      </c>
    </row>
    <row r="57" spans="1:4" x14ac:dyDescent="0.3">
      <c r="A57" s="75" t="s">
        <v>34</v>
      </c>
      <c r="B57" s="75"/>
      <c r="C57" s="16">
        <v>46145</v>
      </c>
      <c r="D57">
        <v>345</v>
      </c>
    </row>
    <row r="58" spans="1:4" x14ac:dyDescent="0.3">
      <c r="A58" s="75" t="s">
        <v>35</v>
      </c>
      <c r="B58" s="75"/>
      <c r="C58" s="16">
        <v>46145</v>
      </c>
      <c r="D58">
        <v>13491.26</v>
      </c>
    </row>
    <row r="59" spans="1:4" x14ac:dyDescent="0.3">
      <c r="A59" s="75" t="s">
        <v>17</v>
      </c>
      <c r="B59" s="75"/>
      <c r="C59" s="16">
        <v>46146</v>
      </c>
      <c r="D59">
        <v>200763.43000000025</v>
      </c>
    </row>
    <row r="60" spans="1:4" x14ac:dyDescent="0.3">
      <c r="A60" s="75" t="s">
        <v>18</v>
      </c>
      <c r="B60" s="75"/>
      <c r="C60" s="16">
        <v>46146</v>
      </c>
      <c r="D60">
        <v>51288.029999999948</v>
      </c>
    </row>
    <row r="61" spans="1:4" x14ac:dyDescent="0.3">
      <c r="A61" s="75" t="s">
        <v>19</v>
      </c>
      <c r="B61" s="75"/>
      <c r="C61" s="16">
        <v>46146</v>
      </c>
      <c r="D61">
        <v>1669.89</v>
      </c>
    </row>
    <row r="62" spans="1:4" x14ac:dyDescent="0.3">
      <c r="A62" s="75" t="s">
        <v>20</v>
      </c>
      <c r="B62" s="75"/>
      <c r="C62" s="16">
        <v>46146</v>
      </c>
      <c r="D62">
        <v>589990.30000000005</v>
      </c>
    </row>
    <row r="63" spans="1:4" x14ac:dyDescent="0.3">
      <c r="A63" s="75" t="s">
        <v>21</v>
      </c>
      <c r="B63" s="75"/>
      <c r="C63" s="16">
        <v>46146</v>
      </c>
      <c r="D63">
        <v>1790387.3799999994</v>
      </c>
    </row>
    <row r="64" spans="1:4" x14ac:dyDescent="0.3">
      <c r="A64" s="75" t="s">
        <v>22</v>
      </c>
      <c r="B64" s="75"/>
      <c r="C64" s="16">
        <v>46146</v>
      </c>
      <c r="D64">
        <v>136511.38</v>
      </c>
    </row>
    <row r="65" spans="1:4" x14ac:dyDescent="0.3">
      <c r="A65" s="75" t="s">
        <v>23</v>
      </c>
      <c r="B65" s="75"/>
      <c r="C65" s="16">
        <v>46146</v>
      </c>
      <c r="D65">
        <v>13088.589999999997</v>
      </c>
    </row>
    <row r="66" spans="1:4" x14ac:dyDescent="0.3">
      <c r="A66" s="75" t="s">
        <v>24</v>
      </c>
      <c r="B66" s="75"/>
      <c r="C66" s="16">
        <v>46146</v>
      </c>
      <c r="D66">
        <v>808.82999999999993</v>
      </c>
    </row>
    <row r="67" spans="1:4" x14ac:dyDescent="0.3">
      <c r="A67" s="75" t="s">
        <v>25</v>
      </c>
      <c r="B67" s="75"/>
      <c r="C67" s="16">
        <v>46146</v>
      </c>
      <c r="D67">
        <v>114.3</v>
      </c>
    </row>
    <row r="68" spans="1:4" x14ac:dyDescent="0.3">
      <c r="A68" s="75" t="s">
        <v>26</v>
      </c>
      <c r="B68" s="75"/>
      <c r="C68" s="16">
        <v>46146</v>
      </c>
      <c r="D68">
        <v>2267.7200000000003</v>
      </c>
    </row>
    <row r="69" spans="1:4" x14ac:dyDescent="0.3">
      <c r="A69" s="75" t="s">
        <v>27</v>
      </c>
      <c r="B69" s="75"/>
      <c r="C69" s="16">
        <v>46146</v>
      </c>
      <c r="D69">
        <v>3364.94</v>
      </c>
    </row>
    <row r="70" spans="1:4" x14ac:dyDescent="0.3">
      <c r="A70" s="75" t="s">
        <v>28</v>
      </c>
      <c r="B70" s="75"/>
      <c r="C70" s="16">
        <v>46146</v>
      </c>
      <c r="D70">
        <v>1968.99</v>
      </c>
    </row>
    <row r="71" spans="1:4" x14ac:dyDescent="0.3">
      <c r="A71" s="75" t="s">
        <v>29</v>
      </c>
      <c r="B71" s="75"/>
      <c r="C71" s="16">
        <v>46146</v>
      </c>
      <c r="D71">
        <v>901.34</v>
      </c>
    </row>
    <row r="72" spans="1:4" x14ac:dyDescent="0.3">
      <c r="A72" s="75" t="s">
        <v>30</v>
      </c>
      <c r="B72" s="75"/>
      <c r="C72" s="16">
        <v>46146</v>
      </c>
      <c r="D72">
        <v>1444.08</v>
      </c>
    </row>
    <row r="73" spans="1:4" x14ac:dyDescent="0.3">
      <c r="A73" s="75" t="s">
        <v>31</v>
      </c>
      <c r="B73" s="75"/>
      <c r="C73" s="16">
        <v>46146</v>
      </c>
      <c r="D73">
        <v>23247.599999999962</v>
      </c>
    </row>
    <row r="74" spans="1:4" x14ac:dyDescent="0.3">
      <c r="A74" s="75" t="s">
        <v>32</v>
      </c>
      <c r="B74" s="75"/>
      <c r="C74" s="16">
        <v>46146</v>
      </c>
      <c r="D74">
        <v>6853.9100000000017</v>
      </c>
    </row>
    <row r="75" spans="1:4" x14ac:dyDescent="0.3">
      <c r="A75" s="75" t="s">
        <v>33</v>
      </c>
      <c r="B75" s="75"/>
      <c r="C75" s="16">
        <v>46146</v>
      </c>
      <c r="D75">
        <v>21338.39</v>
      </c>
    </row>
    <row r="76" spans="1:4" x14ac:dyDescent="0.3">
      <c r="A76" s="75" t="s">
        <v>34</v>
      </c>
      <c r="B76" s="75"/>
      <c r="C76" s="16">
        <v>46146</v>
      </c>
      <c r="D76">
        <v>345</v>
      </c>
    </row>
    <row r="77" spans="1:4" x14ac:dyDescent="0.3">
      <c r="A77" s="75" t="s">
        <v>35</v>
      </c>
      <c r="B77" s="75"/>
      <c r="C77" s="16">
        <v>46146</v>
      </c>
      <c r="D77">
        <v>8782.25</v>
      </c>
    </row>
    <row r="78" spans="1:4" x14ac:dyDescent="0.3">
      <c r="A78" s="75" t="s">
        <v>17</v>
      </c>
      <c r="B78" s="75"/>
      <c r="C78" s="16">
        <v>46147</v>
      </c>
      <c r="D78">
        <v>197763.43000000025</v>
      </c>
    </row>
    <row r="79" spans="1:4" x14ac:dyDescent="0.3">
      <c r="A79" s="75" t="s">
        <v>18</v>
      </c>
      <c r="B79" s="75"/>
      <c r="C79" s="16">
        <v>46147</v>
      </c>
      <c r="D79">
        <v>51288.029999999948</v>
      </c>
    </row>
    <row r="80" spans="1:4" x14ac:dyDescent="0.3">
      <c r="A80" s="75" t="s">
        <v>19</v>
      </c>
      <c r="B80" s="75"/>
      <c r="C80" s="16">
        <v>46147</v>
      </c>
      <c r="D80">
        <v>1669.89</v>
      </c>
    </row>
    <row r="81" spans="1:4" x14ac:dyDescent="0.3">
      <c r="A81" s="75" t="s">
        <v>20</v>
      </c>
      <c r="B81" s="75"/>
      <c r="C81" s="16">
        <v>46147</v>
      </c>
      <c r="D81">
        <v>989990.29999999993</v>
      </c>
    </row>
    <row r="82" spans="1:4" x14ac:dyDescent="0.3">
      <c r="A82" s="75" t="s">
        <v>21</v>
      </c>
      <c r="B82" s="75"/>
      <c r="C82" s="16">
        <v>46147</v>
      </c>
      <c r="D82">
        <v>1088892.0899999994</v>
      </c>
    </row>
    <row r="83" spans="1:4" x14ac:dyDescent="0.3">
      <c r="A83" s="75" t="s">
        <v>22</v>
      </c>
      <c r="B83" s="75"/>
      <c r="C83" s="16">
        <v>46147</v>
      </c>
      <c r="D83">
        <v>121511.38</v>
      </c>
    </row>
    <row r="84" spans="1:4" x14ac:dyDescent="0.3">
      <c r="A84" s="75" t="s">
        <v>23</v>
      </c>
      <c r="B84" s="75"/>
      <c r="C84" s="16">
        <v>46147</v>
      </c>
      <c r="D84">
        <v>813088.59</v>
      </c>
    </row>
    <row r="85" spans="1:4" x14ac:dyDescent="0.3">
      <c r="A85" s="75" t="s">
        <v>24</v>
      </c>
      <c r="B85" s="75"/>
      <c r="C85" s="16">
        <v>46147</v>
      </c>
      <c r="D85">
        <v>3768.83</v>
      </c>
    </row>
    <row r="86" spans="1:4" x14ac:dyDescent="0.3">
      <c r="A86" s="75" t="s">
        <v>25</v>
      </c>
      <c r="B86" s="75"/>
      <c r="C86" s="16">
        <v>46147</v>
      </c>
      <c r="D86">
        <v>114.3</v>
      </c>
    </row>
    <row r="87" spans="1:4" x14ac:dyDescent="0.3">
      <c r="A87" s="75" t="s">
        <v>26</v>
      </c>
      <c r="B87" s="75"/>
      <c r="C87" s="16">
        <v>46147</v>
      </c>
      <c r="D87">
        <v>2267.7200000000003</v>
      </c>
    </row>
    <row r="88" spans="1:4" x14ac:dyDescent="0.3">
      <c r="A88" s="75" t="s">
        <v>27</v>
      </c>
      <c r="B88" s="75"/>
      <c r="C88" s="16">
        <v>46147</v>
      </c>
      <c r="D88">
        <v>3364.94</v>
      </c>
    </row>
    <row r="89" spans="1:4" x14ac:dyDescent="0.3">
      <c r="A89" s="75" t="s">
        <v>28</v>
      </c>
      <c r="B89" s="75"/>
      <c r="C89" s="16">
        <v>46147</v>
      </c>
      <c r="D89">
        <v>1968.99</v>
      </c>
    </row>
    <row r="90" spans="1:4" x14ac:dyDescent="0.3">
      <c r="A90" s="75" t="s">
        <v>29</v>
      </c>
      <c r="B90" s="75"/>
      <c r="C90" s="16">
        <v>46147</v>
      </c>
      <c r="D90">
        <v>901.34</v>
      </c>
    </row>
    <row r="91" spans="1:4" x14ac:dyDescent="0.3">
      <c r="A91" s="75" t="s">
        <v>30</v>
      </c>
      <c r="B91" s="75"/>
      <c r="C91" s="16">
        <v>46147</v>
      </c>
      <c r="D91">
        <v>1444.08</v>
      </c>
    </row>
    <row r="92" spans="1:4" x14ac:dyDescent="0.3">
      <c r="A92" s="75" t="s">
        <v>31</v>
      </c>
      <c r="B92" s="75"/>
      <c r="C92" s="16">
        <v>46147</v>
      </c>
      <c r="D92">
        <v>23247.599999999962</v>
      </c>
    </row>
    <row r="93" spans="1:4" x14ac:dyDescent="0.3">
      <c r="A93" s="75" t="s">
        <v>32</v>
      </c>
      <c r="B93" s="75"/>
      <c r="C93" s="16">
        <v>46147</v>
      </c>
      <c r="D93">
        <v>6853.9100000000017</v>
      </c>
    </row>
    <row r="94" spans="1:4" x14ac:dyDescent="0.3">
      <c r="A94" s="75" t="s">
        <v>33</v>
      </c>
      <c r="B94" s="75"/>
      <c r="C94" s="16">
        <v>46147</v>
      </c>
      <c r="D94">
        <v>21338.39</v>
      </c>
    </row>
    <row r="95" spans="1:4" x14ac:dyDescent="0.3">
      <c r="A95" s="75" t="s">
        <v>34</v>
      </c>
      <c r="B95" s="75"/>
      <c r="C95" s="16">
        <v>46147</v>
      </c>
      <c r="D95">
        <v>345</v>
      </c>
    </row>
    <row r="96" spans="1:4" x14ac:dyDescent="0.3">
      <c r="A96" s="75" t="s">
        <v>35</v>
      </c>
      <c r="B96" s="75"/>
      <c r="C96" s="16">
        <v>46147</v>
      </c>
      <c r="D96">
        <v>8782.25</v>
      </c>
    </row>
    <row r="97" spans="1:4" x14ac:dyDescent="0.3">
      <c r="A97" s="75" t="s">
        <v>17</v>
      </c>
      <c r="B97" s="75"/>
      <c r="C97" s="16">
        <v>46148</v>
      </c>
      <c r="D97">
        <v>197763.43000000025</v>
      </c>
    </row>
    <row r="98" spans="1:4" x14ac:dyDescent="0.3">
      <c r="A98" s="75" t="s">
        <v>18</v>
      </c>
      <c r="B98" s="75"/>
      <c r="C98" s="16">
        <v>46148</v>
      </c>
      <c r="D98">
        <v>626288.02999999991</v>
      </c>
    </row>
    <row r="99" spans="1:4" x14ac:dyDescent="0.3">
      <c r="A99" s="75" t="s">
        <v>19</v>
      </c>
      <c r="B99" s="75"/>
      <c r="C99" s="16">
        <v>46148</v>
      </c>
      <c r="D99">
        <v>1669.89</v>
      </c>
    </row>
    <row r="100" spans="1:4" x14ac:dyDescent="0.3">
      <c r="A100" s="75" t="s">
        <v>20</v>
      </c>
      <c r="B100" s="75"/>
      <c r="C100" s="16">
        <v>46148</v>
      </c>
      <c r="D100">
        <v>989990.29999999993</v>
      </c>
    </row>
    <row r="101" spans="1:4" x14ac:dyDescent="0.3">
      <c r="A101" s="75" t="s">
        <v>21</v>
      </c>
      <c r="B101" s="75"/>
      <c r="C101" s="16">
        <v>46148</v>
      </c>
      <c r="D101">
        <v>961212.30999999924</v>
      </c>
    </row>
    <row r="102" spans="1:4" x14ac:dyDescent="0.3">
      <c r="A102" s="75" t="s">
        <v>22</v>
      </c>
      <c r="B102" s="75"/>
      <c r="C102" s="16">
        <v>46148</v>
      </c>
      <c r="D102">
        <v>121511.38</v>
      </c>
    </row>
    <row r="103" spans="1:4" x14ac:dyDescent="0.3">
      <c r="A103" s="75" t="s">
        <v>23</v>
      </c>
      <c r="B103" s="75"/>
      <c r="C103" s="16">
        <v>46148</v>
      </c>
      <c r="D103">
        <v>813088.59</v>
      </c>
    </row>
    <row r="104" spans="1:4" x14ac:dyDescent="0.3">
      <c r="A104" s="75" t="s">
        <v>24</v>
      </c>
      <c r="B104" s="75"/>
      <c r="C104" s="16">
        <v>46148</v>
      </c>
      <c r="D104">
        <v>3768.83</v>
      </c>
    </row>
    <row r="105" spans="1:4" x14ac:dyDescent="0.3">
      <c r="A105" s="75" t="s">
        <v>25</v>
      </c>
      <c r="B105" s="75"/>
      <c r="C105" s="16">
        <v>46148</v>
      </c>
      <c r="D105">
        <v>114.3</v>
      </c>
    </row>
    <row r="106" spans="1:4" x14ac:dyDescent="0.3">
      <c r="A106" s="75" t="s">
        <v>26</v>
      </c>
      <c r="B106" s="75"/>
      <c r="C106" s="16">
        <v>46148</v>
      </c>
      <c r="D106">
        <v>2267.7200000000003</v>
      </c>
    </row>
    <row r="107" spans="1:4" x14ac:dyDescent="0.3">
      <c r="A107" s="75" t="s">
        <v>27</v>
      </c>
      <c r="B107" s="75"/>
      <c r="C107" s="16">
        <v>46148</v>
      </c>
      <c r="D107">
        <v>3364.94</v>
      </c>
    </row>
    <row r="108" spans="1:4" x14ac:dyDescent="0.3">
      <c r="A108" s="75" t="s">
        <v>28</v>
      </c>
      <c r="B108" s="75"/>
      <c r="C108" s="16">
        <v>46148</v>
      </c>
      <c r="D108">
        <v>1968.99</v>
      </c>
    </row>
    <row r="109" spans="1:4" x14ac:dyDescent="0.3">
      <c r="A109" s="75" t="s">
        <v>29</v>
      </c>
      <c r="B109" s="75"/>
      <c r="C109" s="16">
        <v>46148</v>
      </c>
      <c r="D109">
        <v>901.34</v>
      </c>
    </row>
    <row r="110" spans="1:4" x14ac:dyDescent="0.3">
      <c r="A110" s="75" t="s">
        <v>30</v>
      </c>
      <c r="B110" s="75"/>
      <c r="C110" s="16">
        <v>46148</v>
      </c>
      <c r="D110">
        <v>1444.08</v>
      </c>
    </row>
    <row r="111" spans="1:4" x14ac:dyDescent="0.3">
      <c r="A111" s="75" t="s">
        <v>31</v>
      </c>
      <c r="B111" s="75"/>
      <c r="C111" s="16">
        <v>46148</v>
      </c>
      <c r="D111">
        <v>23247.599999999962</v>
      </c>
    </row>
    <row r="112" spans="1:4" x14ac:dyDescent="0.3">
      <c r="A112" s="75" t="s">
        <v>32</v>
      </c>
      <c r="B112" s="75"/>
      <c r="C112" s="16">
        <v>46148</v>
      </c>
      <c r="D112">
        <v>5135.0600000000013</v>
      </c>
    </row>
    <row r="113" spans="1:4" x14ac:dyDescent="0.3">
      <c r="A113" s="75" t="s">
        <v>33</v>
      </c>
      <c r="B113" s="75"/>
      <c r="C113" s="16">
        <v>46148</v>
      </c>
      <c r="D113">
        <v>21338.39</v>
      </c>
    </row>
    <row r="114" spans="1:4" x14ac:dyDescent="0.3">
      <c r="A114" s="75" t="s">
        <v>34</v>
      </c>
      <c r="B114" s="75"/>
      <c r="C114" s="16">
        <v>46148</v>
      </c>
      <c r="D114">
        <v>345</v>
      </c>
    </row>
    <row r="115" spans="1:4" x14ac:dyDescent="0.3">
      <c r="A115" s="75" t="s">
        <v>35</v>
      </c>
      <c r="B115" s="75"/>
      <c r="C115" s="16">
        <v>46148</v>
      </c>
      <c r="D115">
        <v>8782.25</v>
      </c>
    </row>
    <row r="116" spans="1:4" x14ac:dyDescent="0.3">
      <c r="A116" s="75" t="s">
        <v>17</v>
      </c>
      <c r="B116" s="75"/>
      <c r="C116" s="16">
        <v>46149</v>
      </c>
      <c r="D116">
        <v>447763.43000000028</v>
      </c>
    </row>
    <row r="117" spans="1:4" x14ac:dyDescent="0.3">
      <c r="A117" s="75" t="s">
        <v>18</v>
      </c>
      <c r="B117" s="75"/>
      <c r="C117" s="16">
        <v>46149</v>
      </c>
      <c r="D117">
        <v>56288.029999999941</v>
      </c>
    </row>
    <row r="118" spans="1:4" x14ac:dyDescent="0.3">
      <c r="A118" s="75" t="s">
        <v>19</v>
      </c>
      <c r="B118" s="75"/>
      <c r="C118" s="16">
        <v>46149</v>
      </c>
      <c r="D118">
        <v>1669.89</v>
      </c>
    </row>
    <row r="119" spans="1:4" x14ac:dyDescent="0.3">
      <c r="A119" s="75" t="s">
        <v>20</v>
      </c>
      <c r="B119" s="75"/>
      <c r="C119" s="16">
        <v>46149</v>
      </c>
      <c r="D119">
        <v>274668.55999999994</v>
      </c>
    </row>
    <row r="120" spans="1:4" x14ac:dyDescent="0.3">
      <c r="A120" s="75" t="s">
        <v>21</v>
      </c>
      <c r="B120" s="75"/>
      <c r="C120" s="16">
        <v>46149</v>
      </c>
      <c r="D120">
        <v>926213.13999999932</v>
      </c>
    </row>
    <row r="121" spans="1:4" x14ac:dyDescent="0.3">
      <c r="A121" s="75" t="s">
        <v>22</v>
      </c>
      <c r="B121" s="75"/>
      <c r="C121" s="16">
        <v>46149</v>
      </c>
      <c r="D121">
        <v>121511.38</v>
      </c>
    </row>
    <row r="122" spans="1:4" x14ac:dyDescent="0.3">
      <c r="A122" s="75" t="s">
        <v>23</v>
      </c>
      <c r="B122" s="75"/>
      <c r="C122" s="16">
        <v>46149</v>
      </c>
      <c r="D122">
        <v>1513088.59</v>
      </c>
    </row>
    <row r="123" spans="1:4" x14ac:dyDescent="0.3">
      <c r="A123" s="75" t="s">
        <v>24</v>
      </c>
      <c r="B123" s="75"/>
      <c r="C123" s="16">
        <v>46149</v>
      </c>
      <c r="D123">
        <v>3768.83</v>
      </c>
    </row>
    <row r="124" spans="1:4" x14ac:dyDescent="0.3">
      <c r="A124" s="75" t="s">
        <v>25</v>
      </c>
      <c r="B124" s="75"/>
      <c r="C124" s="16">
        <v>46149</v>
      </c>
      <c r="D124">
        <v>114.3</v>
      </c>
    </row>
    <row r="125" spans="1:4" x14ac:dyDescent="0.3">
      <c r="A125" s="75" t="s">
        <v>26</v>
      </c>
      <c r="B125" s="75"/>
      <c r="C125" s="16">
        <v>46149</v>
      </c>
      <c r="D125">
        <v>2267.7200000000003</v>
      </c>
    </row>
    <row r="126" spans="1:4" x14ac:dyDescent="0.3">
      <c r="A126" s="75" t="s">
        <v>27</v>
      </c>
      <c r="B126" s="75"/>
      <c r="C126" s="16">
        <v>46149</v>
      </c>
      <c r="D126">
        <v>3364.94</v>
      </c>
    </row>
    <row r="127" spans="1:4" x14ac:dyDescent="0.3">
      <c r="A127" s="75" t="s">
        <v>28</v>
      </c>
      <c r="B127" s="75"/>
      <c r="C127" s="16">
        <v>46149</v>
      </c>
      <c r="D127">
        <v>1968.99</v>
      </c>
    </row>
    <row r="128" spans="1:4" x14ac:dyDescent="0.3">
      <c r="A128" s="75" t="s">
        <v>29</v>
      </c>
      <c r="B128" s="75"/>
      <c r="C128" s="16">
        <v>46149</v>
      </c>
      <c r="D128">
        <v>901.34</v>
      </c>
    </row>
    <row r="129" spans="1:4" x14ac:dyDescent="0.3">
      <c r="A129" s="75" t="s">
        <v>30</v>
      </c>
      <c r="B129" s="75"/>
      <c r="C129" s="16">
        <v>46149</v>
      </c>
      <c r="D129">
        <v>1444.08</v>
      </c>
    </row>
    <row r="130" spans="1:4" x14ac:dyDescent="0.3">
      <c r="A130" s="75" t="s">
        <v>31</v>
      </c>
      <c r="B130" s="75"/>
      <c r="C130" s="16">
        <v>46149</v>
      </c>
      <c r="D130">
        <v>23247.599999999962</v>
      </c>
    </row>
    <row r="131" spans="1:4" x14ac:dyDescent="0.3">
      <c r="A131" s="75" t="s">
        <v>32</v>
      </c>
      <c r="B131" s="75"/>
      <c r="C131" s="16">
        <v>46149</v>
      </c>
      <c r="D131">
        <v>15135.060000000001</v>
      </c>
    </row>
    <row r="132" spans="1:4" x14ac:dyDescent="0.3">
      <c r="A132" s="75" t="s">
        <v>33</v>
      </c>
      <c r="B132" s="75"/>
      <c r="C132" s="16">
        <v>46149</v>
      </c>
      <c r="D132">
        <v>31338.39</v>
      </c>
    </row>
    <row r="133" spans="1:4" x14ac:dyDescent="0.3">
      <c r="A133" s="75" t="s">
        <v>34</v>
      </c>
      <c r="B133" s="75"/>
      <c r="C133" s="16">
        <v>46149</v>
      </c>
      <c r="D133">
        <v>345</v>
      </c>
    </row>
    <row r="134" spans="1:4" x14ac:dyDescent="0.3">
      <c r="A134" s="75" t="s">
        <v>35</v>
      </c>
      <c r="B134" s="75"/>
      <c r="C134" s="16">
        <v>46149</v>
      </c>
      <c r="D134">
        <v>8782.25</v>
      </c>
    </row>
    <row r="135" spans="1:4" x14ac:dyDescent="0.3">
      <c r="A135" s="75" t="s">
        <v>17</v>
      </c>
      <c r="B135" s="75"/>
      <c r="C135" s="16">
        <v>46150</v>
      </c>
      <c r="D135">
        <v>512927.75000000023</v>
      </c>
    </row>
    <row r="136" spans="1:4" x14ac:dyDescent="0.3">
      <c r="A136" s="75" t="s">
        <v>18</v>
      </c>
      <c r="B136" s="75"/>
      <c r="C136" s="16">
        <v>46150</v>
      </c>
      <c r="D136">
        <v>58840.089999999938</v>
      </c>
    </row>
    <row r="137" spans="1:4" x14ac:dyDescent="0.3">
      <c r="A137" s="75" t="s">
        <v>19</v>
      </c>
      <c r="B137" s="75"/>
      <c r="C137" s="16">
        <v>46150</v>
      </c>
      <c r="D137">
        <v>1669.89</v>
      </c>
    </row>
    <row r="138" spans="1:4" x14ac:dyDescent="0.3">
      <c r="A138" s="75" t="s">
        <v>20</v>
      </c>
      <c r="B138" s="75"/>
      <c r="C138" s="16">
        <v>46150</v>
      </c>
      <c r="D138">
        <v>792366.49999999988</v>
      </c>
    </row>
    <row r="139" spans="1:4" x14ac:dyDescent="0.3">
      <c r="A139" s="75" t="s">
        <v>21</v>
      </c>
      <c r="B139" s="75"/>
      <c r="C139" s="16">
        <v>46150</v>
      </c>
      <c r="D139">
        <v>923830.41999999923</v>
      </c>
    </row>
    <row r="140" spans="1:4" x14ac:dyDescent="0.3">
      <c r="A140" s="75" t="s">
        <v>22</v>
      </c>
      <c r="B140" s="75"/>
      <c r="C140" s="16">
        <v>46150</v>
      </c>
      <c r="D140">
        <v>121511.38</v>
      </c>
    </row>
    <row r="141" spans="1:4" x14ac:dyDescent="0.3">
      <c r="A141" s="75" t="s">
        <v>23</v>
      </c>
      <c r="B141" s="75"/>
      <c r="C141" s="16">
        <v>46150</v>
      </c>
      <c r="D141">
        <v>13088.589999999997</v>
      </c>
    </row>
    <row r="142" spans="1:4" x14ac:dyDescent="0.3">
      <c r="A142" s="75" t="s">
        <v>24</v>
      </c>
      <c r="B142" s="75"/>
      <c r="C142" s="16">
        <v>46150</v>
      </c>
      <c r="D142">
        <v>3768.83</v>
      </c>
    </row>
    <row r="143" spans="1:4" x14ac:dyDescent="0.3">
      <c r="A143" s="75" t="s">
        <v>25</v>
      </c>
      <c r="B143" s="75"/>
      <c r="C143" s="16">
        <v>46150</v>
      </c>
      <c r="D143">
        <v>114.3</v>
      </c>
    </row>
    <row r="144" spans="1:4" x14ac:dyDescent="0.3">
      <c r="A144" s="75" t="s">
        <v>26</v>
      </c>
      <c r="B144" s="75"/>
      <c r="C144" s="16">
        <v>46150</v>
      </c>
      <c r="D144">
        <v>2267.7200000000003</v>
      </c>
    </row>
    <row r="145" spans="1:4" x14ac:dyDescent="0.3">
      <c r="A145" s="75" t="s">
        <v>27</v>
      </c>
      <c r="B145" s="75"/>
      <c r="C145" s="16">
        <v>46150</v>
      </c>
      <c r="D145">
        <v>3349.94</v>
      </c>
    </row>
    <row r="146" spans="1:4" x14ac:dyDescent="0.3">
      <c r="A146" s="75" t="s">
        <v>28</v>
      </c>
      <c r="B146" s="75"/>
      <c r="C146" s="16">
        <v>46150</v>
      </c>
      <c r="D146">
        <v>1968.99</v>
      </c>
    </row>
    <row r="147" spans="1:4" x14ac:dyDescent="0.3">
      <c r="A147" s="75" t="s">
        <v>29</v>
      </c>
      <c r="B147" s="75"/>
      <c r="C147" s="16">
        <v>46150</v>
      </c>
      <c r="D147">
        <v>901.34</v>
      </c>
    </row>
    <row r="148" spans="1:4" x14ac:dyDescent="0.3">
      <c r="A148" s="75" t="s">
        <v>30</v>
      </c>
      <c r="B148" s="75"/>
      <c r="C148" s="16">
        <v>46150</v>
      </c>
      <c r="D148">
        <v>1444.08</v>
      </c>
    </row>
    <row r="149" spans="1:4" x14ac:dyDescent="0.3">
      <c r="A149" s="75" t="s">
        <v>31</v>
      </c>
      <c r="B149" s="75"/>
      <c r="C149" s="16">
        <v>46150</v>
      </c>
      <c r="D149">
        <v>20592.599999999962</v>
      </c>
    </row>
    <row r="150" spans="1:4" x14ac:dyDescent="0.3">
      <c r="A150" s="75" t="s">
        <v>32</v>
      </c>
      <c r="B150" s="75"/>
      <c r="C150" s="16">
        <v>46150</v>
      </c>
      <c r="D150">
        <v>15120.060000000001</v>
      </c>
    </row>
    <row r="151" spans="1:4" x14ac:dyDescent="0.3">
      <c r="A151" s="75" t="s">
        <v>33</v>
      </c>
      <c r="B151" s="75"/>
      <c r="C151" s="16">
        <v>46150</v>
      </c>
      <c r="D151">
        <v>31323.39</v>
      </c>
    </row>
    <row r="152" spans="1:4" x14ac:dyDescent="0.3">
      <c r="A152" s="75" t="s">
        <v>34</v>
      </c>
      <c r="B152" s="75"/>
      <c r="C152" s="16">
        <v>46150</v>
      </c>
      <c r="D152">
        <v>345</v>
      </c>
    </row>
    <row r="153" spans="1:4" x14ac:dyDescent="0.3">
      <c r="A153" s="75" t="s">
        <v>35</v>
      </c>
      <c r="B153" s="75"/>
      <c r="C153" s="16">
        <v>46150</v>
      </c>
      <c r="D153">
        <v>23782.25</v>
      </c>
    </row>
    <row r="154" spans="1:4" x14ac:dyDescent="0.3">
      <c r="A154" s="75" t="s">
        <v>17</v>
      </c>
      <c r="B154" s="75"/>
      <c r="C154" s="16">
        <v>46151</v>
      </c>
      <c r="D154">
        <v>512927.75000000023</v>
      </c>
    </row>
    <row r="155" spans="1:4" x14ac:dyDescent="0.3">
      <c r="A155" s="75" t="s">
        <v>18</v>
      </c>
      <c r="B155" s="75"/>
      <c r="C155" s="16">
        <v>46151</v>
      </c>
      <c r="D155">
        <v>58840.089999999938</v>
      </c>
    </row>
    <row r="156" spans="1:4" x14ac:dyDescent="0.3">
      <c r="A156" s="75" t="s">
        <v>19</v>
      </c>
      <c r="B156" s="75"/>
      <c r="C156" s="16">
        <v>46151</v>
      </c>
      <c r="D156">
        <v>1669.89</v>
      </c>
    </row>
    <row r="157" spans="1:4" x14ac:dyDescent="0.3">
      <c r="A157" s="75" t="s">
        <v>20</v>
      </c>
      <c r="B157" s="75"/>
      <c r="C157" s="16">
        <v>46151</v>
      </c>
      <c r="D157">
        <v>792366.49999999988</v>
      </c>
    </row>
    <row r="158" spans="1:4" x14ac:dyDescent="0.3">
      <c r="A158" s="75" t="s">
        <v>21</v>
      </c>
      <c r="B158" s="75"/>
      <c r="C158" s="16">
        <v>46151</v>
      </c>
      <c r="D158">
        <v>923830.41999999923</v>
      </c>
    </row>
    <row r="159" spans="1:4" x14ac:dyDescent="0.3">
      <c r="A159" s="75" t="s">
        <v>22</v>
      </c>
      <c r="B159" s="75"/>
      <c r="C159" s="16">
        <v>46151</v>
      </c>
      <c r="D159">
        <v>121511.38</v>
      </c>
    </row>
    <row r="160" spans="1:4" x14ac:dyDescent="0.3">
      <c r="A160" s="75" t="s">
        <v>23</v>
      </c>
      <c r="B160" s="75"/>
      <c r="C160" s="16">
        <v>46151</v>
      </c>
      <c r="D160">
        <v>13088.589999999997</v>
      </c>
    </row>
    <row r="161" spans="1:4" x14ac:dyDescent="0.3">
      <c r="A161" s="75" t="s">
        <v>24</v>
      </c>
      <c r="B161" s="75"/>
      <c r="C161" s="16">
        <v>46151</v>
      </c>
      <c r="D161">
        <v>3768.83</v>
      </c>
    </row>
    <row r="162" spans="1:4" x14ac:dyDescent="0.3">
      <c r="A162" s="75" t="s">
        <v>25</v>
      </c>
      <c r="B162" s="75"/>
      <c r="C162" s="16">
        <v>46151</v>
      </c>
      <c r="D162">
        <v>114.3</v>
      </c>
    </row>
    <row r="163" spans="1:4" x14ac:dyDescent="0.3">
      <c r="A163" s="75" t="s">
        <v>26</v>
      </c>
      <c r="B163" s="75"/>
      <c r="C163" s="16">
        <v>46151</v>
      </c>
      <c r="D163">
        <v>2267.7200000000003</v>
      </c>
    </row>
    <row r="164" spans="1:4" x14ac:dyDescent="0.3">
      <c r="A164" s="75" t="s">
        <v>27</v>
      </c>
      <c r="B164" s="75"/>
      <c r="C164" s="16">
        <v>46151</v>
      </c>
      <c r="D164">
        <v>3349.94</v>
      </c>
    </row>
    <row r="165" spans="1:4" x14ac:dyDescent="0.3">
      <c r="A165" s="75" t="s">
        <v>28</v>
      </c>
      <c r="B165" s="75"/>
      <c r="C165" s="16">
        <v>46151</v>
      </c>
      <c r="D165">
        <v>1968.99</v>
      </c>
    </row>
    <row r="166" spans="1:4" x14ac:dyDescent="0.3">
      <c r="A166" s="75" t="s">
        <v>29</v>
      </c>
      <c r="B166" s="75"/>
      <c r="C166" s="16">
        <v>46151</v>
      </c>
      <c r="D166">
        <v>901.34</v>
      </c>
    </row>
    <row r="167" spans="1:4" x14ac:dyDescent="0.3">
      <c r="A167" s="75" t="s">
        <v>30</v>
      </c>
      <c r="B167" s="75"/>
      <c r="C167" s="16">
        <v>46151</v>
      </c>
      <c r="D167">
        <v>1444.08</v>
      </c>
    </row>
    <row r="168" spans="1:4" x14ac:dyDescent="0.3">
      <c r="A168" s="75" t="s">
        <v>31</v>
      </c>
      <c r="B168" s="75"/>
      <c r="C168" s="16">
        <v>46151</v>
      </c>
      <c r="D168">
        <v>20592.599999999962</v>
      </c>
    </row>
    <row r="169" spans="1:4" x14ac:dyDescent="0.3">
      <c r="A169" s="75" t="s">
        <v>32</v>
      </c>
      <c r="B169" s="75"/>
      <c r="C169" s="16">
        <v>46151</v>
      </c>
      <c r="D169">
        <v>15120.060000000001</v>
      </c>
    </row>
    <row r="170" spans="1:4" x14ac:dyDescent="0.3">
      <c r="A170" s="75" t="s">
        <v>33</v>
      </c>
      <c r="B170" s="75"/>
      <c r="C170" s="16">
        <v>46151</v>
      </c>
      <c r="D170">
        <v>31323.39</v>
      </c>
    </row>
    <row r="171" spans="1:4" x14ac:dyDescent="0.3">
      <c r="A171" s="75" t="s">
        <v>34</v>
      </c>
      <c r="B171" s="75"/>
      <c r="C171" s="16">
        <v>46151</v>
      </c>
      <c r="D171">
        <v>345</v>
      </c>
    </row>
    <row r="172" spans="1:4" x14ac:dyDescent="0.3">
      <c r="A172" s="75" t="s">
        <v>35</v>
      </c>
      <c r="B172" s="75"/>
      <c r="C172" s="16">
        <v>46151</v>
      </c>
      <c r="D172">
        <v>23782.25</v>
      </c>
    </row>
    <row r="173" spans="1:4" x14ac:dyDescent="0.3">
      <c r="A173" s="75" t="s">
        <v>17</v>
      </c>
      <c r="B173" s="75"/>
      <c r="C173" s="16">
        <v>46152</v>
      </c>
      <c r="D173">
        <v>512927.75000000023</v>
      </c>
    </row>
    <row r="174" spans="1:4" x14ac:dyDescent="0.3">
      <c r="A174" s="75" t="s">
        <v>18</v>
      </c>
      <c r="B174" s="75"/>
      <c r="C174" s="16">
        <v>46152</v>
      </c>
      <c r="D174">
        <v>58840.089999999938</v>
      </c>
    </row>
    <row r="175" spans="1:4" x14ac:dyDescent="0.3">
      <c r="A175" s="75" t="s">
        <v>19</v>
      </c>
      <c r="B175" s="75"/>
      <c r="C175" s="16">
        <v>46152</v>
      </c>
      <c r="D175">
        <v>1669.89</v>
      </c>
    </row>
    <row r="176" spans="1:4" x14ac:dyDescent="0.3">
      <c r="A176" s="75" t="s">
        <v>20</v>
      </c>
      <c r="B176" s="75"/>
      <c r="C176" s="16">
        <v>46152</v>
      </c>
      <c r="D176">
        <v>792366.49999999988</v>
      </c>
    </row>
    <row r="177" spans="1:4" x14ac:dyDescent="0.3">
      <c r="A177" s="75" t="s">
        <v>21</v>
      </c>
      <c r="B177" s="75"/>
      <c r="C177" s="16">
        <v>46152</v>
      </c>
      <c r="D177">
        <v>923830.41999999923</v>
      </c>
    </row>
    <row r="178" spans="1:4" x14ac:dyDescent="0.3">
      <c r="A178" s="75" t="s">
        <v>22</v>
      </c>
      <c r="B178" s="75"/>
      <c r="C178" s="16">
        <v>46152</v>
      </c>
      <c r="D178">
        <v>121511.38</v>
      </c>
    </row>
    <row r="179" spans="1:4" x14ac:dyDescent="0.3">
      <c r="A179" s="75" t="s">
        <v>23</v>
      </c>
      <c r="B179" s="75"/>
      <c r="C179" s="16">
        <v>46152</v>
      </c>
      <c r="D179">
        <v>13088.589999999997</v>
      </c>
    </row>
    <row r="180" spans="1:4" x14ac:dyDescent="0.3">
      <c r="A180" s="75" t="s">
        <v>24</v>
      </c>
      <c r="B180" s="75"/>
      <c r="C180" s="16">
        <v>46152</v>
      </c>
      <c r="D180">
        <v>3768.83</v>
      </c>
    </row>
    <row r="181" spans="1:4" x14ac:dyDescent="0.3">
      <c r="A181" s="75" t="s">
        <v>25</v>
      </c>
      <c r="B181" s="75"/>
      <c r="C181" s="16">
        <v>46152</v>
      </c>
      <c r="D181">
        <v>114.3</v>
      </c>
    </row>
    <row r="182" spans="1:4" x14ac:dyDescent="0.3">
      <c r="A182" s="75" t="s">
        <v>26</v>
      </c>
      <c r="B182" s="75"/>
      <c r="C182" s="16">
        <v>46152</v>
      </c>
      <c r="D182">
        <v>2267.7200000000003</v>
      </c>
    </row>
    <row r="183" spans="1:4" x14ac:dyDescent="0.3">
      <c r="A183" s="75" t="s">
        <v>27</v>
      </c>
      <c r="B183" s="75"/>
      <c r="C183" s="16">
        <v>46152</v>
      </c>
      <c r="D183">
        <v>3349.94</v>
      </c>
    </row>
    <row r="184" spans="1:4" x14ac:dyDescent="0.3">
      <c r="A184" s="75" t="s">
        <v>28</v>
      </c>
      <c r="B184" s="75"/>
      <c r="C184" s="16">
        <v>46152</v>
      </c>
      <c r="D184">
        <v>1968.99</v>
      </c>
    </row>
    <row r="185" spans="1:4" x14ac:dyDescent="0.3">
      <c r="A185" s="75" t="s">
        <v>29</v>
      </c>
      <c r="B185" s="75"/>
      <c r="C185" s="16">
        <v>46152</v>
      </c>
      <c r="D185">
        <v>901.34</v>
      </c>
    </row>
    <row r="186" spans="1:4" x14ac:dyDescent="0.3">
      <c r="A186" s="75" t="s">
        <v>30</v>
      </c>
      <c r="B186" s="75"/>
      <c r="C186" s="16">
        <v>46152</v>
      </c>
      <c r="D186">
        <v>1444.08</v>
      </c>
    </row>
    <row r="187" spans="1:4" x14ac:dyDescent="0.3">
      <c r="A187" s="75" t="s">
        <v>31</v>
      </c>
      <c r="B187" s="75"/>
      <c r="C187" s="16">
        <v>46152</v>
      </c>
      <c r="D187">
        <v>20592.599999999962</v>
      </c>
    </row>
    <row r="188" spans="1:4" x14ac:dyDescent="0.3">
      <c r="A188" s="75" t="s">
        <v>32</v>
      </c>
      <c r="B188" s="75"/>
      <c r="C188" s="16">
        <v>46152</v>
      </c>
      <c r="D188">
        <v>15120.060000000001</v>
      </c>
    </row>
    <row r="189" spans="1:4" x14ac:dyDescent="0.3">
      <c r="A189" s="75" t="s">
        <v>33</v>
      </c>
      <c r="B189" s="75"/>
      <c r="C189" s="16">
        <v>46152</v>
      </c>
      <c r="D189">
        <v>31323.39</v>
      </c>
    </row>
    <row r="190" spans="1:4" x14ac:dyDescent="0.3">
      <c r="A190" s="75" t="s">
        <v>34</v>
      </c>
      <c r="B190" s="75"/>
      <c r="C190" s="16">
        <v>46152</v>
      </c>
      <c r="D190">
        <v>345</v>
      </c>
    </row>
    <row r="191" spans="1:4" x14ac:dyDescent="0.3">
      <c r="A191" s="75" t="s">
        <v>35</v>
      </c>
      <c r="B191" s="75"/>
      <c r="C191" s="16">
        <v>46152</v>
      </c>
      <c r="D191">
        <v>23782.25</v>
      </c>
    </row>
    <row r="192" spans="1:4" x14ac:dyDescent="0.3">
      <c r="A192" s="75" t="s">
        <v>17</v>
      </c>
      <c r="B192" s="75"/>
      <c r="C192" s="16">
        <v>46153</v>
      </c>
      <c r="D192">
        <v>512927.75000000023</v>
      </c>
    </row>
    <row r="193" spans="1:4" x14ac:dyDescent="0.3">
      <c r="A193" s="75" t="s">
        <v>18</v>
      </c>
      <c r="B193" s="75"/>
      <c r="C193" s="16">
        <v>46153</v>
      </c>
      <c r="D193">
        <v>58840.089999999938</v>
      </c>
    </row>
    <row r="194" spans="1:4" x14ac:dyDescent="0.3">
      <c r="A194" s="75" t="s">
        <v>19</v>
      </c>
      <c r="B194" s="75"/>
      <c r="C194" s="16">
        <v>46153</v>
      </c>
      <c r="D194">
        <v>1669.89</v>
      </c>
    </row>
    <row r="195" spans="1:4" x14ac:dyDescent="0.3">
      <c r="A195" s="75" t="s">
        <v>20</v>
      </c>
      <c r="B195" s="75"/>
      <c r="C195" s="16">
        <v>46153</v>
      </c>
      <c r="D195">
        <v>1368366.5</v>
      </c>
    </row>
    <row r="196" spans="1:4" x14ac:dyDescent="0.3">
      <c r="A196" s="75" t="s">
        <v>21</v>
      </c>
      <c r="B196" s="75"/>
      <c r="C196" s="16">
        <v>46153</v>
      </c>
      <c r="D196">
        <v>1162513.7699999993</v>
      </c>
    </row>
    <row r="197" spans="1:4" x14ac:dyDescent="0.3">
      <c r="A197" s="75" t="s">
        <v>22</v>
      </c>
      <c r="B197" s="75"/>
      <c r="C197" s="16">
        <v>46153</v>
      </c>
      <c r="D197">
        <v>121511.38</v>
      </c>
    </row>
    <row r="198" spans="1:4" x14ac:dyDescent="0.3">
      <c r="A198" s="75" t="s">
        <v>23</v>
      </c>
      <c r="B198" s="75"/>
      <c r="C198" s="16">
        <v>46153</v>
      </c>
      <c r="D198">
        <v>13088.589999999997</v>
      </c>
    </row>
    <row r="199" spans="1:4" x14ac:dyDescent="0.3">
      <c r="A199" s="75" t="s">
        <v>24</v>
      </c>
      <c r="B199" s="75"/>
      <c r="C199" s="16">
        <v>46153</v>
      </c>
      <c r="D199">
        <v>3768.83</v>
      </c>
    </row>
    <row r="200" spans="1:4" x14ac:dyDescent="0.3">
      <c r="A200" s="75" t="s">
        <v>25</v>
      </c>
      <c r="B200" s="75"/>
      <c r="C200" s="16">
        <v>46153</v>
      </c>
      <c r="D200">
        <v>114.3</v>
      </c>
    </row>
    <row r="201" spans="1:4" x14ac:dyDescent="0.3">
      <c r="A201" s="75" t="s">
        <v>26</v>
      </c>
      <c r="B201" s="75"/>
      <c r="C201" s="16">
        <v>46153</v>
      </c>
      <c r="D201">
        <v>2267.7200000000003</v>
      </c>
    </row>
    <row r="202" spans="1:4" x14ac:dyDescent="0.3">
      <c r="A202" s="75" t="s">
        <v>27</v>
      </c>
      <c r="B202" s="75"/>
      <c r="C202" s="16">
        <v>46153</v>
      </c>
      <c r="D202">
        <v>3349.94</v>
      </c>
    </row>
    <row r="203" spans="1:4" x14ac:dyDescent="0.3">
      <c r="A203" s="75" t="s">
        <v>28</v>
      </c>
      <c r="B203" s="75"/>
      <c r="C203" s="16">
        <v>46153</v>
      </c>
      <c r="D203">
        <v>1968.99</v>
      </c>
    </row>
    <row r="204" spans="1:4" x14ac:dyDescent="0.3">
      <c r="A204" s="75" t="s">
        <v>29</v>
      </c>
      <c r="B204" s="75"/>
      <c r="C204" s="16">
        <v>46153</v>
      </c>
      <c r="D204">
        <v>901.34</v>
      </c>
    </row>
    <row r="205" spans="1:4" x14ac:dyDescent="0.3">
      <c r="A205" s="75" t="s">
        <v>30</v>
      </c>
      <c r="B205" s="75"/>
      <c r="C205" s="16">
        <v>46153</v>
      </c>
      <c r="D205">
        <v>1444.08</v>
      </c>
    </row>
    <row r="206" spans="1:4" x14ac:dyDescent="0.3">
      <c r="A206" s="75" t="s">
        <v>31</v>
      </c>
      <c r="B206" s="75"/>
      <c r="C206" s="16">
        <v>46153</v>
      </c>
      <c r="D206">
        <v>19092.599999999962</v>
      </c>
    </row>
    <row r="207" spans="1:4" x14ac:dyDescent="0.3">
      <c r="A207" s="75" t="s">
        <v>32</v>
      </c>
      <c r="B207" s="75"/>
      <c r="C207" s="16">
        <v>46153</v>
      </c>
      <c r="D207">
        <v>15120.060000000001</v>
      </c>
    </row>
    <row r="208" spans="1:4" x14ac:dyDescent="0.3">
      <c r="A208" s="75" t="s">
        <v>33</v>
      </c>
      <c r="B208" s="75"/>
      <c r="C208" s="16">
        <v>46153</v>
      </c>
      <c r="D208">
        <v>31323.39</v>
      </c>
    </row>
    <row r="209" spans="1:4" x14ac:dyDescent="0.3">
      <c r="A209" s="75" t="s">
        <v>34</v>
      </c>
      <c r="B209" s="75"/>
      <c r="C209" s="16">
        <v>46153</v>
      </c>
      <c r="D209">
        <v>345</v>
      </c>
    </row>
    <row r="210" spans="1:4" x14ac:dyDescent="0.3">
      <c r="A210" s="75" t="s">
        <v>35</v>
      </c>
      <c r="B210" s="75"/>
      <c r="C210" s="16">
        <v>46153</v>
      </c>
      <c r="D210">
        <v>16956.59</v>
      </c>
    </row>
    <row r="211" spans="1:4" x14ac:dyDescent="0.3">
      <c r="A211" s="75" t="s">
        <v>17</v>
      </c>
      <c r="B211" s="75"/>
      <c r="C211" s="16">
        <v>46154</v>
      </c>
      <c r="D211">
        <v>606714.4700000002</v>
      </c>
    </row>
    <row r="212" spans="1:4" x14ac:dyDescent="0.3">
      <c r="A212" s="75" t="s">
        <v>18</v>
      </c>
      <c r="B212" s="75"/>
      <c r="C212" s="16">
        <v>46154</v>
      </c>
      <c r="D212">
        <v>58840.089999999938</v>
      </c>
    </row>
    <row r="213" spans="1:4" x14ac:dyDescent="0.3">
      <c r="A213" s="75" t="s">
        <v>19</v>
      </c>
      <c r="B213" s="75"/>
      <c r="C213" s="16">
        <v>46154</v>
      </c>
      <c r="D213">
        <v>1669.89</v>
      </c>
    </row>
    <row r="214" spans="1:4" x14ac:dyDescent="0.3">
      <c r="A214" s="75" t="s">
        <v>20</v>
      </c>
      <c r="B214" s="75"/>
      <c r="C214" s="16">
        <v>46154</v>
      </c>
      <c r="D214">
        <v>1226185.8999999999</v>
      </c>
    </row>
    <row r="215" spans="1:4" x14ac:dyDescent="0.3">
      <c r="A215" s="75" t="s">
        <v>21</v>
      </c>
      <c r="B215" s="75"/>
      <c r="C215" s="16">
        <v>46154</v>
      </c>
      <c r="D215">
        <v>1162404.8599999992</v>
      </c>
    </row>
    <row r="216" spans="1:4" x14ac:dyDescent="0.3">
      <c r="A216" s="75" t="s">
        <v>22</v>
      </c>
      <c r="B216" s="75"/>
      <c r="C216" s="16">
        <v>46154</v>
      </c>
      <c r="D216">
        <v>121511.38</v>
      </c>
    </row>
    <row r="217" spans="1:4" x14ac:dyDescent="0.3">
      <c r="A217" s="75" t="s">
        <v>23</v>
      </c>
      <c r="B217" s="75"/>
      <c r="C217" s="16">
        <v>46154</v>
      </c>
      <c r="D217">
        <v>13088.589999999997</v>
      </c>
    </row>
    <row r="218" spans="1:4" x14ac:dyDescent="0.3">
      <c r="A218" s="75" t="s">
        <v>24</v>
      </c>
      <c r="B218" s="75"/>
      <c r="C218" s="16">
        <v>46154</v>
      </c>
      <c r="D218">
        <v>3768.83</v>
      </c>
    </row>
    <row r="219" spans="1:4" x14ac:dyDescent="0.3">
      <c r="A219" s="75" t="s">
        <v>25</v>
      </c>
      <c r="B219" s="75"/>
      <c r="C219" s="16">
        <v>46154</v>
      </c>
      <c r="D219">
        <v>114.3</v>
      </c>
    </row>
    <row r="220" spans="1:4" x14ac:dyDescent="0.3">
      <c r="A220" s="75" t="s">
        <v>26</v>
      </c>
      <c r="B220" s="75"/>
      <c r="C220" s="16">
        <v>46154</v>
      </c>
      <c r="D220">
        <v>2267.7200000000003</v>
      </c>
    </row>
    <row r="221" spans="1:4" x14ac:dyDescent="0.3">
      <c r="A221" s="75" t="s">
        <v>27</v>
      </c>
      <c r="B221" s="75"/>
      <c r="C221" s="16">
        <v>46154</v>
      </c>
      <c r="D221">
        <v>3349.94</v>
      </c>
    </row>
    <row r="222" spans="1:4" x14ac:dyDescent="0.3">
      <c r="A222" s="75" t="s">
        <v>28</v>
      </c>
      <c r="B222" s="75"/>
      <c r="C222" s="16">
        <v>46154</v>
      </c>
      <c r="D222">
        <v>1968.99</v>
      </c>
    </row>
    <row r="223" spans="1:4" x14ac:dyDescent="0.3">
      <c r="A223" s="75" t="s">
        <v>29</v>
      </c>
      <c r="B223" s="75"/>
      <c r="C223" s="16">
        <v>46154</v>
      </c>
      <c r="D223">
        <v>901.34</v>
      </c>
    </row>
    <row r="224" spans="1:4" x14ac:dyDescent="0.3">
      <c r="A224" s="75" t="s">
        <v>30</v>
      </c>
      <c r="B224" s="75"/>
      <c r="C224" s="16">
        <v>46154</v>
      </c>
      <c r="D224">
        <v>1444.08</v>
      </c>
    </row>
    <row r="225" spans="1:4" x14ac:dyDescent="0.3">
      <c r="A225" s="75" t="s">
        <v>31</v>
      </c>
      <c r="B225" s="75"/>
      <c r="C225" s="16">
        <v>46154</v>
      </c>
      <c r="D225">
        <v>19092.599999999962</v>
      </c>
    </row>
    <row r="226" spans="1:4" x14ac:dyDescent="0.3">
      <c r="A226" s="75" t="s">
        <v>32</v>
      </c>
      <c r="B226" s="75"/>
      <c r="C226" s="16">
        <v>46154</v>
      </c>
      <c r="D226">
        <v>15120.060000000001</v>
      </c>
    </row>
    <row r="227" spans="1:4" x14ac:dyDescent="0.3">
      <c r="A227" s="75" t="s">
        <v>33</v>
      </c>
      <c r="B227" s="75"/>
      <c r="C227" s="16">
        <v>46154</v>
      </c>
      <c r="D227">
        <v>31323.39</v>
      </c>
    </row>
    <row r="228" spans="1:4" x14ac:dyDescent="0.3">
      <c r="A228" s="75" t="s">
        <v>34</v>
      </c>
      <c r="B228" s="75"/>
      <c r="C228" s="16">
        <v>46154</v>
      </c>
      <c r="D228">
        <v>345</v>
      </c>
    </row>
    <row r="229" spans="1:4" x14ac:dyDescent="0.3">
      <c r="A229" s="75" t="s">
        <v>35</v>
      </c>
      <c r="B229" s="75"/>
      <c r="C229" s="16">
        <v>46154</v>
      </c>
      <c r="D229">
        <v>16741.59</v>
      </c>
    </row>
    <row r="230" spans="1:4" x14ac:dyDescent="0.3">
      <c r="A230" s="75" t="s">
        <v>17</v>
      </c>
      <c r="B230" s="75"/>
      <c r="C230" s="16">
        <v>46155</v>
      </c>
      <c r="D230">
        <v>606714.4700000002</v>
      </c>
    </row>
    <row r="231" spans="1:4" x14ac:dyDescent="0.3">
      <c r="A231" s="75" t="s">
        <v>18</v>
      </c>
      <c r="B231" s="75"/>
      <c r="C231" s="16">
        <v>46155</v>
      </c>
      <c r="D231">
        <v>58840.089999999938</v>
      </c>
    </row>
    <row r="232" spans="1:4" x14ac:dyDescent="0.3">
      <c r="A232" s="75" t="s">
        <v>19</v>
      </c>
      <c r="B232" s="75"/>
      <c r="C232" s="16">
        <v>46155</v>
      </c>
      <c r="D232">
        <v>1669.89</v>
      </c>
    </row>
    <row r="233" spans="1:4" x14ac:dyDescent="0.3">
      <c r="A233" s="75" t="s">
        <v>20</v>
      </c>
      <c r="B233" s="75"/>
      <c r="C233" s="16">
        <v>46155</v>
      </c>
      <c r="D233">
        <v>1242679.67</v>
      </c>
    </row>
    <row r="234" spans="1:4" x14ac:dyDescent="0.3">
      <c r="A234" s="75" t="s">
        <v>21</v>
      </c>
      <c r="B234" s="75"/>
      <c r="C234" s="16">
        <v>46155</v>
      </c>
      <c r="D234">
        <v>1162404.8599999992</v>
      </c>
    </row>
    <row r="235" spans="1:4" x14ac:dyDescent="0.3">
      <c r="A235" s="75" t="s">
        <v>22</v>
      </c>
      <c r="B235" s="75"/>
      <c r="C235" s="16">
        <v>46155</v>
      </c>
      <c r="D235">
        <v>121511.38</v>
      </c>
    </row>
    <row r="236" spans="1:4" x14ac:dyDescent="0.3">
      <c r="A236" s="75" t="s">
        <v>23</v>
      </c>
      <c r="B236" s="75"/>
      <c r="C236" s="16">
        <v>46155</v>
      </c>
      <c r="D236">
        <v>13090.369999999997</v>
      </c>
    </row>
    <row r="237" spans="1:4" x14ac:dyDescent="0.3">
      <c r="A237" s="75" t="s">
        <v>24</v>
      </c>
      <c r="B237" s="75"/>
      <c r="C237" s="16">
        <v>46155</v>
      </c>
      <c r="D237">
        <v>2498.3999999999996</v>
      </c>
    </row>
    <row r="238" spans="1:4" x14ac:dyDescent="0.3">
      <c r="A238" s="75" t="s">
        <v>25</v>
      </c>
      <c r="B238" s="75"/>
      <c r="C238" s="16">
        <v>46155</v>
      </c>
      <c r="D238">
        <v>114.3</v>
      </c>
    </row>
    <row r="239" spans="1:4" x14ac:dyDescent="0.3">
      <c r="A239" s="75" t="s">
        <v>26</v>
      </c>
      <c r="B239" s="75"/>
      <c r="C239" s="16">
        <v>46155</v>
      </c>
      <c r="D239">
        <v>2267.7200000000003</v>
      </c>
    </row>
    <row r="240" spans="1:4" x14ac:dyDescent="0.3">
      <c r="A240" s="75" t="s">
        <v>27</v>
      </c>
      <c r="B240" s="75"/>
      <c r="C240" s="16">
        <v>46155</v>
      </c>
      <c r="D240">
        <v>3349.94</v>
      </c>
    </row>
    <row r="241" spans="1:4" x14ac:dyDescent="0.3">
      <c r="A241" s="75" t="s">
        <v>28</v>
      </c>
      <c r="B241" s="75"/>
      <c r="C241" s="16">
        <v>46155</v>
      </c>
      <c r="D241">
        <v>1968.99</v>
      </c>
    </row>
    <row r="242" spans="1:4" x14ac:dyDescent="0.3">
      <c r="A242" s="75" t="s">
        <v>29</v>
      </c>
      <c r="B242" s="75"/>
      <c r="C242" s="16">
        <v>46155</v>
      </c>
      <c r="D242">
        <v>901.34</v>
      </c>
    </row>
    <row r="243" spans="1:4" x14ac:dyDescent="0.3">
      <c r="A243" s="75" t="s">
        <v>30</v>
      </c>
      <c r="B243" s="75"/>
      <c r="C243" s="16">
        <v>46155</v>
      </c>
      <c r="D243">
        <v>1444.08</v>
      </c>
    </row>
    <row r="244" spans="1:4" x14ac:dyDescent="0.3">
      <c r="A244" s="75" t="s">
        <v>31</v>
      </c>
      <c r="B244" s="75"/>
      <c r="C244" s="16">
        <v>46155</v>
      </c>
      <c r="D244">
        <v>18242.599999999962</v>
      </c>
    </row>
    <row r="245" spans="1:4" x14ac:dyDescent="0.3">
      <c r="A245" s="75" t="s">
        <v>32</v>
      </c>
      <c r="B245" s="75"/>
      <c r="C245" s="16">
        <v>46155</v>
      </c>
      <c r="D245">
        <v>15120.060000000001</v>
      </c>
    </row>
    <row r="246" spans="1:4" x14ac:dyDescent="0.3">
      <c r="A246" s="75" t="s">
        <v>33</v>
      </c>
      <c r="B246" s="75"/>
      <c r="C246" s="16">
        <v>46155</v>
      </c>
      <c r="D246">
        <v>31323.39</v>
      </c>
    </row>
    <row r="247" spans="1:4" x14ac:dyDescent="0.3">
      <c r="A247" s="75" t="s">
        <v>34</v>
      </c>
      <c r="B247" s="75"/>
      <c r="C247" s="16">
        <v>46155</v>
      </c>
      <c r="D247">
        <v>345</v>
      </c>
    </row>
    <row r="248" spans="1:4" x14ac:dyDescent="0.3">
      <c r="A248" s="75" t="s">
        <v>35</v>
      </c>
      <c r="B248" s="75"/>
      <c r="C248" s="16">
        <v>46155</v>
      </c>
      <c r="D248">
        <v>16741.59</v>
      </c>
    </row>
    <row r="249" spans="1:4" x14ac:dyDescent="0.3">
      <c r="A249" s="75" t="s">
        <v>17</v>
      </c>
      <c r="B249" s="75"/>
      <c r="C249" s="16">
        <v>46156</v>
      </c>
      <c r="D249">
        <v>165752.81000000023</v>
      </c>
    </row>
    <row r="250" spans="1:4" x14ac:dyDescent="0.3">
      <c r="A250" s="75" t="s">
        <v>18</v>
      </c>
      <c r="B250" s="75"/>
      <c r="C250" s="16">
        <v>46156</v>
      </c>
      <c r="D250">
        <v>59760.159999999938</v>
      </c>
    </row>
    <row r="251" spans="1:4" x14ac:dyDescent="0.3">
      <c r="A251" s="75" t="s">
        <v>19</v>
      </c>
      <c r="B251" s="75"/>
      <c r="C251" s="16">
        <v>46156</v>
      </c>
      <c r="D251">
        <v>1669.89</v>
      </c>
    </row>
    <row r="252" spans="1:4" x14ac:dyDescent="0.3">
      <c r="A252" s="75" t="s">
        <v>20</v>
      </c>
      <c r="B252" s="75"/>
      <c r="C252" s="16">
        <v>46156</v>
      </c>
      <c r="D252">
        <v>832679.66999999981</v>
      </c>
    </row>
    <row r="253" spans="1:4" x14ac:dyDescent="0.3">
      <c r="A253" s="75" t="s">
        <v>21</v>
      </c>
      <c r="B253" s="75"/>
      <c r="C253" s="16">
        <v>46156</v>
      </c>
      <c r="D253">
        <v>952193.18999999925</v>
      </c>
    </row>
    <row r="254" spans="1:4" x14ac:dyDescent="0.3">
      <c r="A254" s="75" t="s">
        <v>22</v>
      </c>
      <c r="B254" s="75"/>
      <c r="C254" s="16">
        <v>46156</v>
      </c>
      <c r="D254">
        <v>121511.38</v>
      </c>
    </row>
    <row r="255" spans="1:4" x14ac:dyDescent="0.3">
      <c r="A255" s="75" t="s">
        <v>23</v>
      </c>
      <c r="B255" s="75"/>
      <c r="C255" s="16">
        <v>46156</v>
      </c>
      <c r="D255">
        <v>13090.369999999997</v>
      </c>
    </row>
    <row r="256" spans="1:4" x14ac:dyDescent="0.3">
      <c r="A256" s="75" t="s">
        <v>24</v>
      </c>
      <c r="B256" s="75"/>
      <c r="C256" s="16">
        <v>46156</v>
      </c>
      <c r="D256">
        <v>2498.3999999999996</v>
      </c>
    </row>
    <row r="257" spans="1:4" x14ac:dyDescent="0.3">
      <c r="A257" s="75" t="s">
        <v>25</v>
      </c>
      <c r="B257" s="75"/>
      <c r="C257" s="16">
        <v>46156</v>
      </c>
      <c r="D257">
        <v>114.3</v>
      </c>
    </row>
    <row r="258" spans="1:4" x14ac:dyDescent="0.3">
      <c r="A258" s="75" t="s">
        <v>26</v>
      </c>
      <c r="B258" s="75"/>
      <c r="C258" s="16">
        <v>46156</v>
      </c>
      <c r="D258">
        <v>2267.7200000000003</v>
      </c>
    </row>
    <row r="259" spans="1:4" x14ac:dyDescent="0.3">
      <c r="A259" s="75" t="s">
        <v>27</v>
      </c>
      <c r="B259" s="75"/>
      <c r="C259" s="16">
        <v>46156</v>
      </c>
      <c r="D259">
        <v>3349.94</v>
      </c>
    </row>
    <row r="260" spans="1:4" x14ac:dyDescent="0.3">
      <c r="A260" s="75" t="s">
        <v>28</v>
      </c>
      <c r="B260" s="75"/>
      <c r="C260" s="16">
        <v>46156</v>
      </c>
      <c r="D260">
        <v>1968.99</v>
      </c>
    </row>
    <row r="261" spans="1:4" x14ac:dyDescent="0.3">
      <c r="A261" s="75" t="s">
        <v>29</v>
      </c>
      <c r="B261" s="75"/>
      <c r="C261" s="16">
        <v>46156</v>
      </c>
      <c r="D261">
        <v>901.34</v>
      </c>
    </row>
    <row r="262" spans="1:4" x14ac:dyDescent="0.3">
      <c r="A262" s="75" t="s">
        <v>30</v>
      </c>
      <c r="B262" s="75"/>
      <c r="C262" s="16">
        <v>46156</v>
      </c>
      <c r="D262">
        <v>1444.08</v>
      </c>
    </row>
    <row r="263" spans="1:4" x14ac:dyDescent="0.3">
      <c r="A263" s="75" t="s">
        <v>31</v>
      </c>
      <c r="B263" s="75"/>
      <c r="C263" s="16">
        <v>46156</v>
      </c>
      <c r="D263">
        <v>18242.599999999962</v>
      </c>
    </row>
    <row r="264" spans="1:4" x14ac:dyDescent="0.3">
      <c r="A264" s="75" t="s">
        <v>32</v>
      </c>
      <c r="B264" s="75"/>
      <c r="C264" s="16">
        <v>46156</v>
      </c>
      <c r="D264">
        <v>15120.060000000001</v>
      </c>
    </row>
    <row r="265" spans="1:4" x14ac:dyDescent="0.3">
      <c r="A265" s="75" t="s">
        <v>33</v>
      </c>
      <c r="B265" s="75"/>
      <c r="C265" s="16">
        <v>46156</v>
      </c>
      <c r="D265">
        <v>31323.39</v>
      </c>
    </row>
    <row r="266" spans="1:4" x14ac:dyDescent="0.3">
      <c r="A266" s="75" t="s">
        <v>34</v>
      </c>
      <c r="B266" s="75"/>
      <c r="C266" s="16">
        <v>46156</v>
      </c>
      <c r="D266">
        <v>345</v>
      </c>
    </row>
    <row r="267" spans="1:4" x14ac:dyDescent="0.3">
      <c r="A267" s="75" t="s">
        <v>35</v>
      </c>
      <c r="B267" s="75"/>
      <c r="C267" s="16">
        <v>46156</v>
      </c>
      <c r="D267">
        <v>14226.59</v>
      </c>
    </row>
    <row r="268" spans="1:4" x14ac:dyDescent="0.3">
      <c r="A268" s="75" t="s">
        <v>17</v>
      </c>
      <c r="B268" s="75"/>
      <c r="C268" s="16">
        <v>46157</v>
      </c>
      <c r="D268">
        <v>165752.81000000023</v>
      </c>
    </row>
    <row r="269" spans="1:4" x14ac:dyDescent="0.3">
      <c r="A269" s="75" t="s">
        <v>18</v>
      </c>
      <c r="B269" s="75"/>
      <c r="C269" s="16">
        <v>46157</v>
      </c>
      <c r="D269">
        <v>59760.159999999938</v>
      </c>
    </row>
    <row r="270" spans="1:4" x14ac:dyDescent="0.3">
      <c r="A270" s="75" t="s">
        <v>19</v>
      </c>
      <c r="B270" s="75"/>
      <c r="C270" s="16">
        <v>46157</v>
      </c>
      <c r="D270">
        <v>1669.89</v>
      </c>
    </row>
    <row r="271" spans="1:4" x14ac:dyDescent="0.3">
      <c r="A271" s="75" t="s">
        <v>20</v>
      </c>
      <c r="B271" s="75"/>
      <c r="C271" s="16">
        <v>46157</v>
      </c>
      <c r="D271">
        <v>832076.20999999985</v>
      </c>
    </row>
    <row r="272" spans="1:4" x14ac:dyDescent="0.3">
      <c r="A272" s="75" t="s">
        <v>21</v>
      </c>
      <c r="B272" s="75"/>
      <c r="C272" s="16">
        <v>46157</v>
      </c>
      <c r="D272">
        <v>952163.77999999933</v>
      </c>
    </row>
    <row r="273" spans="1:4" x14ac:dyDescent="0.3">
      <c r="A273" s="75" t="s">
        <v>22</v>
      </c>
      <c r="B273" s="75"/>
      <c r="C273" s="16">
        <v>46157</v>
      </c>
      <c r="D273">
        <v>121511.38</v>
      </c>
    </row>
    <row r="274" spans="1:4" x14ac:dyDescent="0.3">
      <c r="A274" s="75" t="s">
        <v>23</v>
      </c>
      <c r="B274" s="75"/>
      <c r="C274" s="16">
        <v>46157</v>
      </c>
      <c r="D274">
        <v>13090.369999999997</v>
      </c>
    </row>
    <row r="275" spans="1:4" x14ac:dyDescent="0.3">
      <c r="A275" s="75" t="s">
        <v>24</v>
      </c>
      <c r="B275" s="75"/>
      <c r="C275" s="16">
        <v>46157</v>
      </c>
      <c r="D275">
        <v>2498.3999999999996</v>
      </c>
    </row>
    <row r="276" spans="1:4" x14ac:dyDescent="0.3">
      <c r="A276" s="75" t="s">
        <v>25</v>
      </c>
      <c r="B276" s="75"/>
      <c r="C276" s="16">
        <v>46157</v>
      </c>
      <c r="D276">
        <v>114.3</v>
      </c>
    </row>
    <row r="277" spans="1:4" x14ac:dyDescent="0.3">
      <c r="A277" s="75" t="s">
        <v>26</v>
      </c>
      <c r="B277" s="75"/>
      <c r="C277" s="16">
        <v>46157</v>
      </c>
      <c r="D277">
        <v>2267.7200000000003</v>
      </c>
    </row>
    <row r="278" spans="1:4" x14ac:dyDescent="0.3">
      <c r="A278" s="75" t="s">
        <v>27</v>
      </c>
      <c r="B278" s="75"/>
      <c r="C278" s="16">
        <v>46157</v>
      </c>
      <c r="D278">
        <v>3349.94</v>
      </c>
    </row>
    <row r="279" spans="1:4" x14ac:dyDescent="0.3">
      <c r="A279" s="75" t="s">
        <v>28</v>
      </c>
      <c r="B279" s="75"/>
      <c r="C279" s="16">
        <v>46157</v>
      </c>
      <c r="D279">
        <v>1968.99</v>
      </c>
    </row>
    <row r="280" spans="1:4" x14ac:dyDescent="0.3">
      <c r="A280" s="75" t="s">
        <v>29</v>
      </c>
      <c r="B280" s="75"/>
      <c r="C280" s="16">
        <v>46157</v>
      </c>
      <c r="D280">
        <v>901.34</v>
      </c>
    </row>
    <row r="281" spans="1:4" x14ac:dyDescent="0.3">
      <c r="A281" s="75" t="s">
        <v>30</v>
      </c>
      <c r="B281" s="75"/>
      <c r="C281" s="16">
        <v>46157</v>
      </c>
      <c r="D281">
        <v>1444.08</v>
      </c>
    </row>
    <row r="282" spans="1:4" x14ac:dyDescent="0.3">
      <c r="A282" s="75" t="s">
        <v>31</v>
      </c>
      <c r="B282" s="75"/>
      <c r="C282" s="16">
        <v>46157</v>
      </c>
      <c r="D282">
        <v>18242.599999999962</v>
      </c>
    </row>
    <row r="283" spans="1:4" x14ac:dyDescent="0.3">
      <c r="A283" s="75" t="s">
        <v>32</v>
      </c>
      <c r="B283" s="75"/>
      <c r="C283" s="16">
        <v>46157</v>
      </c>
      <c r="D283">
        <v>15120.060000000001</v>
      </c>
    </row>
    <row r="284" spans="1:4" x14ac:dyDescent="0.3">
      <c r="A284" s="75" t="s">
        <v>33</v>
      </c>
      <c r="B284" s="75"/>
      <c r="C284" s="16">
        <v>46157</v>
      </c>
      <c r="D284">
        <v>27011.27</v>
      </c>
    </row>
    <row r="285" spans="1:4" x14ac:dyDescent="0.3">
      <c r="A285" s="75" t="s">
        <v>34</v>
      </c>
      <c r="B285" s="75"/>
      <c r="C285" s="16">
        <v>46157</v>
      </c>
      <c r="D285">
        <v>345</v>
      </c>
    </row>
    <row r="286" spans="1:4" x14ac:dyDescent="0.3">
      <c r="A286" s="75" t="s">
        <v>35</v>
      </c>
      <c r="B286" s="75"/>
      <c r="C286" s="16">
        <v>46157</v>
      </c>
      <c r="D286">
        <v>14176.59</v>
      </c>
    </row>
    <row r="287" spans="1:4" x14ac:dyDescent="0.3">
      <c r="A287" s="75" t="s">
        <v>17</v>
      </c>
      <c r="B287" s="75"/>
      <c r="C287" s="16">
        <v>46158</v>
      </c>
      <c r="D287">
        <v>165752.81000000023</v>
      </c>
    </row>
    <row r="288" spans="1:4" x14ac:dyDescent="0.3">
      <c r="A288" s="75" t="s">
        <v>18</v>
      </c>
      <c r="B288" s="75"/>
      <c r="C288" s="16">
        <v>46158</v>
      </c>
      <c r="D288">
        <v>59760.159999999938</v>
      </c>
    </row>
    <row r="289" spans="1:4" x14ac:dyDescent="0.3">
      <c r="A289" s="75" t="s">
        <v>19</v>
      </c>
      <c r="B289" s="75"/>
      <c r="C289" s="16">
        <v>46158</v>
      </c>
      <c r="D289">
        <v>1669.89</v>
      </c>
    </row>
    <row r="290" spans="1:4" x14ac:dyDescent="0.3">
      <c r="A290" s="75" t="s">
        <v>20</v>
      </c>
      <c r="B290" s="75"/>
      <c r="C290" s="16">
        <v>46158</v>
      </c>
      <c r="D290">
        <v>832076.20999999985</v>
      </c>
    </row>
    <row r="291" spans="1:4" x14ac:dyDescent="0.3">
      <c r="A291" s="75" t="s">
        <v>21</v>
      </c>
      <c r="B291" s="75"/>
      <c r="C291" s="16">
        <v>46158</v>
      </c>
      <c r="D291">
        <v>952163.77999999933</v>
      </c>
    </row>
    <row r="292" spans="1:4" x14ac:dyDescent="0.3">
      <c r="A292" s="75" t="s">
        <v>22</v>
      </c>
      <c r="B292" s="75"/>
      <c r="C292" s="16">
        <v>46158</v>
      </c>
      <c r="D292">
        <v>121511.38</v>
      </c>
    </row>
    <row r="293" spans="1:4" x14ac:dyDescent="0.3">
      <c r="A293" s="75" t="s">
        <v>23</v>
      </c>
      <c r="B293" s="75"/>
      <c r="C293" s="16">
        <v>46158</v>
      </c>
      <c r="D293">
        <v>13090.369999999997</v>
      </c>
    </row>
    <row r="294" spans="1:4" x14ac:dyDescent="0.3">
      <c r="A294" s="75" t="s">
        <v>24</v>
      </c>
      <c r="B294" s="75"/>
      <c r="C294" s="16">
        <v>46158</v>
      </c>
      <c r="D294">
        <v>2498.3999999999996</v>
      </c>
    </row>
    <row r="295" spans="1:4" x14ac:dyDescent="0.3">
      <c r="A295" s="75" t="s">
        <v>25</v>
      </c>
      <c r="B295" s="75"/>
      <c r="C295" s="16">
        <v>46158</v>
      </c>
      <c r="D295">
        <v>114.3</v>
      </c>
    </row>
    <row r="296" spans="1:4" x14ac:dyDescent="0.3">
      <c r="A296" s="75" t="s">
        <v>26</v>
      </c>
      <c r="B296" s="75"/>
      <c r="C296" s="16">
        <v>46158</v>
      </c>
      <c r="D296">
        <v>2267.7200000000003</v>
      </c>
    </row>
    <row r="297" spans="1:4" x14ac:dyDescent="0.3">
      <c r="A297" s="75" t="s">
        <v>27</v>
      </c>
      <c r="B297" s="75"/>
      <c r="C297" s="16">
        <v>46158</v>
      </c>
      <c r="D297">
        <v>3349.94</v>
      </c>
    </row>
    <row r="298" spans="1:4" x14ac:dyDescent="0.3">
      <c r="A298" s="75" t="s">
        <v>28</v>
      </c>
      <c r="B298" s="75"/>
      <c r="C298" s="16">
        <v>46158</v>
      </c>
      <c r="D298">
        <v>1968.99</v>
      </c>
    </row>
    <row r="299" spans="1:4" x14ac:dyDescent="0.3">
      <c r="A299" s="75" t="s">
        <v>29</v>
      </c>
      <c r="B299" s="75"/>
      <c r="C299" s="16">
        <v>46158</v>
      </c>
      <c r="D299">
        <v>901.34</v>
      </c>
    </row>
    <row r="300" spans="1:4" x14ac:dyDescent="0.3">
      <c r="A300" s="75" t="s">
        <v>30</v>
      </c>
      <c r="B300" s="75"/>
      <c r="C300" s="16">
        <v>46158</v>
      </c>
      <c r="D300">
        <v>1444.08</v>
      </c>
    </row>
    <row r="301" spans="1:4" x14ac:dyDescent="0.3">
      <c r="A301" s="75" t="s">
        <v>31</v>
      </c>
      <c r="B301" s="75"/>
      <c r="C301" s="16">
        <v>46158</v>
      </c>
      <c r="D301">
        <v>18242.599999999962</v>
      </c>
    </row>
    <row r="302" spans="1:4" x14ac:dyDescent="0.3">
      <c r="A302" s="75" t="s">
        <v>32</v>
      </c>
      <c r="B302" s="75"/>
      <c r="C302" s="16">
        <v>46158</v>
      </c>
      <c r="D302">
        <v>15120.060000000001</v>
      </c>
    </row>
    <row r="303" spans="1:4" x14ac:dyDescent="0.3">
      <c r="A303" s="75" t="s">
        <v>33</v>
      </c>
      <c r="B303" s="75"/>
      <c r="C303" s="16">
        <v>46158</v>
      </c>
      <c r="D303">
        <v>27011.27</v>
      </c>
    </row>
    <row r="304" spans="1:4" x14ac:dyDescent="0.3">
      <c r="A304" s="75" t="s">
        <v>34</v>
      </c>
      <c r="B304" s="75"/>
      <c r="C304" s="16">
        <v>46158</v>
      </c>
      <c r="D304">
        <v>345</v>
      </c>
    </row>
    <row r="305" spans="1:4" x14ac:dyDescent="0.3">
      <c r="A305" s="75" t="s">
        <v>35</v>
      </c>
      <c r="B305" s="75"/>
      <c r="C305" s="16">
        <v>46158</v>
      </c>
      <c r="D305">
        <v>14176.59</v>
      </c>
    </row>
    <row r="306" spans="1:4" x14ac:dyDescent="0.3">
      <c r="A306" s="75" t="s">
        <v>17</v>
      </c>
      <c r="B306" s="75"/>
      <c r="C306" s="16">
        <v>46159</v>
      </c>
      <c r="D306">
        <v>165752.81000000023</v>
      </c>
    </row>
    <row r="307" spans="1:4" x14ac:dyDescent="0.3">
      <c r="A307" s="75" t="s">
        <v>18</v>
      </c>
      <c r="B307" s="75"/>
      <c r="C307" s="16">
        <v>46159</v>
      </c>
      <c r="D307">
        <v>59760.159999999938</v>
      </c>
    </row>
    <row r="308" spans="1:4" x14ac:dyDescent="0.3">
      <c r="A308" s="75" t="s">
        <v>19</v>
      </c>
      <c r="B308" s="75"/>
      <c r="C308" s="16">
        <v>46159</v>
      </c>
      <c r="D308">
        <v>1669.89</v>
      </c>
    </row>
    <row r="309" spans="1:4" x14ac:dyDescent="0.3">
      <c r="A309" s="75" t="s">
        <v>20</v>
      </c>
      <c r="B309" s="75"/>
      <c r="C309" s="16">
        <v>46159</v>
      </c>
      <c r="D309">
        <v>832076.20999999985</v>
      </c>
    </row>
    <row r="310" spans="1:4" x14ac:dyDescent="0.3">
      <c r="A310" s="75" t="s">
        <v>21</v>
      </c>
      <c r="B310" s="75"/>
      <c r="C310" s="16">
        <v>46159</v>
      </c>
      <c r="D310">
        <v>952163.77999999933</v>
      </c>
    </row>
    <row r="311" spans="1:4" x14ac:dyDescent="0.3">
      <c r="A311" s="75" t="s">
        <v>22</v>
      </c>
      <c r="B311" s="75"/>
      <c r="C311" s="16">
        <v>46159</v>
      </c>
      <c r="D311">
        <v>121511.38</v>
      </c>
    </row>
    <row r="312" spans="1:4" x14ac:dyDescent="0.3">
      <c r="A312" s="75" t="s">
        <v>23</v>
      </c>
      <c r="B312" s="75"/>
      <c r="C312" s="16">
        <v>46159</v>
      </c>
      <c r="D312">
        <v>13090.369999999997</v>
      </c>
    </row>
    <row r="313" spans="1:4" x14ac:dyDescent="0.3">
      <c r="A313" s="75" t="s">
        <v>24</v>
      </c>
      <c r="B313" s="75"/>
      <c r="C313" s="16">
        <v>46159</v>
      </c>
      <c r="D313">
        <v>2498.3999999999996</v>
      </c>
    </row>
    <row r="314" spans="1:4" x14ac:dyDescent="0.3">
      <c r="A314" s="75" t="s">
        <v>25</v>
      </c>
      <c r="B314" s="75"/>
      <c r="C314" s="16">
        <v>46159</v>
      </c>
      <c r="D314">
        <v>114.3</v>
      </c>
    </row>
    <row r="315" spans="1:4" x14ac:dyDescent="0.3">
      <c r="A315" s="75" t="s">
        <v>26</v>
      </c>
      <c r="B315" s="75"/>
      <c r="C315" s="16">
        <v>46159</v>
      </c>
      <c r="D315">
        <v>2267.7200000000003</v>
      </c>
    </row>
    <row r="316" spans="1:4" x14ac:dyDescent="0.3">
      <c r="A316" s="75" t="s">
        <v>27</v>
      </c>
      <c r="B316" s="75"/>
      <c r="C316" s="16">
        <v>46159</v>
      </c>
      <c r="D316">
        <v>3349.94</v>
      </c>
    </row>
    <row r="317" spans="1:4" x14ac:dyDescent="0.3">
      <c r="A317" s="75" t="s">
        <v>28</v>
      </c>
      <c r="B317" s="75"/>
      <c r="C317" s="16">
        <v>46159</v>
      </c>
      <c r="D317">
        <v>1968.99</v>
      </c>
    </row>
    <row r="318" spans="1:4" x14ac:dyDescent="0.3">
      <c r="A318" s="75" t="s">
        <v>29</v>
      </c>
      <c r="B318" s="75"/>
      <c r="C318" s="16">
        <v>46159</v>
      </c>
      <c r="D318">
        <v>901.34</v>
      </c>
    </row>
    <row r="319" spans="1:4" x14ac:dyDescent="0.3">
      <c r="A319" s="75" t="s">
        <v>30</v>
      </c>
      <c r="B319" s="75"/>
      <c r="C319" s="16">
        <v>46159</v>
      </c>
      <c r="D319">
        <v>1444.08</v>
      </c>
    </row>
    <row r="320" spans="1:4" x14ac:dyDescent="0.3">
      <c r="A320" s="75" t="s">
        <v>31</v>
      </c>
      <c r="B320" s="75"/>
      <c r="C320" s="16">
        <v>46159</v>
      </c>
      <c r="D320">
        <v>18242.599999999962</v>
      </c>
    </row>
    <row r="321" spans="1:4" x14ac:dyDescent="0.3">
      <c r="A321" s="75" t="s">
        <v>32</v>
      </c>
      <c r="B321" s="75"/>
      <c r="C321" s="16">
        <v>46159</v>
      </c>
      <c r="D321">
        <v>15120.060000000001</v>
      </c>
    </row>
    <row r="322" spans="1:4" x14ac:dyDescent="0.3">
      <c r="A322" s="75" t="s">
        <v>33</v>
      </c>
      <c r="B322" s="75"/>
      <c r="C322" s="16">
        <v>46159</v>
      </c>
      <c r="D322">
        <v>27011.27</v>
      </c>
    </row>
    <row r="323" spans="1:4" x14ac:dyDescent="0.3">
      <c r="A323" s="75" t="s">
        <v>34</v>
      </c>
      <c r="B323" s="75"/>
      <c r="C323" s="16">
        <v>46159</v>
      </c>
      <c r="D323">
        <v>345</v>
      </c>
    </row>
    <row r="324" spans="1:4" x14ac:dyDescent="0.3">
      <c r="A324" s="75" t="s">
        <v>35</v>
      </c>
      <c r="B324" s="75"/>
      <c r="C324" s="16">
        <v>46159</v>
      </c>
      <c r="D324">
        <v>14176.59</v>
      </c>
    </row>
    <row r="325" spans="1:4" x14ac:dyDescent="0.3">
      <c r="A325" s="75" t="s">
        <v>17</v>
      </c>
      <c r="B325" s="75"/>
      <c r="C325" s="16">
        <v>46160</v>
      </c>
      <c r="D325">
        <v>165752.81000000023</v>
      </c>
    </row>
    <row r="326" spans="1:4" x14ac:dyDescent="0.3">
      <c r="A326" s="75" t="s">
        <v>18</v>
      </c>
      <c r="B326" s="75"/>
      <c r="C326" s="16">
        <v>46160</v>
      </c>
      <c r="D326">
        <v>59760.159999999938</v>
      </c>
    </row>
    <row r="327" spans="1:4" x14ac:dyDescent="0.3">
      <c r="A327" s="75" t="s">
        <v>19</v>
      </c>
      <c r="B327" s="75"/>
      <c r="C327" s="16">
        <v>46160</v>
      </c>
      <c r="D327">
        <v>1669.89</v>
      </c>
    </row>
    <row r="328" spans="1:4" x14ac:dyDescent="0.3">
      <c r="A328" s="75" t="s">
        <v>20</v>
      </c>
      <c r="B328" s="75"/>
      <c r="C328" s="16">
        <v>46160</v>
      </c>
      <c r="D328">
        <v>832076.20999999985</v>
      </c>
    </row>
    <row r="329" spans="1:4" x14ac:dyDescent="0.3">
      <c r="A329" s="75" t="s">
        <v>21</v>
      </c>
      <c r="B329" s="75"/>
      <c r="C329" s="16">
        <v>46160</v>
      </c>
      <c r="D329">
        <v>928713.30999999924</v>
      </c>
    </row>
    <row r="330" spans="1:4" x14ac:dyDescent="0.3">
      <c r="A330" s="75" t="s">
        <v>22</v>
      </c>
      <c r="B330" s="75"/>
      <c r="C330" s="16">
        <v>46160</v>
      </c>
      <c r="D330">
        <v>121511.38</v>
      </c>
    </row>
    <row r="331" spans="1:4" x14ac:dyDescent="0.3">
      <c r="A331" s="75" t="s">
        <v>23</v>
      </c>
      <c r="B331" s="75"/>
      <c r="C331" s="16">
        <v>46160</v>
      </c>
      <c r="D331">
        <v>13090.369999999997</v>
      </c>
    </row>
    <row r="332" spans="1:4" x14ac:dyDescent="0.3">
      <c r="A332" s="75" t="s">
        <v>24</v>
      </c>
      <c r="B332" s="75"/>
      <c r="C332" s="16">
        <v>46160</v>
      </c>
      <c r="D332">
        <v>2498.3999999999996</v>
      </c>
    </row>
    <row r="333" spans="1:4" x14ac:dyDescent="0.3">
      <c r="A333" s="75" t="s">
        <v>25</v>
      </c>
      <c r="B333" s="75"/>
      <c r="C333" s="16">
        <v>46160</v>
      </c>
      <c r="D333">
        <v>114.3</v>
      </c>
    </row>
    <row r="334" spans="1:4" x14ac:dyDescent="0.3">
      <c r="A334" s="75" t="s">
        <v>26</v>
      </c>
      <c r="B334" s="75"/>
      <c r="C334" s="16">
        <v>46160</v>
      </c>
      <c r="D334">
        <v>2267.7200000000003</v>
      </c>
    </row>
    <row r="335" spans="1:4" x14ac:dyDescent="0.3">
      <c r="A335" s="75" t="s">
        <v>27</v>
      </c>
      <c r="B335" s="75"/>
      <c r="C335" s="16">
        <v>46160</v>
      </c>
      <c r="D335">
        <v>3349.94</v>
      </c>
    </row>
    <row r="336" spans="1:4" x14ac:dyDescent="0.3">
      <c r="A336" s="75" t="s">
        <v>28</v>
      </c>
      <c r="B336" s="75"/>
      <c r="C336" s="16">
        <v>46160</v>
      </c>
      <c r="D336">
        <v>1968.99</v>
      </c>
    </row>
    <row r="337" spans="1:4" x14ac:dyDescent="0.3">
      <c r="A337" s="75" t="s">
        <v>29</v>
      </c>
      <c r="B337" s="75"/>
      <c r="C337" s="16">
        <v>46160</v>
      </c>
      <c r="D337">
        <v>901.34</v>
      </c>
    </row>
    <row r="338" spans="1:4" x14ac:dyDescent="0.3">
      <c r="A338" s="75" t="s">
        <v>30</v>
      </c>
      <c r="B338" s="75"/>
      <c r="C338" s="16">
        <v>46160</v>
      </c>
      <c r="D338">
        <v>1444.08</v>
      </c>
    </row>
    <row r="339" spans="1:4" x14ac:dyDescent="0.3">
      <c r="A339" s="75" t="s">
        <v>31</v>
      </c>
      <c r="B339" s="75"/>
      <c r="C339" s="16">
        <v>46160</v>
      </c>
      <c r="D339">
        <v>15463.59999999996</v>
      </c>
    </row>
    <row r="340" spans="1:4" x14ac:dyDescent="0.3">
      <c r="A340" s="75" t="s">
        <v>32</v>
      </c>
      <c r="B340" s="75"/>
      <c r="C340" s="16">
        <v>46160</v>
      </c>
      <c r="D340">
        <v>15120.060000000001</v>
      </c>
    </row>
    <row r="341" spans="1:4" x14ac:dyDescent="0.3">
      <c r="A341" s="75" t="s">
        <v>33</v>
      </c>
      <c r="B341" s="75"/>
      <c r="C341" s="16">
        <v>46160</v>
      </c>
      <c r="D341">
        <v>27006.27</v>
      </c>
    </row>
    <row r="342" spans="1:4" x14ac:dyDescent="0.3">
      <c r="A342" s="75" t="s">
        <v>34</v>
      </c>
      <c r="B342" s="75"/>
      <c r="C342" s="16">
        <v>46160</v>
      </c>
      <c r="D342">
        <v>345</v>
      </c>
    </row>
    <row r="343" spans="1:4" x14ac:dyDescent="0.3">
      <c r="A343" s="75" t="s">
        <v>35</v>
      </c>
      <c r="B343" s="75"/>
      <c r="C343" s="16">
        <v>46160</v>
      </c>
      <c r="D343">
        <v>13941.210000000001</v>
      </c>
    </row>
    <row r="344" spans="1:4" x14ac:dyDescent="0.3">
      <c r="A344" s="75" t="s">
        <v>17</v>
      </c>
      <c r="B344" s="75"/>
      <c r="C344" s="16">
        <v>46161</v>
      </c>
      <c r="D344">
        <v>815752.81000000029</v>
      </c>
    </row>
    <row r="345" spans="1:4" x14ac:dyDescent="0.3">
      <c r="A345" s="75" t="s">
        <v>18</v>
      </c>
      <c r="B345" s="75"/>
      <c r="C345" s="16">
        <v>46161</v>
      </c>
      <c r="D345">
        <v>59760.159999999938</v>
      </c>
    </row>
    <row r="346" spans="1:4" x14ac:dyDescent="0.3">
      <c r="A346" s="75" t="s">
        <v>19</v>
      </c>
      <c r="B346" s="75"/>
      <c r="C346" s="16">
        <v>46161</v>
      </c>
      <c r="D346">
        <v>1669.89</v>
      </c>
    </row>
    <row r="347" spans="1:4" x14ac:dyDescent="0.3">
      <c r="A347" s="75" t="s">
        <v>20</v>
      </c>
      <c r="B347" s="75"/>
      <c r="C347" s="16">
        <v>46161</v>
      </c>
      <c r="D347">
        <v>832076.20999999985</v>
      </c>
    </row>
    <row r="348" spans="1:4" x14ac:dyDescent="0.3">
      <c r="A348" s="75" t="s">
        <v>21</v>
      </c>
      <c r="B348" s="75"/>
      <c r="C348" s="16">
        <v>46161</v>
      </c>
      <c r="D348">
        <v>925592.77999999933</v>
      </c>
    </row>
    <row r="349" spans="1:4" x14ac:dyDescent="0.3">
      <c r="A349" s="75" t="s">
        <v>22</v>
      </c>
      <c r="B349" s="75"/>
      <c r="C349" s="16">
        <v>46161</v>
      </c>
      <c r="D349">
        <v>91511.38</v>
      </c>
    </row>
    <row r="350" spans="1:4" x14ac:dyDescent="0.3">
      <c r="A350" s="75" t="s">
        <v>23</v>
      </c>
      <c r="B350" s="75"/>
      <c r="C350" s="16">
        <v>46161</v>
      </c>
      <c r="D350">
        <v>13090.369999999997</v>
      </c>
    </row>
    <row r="351" spans="1:4" x14ac:dyDescent="0.3">
      <c r="A351" s="75" t="s">
        <v>24</v>
      </c>
      <c r="B351" s="75"/>
      <c r="C351" s="16">
        <v>46161</v>
      </c>
      <c r="D351">
        <v>2498.3999999999996</v>
      </c>
    </row>
    <row r="352" spans="1:4" x14ac:dyDescent="0.3">
      <c r="A352" s="75" t="s">
        <v>25</v>
      </c>
      <c r="B352" s="75"/>
      <c r="C352" s="16">
        <v>46161</v>
      </c>
      <c r="D352">
        <v>114.3</v>
      </c>
    </row>
    <row r="353" spans="1:4" x14ac:dyDescent="0.3">
      <c r="A353" s="75" t="s">
        <v>26</v>
      </c>
      <c r="B353" s="75"/>
      <c r="C353" s="16">
        <v>46161</v>
      </c>
      <c r="D353">
        <v>2267.7200000000003</v>
      </c>
    </row>
    <row r="354" spans="1:4" x14ac:dyDescent="0.3">
      <c r="A354" s="75" t="s">
        <v>27</v>
      </c>
      <c r="B354" s="75"/>
      <c r="C354" s="16">
        <v>46161</v>
      </c>
      <c r="D354">
        <v>3349.94</v>
      </c>
    </row>
    <row r="355" spans="1:4" x14ac:dyDescent="0.3">
      <c r="A355" s="75" t="s">
        <v>28</v>
      </c>
      <c r="B355" s="75"/>
      <c r="C355" s="16">
        <v>46161</v>
      </c>
      <c r="D355">
        <v>1968.99</v>
      </c>
    </row>
    <row r="356" spans="1:4" x14ac:dyDescent="0.3">
      <c r="A356" s="75" t="s">
        <v>29</v>
      </c>
      <c r="B356" s="75"/>
      <c r="C356" s="16">
        <v>46161</v>
      </c>
      <c r="D356">
        <v>901.34</v>
      </c>
    </row>
    <row r="357" spans="1:4" x14ac:dyDescent="0.3">
      <c r="A357" s="75" t="s">
        <v>30</v>
      </c>
      <c r="B357" s="75"/>
      <c r="C357" s="16">
        <v>46161</v>
      </c>
      <c r="D357">
        <v>1444.08</v>
      </c>
    </row>
    <row r="358" spans="1:4" x14ac:dyDescent="0.3">
      <c r="A358" s="75" t="s">
        <v>31</v>
      </c>
      <c r="B358" s="75"/>
      <c r="C358" s="16">
        <v>46161</v>
      </c>
      <c r="D358">
        <v>15463.59999999996</v>
      </c>
    </row>
    <row r="359" spans="1:4" x14ac:dyDescent="0.3">
      <c r="A359" s="75" t="s">
        <v>32</v>
      </c>
      <c r="B359" s="75"/>
      <c r="C359" s="16">
        <v>46161</v>
      </c>
      <c r="D359">
        <v>15120.060000000001</v>
      </c>
    </row>
    <row r="360" spans="1:4" x14ac:dyDescent="0.3">
      <c r="A360" s="75" t="s">
        <v>33</v>
      </c>
      <c r="B360" s="75"/>
      <c r="C360" s="16">
        <v>46161</v>
      </c>
      <c r="D360">
        <v>27006.27</v>
      </c>
    </row>
    <row r="361" spans="1:4" x14ac:dyDescent="0.3">
      <c r="A361" s="75" t="s">
        <v>34</v>
      </c>
      <c r="B361" s="75"/>
      <c r="C361" s="16">
        <v>46161</v>
      </c>
      <c r="D361">
        <v>345</v>
      </c>
    </row>
    <row r="362" spans="1:4" x14ac:dyDescent="0.3">
      <c r="A362" s="75" t="s">
        <v>35</v>
      </c>
      <c r="B362" s="75"/>
      <c r="C362" s="16">
        <v>46161</v>
      </c>
      <c r="D362">
        <v>18941.21</v>
      </c>
    </row>
    <row r="363" spans="1:4" x14ac:dyDescent="0.3">
      <c r="A363" s="75" t="s">
        <v>17</v>
      </c>
      <c r="B363" s="75"/>
      <c r="C363" s="16">
        <v>46162</v>
      </c>
      <c r="D363">
        <v>142321.80000000013</v>
      </c>
    </row>
    <row r="364" spans="1:4" x14ac:dyDescent="0.3">
      <c r="A364" s="75" t="s">
        <v>18</v>
      </c>
      <c r="B364" s="75"/>
      <c r="C364" s="16">
        <v>46162</v>
      </c>
      <c r="D364">
        <v>59760.159999999938</v>
      </c>
    </row>
    <row r="365" spans="1:4" x14ac:dyDescent="0.3">
      <c r="A365" s="75" t="s">
        <v>19</v>
      </c>
      <c r="B365" s="75"/>
      <c r="C365" s="16">
        <v>46162</v>
      </c>
      <c r="D365">
        <v>1669.89</v>
      </c>
    </row>
    <row r="366" spans="1:4" x14ac:dyDescent="0.3">
      <c r="A366" s="75" t="s">
        <v>20</v>
      </c>
      <c r="B366" s="75"/>
      <c r="C366" s="16">
        <v>46162</v>
      </c>
      <c r="D366">
        <v>832076.20999999985</v>
      </c>
    </row>
    <row r="367" spans="1:4" x14ac:dyDescent="0.3">
      <c r="A367" s="75" t="s">
        <v>21</v>
      </c>
      <c r="B367" s="75"/>
      <c r="C367" s="16">
        <v>46162</v>
      </c>
      <c r="D367">
        <v>981189.87999999931</v>
      </c>
    </row>
    <row r="368" spans="1:4" x14ac:dyDescent="0.3">
      <c r="A368" s="75" t="s">
        <v>22</v>
      </c>
      <c r="B368" s="75"/>
      <c r="C368" s="16">
        <v>46162</v>
      </c>
      <c r="D368">
        <v>141496.38</v>
      </c>
    </row>
    <row r="369" spans="1:4" x14ac:dyDescent="0.3">
      <c r="A369" s="75" t="s">
        <v>23</v>
      </c>
      <c r="B369" s="75"/>
      <c r="C369" s="16">
        <v>46162</v>
      </c>
      <c r="D369">
        <v>13090.369999999997</v>
      </c>
    </row>
    <row r="370" spans="1:4" x14ac:dyDescent="0.3">
      <c r="A370" s="75" t="s">
        <v>24</v>
      </c>
      <c r="B370" s="75"/>
      <c r="C370" s="16">
        <v>46162</v>
      </c>
      <c r="D370">
        <v>2498.3999999999996</v>
      </c>
    </row>
    <row r="371" spans="1:4" x14ac:dyDescent="0.3">
      <c r="A371" s="75" t="s">
        <v>25</v>
      </c>
      <c r="B371" s="75"/>
      <c r="C371" s="16">
        <v>46162</v>
      </c>
      <c r="D371">
        <v>114.3</v>
      </c>
    </row>
    <row r="372" spans="1:4" x14ac:dyDescent="0.3">
      <c r="A372" s="75" t="s">
        <v>26</v>
      </c>
      <c r="B372" s="75"/>
      <c r="C372" s="16">
        <v>46162</v>
      </c>
      <c r="D372">
        <v>2267.7200000000003</v>
      </c>
    </row>
    <row r="373" spans="1:4" x14ac:dyDescent="0.3">
      <c r="A373" s="75" t="s">
        <v>27</v>
      </c>
      <c r="B373" s="75"/>
      <c r="C373" s="16">
        <v>46162</v>
      </c>
      <c r="D373">
        <v>3349.94</v>
      </c>
    </row>
    <row r="374" spans="1:4" x14ac:dyDescent="0.3">
      <c r="A374" s="75" t="s">
        <v>28</v>
      </c>
      <c r="B374" s="75"/>
      <c r="C374" s="16">
        <v>46162</v>
      </c>
      <c r="D374">
        <v>1968.99</v>
      </c>
    </row>
    <row r="375" spans="1:4" x14ac:dyDescent="0.3">
      <c r="A375" s="75" t="s">
        <v>29</v>
      </c>
      <c r="B375" s="75"/>
      <c r="C375" s="16">
        <v>46162</v>
      </c>
      <c r="D375">
        <v>901.34</v>
      </c>
    </row>
    <row r="376" spans="1:4" x14ac:dyDescent="0.3">
      <c r="A376" s="75" t="s">
        <v>30</v>
      </c>
      <c r="B376" s="75"/>
      <c r="C376" s="16">
        <v>46162</v>
      </c>
      <c r="D376">
        <v>1444.08</v>
      </c>
    </row>
    <row r="377" spans="1:4" x14ac:dyDescent="0.3">
      <c r="A377" s="75" t="s">
        <v>31</v>
      </c>
      <c r="B377" s="75"/>
      <c r="C377" s="16">
        <v>46162</v>
      </c>
      <c r="D377">
        <v>15463.59999999996</v>
      </c>
    </row>
    <row r="378" spans="1:4" x14ac:dyDescent="0.3">
      <c r="A378" s="75" t="s">
        <v>32</v>
      </c>
      <c r="B378" s="75"/>
      <c r="C378" s="16">
        <v>46162</v>
      </c>
      <c r="D378">
        <v>15120.060000000001</v>
      </c>
    </row>
    <row r="379" spans="1:4" x14ac:dyDescent="0.3">
      <c r="A379" s="75" t="s">
        <v>33</v>
      </c>
      <c r="B379" s="75"/>
      <c r="C379" s="16">
        <v>46162</v>
      </c>
      <c r="D379">
        <v>29206.27</v>
      </c>
    </row>
    <row r="380" spans="1:4" x14ac:dyDescent="0.3">
      <c r="A380" s="75" t="s">
        <v>34</v>
      </c>
      <c r="B380" s="75"/>
      <c r="C380" s="16">
        <v>46162</v>
      </c>
      <c r="D380">
        <v>345</v>
      </c>
    </row>
    <row r="381" spans="1:4" x14ac:dyDescent="0.3">
      <c r="A381" s="75" t="s">
        <v>35</v>
      </c>
      <c r="B381" s="75"/>
      <c r="C381" s="16">
        <v>46162</v>
      </c>
      <c r="D381">
        <v>8168.0700000000006</v>
      </c>
    </row>
    <row r="382" spans="1:4" x14ac:dyDescent="0.3">
      <c r="A382" s="75" t="s">
        <v>17</v>
      </c>
      <c r="B382" s="75"/>
      <c r="C382" s="16">
        <v>46163</v>
      </c>
      <c r="D382">
        <v>142321.80000000013</v>
      </c>
    </row>
    <row r="383" spans="1:4" x14ac:dyDescent="0.3">
      <c r="A383" s="75" t="s">
        <v>18</v>
      </c>
      <c r="B383" s="75"/>
      <c r="C383" s="16">
        <v>46163</v>
      </c>
      <c r="D383">
        <v>659760.15999999992</v>
      </c>
    </row>
    <row r="384" spans="1:4" x14ac:dyDescent="0.3">
      <c r="A384" s="75" t="s">
        <v>19</v>
      </c>
      <c r="B384" s="75"/>
      <c r="C384" s="16">
        <v>46163</v>
      </c>
      <c r="D384">
        <v>1669.89</v>
      </c>
    </row>
    <row r="385" spans="1:4" x14ac:dyDescent="0.3">
      <c r="A385" s="75" t="s">
        <v>20</v>
      </c>
      <c r="B385" s="75"/>
      <c r="C385" s="16">
        <v>46163</v>
      </c>
      <c r="D385">
        <v>497076.20999999985</v>
      </c>
    </row>
    <row r="386" spans="1:4" x14ac:dyDescent="0.3">
      <c r="A386" s="75" t="s">
        <v>21</v>
      </c>
      <c r="B386" s="75"/>
      <c r="C386" s="16">
        <v>46163</v>
      </c>
      <c r="D386">
        <v>981189.87999999931</v>
      </c>
    </row>
    <row r="387" spans="1:4" x14ac:dyDescent="0.3">
      <c r="A387" s="75" t="s">
        <v>22</v>
      </c>
      <c r="B387" s="75"/>
      <c r="C387" s="16">
        <v>46163</v>
      </c>
      <c r="D387">
        <v>141496.38</v>
      </c>
    </row>
    <row r="388" spans="1:4" x14ac:dyDescent="0.3">
      <c r="A388" s="75" t="s">
        <v>23</v>
      </c>
      <c r="B388" s="75"/>
      <c r="C388" s="16">
        <v>46163</v>
      </c>
      <c r="D388">
        <v>88090.37</v>
      </c>
    </row>
    <row r="389" spans="1:4" x14ac:dyDescent="0.3">
      <c r="A389" s="75" t="s">
        <v>24</v>
      </c>
      <c r="B389" s="75"/>
      <c r="C389" s="16">
        <v>46163</v>
      </c>
      <c r="D389">
        <v>2498.3999999999996</v>
      </c>
    </row>
    <row r="390" spans="1:4" x14ac:dyDescent="0.3">
      <c r="A390" s="75" t="s">
        <v>25</v>
      </c>
      <c r="B390" s="75"/>
      <c r="C390" s="16">
        <v>46163</v>
      </c>
      <c r="D390">
        <v>114.3</v>
      </c>
    </row>
    <row r="391" spans="1:4" x14ac:dyDescent="0.3">
      <c r="A391" s="75" t="s">
        <v>26</v>
      </c>
      <c r="B391" s="75"/>
      <c r="C391" s="16">
        <v>46163</v>
      </c>
      <c r="D391">
        <v>2267.7200000000003</v>
      </c>
    </row>
    <row r="392" spans="1:4" x14ac:dyDescent="0.3">
      <c r="A392" s="75" t="s">
        <v>27</v>
      </c>
      <c r="B392" s="75"/>
      <c r="C392" s="16">
        <v>46163</v>
      </c>
      <c r="D392">
        <v>3349.94</v>
      </c>
    </row>
    <row r="393" spans="1:4" x14ac:dyDescent="0.3">
      <c r="A393" s="75" t="s">
        <v>28</v>
      </c>
      <c r="B393" s="75"/>
      <c r="C393" s="16">
        <v>46163</v>
      </c>
      <c r="D393">
        <v>1968.99</v>
      </c>
    </row>
    <row r="394" spans="1:4" x14ac:dyDescent="0.3">
      <c r="A394" s="75" t="s">
        <v>29</v>
      </c>
      <c r="B394" s="75"/>
      <c r="C394" s="16">
        <v>46163</v>
      </c>
      <c r="D394">
        <v>901.34</v>
      </c>
    </row>
    <row r="395" spans="1:4" x14ac:dyDescent="0.3">
      <c r="A395" s="75" t="s">
        <v>30</v>
      </c>
      <c r="B395" s="75"/>
      <c r="C395" s="16">
        <v>46163</v>
      </c>
      <c r="D395">
        <v>1444.08</v>
      </c>
    </row>
    <row r="396" spans="1:4" x14ac:dyDescent="0.3">
      <c r="A396" s="75" t="s">
        <v>31</v>
      </c>
      <c r="B396" s="75"/>
      <c r="C396" s="16">
        <v>46163</v>
      </c>
      <c r="D396">
        <v>15463.59999999996</v>
      </c>
    </row>
    <row r="397" spans="1:4" x14ac:dyDescent="0.3">
      <c r="A397" s="75" t="s">
        <v>32</v>
      </c>
      <c r="B397" s="75"/>
      <c r="C397" s="16">
        <v>46163</v>
      </c>
      <c r="D397">
        <v>15120.060000000001</v>
      </c>
    </row>
    <row r="398" spans="1:4" x14ac:dyDescent="0.3">
      <c r="A398" s="75" t="s">
        <v>33</v>
      </c>
      <c r="B398" s="75"/>
      <c r="C398" s="16">
        <v>46163</v>
      </c>
      <c r="D398">
        <v>29206.27</v>
      </c>
    </row>
    <row r="399" spans="1:4" x14ac:dyDescent="0.3">
      <c r="A399" s="75" t="s">
        <v>34</v>
      </c>
      <c r="B399" s="75"/>
      <c r="C399" s="16">
        <v>46163</v>
      </c>
      <c r="D399">
        <v>345</v>
      </c>
    </row>
    <row r="400" spans="1:4" x14ac:dyDescent="0.3">
      <c r="A400" s="75" t="s">
        <v>35</v>
      </c>
      <c r="B400" s="75"/>
      <c r="C400" s="16">
        <v>46163</v>
      </c>
      <c r="D400">
        <v>8168.0700000000006</v>
      </c>
    </row>
    <row r="401" spans="1:4" x14ac:dyDescent="0.3">
      <c r="A401" s="75" t="s">
        <v>17</v>
      </c>
      <c r="B401" s="75"/>
      <c r="C401" s="16">
        <v>46164</v>
      </c>
      <c r="D401">
        <v>142321.80000000013</v>
      </c>
    </row>
    <row r="402" spans="1:4" x14ac:dyDescent="0.3">
      <c r="A402" s="75" t="s">
        <v>18</v>
      </c>
      <c r="B402" s="75"/>
      <c r="C402" s="16">
        <v>46164</v>
      </c>
      <c r="D402">
        <v>659760.15999999992</v>
      </c>
    </row>
    <row r="403" spans="1:4" x14ac:dyDescent="0.3">
      <c r="A403" s="75" t="s">
        <v>19</v>
      </c>
      <c r="B403" s="75"/>
      <c r="C403" s="16">
        <v>46164</v>
      </c>
      <c r="D403">
        <v>1669.89</v>
      </c>
    </row>
    <row r="404" spans="1:4" x14ac:dyDescent="0.3">
      <c r="A404" s="75" t="s">
        <v>20</v>
      </c>
      <c r="B404" s="75"/>
      <c r="C404" s="16">
        <v>46164</v>
      </c>
      <c r="D404">
        <v>497076.20999999985</v>
      </c>
    </row>
    <row r="405" spans="1:4" x14ac:dyDescent="0.3">
      <c r="A405" s="75" t="s">
        <v>21</v>
      </c>
      <c r="B405" s="75"/>
      <c r="C405" s="16">
        <v>46164</v>
      </c>
      <c r="D405">
        <v>980426.88999999932</v>
      </c>
    </row>
    <row r="406" spans="1:4" x14ac:dyDescent="0.3">
      <c r="A406" s="75" t="s">
        <v>22</v>
      </c>
      <c r="B406" s="75"/>
      <c r="C406" s="16">
        <v>46164</v>
      </c>
      <c r="D406">
        <v>141496.38</v>
      </c>
    </row>
    <row r="407" spans="1:4" x14ac:dyDescent="0.3">
      <c r="A407" s="75" t="s">
        <v>23</v>
      </c>
      <c r="B407" s="75"/>
      <c r="C407" s="16">
        <v>46164</v>
      </c>
      <c r="D407">
        <v>88090.37</v>
      </c>
    </row>
    <row r="408" spans="1:4" x14ac:dyDescent="0.3">
      <c r="A408" s="75" t="s">
        <v>24</v>
      </c>
      <c r="B408" s="75"/>
      <c r="C408" s="16">
        <v>46164</v>
      </c>
      <c r="D408">
        <v>2498.3999999999996</v>
      </c>
    </row>
    <row r="409" spans="1:4" x14ac:dyDescent="0.3">
      <c r="A409" s="75" t="s">
        <v>25</v>
      </c>
      <c r="B409" s="75"/>
      <c r="C409" s="16">
        <v>46164</v>
      </c>
      <c r="D409">
        <v>114.3</v>
      </c>
    </row>
    <row r="410" spans="1:4" x14ac:dyDescent="0.3">
      <c r="A410" s="75" t="s">
        <v>26</v>
      </c>
      <c r="B410" s="75"/>
      <c r="C410" s="16">
        <v>46164</v>
      </c>
      <c r="D410">
        <v>2267.7200000000003</v>
      </c>
    </row>
    <row r="411" spans="1:4" x14ac:dyDescent="0.3">
      <c r="A411" s="75" t="s">
        <v>27</v>
      </c>
      <c r="B411" s="75"/>
      <c r="C411" s="16">
        <v>46164</v>
      </c>
      <c r="D411">
        <v>3349.94</v>
      </c>
    </row>
    <row r="412" spans="1:4" x14ac:dyDescent="0.3">
      <c r="A412" s="75" t="s">
        <v>28</v>
      </c>
      <c r="B412" s="75"/>
      <c r="C412" s="16">
        <v>46164</v>
      </c>
      <c r="D412">
        <v>1968.99</v>
      </c>
    </row>
    <row r="413" spans="1:4" x14ac:dyDescent="0.3">
      <c r="A413" s="75" t="s">
        <v>29</v>
      </c>
      <c r="B413" s="75"/>
      <c r="C413" s="16">
        <v>46164</v>
      </c>
      <c r="D413">
        <v>901.34</v>
      </c>
    </row>
    <row r="414" spans="1:4" x14ac:dyDescent="0.3">
      <c r="A414" s="75" t="s">
        <v>30</v>
      </c>
      <c r="B414" s="75"/>
      <c r="C414" s="16">
        <v>46164</v>
      </c>
      <c r="D414">
        <v>1444.08</v>
      </c>
    </row>
    <row r="415" spans="1:4" x14ac:dyDescent="0.3">
      <c r="A415" s="75" t="s">
        <v>31</v>
      </c>
      <c r="B415" s="75"/>
      <c r="C415" s="16">
        <v>46164</v>
      </c>
      <c r="D415">
        <v>15463.59999999996</v>
      </c>
    </row>
    <row r="416" spans="1:4" x14ac:dyDescent="0.3">
      <c r="A416" s="75" t="s">
        <v>32</v>
      </c>
      <c r="B416" s="75"/>
      <c r="C416" s="16">
        <v>46164</v>
      </c>
      <c r="D416">
        <v>15120.060000000001</v>
      </c>
    </row>
    <row r="417" spans="1:4" x14ac:dyDescent="0.3">
      <c r="A417" s="75" t="s">
        <v>33</v>
      </c>
      <c r="B417" s="75"/>
      <c r="C417" s="16">
        <v>46164</v>
      </c>
      <c r="D417">
        <v>29206.27</v>
      </c>
    </row>
    <row r="418" spans="1:4" x14ac:dyDescent="0.3">
      <c r="A418" s="75" t="s">
        <v>34</v>
      </c>
      <c r="B418" s="75"/>
      <c r="C418" s="16">
        <v>46164</v>
      </c>
      <c r="D418">
        <v>345</v>
      </c>
    </row>
    <row r="419" spans="1:4" x14ac:dyDescent="0.3">
      <c r="A419" s="75" t="s">
        <v>35</v>
      </c>
      <c r="B419" s="75"/>
      <c r="C419" s="16">
        <v>46164</v>
      </c>
      <c r="D419">
        <v>8168.0700000000006</v>
      </c>
    </row>
    <row r="420" spans="1:4" x14ac:dyDescent="0.3">
      <c r="A420" s="75" t="s">
        <v>17</v>
      </c>
      <c r="B420" s="75"/>
      <c r="C420" s="16">
        <v>46165</v>
      </c>
      <c r="D420">
        <v>142321.80000000013</v>
      </c>
    </row>
    <row r="421" spans="1:4" x14ac:dyDescent="0.3">
      <c r="A421" s="75" t="s">
        <v>18</v>
      </c>
      <c r="B421" s="75"/>
      <c r="C421" s="16">
        <v>46165</v>
      </c>
      <c r="D421">
        <v>659760.15999999992</v>
      </c>
    </row>
    <row r="422" spans="1:4" x14ac:dyDescent="0.3">
      <c r="A422" s="75" t="s">
        <v>19</v>
      </c>
      <c r="B422" s="75"/>
      <c r="C422" s="16">
        <v>46165</v>
      </c>
      <c r="D422">
        <v>1669.89</v>
      </c>
    </row>
    <row r="423" spans="1:4" x14ac:dyDescent="0.3">
      <c r="A423" s="75" t="s">
        <v>20</v>
      </c>
      <c r="B423" s="75"/>
      <c r="C423" s="16">
        <v>46165</v>
      </c>
      <c r="D423">
        <v>497076.20999999985</v>
      </c>
    </row>
    <row r="424" spans="1:4" x14ac:dyDescent="0.3">
      <c r="A424" s="75" t="s">
        <v>21</v>
      </c>
      <c r="B424" s="75"/>
      <c r="C424" s="16">
        <v>46165</v>
      </c>
      <c r="D424">
        <v>980426.88999999932</v>
      </c>
    </row>
    <row r="425" spans="1:4" x14ac:dyDescent="0.3">
      <c r="A425" s="75" t="s">
        <v>22</v>
      </c>
      <c r="B425" s="75"/>
      <c r="C425" s="16">
        <v>46165</v>
      </c>
      <c r="D425">
        <v>141496.38</v>
      </c>
    </row>
    <row r="426" spans="1:4" x14ac:dyDescent="0.3">
      <c r="A426" s="75" t="s">
        <v>23</v>
      </c>
      <c r="B426" s="75"/>
      <c r="C426" s="16">
        <v>46165</v>
      </c>
      <c r="D426">
        <v>88090.37</v>
      </c>
    </row>
    <row r="427" spans="1:4" x14ac:dyDescent="0.3">
      <c r="A427" s="75" t="s">
        <v>24</v>
      </c>
      <c r="B427" s="75"/>
      <c r="C427" s="16">
        <v>46165</v>
      </c>
      <c r="D427">
        <v>2498.3999999999996</v>
      </c>
    </row>
    <row r="428" spans="1:4" x14ac:dyDescent="0.3">
      <c r="A428" s="75" t="s">
        <v>25</v>
      </c>
      <c r="B428" s="75"/>
      <c r="C428" s="16">
        <v>46165</v>
      </c>
      <c r="D428">
        <v>114.3</v>
      </c>
    </row>
    <row r="429" spans="1:4" x14ac:dyDescent="0.3">
      <c r="A429" s="75" t="s">
        <v>26</v>
      </c>
      <c r="B429" s="75"/>
      <c r="C429" s="16">
        <v>46165</v>
      </c>
      <c r="D429">
        <v>2267.7200000000003</v>
      </c>
    </row>
    <row r="430" spans="1:4" x14ac:dyDescent="0.3">
      <c r="A430" s="75" t="s">
        <v>27</v>
      </c>
      <c r="B430" s="75"/>
      <c r="C430" s="16">
        <v>46165</v>
      </c>
      <c r="D430">
        <v>3349.94</v>
      </c>
    </row>
    <row r="431" spans="1:4" x14ac:dyDescent="0.3">
      <c r="A431" s="75" t="s">
        <v>28</v>
      </c>
      <c r="B431" s="75"/>
      <c r="C431" s="16">
        <v>46165</v>
      </c>
      <c r="D431">
        <v>1968.99</v>
      </c>
    </row>
    <row r="432" spans="1:4" x14ac:dyDescent="0.3">
      <c r="A432" s="75" t="s">
        <v>29</v>
      </c>
      <c r="B432" s="75"/>
      <c r="C432" s="16">
        <v>46165</v>
      </c>
      <c r="D432">
        <v>901.34</v>
      </c>
    </row>
    <row r="433" spans="1:4" x14ac:dyDescent="0.3">
      <c r="A433" s="75" t="s">
        <v>30</v>
      </c>
      <c r="B433" s="75"/>
      <c r="C433" s="16">
        <v>46165</v>
      </c>
      <c r="D433">
        <v>1444.08</v>
      </c>
    </row>
    <row r="434" spans="1:4" x14ac:dyDescent="0.3">
      <c r="A434" s="75" t="s">
        <v>31</v>
      </c>
      <c r="B434" s="75"/>
      <c r="C434" s="16">
        <v>46165</v>
      </c>
      <c r="D434">
        <v>15463.59999999996</v>
      </c>
    </row>
    <row r="435" spans="1:4" x14ac:dyDescent="0.3">
      <c r="A435" s="75" t="s">
        <v>32</v>
      </c>
      <c r="B435" s="75"/>
      <c r="C435" s="16">
        <v>46165</v>
      </c>
      <c r="D435">
        <v>15120.060000000001</v>
      </c>
    </row>
    <row r="436" spans="1:4" x14ac:dyDescent="0.3">
      <c r="A436" s="75" t="s">
        <v>33</v>
      </c>
      <c r="B436" s="75"/>
      <c r="C436" s="16">
        <v>46165</v>
      </c>
      <c r="D436">
        <v>29206.27</v>
      </c>
    </row>
    <row r="437" spans="1:4" x14ac:dyDescent="0.3">
      <c r="A437" s="75" t="s">
        <v>34</v>
      </c>
      <c r="B437" s="75"/>
      <c r="C437" s="16">
        <v>46165</v>
      </c>
      <c r="D437">
        <v>345</v>
      </c>
    </row>
    <row r="438" spans="1:4" x14ac:dyDescent="0.3">
      <c r="A438" s="75" t="s">
        <v>35</v>
      </c>
      <c r="B438" s="75"/>
      <c r="C438" s="16">
        <v>46165</v>
      </c>
      <c r="D438">
        <v>8168.0700000000006</v>
      </c>
    </row>
    <row r="439" spans="1:4" x14ac:dyDescent="0.3">
      <c r="A439" s="75" t="s">
        <v>17</v>
      </c>
      <c r="B439" s="75"/>
      <c r="C439" s="16">
        <v>46166</v>
      </c>
      <c r="D439">
        <v>142321.80000000013</v>
      </c>
    </row>
    <row r="440" spans="1:4" x14ac:dyDescent="0.3">
      <c r="A440" s="75" t="s">
        <v>18</v>
      </c>
      <c r="B440" s="75"/>
      <c r="C440" s="16">
        <v>46166</v>
      </c>
      <c r="D440">
        <v>659760.15999999992</v>
      </c>
    </row>
    <row r="441" spans="1:4" x14ac:dyDescent="0.3">
      <c r="A441" s="75" t="s">
        <v>19</v>
      </c>
      <c r="B441" s="75"/>
      <c r="C441" s="16">
        <v>46166</v>
      </c>
      <c r="D441">
        <v>1669.89</v>
      </c>
    </row>
    <row r="442" spans="1:4" x14ac:dyDescent="0.3">
      <c r="A442" s="75" t="s">
        <v>20</v>
      </c>
      <c r="B442" s="75"/>
      <c r="C442" s="16">
        <v>46166</v>
      </c>
      <c r="D442">
        <v>497076.20999999985</v>
      </c>
    </row>
    <row r="443" spans="1:4" x14ac:dyDescent="0.3">
      <c r="A443" s="75" t="s">
        <v>21</v>
      </c>
      <c r="B443" s="75"/>
      <c r="C443" s="16">
        <v>46166</v>
      </c>
      <c r="D443">
        <v>980426.88999999932</v>
      </c>
    </row>
    <row r="444" spans="1:4" x14ac:dyDescent="0.3">
      <c r="A444" s="75" t="s">
        <v>22</v>
      </c>
      <c r="B444" s="75"/>
      <c r="C444" s="16">
        <v>46166</v>
      </c>
      <c r="D444">
        <v>141496.38</v>
      </c>
    </row>
    <row r="445" spans="1:4" x14ac:dyDescent="0.3">
      <c r="A445" s="75" t="s">
        <v>23</v>
      </c>
      <c r="B445" s="75"/>
      <c r="C445" s="16">
        <v>46166</v>
      </c>
      <c r="D445">
        <v>88090.37</v>
      </c>
    </row>
    <row r="446" spans="1:4" x14ac:dyDescent="0.3">
      <c r="A446" s="75" t="s">
        <v>24</v>
      </c>
      <c r="B446" s="75"/>
      <c r="C446" s="16">
        <v>46166</v>
      </c>
      <c r="D446">
        <v>2498.3999999999996</v>
      </c>
    </row>
    <row r="447" spans="1:4" x14ac:dyDescent="0.3">
      <c r="A447" s="75" t="s">
        <v>25</v>
      </c>
      <c r="B447" s="75"/>
      <c r="C447" s="16">
        <v>46166</v>
      </c>
      <c r="D447">
        <v>114.3</v>
      </c>
    </row>
    <row r="448" spans="1:4" x14ac:dyDescent="0.3">
      <c r="A448" s="75" t="s">
        <v>26</v>
      </c>
      <c r="B448" s="75"/>
      <c r="C448" s="16">
        <v>46166</v>
      </c>
      <c r="D448">
        <v>2267.7200000000003</v>
      </c>
    </row>
    <row r="449" spans="1:4" x14ac:dyDescent="0.3">
      <c r="A449" s="75" t="s">
        <v>27</v>
      </c>
      <c r="B449" s="75"/>
      <c r="C449" s="16">
        <v>46166</v>
      </c>
      <c r="D449">
        <v>3349.94</v>
      </c>
    </row>
    <row r="450" spans="1:4" x14ac:dyDescent="0.3">
      <c r="A450" s="75" t="s">
        <v>28</v>
      </c>
      <c r="B450" s="75"/>
      <c r="C450" s="16">
        <v>46166</v>
      </c>
      <c r="D450">
        <v>1968.99</v>
      </c>
    </row>
    <row r="451" spans="1:4" x14ac:dyDescent="0.3">
      <c r="A451" s="75" t="s">
        <v>29</v>
      </c>
      <c r="B451" s="75"/>
      <c r="C451" s="16">
        <v>46166</v>
      </c>
      <c r="D451">
        <v>901.34</v>
      </c>
    </row>
    <row r="452" spans="1:4" x14ac:dyDescent="0.3">
      <c r="A452" s="75" t="s">
        <v>30</v>
      </c>
      <c r="B452" s="75"/>
      <c r="C452" s="16">
        <v>46166</v>
      </c>
      <c r="D452">
        <v>1444.08</v>
      </c>
    </row>
    <row r="453" spans="1:4" x14ac:dyDescent="0.3">
      <c r="A453" s="75" t="s">
        <v>31</v>
      </c>
      <c r="B453" s="75"/>
      <c r="C453" s="16">
        <v>46166</v>
      </c>
      <c r="D453">
        <v>15463.59999999996</v>
      </c>
    </row>
    <row r="454" spans="1:4" x14ac:dyDescent="0.3">
      <c r="A454" s="75" t="s">
        <v>32</v>
      </c>
      <c r="B454" s="75"/>
      <c r="C454" s="16">
        <v>46166</v>
      </c>
      <c r="D454">
        <v>15120.060000000001</v>
      </c>
    </row>
    <row r="455" spans="1:4" x14ac:dyDescent="0.3">
      <c r="A455" s="75" t="s">
        <v>33</v>
      </c>
      <c r="B455" s="75"/>
      <c r="C455" s="16">
        <v>46166</v>
      </c>
      <c r="D455">
        <v>29206.27</v>
      </c>
    </row>
    <row r="456" spans="1:4" x14ac:dyDescent="0.3">
      <c r="A456" s="75" t="s">
        <v>34</v>
      </c>
      <c r="B456" s="75"/>
      <c r="C456" s="16">
        <v>46166</v>
      </c>
      <c r="D456">
        <v>345</v>
      </c>
    </row>
    <row r="457" spans="1:4" x14ac:dyDescent="0.3">
      <c r="A457" s="75" t="s">
        <v>35</v>
      </c>
      <c r="B457" s="75"/>
      <c r="C457" s="16">
        <v>46166</v>
      </c>
      <c r="D457">
        <v>8168.0700000000006</v>
      </c>
    </row>
    <row r="458" spans="1:4" x14ac:dyDescent="0.3">
      <c r="A458" s="75" t="s">
        <v>17</v>
      </c>
      <c r="B458" s="75"/>
      <c r="C458" s="16">
        <v>46167</v>
      </c>
      <c r="D458">
        <v>142321.80000000013</v>
      </c>
    </row>
    <row r="459" spans="1:4" x14ac:dyDescent="0.3">
      <c r="A459" s="75" t="s">
        <v>18</v>
      </c>
      <c r="B459" s="75"/>
      <c r="C459" s="16">
        <v>46167</v>
      </c>
      <c r="D459">
        <v>659760.15999999992</v>
      </c>
    </row>
    <row r="460" spans="1:4" x14ac:dyDescent="0.3">
      <c r="A460" s="75" t="s">
        <v>19</v>
      </c>
      <c r="B460" s="75"/>
      <c r="C460" s="16">
        <v>46167</v>
      </c>
      <c r="D460">
        <v>1669.89</v>
      </c>
    </row>
    <row r="461" spans="1:4" x14ac:dyDescent="0.3">
      <c r="A461" s="75" t="s">
        <v>20</v>
      </c>
      <c r="B461" s="75"/>
      <c r="C461" s="16">
        <v>46167</v>
      </c>
      <c r="D461">
        <v>497076.20999999985</v>
      </c>
    </row>
    <row r="462" spans="1:4" x14ac:dyDescent="0.3">
      <c r="A462" s="75" t="s">
        <v>21</v>
      </c>
      <c r="B462" s="75"/>
      <c r="C462" s="16">
        <v>46167</v>
      </c>
      <c r="D462">
        <v>980426.88999999932</v>
      </c>
    </row>
    <row r="463" spans="1:4" x14ac:dyDescent="0.3">
      <c r="A463" s="75" t="s">
        <v>22</v>
      </c>
      <c r="B463" s="75"/>
      <c r="C463" s="16">
        <v>46167</v>
      </c>
      <c r="D463">
        <v>141496.38</v>
      </c>
    </row>
    <row r="464" spans="1:4" x14ac:dyDescent="0.3">
      <c r="A464" s="75" t="s">
        <v>23</v>
      </c>
      <c r="B464" s="75"/>
      <c r="C464" s="16">
        <v>46167</v>
      </c>
      <c r="D464">
        <v>88090.37</v>
      </c>
    </row>
    <row r="465" spans="1:4" x14ac:dyDescent="0.3">
      <c r="A465" s="75" t="s">
        <v>24</v>
      </c>
      <c r="B465" s="75"/>
      <c r="C465" s="16">
        <v>46167</v>
      </c>
      <c r="D465">
        <v>2498.3999999999996</v>
      </c>
    </row>
    <row r="466" spans="1:4" x14ac:dyDescent="0.3">
      <c r="A466" s="75" t="s">
        <v>25</v>
      </c>
      <c r="B466" s="75"/>
      <c r="C466" s="16">
        <v>46167</v>
      </c>
      <c r="D466">
        <v>114.3</v>
      </c>
    </row>
    <row r="467" spans="1:4" x14ac:dyDescent="0.3">
      <c r="A467" s="75" t="s">
        <v>26</v>
      </c>
      <c r="B467" s="75"/>
      <c r="C467" s="16">
        <v>46167</v>
      </c>
      <c r="D467">
        <v>2267.7200000000003</v>
      </c>
    </row>
    <row r="468" spans="1:4" x14ac:dyDescent="0.3">
      <c r="A468" s="75" t="s">
        <v>27</v>
      </c>
      <c r="B468" s="75"/>
      <c r="C468" s="16">
        <v>46167</v>
      </c>
      <c r="D468">
        <v>3349.94</v>
      </c>
    </row>
    <row r="469" spans="1:4" x14ac:dyDescent="0.3">
      <c r="A469" s="75" t="s">
        <v>28</v>
      </c>
      <c r="B469" s="75"/>
      <c r="C469" s="16">
        <v>46167</v>
      </c>
      <c r="D469">
        <v>1968.99</v>
      </c>
    </row>
    <row r="470" spans="1:4" x14ac:dyDescent="0.3">
      <c r="A470" s="75" t="s">
        <v>29</v>
      </c>
      <c r="B470" s="75"/>
      <c r="C470" s="16">
        <v>46167</v>
      </c>
      <c r="D470">
        <v>901.34</v>
      </c>
    </row>
    <row r="471" spans="1:4" x14ac:dyDescent="0.3">
      <c r="A471" s="75" t="s">
        <v>30</v>
      </c>
      <c r="B471" s="75"/>
      <c r="C471" s="16">
        <v>46167</v>
      </c>
      <c r="D471">
        <v>1444.08</v>
      </c>
    </row>
    <row r="472" spans="1:4" x14ac:dyDescent="0.3">
      <c r="A472" s="75" t="s">
        <v>31</v>
      </c>
      <c r="B472" s="75"/>
      <c r="C472" s="16">
        <v>46167</v>
      </c>
      <c r="D472">
        <v>15463.59999999996</v>
      </c>
    </row>
    <row r="473" spans="1:4" x14ac:dyDescent="0.3">
      <c r="A473" s="75" t="s">
        <v>32</v>
      </c>
      <c r="B473" s="75"/>
      <c r="C473" s="16">
        <v>46167</v>
      </c>
      <c r="D473">
        <v>15120.060000000001</v>
      </c>
    </row>
    <row r="474" spans="1:4" x14ac:dyDescent="0.3">
      <c r="A474" s="75" t="s">
        <v>33</v>
      </c>
      <c r="B474" s="75"/>
      <c r="C474" s="16">
        <v>46167</v>
      </c>
      <c r="D474">
        <v>29206.27</v>
      </c>
    </row>
    <row r="475" spans="1:4" x14ac:dyDescent="0.3">
      <c r="A475" s="75" t="s">
        <v>34</v>
      </c>
      <c r="B475" s="75"/>
      <c r="C475" s="16">
        <v>46167</v>
      </c>
      <c r="D475">
        <v>345</v>
      </c>
    </row>
    <row r="476" spans="1:4" x14ac:dyDescent="0.3">
      <c r="A476" s="75" t="s">
        <v>35</v>
      </c>
      <c r="B476" s="75"/>
      <c r="C476" s="16">
        <v>46167</v>
      </c>
      <c r="D476">
        <v>8168.0700000000006</v>
      </c>
    </row>
    <row r="477" spans="1:4" x14ac:dyDescent="0.3">
      <c r="A477" s="75" t="s">
        <v>17</v>
      </c>
      <c r="B477" s="75"/>
      <c r="C477" s="16">
        <v>46168</v>
      </c>
      <c r="D477">
        <v>253154.33000000013</v>
      </c>
    </row>
    <row r="478" spans="1:4" x14ac:dyDescent="0.3">
      <c r="A478" s="75" t="s">
        <v>18</v>
      </c>
      <c r="B478" s="75"/>
      <c r="C478" s="16">
        <v>46168</v>
      </c>
      <c r="D478">
        <v>1259760.1600000001</v>
      </c>
    </row>
    <row r="479" spans="1:4" x14ac:dyDescent="0.3">
      <c r="A479" s="75" t="s">
        <v>19</v>
      </c>
      <c r="B479" s="75"/>
      <c r="C479" s="16">
        <v>46168</v>
      </c>
      <c r="D479">
        <v>1669.89</v>
      </c>
    </row>
    <row r="480" spans="1:4" x14ac:dyDescent="0.3">
      <c r="A480" s="75" t="s">
        <v>20</v>
      </c>
      <c r="B480" s="75"/>
      <c r="C480" s="16">
        <v>46168</v>
      </c>
      <c r="D480">
        <v>497076.20999999985</v>
      </c>
    </row>
    <row r="481" spans="1:4" x14ac:dyDescent="0.3">
      <c r="A481" s="75" t="s">
        <v>21</v>
      </c>
      <c r="B481" s="75"/>
      <c r="C481" s="16">
        <v>46168</v>
      </c>
      <c r="D481">
        <v>980426.88999999932</v>
      </c>
    </row>
    <row r="482" spans="1:4" x14ac:dyDescent="0.3">
      <c r="A482" s="75" t="s">
        <v>22</v>
      </c>
      <c r="B482" s="75"/>
      <c r="C482" s="16">
        <v>46168</v>
      </c>
      <c r="D482">
        <v>141496.38</v>
      </c>
    </row>
    <row r="483" spans="1:4" x14ac:dyDescent="0.3">
      <c r="A483" s="75" t="s">
        <v>23</v>
      </c>
      <c r="B483" s="75"/>
      <c r="C483" s="16">
        <v>46168</v>
      </c>
      <c r="D483">
        <v>88090.37</v>
      </c>
    </row>
    <row r="484" spans="1:4" x14ac:dyDescent="0.3">
      <c r="A484" s="75" t="s">
        <v>24</v>
      </c>
      <c r="B484" s="75"/>
      <c r="C484" s="16">
        <v>46168</v>
      </c>
      <c r="D484">
        <v>2498.3999999999996</v>
      </c>
    </row>
    <row r="485" spans="1:4" x14ac:dyDescent="0.3">
      <c r="A485" s="75" t="s">
        <v>25</v>
      </c>
      <c r="B485" s="75"/>
      <c r="C485" s="16">
        <v>46168</v>
      </c>
      <c r="D485">
        <v>114.3</v>
      </c>
    </row>
    <row r="486" spans="1:4" x14ac:dyDescent="0.3">
      <c r="A486" s="75" t="s">
        <v>26</v>
      </c>
      <c r="B486" s="75"/>
      <c r="C486" s="16">
        <v>46168</v>
      </c>
      <c r="D486">
        <v>2267.7200000000003</v>
      </c>
    </row>
    <row r="487" spans="1:4" x14ac:dyDescent="0.3">
      <c r="A487" s="75" t="s">
        <v>27</v>
      </c>
      <c r="B487" s="75"/>
      <c r="C487" s="16">
        <v>46168</v>
      </c>
      <c r="D487">
        <v>3349.94</v>
      </c>
    </row>
    <row r="488" spans="1:4" x14ac:dyDescent="0.3">
      <c r="A488" s="75" t="s">
        <v>28</v>
      </c>
      <c r="B488" s="75"/>
      <c r="C488" s="16">
        <v>46168</v>
      </c>
      <c r="D488">
        <v>1968.99</v>
      </c>
    </row>
    <row r="489" spans="1:4" x14ac:dyDescent="0.3">
      <c r="A489" s="75" t="s">
        <v>29</v>
      </c>
      <c r="B489" s="75"/>
      <c r="C489" s="16">
        <v>46168</v>
      </c>
      <c r="D489">
        <v>901.34</v>
      </c>
    </row>
    <row r="490" spans="1:4" x14ac:dyDescent="0.3">
      <c r="A490" s="75" t="s">
        <v>30</v>
      </c>
      <c r="B490" s="75"/>
      <c r="C490" s="16">
        <v>46168</v>
      </c>
      <c r="D490">
        <v>1444.08</v>
      </c>
    </row>
    <row r="491" spans="1:4" x14ac:dyDescent="0.3">
      <c r="A491" s="75" t="s">
        <v>31</v>
      </c>
      <c r="B491" s="75"/>
      <c r="C491" s="16">
        <v>46168</v>
      </c>
      <c r="D491">
        <v>15463.59999999996</v>
      </c>
    </row>
    <row r="492" spans="1:4" x14ac:dyDescent="0.3">
      <c r="A492" s="75" t="s">
        <v>32</v>
      </c>
      <c r="B492" s="75"/>
      <c r="C492" s="16">
        <v>46168</v>
      </c>
      <c r="D492">
        <v>15120.060000000001</v>
      </c>
    </row>
    <row r="493" spans="1:4" x14ac:dyDescent="0.3">
      <c r="A493" s="75" t="s">
        <v>33</v>
      </c>
      <c r="B493" s="75"/>
      <c r="C493" s="16">
        <v>46168</v>
      </c>
      <c r="D493">
        <v>29206.27</v>
      </c>
    </row>
    <row r="494" spans="1:4" x14ac:dyDescent="0.3">
      <c r="A494" s="75" t="s">
        <v>34</v>
      </c>
      <c r="B494" s="75"/>
      <c r="C494" s="16">
        <v>46168</v>
      </c>
      <c r="D494">
        <v>345</v>
      </c>
    </row>
    <row r="495" spans="1:4" x14ac:dyDescent="0.3">
      <c r="A495" s="75" t="s">
        <v>35</v>
      </c>
      <c r="B495" s="75"/>
      <c r="C495" s="16">
        <v>46168</v>
      </c>
      <c r="D495">
        <v>8168.0700000000006</v>
      </c>
    </row>
    <row r="496" spans="1:4" x14ac:dyDescent="0.3">
      <c r="A496" s="75" t="s">
        <v>17</v>
      </c>
      <c r="B496" s="75"/>
      <c r="C496" s="16">
        <v>46169</v>
      </c>
      <c r="D496">
        <v>259371.70000000013</v>
      </c>
    </row>
    <row r="497" spans="1:4" x14ac:dyDescent="0.3">
      <c r="A497" s="75" t="s">
        <v>18</v>
      </c>
      <c r="B497" s="75"/>
      <c r="C497" s="16">
        <v>46169</v>
      </c>
      <c r="D497">
        <v>1259760.1600000001</v>
      </c>
    </row>
    <row r="498" spans="1:4" x14ac:dyDescent="0.3">
      <c r="A498" s="75" t="s">
        <v>19</v>
      </c>
      <c r="B498" s="75"/>
      <c r="C498" s="16">
        <v>46169</v>
      </c>
      <c r="D498">
        <v>1669.89</v>
      </c>
    </row>
    <row r="499" spans="1:4" x14ac:dyDescent="0.3">
      <c r="A499" s="75" t="s">
        <v>20</v>
      </c>
      <c r="B499" s="75"/>
      <c r="C499" s="16">
        <v>46169</v>
      </c>
      <c r="D499">
        <v>514616.73999999987</v>
      </c>
    </row>
    <row r="500" spans="1:4" x14ac:dyDescent="0.3">
      <c r="A500" s="75" t="s">
        <v>21</v>
      </c>
      <c r="B500" s="75"/>
      <c r="C500" s="16">
        <v>46169</v>
      </c>
      <c r="D500">
        <v>980426.88999999932</v>
      </c>
    </row>
    <row r="501" spans="1:4" x14ac:dyDescent="0.3">
      <c r="A501" s="75" t="s">
        <v>22</v>
      </c>
      <c r="B501" s="75"/>
      <c r="C501" s="16">
        <v>46169</v>
      </c>
      <c r="D501">
        <v>131496.38</v>
      </c>
    </row>
    <row r="502" spans="1:4" x14ac:dyDescent="0.3">
      <c r="A502" s="75" t="s">
        <v>23</v>
      </c>
      <c r="B502" s="75"/>
      <c r="C502" s="16">
        <v>46169</v>
      </c>
      <c r="D502">
        <v>88090.37</v>
      </c>
    </row>
    <row r="503" spans="1:4" x14ac:dyDescent="0.3">
      <c r="A503" s="75" t="s">
        <v>24</v>
      </c>
      <c r="B503" s="75"/>
      <c r="C503" s="16">
        <v>46169</v>
      </c>
      <c r="D503">
        <v>2498.3999999999996</v>
      </c>
    </row>
    <row r="504" spans="1:4" x14ac:dyDescent="0.3">
      <c r="A504" s="75" t="s">
        <v>25</v>
      </c>
      <c r="B504" s="75"/>
      <c r="C504" s="16">
        <v>46169</v>
      </c>
      <c r="D504">
        <v>114.3</v>
      </c>
    </row>
    <row r="505" spans="1:4" x14ac:dyDescent="0.3">
      <c r="A505" s="75" t="s">
        <v>26</v>
      </c>
      <c r="B505" s="75"/>
      <c r="C505" s="16">
        <v>46169</v>
      </c>
      <c r="D505">
        <v>2267.7200000000003</v>
      </c>
    </row>
    <row r="506" spans="1:4" x14ac:dyDescent="0.3">
      <c r="A506" s="75" t="s">
        <v>27</v>
      </c>
      <c r="B506" s="75"/>
      <c r="C506" s="16">
        <v>46169</v>
      </c>
      <c r="D506">
        <v>3349.94</v>
      </c>
    </row>
    <row r="507" spans="1:4" x14ac:dyDescent="0.3">
      <c r="A507" s="75" t="s">
        <v>28</v>
      </c>
      <c r="B507" s="75"/>
      <c r="C507" s="16">
        <v>46169</v>
      </c>
      <c r="D507">
        <v>1968.99</v>
      </c>
    </row>
    <row r="508" spans="1:4" x14ac:dyDescent="0.3">
      <c r="A508" s="75" t="s">
        <v>29</v>
      </c>
      <c r="B508" s="75"/>
      <c r="C508" s="16">
        <v>46169</v>
      </c>
      <c r="D508">
        <v>901.34</v>
      </c>
    </row>
    <row r="509" spans="1:4" x14ac:dyDescent="0.3">
      <c r="A509" s="75" t="s">
        <v>30</v>
      </c>
      <c r="B509" s="75"/>
      <c r="C509" s="16">
        <v>46169</v>
      </c>
      <c r="D509">
        <v>1444.08</v>
      </c>
    </row>
    <row r="510" spans="1:4" x14ac:dyDescent="0.3">
      <c r="A510" s="75" t="s">
        <v>31</v>
      </c>
      <c r="B510" s="75"/>
      <c r="C510" s="16">
        <v>46169</v>
      </c>
      <c r="D510">
        <v>15463.59999999996</v>
      </c>
    </row>
    <row r="511" spans="1:4" x14ac:dyDescent="0.3">
      <c r="A511" s="75" t="s">
        <v>32</v>
      </c>
      <c r="B511" s="75"/>
      <c r="C511" s="16">
        <v>46169</v>
      </c>
      <c r="D511">
        <v>15120.060000000001</v>
      </c>
    </row>
    <row r="512" spans="1:4" x14ac:dyDescent="0.3">
      <c r="A512" s="75" t="s">
        <v>33</v>
      </c>
      <c r="B512" s="75"/>
      <c r="C512" s="16">
        <v>46169</v>
      </c>
      <c r="D512">
        <v>33606.270000000004</v>
      </c>
    </row>
    <row r="513" spans="1:4" x14ac:dyDescent="0.3">
      <c r="A513" s="75" t="s">
        <v>34</v>
      </c>
      <c r="B513" s="75"/>
      <c r="C513" s="16">
        <v>46169</v>
      </c>
      <c r="D513">
        <v>345</v>
      </c>
    </row>
    <row r="514" spans="1:4" x14ac:dyDescent="0.3">
      <c r="A514" s="75" t="s">
        <v>35</v>
      </c>
      <c r="B514" s="75"/>
      <c r="C514" s="16">
        <v>46169</v>
      </c>
      <c r="D514">
        <v>17588.03</v>
      </c>
    </row>
    <row r="515" spans="1:4" x14ac:dyDescent="0.3">
      <c r="A515" s="75" t="s">
        <v>17</v>
      </c>
      <c r="B515" s="75"/>
      <c r="C515" s="16">
        <v>46170</v>
      </c>
      <c r="D515">
        <v>986983.19000000006</v>
      </c>
    </row>
    <row r="516" spans="1:4" x14ac:dyDescent="0.3">
      <c r="A516" s="75" t="s">
        <v>18</v>
      </c>
      <c r="B516" s="75"/>
      <c r="C516" s="16">
        <v>46170</v>
      </c>
      <c r="D516">
        <v>62397.280000000173</v>
      </c>
    </row>
    <row r="517" spans="1:4" x14ac:dyDescent="0.3">
      <c r="A517" s="75" t="s">
        <v>19</v>
      </c>
      <c r="B517" s="75"/>
      <c r="C517" s="16">
        <v>46170</v>
      </c>
      <c r="D517">
        <v>1669.89</v>
      </c>
    </row>
    <row r="518" spans="1:4" x14ac:dyDescent="0.3">
      <c r="A518" s="75" t="s">
        <v>20</v>
      </c>
      <c r="B518" s="75"/>
      <c r="C518" s="16">
        <v>46170</v>
      </c>
      <c r="D518">
        <v>376595.84999999986</v>
      </c>
    </row>
    <row r="519" spans="1:4" x14ac:dyDescent="0.3">
      <c r="A519" s="75" t="s">
        <v>21</v>
      </c>
      <c r="B519" s="75"/>
      <c r="C519" s="16">
        <v>46170</v>
      </c>
      <c r="D519">
        <v>1090396.4799999993</v>
      </c>
    </row>
    <row r="520" spans="1:4" x14ac:dyDescent="0.3">
      <c r="A520" s="75" t="s">
        <v>22</v>
      </c>
      <c r="B520" s="75"/>
      <c r="C520" s="16">
        <v>46170</v>
      </c>
      <c r="D520">
        <v>131496.38</v>
      </c>
    </row>
    <row r="521" spans="1:4" x14ac:dyDescent="0.3">
      <c r="A521" s="75" t="s">
        <v>23</v>
      </c>
      <c r="B521" s="75"/>
      <c r="C521" s="16">
        <v>46170</v>
      </c>
      <c r="D521">
        <v>88090.37</v>
      </c>
    </row>
    <row r="522" spans="1:4" x14ac:dyDescent="0.3">
      <c r="A522" s="75" t="s">
        <v>24</v>
      </c>
      <c r="B522" s="75"/>
      <c r="C522" s="16">
        <v>46170</v>
      </c>
      <c r="D522">
        <v>2498.3999999999996</v>
      </c>
    </row>
    <row r="523" spans="1:4" x14ac:dyDescent="0.3">
      <c r="A523" s="75" t="s">
        <v>25</v>
      </c>
      <c r="B523" s="75"/>
      <c r="C523" s="16">
        <v>46170</v>
      </c>
      <c r="D523">
        <v>114.3</v>
      </c>
    </row>
    <row r="524" spans="1:4" x14ac:dyDescent="0.3">
      <c r="A524" s="75" t="s">
        <v>26</v>
      </c>
      <c r="B524" s="75"/>
      <c r="C524" s="16">
        <v>46170</v>
      </c>
      <c r="D524">
        <v>2267.7200000000003</v>
      </c>
    </row>
    <row r="525" spans="1:4" x14ac:dyDescent="0.3">
      <c r="A525" s="75" t="s">
        <v>27</v>
      </c>
      <c r="B525" s="75"/>
      <c r="C525" s="16">
        <v>46170</v>
      </c>
      <c r="D525">
        <v>3349.94</v>
      </c>
    </row>
    <row r="526" spans="1:4" x14ac:dyDescent="0.3">
      <c r="A526" s="75" t="s">
        <v>28</v>
      </c>
      <c r="B526" s="75"/>
      <c r="C526" s="16">
        <v>46170</v>
      </c>
      <c r="D526">
        <v>1968.99</v>
      </c>
    </row>
    <row r="527" spans="1:4" x14ac:dyDescent="0.3">
      <c r="A527" s="75" t="s">
        <v>29</v>
      </c>
      <c r="B527" s="75"/>
      <c r="C527" s="16">
        <v>46170</v>
      </c>
      <c r="D527">
        <v>901.34</v>
      </c>
    </row>
    <row r="528" spans="1:4" x14ac:dyDescent="0.3">
      <c r="A528" s="75" t="s">
        <v>30</v>
      </c>
      <c r="B528" s="75"/>
      <c r="C528" s="16">
        <v>46170</v>
      </c>
      <c r="D528">
        <v>1444.08</v>
      </c>
    </row>
    <row r="529" spans="1:4" x14ac:dyDescent="0.3">
      <c r="A529" s="75" t="s">
        <v>31</v>
      </c>
      <c r="B529" s="75"/>
      <c r="C529" s="16">
        <v>46170</v>
      </c>
      <c r="D529">
        <v>35463.599999999962</v>
      </c>
    </row>
    <row r="530" spans="1:4" x14ac:dyDescent="0.3">
      <c r="A530" s="75" t="s">
        <v>32</v>
      </c>
      <c r="B530" s="75"/>
      <c r="C530" s="16">
        <v>46170</v>
      </c>
      <c r="D530">
        <v>15120.060000000001</v>
      </c>
    </row>
    <row r="531" spans="1:4" x14ac:dyDescent="0.3">
      <c r="A531" s="75" t="s">
        <v>33</v>
      </c>
      <c r="B531" s="75"/>
      <c r="C531" s="16">
        <v>46170</v>
      </c>
      <c r="D531">
        <v>33606.270000000004</v>
      </c>
    </row>
    <row r="532" spans="1:4" x14ac:dyDescent="0.3">
      <c r="A532" s="75" t="s">
        <v>34</v>
      </c>
      <c r="B532" s="75"/>
      <c r="C532" s="16">
        <v>46170</v>
      </c>
      <c r="D532">
        <v>345</v>
      </c>
    </row>
    <row r="533" spans="1:4" x14ac:dyDescent="0.3">
      <c r="A533" s="75" t="s">
        <v>35</v>
      </c>
      <c r="B533" s="75"/>
      <c r="C533" s="16">
        <v>46170</v>
      </c>
      <c r="D533">
        <v>9076.2400000000016</v>
      </c>
    </row>
    <row r="534" spans="1:4" x14ac:dyDescent="0.3">
      <c r="A534" s="75" t="s">
        <v>17</v>
      </c>
      <c r="B534" s="75"/>
      <c r="C534" s="16">
        <v>46171</v>
      </c>
      <c r="D534">
        <v>983394.14000000013</v>
      </c>
    </row>
    <row r="535" spans="1:4" x14ac:dyDescent="0.3">
      <c r="A535" s="75" t="s">
        <v>18</v>
      </c>
      <c r="B535" s="75"/>
      <c r="C535" s="16">
        <v>46171</v>
      </c>
      <c r="D535">
        <v>62397.280000000173</v>
      </c>
    </row>
    <row r="536" spans="1:4" x14ac:dyDescent="0.3">
      <c r="A536" s="75" t="s">
        <v>19</v>
      </c>
      <c r="B536" s="75"/>
      <c r="C536" s="16">
        <v>46171</v>
      </c>
      <c r="D536">
        <v>1669.89</v>
      </c>
    </row>
    <row r="537" spans="1:4" x14ac:dyDescent="0.3">
      <c r="A537" s="75" t="s">
        <v>20</v>
      </c>
      <c r="B537" s="75"/>
      <c r="C537" s="16">
        <v>46171</v>
      </c>
      <c r="D537">
        <v>424853.11999999988</v>
      </c>
    </row>
    <row r="538" spans="1:4" x14ac:dyDescent="0.3">
      <c r="A538" s="75" t="s">
        <v>21</v>
      </c>
      <c r="B538" s="75"/>
      <c r="C538" s="16">
        <v>46171</v>
      </c>
      <c r="D538">
        <v>1015901.6699999992</v>
      </c>
    </row>
    <row r="539" spans="1:4" x14ac:dyDescent="0.3">
      <c r="A539" s="75" t="s">
        <v>22</v>
      </c>
      <c r="B539" s="75"/>
      <c r="C539" s="16">
        <v>46171</v>
      </c>
      <c r="D539">
        <v>131496.38</v>
      </c>
    </row>
    <row r="540" spans="1:4" x14ac:dyDescent="0.3">
      <c r="A540" s="75" t="s">
        <v>23</v>
      </c>
      <c r="B540" s="75"/>
      <c r="C540" s="16">
        <v>46171</v>
      </c>
      <c r="D540">
        <v>88090.37</v>
      </c>
    </row>
    <row r="541" spans="1:4" x14ac:dyDescent="0.3">
      <c r="A541" s="75" t="s">
        <v>24</v>
      </c>
      <c r="B541" s="75"/>
      <c r="C541" s="16">
        <v>46171</v>
      </c>
      <c r="D541">
        <v>1227.9699999999998</v>
      </c>
    </row>
    <row r="542" spans="1:4" x14ac:dyDescent="0.3">
      <c r="A542" s="75" t="s">
        <v>25</v>
      </c>
      <c r="B542" s="75"/>
      <c r="C542" s="16">
        <v>46171</v>
      </c>
      <c r="D542">
        <v>114.3</v>
      </c>
    </row>
    <row r="543" spans="1:4" x14ac:dyDescent="0.3">
      <c r="A543" s="75" t="s">
        <v>26</v>
      </c>
      <c r="B543" s="75"/>
      <c r="C543" s="16">
        <v>46171</v>
      </c>
      <c r="D543">
        <v>2267.7200000000003</v>
      </c>
    </row>
    <row r="544" spans="1:4" x14ac:dyDescent="0.3">
      <c r="A544" s="75" t="s">
        <v>27</v>
      </c>
      <c r="B544" s="75"/>
      <c r="C544" s="16">
        <v>46171</v>
      </c>
      <c r="D544">
        <v>3349.94</v>
      </c>
    </row>
    <row r="545" spans="1:4" x14ac:dyDescent="0.3">
      <c r="A545" s="75" t="s">
        <v>28</v>
      </c>
      <c r="B545" s="75"/>
      <c r="C545" s="16">
        <v>46171</v>
      </c>
      <c r="D545">
        <v>1968.99</v>
      </c>
    </row>
    <row r="546" spans="1:4" x14ac:dyDescent="0.3">
      <c r="A546" s="75" t="s">
        <v>29</v>
      </c>
      <c r="B546" s="75"/>
      <c r="C546" s="16">
        <v>46171</v>
      </c>
      <c r="D546">
        <v>901.34</v>
      </c>
    </row>
    <row r="547" spans="1:4" x14ac:dyDescent="0.3">
      <c r="A547" s="75" t="s">
        <v>30</v>
      </c>
      <c r="B547" s="75"/>
      <c r="C547" s="16">
        <v>46171</v>
      </c>
      <c r="D547">
        <v>1444.08</v>
      </c>
    </row>
    <row r="548" spans="1:4" x14ac:dyDescent="0.3">
      <c r="A548" s="75" t="s">
        <v>31</v>
      </c>
      <c r="B548" s="75"/>
      <c r="C548" s="16">
        <v>46171</v>
      </c>
      <c r="D548">
        <v>35448.599999999962</v>
      </c>
    </row>
    <row r="549" spans="1:4" x14ac:dyDescent="0.3">
      <c r="A549" s="75" t="s">
        <v>32</v>
      </c>
      <c r="B549" s="75"/>
      <c r="C549" s="16">
        <v>46171</v>
      </c>
      <c r="D549">
        <v>15120.060000000001</v>
      </c>
    </row>
    <row r="550" spans="1:4" x14ac:dyDescent="0.3">
      <c r="A550" s="75" t="s">
        <v>33</v>
      </c>
      <c r="B550" s="75"/>
      <c r="C550" s="16">
        <v>46171</v>
      </c>
      <c r="D550">
        <v>33606.270000000004</v>
      </c>
    </row>
    <row r="551" spans="1:4" x14ac:dyDescent="0.3">
      <c r="A551" s="75" t="s">
        <v>34</v>
      </c>
      <c r="B551" s="75"/>
      <c r="C551" s="16">
        <v>46171</v>
      </c>
      <c r="D551">
        <v>345</v>
      </c>
    </row>
    <row r="552" spans="1:4" x14ac:dyDescent="0.3">
      <c r="A552" s="75" t="s">
        <v>35</v>
      </c>
      <c r="B552" s="75"/>
      <c r="C552" s="16">
        <v>46171</v>
      </c>
      <c r="D552">
        <v>9076.2400000000016</v>
      </c>
    </row>
    <row r="553" spans="1:4" x14ac:dyDescent="0.3">
      <c r="A553" s="75" t="s">
        <v>17</v>
      </c>
      <c r="B553" s="75"/>
      <c r="C553" s="16">
        <v>46172</v>
      </c>
      <c r="D553">
        <v>983394.14000000013</v>
      </c>
    </row>
    <row r="554" spans="1:4" x14ac:dyDescent="0.3">
      <c r="A554" s="75" t="s">
        <v>18</v>
      </c>
      <c r="B554" s="75"/>
      <c r="C554" s="16">
        <v>46172</v>
      </c>
      <c r="D554">
        <v>62397.280000000173</v>
      </c>
    </row>
    <row r="555" spans="1:4" x14ac:dyDescent="0.3">
      <c r="A555" s="75" t="s">
        <v>19</v>
      </c>
      <c r="B555" s="75"/>
      <c r="C555" s="16">
        <v>46172</v>
      </c>
      <c r="D555">
        <v>1669.89</v>
      </c>
    </row>
    <row r="556" spans="1:4" x14ac:dyDescent="0.3">
      <c r="A556" s="75" t="s">
        <v>20</v>
      </c>
      <c r="B556" s="75"/>
      <c r="C556" s="16">
        <v>46172</v>
      </c>
      <c r="D556">
        <v>424853.11999999988</v>
      </c>
    </row>
    <row r="557" spans="1:4" x14ac:dyDescent="0.3">
      <c r="A557" s="75" t="s">
        <v>21</v>
      </c>
      <c r="B557" s="75"/>
      <c r="C557" s="16">
        <v>46172</v>
      </c>
      <c r="D557">
        <v>1015901.6699999992</v>
      </c>
    </row>
    <row r="558" spans="1:4" x14ac:dyDescent="0.3">
      <c r="A558" s="75" t="s">
        <v>22</v>
      </c>
      <c r="B558" s="75"/>
      <c r="C558" s="16">
        <v>46172</v>
      </c>
      <c r="D558">
        <v>131496.38</v>
      </c>
    </row>
    <row r="559" spans="1:4" x14ac:dyDescent="0.3">
      <c r="A559" s="75" t="s">
        <v>23</v>
      </c>
      <c r="B559" s="75"/>
      <c r="C559" s="16">
        <v>46172</v>
      </c>
      <c r="D559">
        <v>88090.37</v>
      </c>
    </row>
    <row r="560" spans="1:4" x14ac:dyDescent="0.3">
      <c r="A560" s="75" t="s">
        <v>24</v>
      </c>
      <c r="B560" s="75"/>
      <c r="C560" s="16">
        <v>46172</v>
      </c>
      <c r="D560">
        <v>1227.9699999999998</v>
      </c>
    </row>
    <row r="561" spans="1:4" x14ac:dyDescent="0.3">
      <c r="A561" s="75" t="s">
        <v>25</v>
      </c>
      <c r="B561" s="75"/>
      <c r="C561" s="16">
        <v>46172</v>
      </c>
      <c r="D561">
        <v>114.3</v>
      </c>
    </row>
    <row r="562" spans="1:4" x14ac:dyDescent="0.3">
      <c r="A562" s="75" t="s">
        <v>26</v>
      </c>
      <c r="B562" s="75"/>
      <c r="C562" s="16">
        <v>46172</v>
      </c>
      <c r="D562">
        <v>2267.7200000000003</v>
      </c>
    </row>
    <row r="563" spans="1:4" x14ac:dyDescent="0.3">
      <c r="A563" s="75" t="s">
        <v>27</v>
      </c>
      <c r="B563" s="75"/>
      <c r="C563" s="16">
        <v>46172</v>
      </c>
      <c r="D563">
        <v>3349.94</v>
      </c>
    </row>
    <row r="564" spans="1:4" x14ac:dyDescent="0.3">
      <c r="A564" s="75" t="s">
        <v>28</v>
      </c>
      <c r="B564" s="75"/>
      <c r="C564" s="16">
        <v>46172</v>
      </c>
      <c r="D564">
        <v>1968.99</v>
      </c>
    </row>
    <row r="565" spans="1:4" x14ac:dyDescent="0.3">
      <c r="A565" s="75" t="s">
        <v>29</v>
      </c>
      <c r="B565" s="75"/>
      <c r="C565" s="16">
        <v>46172</v>
      </c>
      <c r="D565">
        <v>901.34</v>
      </c>
    </row>
    <row r="566" spans="1:4" x14ac:dyDescent="0.3">
      <c r="A566" s="75" t="s">
        <v>30</v>
      </c>
      <c r="B566" s="75"/>
      <c r="C566" s="16">
        <v>46172</v>
      </c>
      <c r="D566">
        <v>1444.08</v>
      </c>
    </row>
    <row r="567" spans="1:4" x14ac:dyDescent="0.3">
      <c r="A567" s="75" t="s">
        <v>31</v>
      </c>
      <c r="B567" s="75"/>
      <c r="C567" s="16">
        <v>46172</v>
      </c>
      <c r="D567">
        <v>35448.599999999962</v>
      </c>
    </row>
    <row r="568" spans="1:4" x14ac:dyDescent="0.3">
      <c r="A568" s="75" t="s">
        <v>32</v>
      </c>
      <c r="B568" s="75"/>
      <c r="C568" s="16">
        <v>46172</v>
      </c>
      <c r="D568">
        <v>15120.060000000001</v>
      </c>
    </row>
    <row r="569" spans="1:4" x14ac:dyDescent="0.3">
      <c r="A569" s="75" t="s">
        <v>33</v>
      </c>
      <c r="B569" s="75"/>
      <c r="C569" s="16">
        <v>46172</v>
      </c>
      <c r="D569">
        <v>33606.270000000004</v>
      </c>
    </row>
    <row r="570" spans="1:4" x14ac:dyDescent="0.3">
      <c r="A570" s="75" t="s">
        <v>34</v>
      </c>
      <c r="B570" s="75"/>
      <c r="C570" s="16">
        <v>46172</v>
      </c>
      <c r="D570">
        <v>345</v>
      </c>
    </row>
    <row r="571" spans="1:4" x14ac:dyDescent="0.3">
      <c r="A571" s="75" t="s">
        <v>35</v>
      </c>
      <c r="B571" s="75"/>
      <c r="C571" s="16">
        <v>46172</v>
      </c>
      <c r="D571">
        <v>9076.2400000000016</v>
      </c>
    </row>
    <row r="572" spans="1:4" x14ac:dyDescent="0.3">
      <c r="A572" s="75" t="s">
        <v>17</v>
      </c>
      <c r="B572" s="75"/>
      <c r="C572" s="16">
        <v>46173</v>
      </c>
      <c r="D572">
        <v>983394.14000000013</v>
      </c>
    </row>
    <row r="573" spans="1:4" x14ac:dyDescent="0.3">
      <c r="A573" s="75" t="s">
        <v>18</v>
      </c>
      <c r="B573" s="75"/>
      <c r="C573" s="16">
        <v>46173</v>
      </c>
      <c r="D573">
        <v>62397.280000000173</v>
      </c>
    </row>
    <row r="574" spans="1:4" x14ac:dyDescent="0.3">
      <c r="A574" s="75" t="s">
        <v>19</v>
      </c>
      <c r="B574" s="75"/>
      <c r="C574" s="16">
        <v>46173</v>
      </c>
      <c r="D574">
        <v>1669.89</v>
      </c>
    </row>
    <row r="575" spans="1:4" x14ac:dyDescent="0.3">
      <c r="A575" s="75" t="s">
        <v>20</v>
      </c>
      <c r="B575" s="75"/>
      <c r="C575" s="16">
        <v>46173</v>
      </c>
      <c r="D575">
        <v>424853.11999999988</v>
      </c>
    </row>
    <row r="576" spans="1:4" x14ac:dyDescent="0.3">
      <c r="A576" s="75" t="s">
        <v>21</v>
      </c>
      <c r="B576" s="75"/>
      <c r="C576" s="16">
        <v>46173</v>
      </c>
      <c r="D576">
        <v>1015901.6699999992</v>
      </c>
    </row>
    <row r="577" spans="1:4" x14ac:dyDescent="0.3">
      <c r="A577" s="75" t="s">
        <v>22</v>
      </c>
      <c r="B577" s="75"/>
      <c r="C577" s="16">
        <v>46173</v>
      </c>
      <c r="D577">
        <v>131496.38</v>
      </c>
    </row>
    <row r="578" spans="1:4" x14ac:dyDescent="0.3">
      <c r="A578" s="75" t="s">
        <v>23</v>
      </c>
      <c r="B578" s="75"/>
      <c r="C578" s="16">
        <v>46173</v>
      </c>
      <c r="D578">
        <v>88090.37</v>
      </c>
    </row>
    <row r="579" spans="1:4" x14ac:dyDescent="0.3">
      <c r="A579" s="75" t="s">
        <v>24</v>
      </c>
      <c r="B579" s="75"/>
      <c r="C579" s="16">
        <v>46173</v>
      </c>
      <c r="D579">
        <v>1227.9699999999998</v>
      </c>
    </row>
    <row r="580" spans="1:4" x14ac:dyDescent="0.3">
      <c r="A580" s="75" t="s">
        <v>25</v>
      </c>
      <c r="B580" s="75"/>
      <c r="C580" s="16">
        <v>46173</v>
      </c>
      <c r="D580">
        <v>114.3</v>
      </c>
    </row>
    <row r="581" spans="1:4" x14ac:dyDescent="0.3">
      <c r="A581" s="75" t="s">
        <v>26</v>
      </c>
      <c r="B581" s="75"/>
      <c r="C581" s="16">
        <v>46173</v>
      </c>
      <c r="D581">
        <v>2267.7200000000003</v>
      </c>
    </row>
    <row r="582" spans="1:4" x14ac:dyDescent="0.3">
      <c r="A582" s="75" t="s">
        <v>27</v>
      </c>
      <c r="B582" s="75"/>
      <c r="C582" s="16">
        <v>46173</v>
      </c>
      <c r="D582">
        <v>3349.94</v>
      </c>
    </row>
    <row r="583" spans="1:4" x14ac:dyDescent="0.3">
      <c r="A583" s="75" t="s">
        <v>28</v>
      </c>
      <c r="B583" s="75"/>
      <c r="C583" s="16">
        <v>46173</v>
      </c>
      <c r="D583">
        <v>1968.99</v>
      </c>
    </row>
    <row r="584" spans="1:4" x14ac:dyDescent="0.3">
      <c r="A584" s="75" t="s">
        <v>29</v>
      </c>
      <c r="B584" s="75"/>
      <c r="C584" s="16">
        <v>46173</v>
      </c>
      <c r="D584">
        <v>901.34</v>
      </c>
    </row>
    <row r="585" spans="1:4" x14ac:dyDescent="0.3">
      <c r="A585" s="75" t="s">
        <v>30</v>
      </c>
      <c r="B585" s="75"/>
      <c r="C585" s="16">
        <v>46173</v>
      </c>
      <c r="D585">
        <v>1444.08</v>
      </c>
    </row>
    <row r="586" spans="1:4" x14ac:dyDescent="0.3">
      <c r="A586" s="75" t="s">
        <v>31</v>
      </c>
      <c r="B586" s="75"/>
      <c r="C586" s="16">
        <v>46173</v>
      </c>
      <c r="D586">
        <v>35448.599999999962</v>
      </c>
    </row>
    <row r="587" spans="1:4" x14ac:dyDescent="0.3">
      <c r="A587" s="75" t="s">
        <v>32</v>
      </c>
      <c r="B587" s="75"/>
      <c r="C587" s="16">
        <v>46173</v>
      </c>
      <c r="D587">
        <v>15120.060000000001</v>
      </c>
    </row>
    <row r="588" spans="1:4" x14ac:dyDescent="0.3">
      <c r="A588" s="75" t="s">
        <v>33</v>
      </c>
      <c r="B588" s="75"/>
      <c r="C588" s="16">
        <v>46173</v>
      </c>
      <c r="D588">
        <v>33606.270000000004</v>
      </c>
    </row>
    <row r="589" spans="1:4" x14ac:dyDescent="0.3">
      <c r="A589" s="75" t="s">
        <v>34</v>
      </c>
      <c r="B589" s="75"/>
      <c r="C589" s="16">
        <v>46173</v>
      </c>
      <c r="D589">
        <v>345</v>
      </c>
    </row>
    <row r="590" spans="1:4" x14ac:dyDescent="0.3">
      <c r="A590" s="75" t="s">
        <v>35</v>
      </c>
      <c r="B590" s="75"/>
      <c r="C590" s="16">
        <v>46173</v>
      </c>
      <c r="D590">
        <v>9076.2400000000016</v>
      </c>
    </row>
    <row r="591" spans="1:4" x14ac:dyDescent="0.3">
      <c r="A591" s="75" t="s">
        <v>17</v>
      </c>
      <c r="B591" s="75"/>
      <c r="C591" s="16">
        <v>46174</v>
      </c>
      <c r="D591">
        <v>983394.14000000013</v>
      </c>
    </row>
    <row r="592" spans="1:4" x14ac:dyDescent="0.3">
      <c r="A592" s="75" t="s">
        <v>18</v>
      </c>
      <c r="B592" s="75"/>
      <c r="C592" s="16">
        <v>46174</v>
      </c>
      <c r="D592">
        <v>69376.390000000174</v>
      </c>
    </row>
    <row r="593" spans="1:4" x14ac:dyDescent="0.3">
      <c r="A593" s="75" t="s">
        <v>19</v>
      </c>
      <c r="B593" s="75"/>
      <c r="C593" s="16">
        <v>46174</v>
      </c>
      <c r="D593">
        <v>1669.89</v>
      </c>
    </row>
    <row r="594" spans="1:4" x14ac:dyDescent="0.3">
      <c r="A594" s="75" t="s">
        <v>20</v>
      </c>
      <c r="B594" s="75"/>
      <c r="C594" s="16">
        <v>46174</v>
      </c>
      <c r="D594">
        <v>804853.11999999988</v>
      </c>
    </row>
    <row r="595" spans="1:4" x14ac:dyDescent="0.3">
      <c r="A595" s="75" t="s">
        <v>21</v>
      </c>
      <c r="B595" s="75"/>
      <c r="C595" s="16">
        <v>46174</v>
      </c>
      <c r="D595">
        <v>1015901.6699999992</v>
      </c>
    </row>
    <row r="596" spans="1:4" x14ac:dyDescent="0.3">
      <c r="A596" s="75" t="s">
        <v>22</v>
      </c>
      <c r="B596" s="75"/>
      <c r="C596" s="16">
        <v>46174</v>
      </c>
      <c r="D596">
        <v>131496.38</v>
      </c>
    </row>
    <row r="597" spans="1:4" x14ac:dyDescent="0.3">
      <c r="A597" s="75" t="s">
        <v>23</v>
      </c>
      <c r="B597" s="75"/>
      <c r="C597" s="16">
        <v>46174</v>
      </c>
      <c r="D597">
        <v>88090.37</v>
      </c>
    </row>
    <row r="598" spans="1:4" x14ac:dyDescent="0.3">
      <c r="A598" s="75" t="s">
        <v>24</v>
      </c>
      <c r="B598" s="75"/>
      <c r="C598" s="16">
        <v>46174</v>
      </c>
      <c r="D598">
        <v>511.15999999999985</v>
      </c>
    </row>
    <row r="599" spans="1:4" x14ac:dyDescent="0.3">
      <c r="A599" s="75" t="s">
        <v>25</v>
      </c>
      <c r="B599" s="75"/>
      <c r="C599" s="16">
        <v>46174</v>
      </c>
      <c r="D599">
        <v>84.35</v>
      </c>
    </row>
    <row r="600" spans="1:4" x14ac:dyDescent="0.3">
      <c r="A600" s="75" t="s">
        <v>26</v>
      </c>
      <c r="B600" s="75"/>
      <c r="C600" s="16">
        <v>46174</v>
      </c>
      <c r="D600">
        <v>2237.77</v>
      </c>
    </row>
    <row r="601" spans="1:4" x14ac:dyDescent="0.3">
      <c r="A601" s="75" t="s">
        <v>27</v>
      </c>
      <c r="B601" s="75"/>
      <c r="C601" s="16">
        <v>46174</v>
      </c>
      <c r="D601">
        <v>3349.94</v>
      </c>
    </row>
    <row r="602" spans="1:4" x14ac:dyDescent="0.3">
      <c r="A602" s="75" t="s">
        <v>28</v>
      </c>
      <c r="B602" s="75"/>
      <c r="C602" s="16">
        <v>46174</v>
      </c>
      <c r="D602">
        <v>1968.99</v>
      </c>
    </row>
    <row r="603" spans="1:4" x14ac:dyDescent="0.3">
      <c r="A603" s="75" t="s">
        <v>29</v>
      </c>
      <c r="B603" s="75"/>
      <c r="C603" s="16">
        <v>46174</v>
      </c>
      <c r="D603">
        <v>901.34</v>
      </c>
    </row>
    <row r="604" spans="1:4" x14ac:dyDescent="0.3">
      <c r="A604" s="75" t="s">
        <v>30</v>
      </c>
      <c r="B604" s="75"/>
      <c r="C604" s="16">
        <v>46174</v>
      </c>
      <c r="D604">
        <v>1428.08</v>
      </c>
    </row>
    <row r="605" spans="1:4" x14ac:dyDescent="0.3">
      <c r="A605" s="75" t="s">
        <v>31</v>
      </c>
      <c r="B605" s="75"/>
      <c r="C605" s="16">
        <v>46174</v>
      </c>
      <c r="D605">
        <v>26416.26999999996</v>
      </c>
    </row>
    <row r="606" spans="1:4" x14ac:dyDescent="0.3">
      <c r="A606" s="75" t="s">
        <v>32</v>
      </c>
      <c r="B606" s="75"/>
      <c r="C606" s="16">
        <v>46174</v>
      </c>
      <c r="D606">
        <v>5321.4300000000021</v>
      </c>
    </row>
    <row r="607" spans="1:4" x14ac:dyDescent="0.3">
      <c r="A607" s="75" t="s">
        <v>33</v>
      </c>
      <c r="B607" s="75"/>
      <c r="C607" s="16">
        <v>46174</v>
      </c>
      <c r="D607">
        <v>24833.23</v>
      </c>
    </row>
    <row r="608" spans="1:4" x14ac:dyDescent="0.3">
      <c r="A608" s="75" t="s">
        <v>34</v>
      </c>
      <c r="B608" s="75"/>
      <c r="C608" s="16">
        <v>46174</v>
      </c>
      <c r="D608">
        <v>345</v>
      </c>
    </row>
    <row r="609" spans="1:4" x14ac:dyDescent="0.3">
      <c r="A609" s="75" t="s">
        <v>35</v>
      </c>
      <c r="B609" s="75"/>
      <c r="C609" s="16">
        <v>46174</v>
      </c>
      <c r="D609">
        <v>12117.82</v>
      </c>
    </row>
    <row r="610" spans="1:4" x14ac:dyDescent="0.3">
      <c r="A610" s="75" t="s">
        <v>17</v>
      </c>
      <c r="B610" s="75"/>
      <c r="C610" s="16">
        <v>46175</v>
      </c>
      <c r="D610">
        <v>983394.14000000013</v>
      </c>
    </row>
    <row r="611" spans="1:4" x14ac:dyDescent="0.3">
      <c r="A611" s="75" t="s">
        <v>18</v>
      </c>
      <c r="B611" s="75"/>
      <c r="C611" s="16">
        <v>46175</v>
      </c>
      <c r="D611">
        <v>69376.390000000174</v>
      </c>
    </row>
    <row r="612" spans="1:4" x14ac:dyDescent="0.3">
      <c r="A612" s="75" t="s">
        <v>19</v>
      </c>
      <c r="B612" s="75"/>
      <c r="C612" s="16">
        <v>46175</v>
      </c>
      <c r="D612">
        <v>1669.89</v>
      </c>
    </row>
    <row r="613" spans="1:4" x14ac:dyDescent="0.3">
      <c r="A613" s="75" t="s">
        <v>20</v>
      </c>
      <c r="B613" s="75"/>
      <c r="C613" s="16">
        <v>46175</v>
      </c>
      <c r="D613">
        <v>804853.11999999988</v>
      </c>
    </row>
    <row r="614" spans="1:4" x14ac:dyDescent="0.3">
      <c r="A614" s="75" t="s">
        <v>21</v>
      </c>
      <c r="B614" s="75"/>
      <c r="C614" s="16">
        <v>46175</v>
      </c>
      <c r="D614">
        <v>1015901.6699999992</v>
      </c>
    </row>
    <row r="615" spans="1:4" x14ac:dyDescent="0.3">
      <c r="A615" s="75" t="s">
        <v>22</v>
      </c>
      <c r="B615" s="75"/>
      <c r="C615" s="16">
        <v>46175</v>
      </c>
      <c r="D615">
        <v>131496.38</v>
      </c>
    </row>
    <row r="616" spans="1:4" x14ac:dyDescent="0.3">
      <c r="A616" s="75" t="s">
        <v>23</v>
      </c>
      <c r="B616" s="75"/>
      <c r="C616" s="16">
        <v>46175</v>
      </c>
      <c r="D616">
        <v>88090.37</v>
      </c>
    </row>
    <row r="617" spans="1:4" x14ac:dyDescent="0.3">
      <c r="A617" s="75" t="s">
        <v>24</v>
      </c>
      <c r="B617" s="75"/>
      <c r="C617" s="16">
        <v>46175</v>
      </c>
      <c r="D617">
        <v>511.15999999999985</v>
      </c>
    </row>
    <row r="618" spans="1:4" x14ac:dyDescent="0.3">
      <c r="A618" s="75" t="s">
        <v>25</v>
      </c>
      <c r="B618" s="75"/>
      <c r="C618" s="16">
        <v>46175</v>
      </c>
      <c r="D618">
        <v>84.35</v>
      </c>
    </row>
    <row r="619" spans="1:4" x14ac:dyDescent="0.3">
      <c r="A619" s="75" t="s">
        <v>26</v>
      </c>
      <c r="B619" s="75"/>
      <c r="C619" s="16">
        <v>46175</v>
      </c>
      <c r="D619">
        <v>2237.77</v>
      </c>
    </row>
    <row r="620" spans="1:4" x14ac:dyDescent="0.3">
      <c r="A620" s="75" t="s">
        <v>27</v>
      </c>
      <c r="B620" s="75"/>
      <c r="C620" s="16">
        <v>46175</v>
      </c>
      <c r="D620">
        <v>3349.94</v>
      </c>
    </row>
    <row r="621" spans="1:4" x14ac:dyDescent="0.3">
      <c r="A621" s="75" t="s">
        <v>28</v>
      </c>
      <c r="B621" s="75"/>
      <c r="C621" s="16">
        <v>46175</v>
      </c>
      <c r="D621">
        <v>1968.99</v>
      </c>
    </row>
    <row r="622" spans="1:4" x14ac:dyDescent="0.3">
      <c r="A622" s="75" t="s">
        <v>29</v>
      </c>
      <c r="B622" s="75"/>
      <c r="C622" s="16">
        <v>46175</v>
      </c>
      <c r="D622">
        <v>901.34</v>
      </c>
    </row>
    <row r="623" spans="1:4" x14ac:dyDescent="0.3">
      <c r="A623" s="75" t="s">
        <v>30</v>
      </c>
      <c r="B623" s="75"/>
      <c r="C623" s="16">
        <v>46175</v>
      </c>
      <c r="D623">
        <v>1428.08</v>
      </c>
    </row>
    <row r="624" spans="1:4" x14ac:dyDescent="0.3">
      <c r="A624" s="75" t="s">
        <v>31</v>
      </c>
      <c r="B624" s="75"/>
      <c r="C624" s="16">
        <v>46175</v>
      </c>
      <c r="D624">
        <v>25789.969999999961</v>
      </c>
    </row>
    <row r="625" spans="1:4" x14ac:dyDescent="0.3">
      <c r="A625" s="75" t="s">
        <v>32</v>
      </c>
      <c r="B625" s="75"/>
      <c r="C625" s="16">
        <v>46175</v>
      </c>
      <c r="D625">
        <v>5321.4300000000021</v>
      </c>
    </row>
    <row r="626" spans="1:4" x14ac:dyDescent="0.3">
      <c r="A626" s="75" t="s">
        <v>33</v>
      </c>
      <c r="B626" s="75"/>
      <c r="C626" s="16">
        <v>46175</v>
      </c>
      <c r="D626">
        <v>24833.23</v>
      </c>
    </row>
    <row r="627" spans="1:4" x14ac:dyDescent="0.3">
      <c r="A627" s="75" t="s">
        <v>34</v>
      </c>
      <c r="B627" s="75"/>
      <c r="C627" s="16">
        <v>46175</v>
      </c>
      <c r="D627">
        <v>345</v>
      </c>
    </row>
    <row r="628" spans="1:4" x14ac:dyDescent="0.3">
      <c r="A628" s="75" t="s">
        <v>35</v>
      </c>
      <c r="B628" s="75"/>
      <c r="C628" s="16">
        <v>46175</v>
      </c>
      <c r="D628">
        <v>8808.2400000000016</v>
      </c>
    </row>
    <row r="629" spans="1:4" x14ac:dyDescent="0.3">
      <c r="A629" s="75" t="s">
        <v>17</v>
      </c>
      <c r="B629" s="75"/>
      <c r="C629" s="16">
        <v>46176</v>
      </c>
      <c r="D629">
        <v>983394.14000000013</v>
      </c>
    </row>
    <row r="630" spans="1:4" x14ac:dyDescent="0.3">
      <c r="A630" s="75" t="s">
        <v>18</v>
      </c>
      <c r="B630" s="75"/>
      <c r="C630" s="16">
        <v>46176</v>
      </c>
      <c r="D630">
        <v>69376.390000000174</v>
      </c>
    </row>
    <row r="631" spans="1:4" x14ac:dyDescent="0.3">
      <c r="A631" s="75" t="s">
        <v>19</v>
      </c>
      <c r="B631" s="75"/>
      <c r="C631" s="16">
        <v>46176</v>
      </c>
      <c r="D631">
        <v>1669.89</v>
      </c>
    </row>
    <row r="632" spans="1:4" x14ac:dyDescent="0.3">
      <c r="A632" s="75" t="s">
        <v>20</v>
      </c>
      <c r="B632" s="75"/>
      <c r="C632" s="16">
        <v>46176</v>
      </c>
      <c r="D632">
        <v>804853.11999999988</v>
      </c>
    </row>
    <row r="633" spans="1:4" x14ac:dyDescent="0.3">
      <c r="A633" s="75" t="s">
        <v>21</v>
      </c>
      <c r="B633" s="75"/>
      <c r="C633" s="16">
        <v>46176</v>
      </c>
      <c r="D633">
        <v>1015611.6599999993</v>
      </c>
    </row>
    <row r="634" spans="1:4" x14ac:dyDescent="0.3">
      <c r="A634" s="75" t="s">
        <v>22</v>
      </c>
      <c r="B634" s="75"/>
      <c r="C634" s="16">
        <v>46176</v>
      </c>
      <c r="D634">
        <v>125496.38</v>
      </c>
    </row>
    <row r="635" spans="1:4" x14ac:dyDescent="0.3">
      <c r="A635" s="75" t="s">
        <v>23</v>
      </c>
      <c r="B635" s="75"/>
      <c r="C635" s="16">
        <v>46176</v>
      </c>
      <c r="D635">
        <v>88090.37</v>
      </c>
    </row>
    <row r="636" spans="1:4" x14ac:dyDescent="0.3">
      <c r="A636" s="75" t="s">
        <v>24</v>
      </c>
      <c r="B636" s="75"/>
      <c r="C636" s="16">
        <v>46176</v>
      </c>
      <c r="D636">
        <v>511.15999999999985</v>
      </c>
    </row>
    <row r="637" spans="1:4" x14ac:dyDescent="0.3">
      <c r="A637" s="75" t="s">
        <v>25</v>
      </c>
      <c r="B637" s="75"/>
      <c r="C637" s="16">
        <v>46176</v>
      </c>
      <c r="D637">
        <v>84.35</v>
      </c>
    </row>
    <row r="638" spans="1:4" x14ac:dyDescent="0.3">
      <c r="A638" s="75" t="s">
        <v>26</v>
      </c>
      <c r="B638" s="75"/>
      <c r="C638" s="16">
        <v>46176</v>
      </c>
      <c r="D638">
        <v>2237.77</v>
      </c>
    </row>
    <row r="639" spans="1:4" x14ac:dyDescent="0.3">
      <c r="A639" s="75" t="s">
        <v>27</v>
      </c>
      <c r="B639" s="75"/>
      <c r="C639" s="16">
        <v>46176</v>
      </c>
      <c r="D639">
        <v>3349.94</v>
      </c>
    </row>
    <row r="640" spans="1:4" x14ac:dyDescent="0.3">
      <c r="A640" s="75" t="s">
        <v>28</v>
      </c>
      <c r="B640" s="75"/>
      <c r="C640" s="16">
        <v>46176</v>
      </c>
      <c r="D640">
        <v>1968.99</v>
      </c>
    </row>
    <row r="641" spans="1:4" x14ac:dyDescent="0.3">
      <c r="A641" s="75" t="s">
        <v>29</v>
      </c>
      <c r="B641" s="75"/>
      <c r="C641" s="16">
        <v>46176</v>
      </c>
      <c r="D641">
        <v>901.34</v>
      </c>
    </row>
    <row r="642" spans="1:4" x14ac:dyDescent="0.3">
      <c r="A642" s="75" t="s">
        <v>30</v>
      </c>
      <c r="B642" s="75"/>
      <c r="C642" s="16">
        <v>46176</v>
      </c>
      <c r="D642">
        <v>1428.08</v>
      </c>
    </row>
    <row r="643" spans="1:4" x14ac:dyDescent="0.3">
      <c r="A643" s="75" t="s">
        <v>31</v>
      </c>
      <c r="B643" s="75"/>
      <c r="C643" s="16">
        <v>46176</v>
      </c>
      <c r="D643">
        <v>25789.969999999961</v>
      </c>
    </row>
    <row r="644" spans="1:4" x14ac:dyDescent="0.3">
      <c r="A644" s="75" t="s">
        <v>32</v>
      </c>
      <c r="B644" s="75"/>
      <c r="C644" s="16">
        <v>46176</v>
      </c>
      <c r="D644">
        <v>5321.4300000000021</v>
      </c>
    </row>
    <row r="645" spans="1:4" x14ac:dyDescent="0.3">
      <c r="A645" s="75" t="s">
        <v>33</v>
      </c>
      <c r="B645" s="75"/>
      <c r="C645" s="16">
        <v>46176</v>
      </c>
      <c r="D645">
        <v>24833.23</v>
      </c>
    </row>
    <row r="646" spans="1:4" x14ac:dyDescent="0.3">
      <c r="A646" s="75" t="s">
        <v>34</v>
      </c>
      <c r="B646" s="75"/>
      <c r="C646" s="16">
        <v>46176</v>
      </c>
      <c r="D646">
        <v>345</v>
      </c>
    </row>
    <row r="647" spans="1:4" x14ac:dyDescent="0.3">
      <c r="A647" s="75" t="s">
        <v>35</v>
      </c>
      <c r="B647" s="75"/>
      <c r="C647" s="16">
        <v>46176</v>
      </c>
      <c r="D647">
        <v>8808.2400000000016</v>
      </c>
    </row>
    <row r="648" spans="1:4" x14ac:dyDescent="0.3">
      <c r="A648" s="75" t="s">
        <v>17</v>
      </c>
      <c r="B648" s="75"/>
      <c r="C648" s="16">
        <v>46177</v>
      </c>
      <c r="D648">
        <v>733394.14000000013</v>
      </c>
    </row>
    <row r="649" spans="1:4" x14ac:dyDescent="0.3">
      <c r="A649" s="75" t="s">
        <v>18</v>
      </c>
      <c r="B649" s="75"/>
      <c r="C649" s="16">
        <v>46177</v>
      </c>
      <c r="D649">
        <v>69376.390000000174</v>
      </c>
    </row>
    <row r="650" spans="1:4" x14ac:dyDescent="0.3">
      <c r="A650" s="75" t="s">
        <v>19</v>
      </c>
      <c r="B650" s="75"/>
      <c r="C650" s="16">
        <v>46177</v>
      </c>
      <c r="D650">
        <v>1669.89</v>
      </c>
    </row>
    <row r="651" spans="1:4" x14ac:dyDescent="0.3">
      <c r="A651" s="75" t="s">
        <v>20</v>
      </c>
      <c r="B651" s="75"/>
      <c r="C651" s="16">
        <v>46177</v>
      </c>
      <c r="D651">
        <v>729545.23999999987</v>
      </c>
    </row>
    <row r="652" spans="1:4" x14ac:dyDescent="0.3">
      <c r="A652" s="75" t="s">
        <v>21</v>
      </c>
      <c r="B652" s="75"/>
      <c r="C652" s="16">
        <v>46177</v>
      </c>
      <c r="D652">
        <v>1171714.4499999993</v>
      </c>
    </row>
    <row r="653" spans="1:4" x14ac:dyDescent="0.3">
      <c r="A653" s="75" t="s">
        <v>22</v>
      </c>
      <c r="B653" s="75"/>
      <c r="C653" s="16">
        <v>46177</v>
      </c>
      <c r="D653">
        <v>116496.38</v>
      </c>
    </row>
    <row r="654" spans="1:4" x14ac:dyDescent="0.3">
      <c r="A654" s="75" t="s">
        <v>23</v>
      </c>
      <c r="B654" s="75"/>
      <c r="C654" s="16">
        <v>46177</v>
      </c>
      <c r="D654">
        <v>88090.37</v>
      </c>
    </row>
    <row r="655" spans="1:4" x14ac:dyDescent="0.3">
      <c r="A655" s="75" t="s">
        <v>24</v>
      </c>
      <c r="B655" s="75"/>
      <c r="C655" s="16">
        <v>46177</v>
      </c>
      <c r="D655">
        <v>511.15999999999985</v>
      </c>
    </row>
    <row r="656" spans="1:4" x14ac:dyDescent="0.3">
      <c r="A656" s="75" t="s">
        <v>25</v>
      </c>
      <c r="B656" s="75"/>
      <c r="C656" s="16">
        <v>46177</v>
      </c>
      <c r="D656">
        <v>84.35</v>
      </c>
    </row>
    <row r="657" spans="1:4" x14ac:dyDescent="0.3">
      <c r="A657" s="75" t="s">
        <v>26</v>
      </c>
      <c r="B657" s="75"/>
      <c r="C657" s="16">
        <v>46177</v>
      </c>
      <c r="D657">
        <v>2237.77</v>
      </c>
    </row>
    <row r="658" spans="1:4" x14ac:dyDescent="0.3">
      <c r="A658" s="75" t="s">
        <v>27</v>
      </c>
      <c r="B658" s="75"/>
      <c r="C658" s="16">
        <v>46177</v>
      </c>
      <c r="D658">
        <v>3349.94</v>
      </c>
    </row>
    <row r="659" spans="1:4" x14ac:dyDescent="0.3">
      <c r="A659" s="75" t="s">
        <v>28</v>
      </c>
      <c r="B659" s="75"/>
      <c r="C659" s="16">
        <v>46177</v>
      </c>
      <c r="D659">
        <v>1968.99</v>
      </c>
    </row>
    <row r="660" spans="1:4" x14ac:dyDescent="0.3">
      <c r="A660" s="75" t="s">
        <v>29</v>
      </c>
      <c r="B660" s="75"/>
      <c r="C660" s="16">
        <v>46177</v>
      </c>
      <c r="D660">
        <v>382.69000000000005</v>
      </c>
    </row>
    <row r="661" spans="1:4" x14ac:dyDescent="0.3">
      <c r="A661" s="75" t="s">
        <v>30</v>
      </c>
      <c r="B661" s="75"/>
      <c r="C661" s="16">
        <v>46177</v>
      </c>
      <c r="D661">
        <v>1428.08</v>
      </c>
    </row>
    <row r="662" spans="1:4" x14ac:dyDescent="0.3">
      <c r="A662" s="75" t="s">
        <v>31</v>
      </c>
      <c r="B662" s="75"/>
      <c r="C662" s="16">
        <v>46177</v>
      </c>
      <c r="D662">
        <v>25789.969999999961</v>
      </c>
    </row>
    <row r="663" spans="1:4" x14ac:dyDescent="0.3">
      <c r="A663" s="75" t="s">
        <v>32</v>
      </c>
      <c r="B663" s="75"/>
      <c r="C663" s="16">
        <v>46177</v>
      </c>
      <c r="D663">
        <v>5321.4300000000021</v>
      </c>
    </row>
    <row r="664" spans="1:4" x14ac:dyDescent="0.3">
      <c r="A664" s="75" t="s">
        <v>33</v>
      </c>
      <c r="B664" s="75"/>
      <c r="C664" s="16">
        <v>46177</v>
      </c>
      <c r="D664">
        <v>24833.23</v>
      </c>
    </row>
    <row r="665" spans="1:4" x14ac:dyDescent="0.3">
      <c r="A665" s="75" t="s">
        <v>34</v>
      </c>
      <c r="B665" s="75"/>
      <c r="C665" s="16">
        <v>46177</v>
      </c>
      <c r="D665">
        <v>345</v>
      </c>
    </row>
    <row r="666" spans="1:4" x14ac:dyDescent="0.3">
      <c r="A666" s="75" t="s">
        <v>35</v>
      </c>
      <c r="B666" s="75"/>
      <c r="C666" s="16">
        <v>46177</v>
      </c>
      <c r="D666">
        <v>7716.0900000000038</v>
      </c>
    </row>
    <row r="667" spans="1:4" x14ac:dyDescent="0.3">
      <c r="A667" s="75" t="s">
        <v>17</v>
      </c>
      <c r="B667" s="75"/>
      <c r="C667" s="16">
        <v>46178</v>
      </c>
      <c r="D667">
        <v>733394.14000000013</v>
      </c>
    </row>
    <row r="668" spans="1:4" x14ac:dyDescent="0.3">
      <c r="A668" s="75" t="s">
        <v>18</v>
      </c>
      <c r="B668" s="75"/>
      <c r="C668" s="16">
        <v>46178</v>
      </c>
      <c r="D668">
        <v>69376.390000000174</v>
      </c>
    </row>
    <row r="669" spans="1:4" x14ac:dyDescent="0.3">
      <c r="A669" s="75" t="s">
        <v>19</v>
      </c>
      <c r="B669" s="75"/>
      <c r="C669" s="16">
        <v>46178</v>
      </c>
      <c r="D669">
        <v>1669.89</v>
      </c>
    </row>
    <row r="670" spans="1:4" x14ac:dyDescent="0.3">
      <c r="A670" s="75" t="s">
        <v>20</v>
      </c>
      <c r="B670" s="75"/>
      <c r="C670" s="16">
        <v>46178</v>
      </c>
      <c r="D670">
        <v>729545.23999999987</v>
      </c>
    </row>
    <row r="671" spans="1:4" x14ac:dyDescent="0.3">
      <c r="A671" s="75" t="s">
        <v>21</v>
      </c>
      <c r="B671" s="75"/>
      <c r="C671" s="16">
        <v>46178</v>
      </c>
      <c r="D671">
        <v>1164028.3199999994</v>
      </c>
    </row>
    <row r="672" spans="1:4" x14ac:dyDescent="0.3">
      <c r="A672" s="75" t="s">
        <v>22</v>
      </c>
      <c r="B672" s="75"/>
      <c r="C672" s="16">
        <v>46178</v>
      </c>
      <c r="D672">
        <v>116496.38</v>
      </c>
    </row>
    <row r="673" spans="1:4" x14ac:dyDescent="0.3">
      <c r="A673" s="75" t="s">
        <v>23</v>
      </c>
      <c r="B673" s="75"/>
      <c r="C673" s="16">
        <v>46178</v>
      </c>
      <c r="D673">
        <v>88090.37</v>
      </c>
    </row>
    <row r="674" spans="1:4" x14ac:dyDescent="0.3">
      <c r="A674" s="75" t="s">
        <v>24</v>
      </c>
      <c r="B674" s="75"/>
      <c r="C674" s="16">
        <v>46178</v>
      </c>
      <c r="D674">
        <v>511.15999999999985</v>
      </c>
    </row>
    <row r="675" spans="1:4" x14ac:dyDescent="0.3">
      <c r="A675" s="75" t="s">
        <v>25</v>
      </c>
      <c r="B675" s="75"/>
      <c r="C675" s="16">
        <v>46178</v>
      </c>
      <c r="D675">
        <v>84.35</v>
      </c>
    </row>
    <row r="676" spans="1:4" x14ac:dyDescent="0.3">
      <c r="A676" s="75" t="s">
        <v>26</v>
      </c>
      <c r="B676" s="75"/>
      <c r="C676" s="16">
        <v>46178</v>
      </c>
      <c r="D676">
        <v>2237.77</v>
      </c>
    </row>
    <row r="677" spans="1:4" x14ac:dyDescent="0.3">
      <c r="A677" s="75" t="s">
        <v>27</v>
      </c>
      <c r="B677" s="75"/>
      <c r="C677" s="16">
        <v>46178</v>
      </c>
      <c r="D677">
        <v>3349.94</v>
      </c>
    </row>
    <row r="678" spans="1:4" x14ac:dyDescent="0.3">
      <c r="A678" s="75" t="s">
        <v>28</v>
      </c>
      <c r="B678" s="75"/>
      <c r="C678" s="16">
        <v>46178</v>
      </c>
      <c r="D678">
        <v>1968.99</v>
      </c>
    </row>
    <row r="679" spans="1:4" x14ac:dyDescent="0.3">
      <c r="A679" s="75" t="s">
        <v>29</v>
      </c>
      <c r="B679" s="75"/>
      <c r="C679" s="16">
        <v>46178</v>
      </c>
      <c r="D679">
        <v>382.69000000000005</v>
      </c>
    </row>
    <row r="680" spans="1:4" x14ac:dyDescent="0.3">
      <c r="A680" s="75" t="s">
        <v>30</v>
      </c>
      <c r="B680" s="75"/>
      <c r="C680" s="16">
        <v>46178</v>
      </c>
      <c r="D680">
        <v>1428.08</v>
      </c>
    </row>
    <row r="681" spans="1:4" x14ac:dyDescent="0.3">
      <c r="A681" s="75" t="s">
        <v>31</v>
      </c>
      <c r="B681" s="75"/>
      <c r="C681" s="16">
        <v>46178</v>
      </c>
      <c r="D681">
        <v>25789.969999999961</v>
      </c>
    </row>
    <row r="682" spans="1:4" x14ac:dyDescent="0.3">
      <c r="A682" s="75" t="s">
        <v>32</v>
      </c>
      <c r="B682" s="75"/>
      <c r="C682" s="16">
        <v>46178</v>
      </c>
      <c r="D682">
        <v>5321.4300000000021</v>
      </c>
    </row>
    <row r="683" spans="1:4" x14ac:dyDescent="0.3">
      <c r="A683" s="75" t="s">
        <v>33</v>
      </c>
      <c r="B683" s="75"/>
      <c r="C683" s="16">
        <v>46178</v>
      </c>
      <c r="D683">
        <v>24833.23</v>
      </c>
    </row>
    <row r="684" spans="1:4" x14ac:dyDescent="0.3">
      <c r="A684" s="75" t="s">
        <v>34</v>
      </c>
      <c r="B684" s="75"/>
      <c r="C684" s="16">
        <v>46178</v>
      </c>
      <c r="D684">
        <v>345</v>
      </c>
    </row>
    <row r="685" spans="1:4" x14ac:dyDescent="0.3">
      <c r="A685" s="75" t="s">
        <v>35</v>
      </c>
      <c r="B685" s="75"/>
      <c r="C685" s="16">
        <v>46178</v>
      </c>
      <c r="D685">
        <v>7716.0900000000038</v>
      </c>
    </row>
    <row r="686" spans="1:4" x14ac:dyDescent="0.3">
      <c r="A686" s="75" t="s">
        <v>17</v>
      </c>
      <c r="B686" s="75"/>
      <c r="C686" s="16">
        <v>46179</v>
      </c>
      <c r="D686">
        <v>733394.14000000013</v>
      </c>
    </row>
    <row r="687" spans="1:4" x14ac:dyDescent="0.3">
      <c r="A687" s="75" t="s">
        <v>18</v>
      </c>
      <c r="B687" s="75"/>
      <c r="C687" s="16">
        <v>46179</v>
      </c>
      <c r="D687">
        <v>69376.390000000174</v>
      </c>
    </row>
    <row r="688" spans="1:4" x14ac:dyDescent="0.3">
      <c r="A688" s="75" t="s">
        <v>19</v>
      </c>
      <c r="B688" s="75"/>
      <c r="C688" s="16">
        <v>46179</v>
      </c>
      <c r="D688">
        <v>1669.89</v>
      </c>
    </row>
    <row r="689" spans="1:4" x14ac:dyDescent="0.3">
      <c r="A689" s="75" t="s">
        <v>20</v>
      </c>
      <c r="B689" s="75"/>
      <c r="C689" s="16">
        <v>46179</v>
      </c>
      <c r="D689">
        <v>729545.23999999987</v>
      </c>
    </row>
    <row r="690" spans="1:4" x14ac:dyDescent="0.3">
      <c r="A690" s="75" t="s">
        <v>21</v>
      </c>
      <c r="B690" s="75"/>
      <c r="C690" s="16">
        <v>46179</v>
      </c>
      <c r="D690">
        <v>1164028.3199999994</v>
      </c>
    </row>
    <row r="691" spans="1:4" x14ac:dyDescent="0.3">
      <c r="A691" s="75" t="s">
        <v>22</v>
      </c>
      <c r="B691" s="75"/>
      <c r="C691" s="16">
        <v>46179</v>
      </c>
      <c r="D691">
        <v>116496.38</v>
      </c>
    </row>
    <row r="692" spans="1:4" x14ac:dyDescent="0.3">
      <c r="A692" s="75" t="s">
        <v>23</v>
      </c>
      <c r="B692" s="75"/>
      <c r="C692" s="16">
        <v>46179</v>
      </c>
      <c r="D692">
        <v>88090.37</v>
      </c>
    </row>
    <row r="693" spans="1:4" x14ac:dyDescent="0.3">
      <c r="A693" s="75" t="s">
        <v>24</v>
      </c>
      <c r="B693" s="75"/>
      <c r="C693" s="16">
        <v>46179</v>
      </c>
      <c r="D693">
        <v>511.15999999999985</v>
      </c>
    </row>
    <row r="694" spans="1:4" x14ac:dyDescent="0.3">
      <c r="A694" s="75" t="s">
        <v>25</v>
      </c>
      <c r="B694" s="75"/>
      <c r="C694" s="16">
        <v>46179</v>
      </c>
      <c r="D694">
        <v>84.35</v>
      </c>
    </row>
    <row r="695" spans="1:4" x14ac:dyDescent="0.3">
      <c r="A695" s="75" t="s">
        <v>26</v>
      </c>
      <c r="B695" s="75"/>
      <c r="C695" s="16">
        <v>46179</v>
      </c>
      <c r="D695">
        <v>2237.77</v>
      </c>
    </row>
    <row r="696" spans="1:4" x14ac:dyDescent="0.3">
      <c r="A696" s="75" t="s">
        <v>27</v>
      </c>
      <c r="B696" s="75"/>
      <c r="C696" s="16">
        <v>46179</v>
      </c>
      <c r="D696">
        <v>3349.94</v>
      </c>
    </row>
    <row r="697" spans="1:4" x14ac:dyDescent="0.3">
      <c r="A697" s="75" t="s">
        <v>28</v>
      </c>
      <c r="B697" s="75"/>
      <c r="C697" s="16">
        <v>46179</v>
      </c>
      <c r="D697">
        <v>1968.99</v>
      </c>
    </row>
    <row r="698" spans="1:4" x14ac:dyDescent="0.3">
      <c r="A698" s="75" t="s">
        <v>29</v>
      </c>
      <c r="B698" s="75"/>
      <c r="C698" s="16">
        <v>46179</v>
      </c>
      <c r="D698">
        <v>382.69000000000005</v>
      </c>
    </row>
    <row r="699" spans="1:4" x14ac:dyDescent="0.3">
      <c r="A699" s="75" t="s">
        <v>30</v>
      </c>
      <c r="B699" s="75"/>
      <c r="C699" s="16">
        <v>46179</v>
      </c>
      <c r="D699">
        <v>1428.08</v>
      </c>
    </row>
    <row r="700" spans="1:4" x14ac:dyDescent="0.3">
      <c r="A700" s="75" t="s">
        <v>31</v>
      </c>
      <c r="B700" s="75"/>
      <c r="C700" s="16">
        <v>46179</v>
      </c>
      <c r="D700">
        <v>25789.969999999961</v>
      </c>
    </row>
    <row r="701" spans="1:4" x14ac:dyDescent="0.3">
      <c r="A701" s="75" t="s">
        <v>32</v>
      </c>
      <c r="B701" s="75"/>
      <c r="C701" s="16">
        <v>46179</v>
      </c>
      <c r="D701">
        <v>5321.4300000000021</v>
      </c>
    </row>
    <row r="702" spans="1:4" x14ac:dyDescent="0.3">
      <c r="A702" s="75" t="s">
        <v>33</v>
      </c>
      <c r="B702" s="75"/>
      <c r="C702" s="16">
        <v>46179</v>
      </c>
      <c r="D702">
        <v>24833.23</v>
      </c>
    </row>
    <row r="703" spans="1:4" x14ac:dyDescent="0.3">
      <c r="A703" s="75" t="s">
        <v>34</v>
      </c>
      <c r="B703" s="75"/>
      <c r="C703" s="16">
        <v>46179</v>
      </c>
      <c r="D703">
        <v>345</v>
      </c>
    </row>
    <row r="704" spans="1:4" x14ac:dyDescent="0.3">
      <c r="A704" s="75" t="s">
        <v>35</v>
      </c>
      <c r="B704" s="75"/>
      <c r="C704" s="16">
        <v>46179</v>
      </c>
      <c r="D704">
        <v>7716.0900000000038</v>
      </c>
    </row>
    <row r="705" spans="1:4" x14ac:dyDescent="0.3">
      <c r="A705" s="75" t="s">
        <v>17</v>
      </c>
      <c r="B705" s="75"/>
      <c r="C705" s="16">
        <v>46180</v>
      </c>
      <c r="D705">
        <v>733394.14000000013</v>
      </c>
    </row>
    <row r="706" spans="1:4" x14ac:dyDescent="0.3">
      <c r="A706" s="75" t="s">
        <v>18</v>
      </c>
      <c r="B706" s="75"/>
      <c r="C706" s="16">
        <v>46180</v>
      </c>
      <c r="D706">
        <v>69376.390000000174</v>
      </c>
    </row>
    <row r="707" spans="1:4" x14ac:dyDescent="0.3">
      <c r="A707" s="75" t="s">
        <v>19</v>
      </c>
      <c r="B707" s="75"/>
      <c r="C707" s="16">
        <v>46180</v>
      </c>
      <c r="D707">
        <v>1669.89</v>
      </c>
    </row>
    <row r="708" spans="1:4" x14ac:dyDescent="0.3">
      <c r="A708" s="75" t="s">
        <v>20</v>
      </c>
      <c r="B708" s="75"/>
      <c r="C708" s="16">
        <v>46180</v>
      </c>
      <c r="D708">
        <v>729545.23999999987</v>
      </c>
    </row>
    <row r="709" spans="1:4" x14ac:dyDescent="0.3">
      <c r="A709" s="75" t="s">
        <v>21</v>
      </c>
      <c r="B709" s="75"/>
      <c r="C709" s="16">
        <v>46180</v>
      </c>
      <c r="D709">
        <v>1164028.3199999994</v>
      </c>
    </row>
    <row r="710" spans="1:4" x14ac:dyDescent="0.3">
      <c r="A710" s="75" t="s">
        <v>22</v>
      </c>
      <c r="B710" s="75"/>
      <c r="C710" s="16">
        <v>46180</v>
      </c>
      <c r="D710">
        <v>116496.38</v>
      </c>
    </row>
    <row r="711" spans="1:4" x14ac:dyDescent="0.3">
      <c r="A711" s="75" t="s">
        <v>23</v>
      </c>
      <c r="B711" s="75"/>
      <c r="C711" s="16">
        <v>46180</v>
      </c>
      <c r="D711">
        <v>88090.37</v>
      </c>
    </row>
    <row r="712" spans="1:4" x14ac:dyDescent="0.3">
      <c r="A712" s="75" t="s">
        <v>24</v>
      </c>
      <c r="B712" s="75"/>
      <c r="C712" s="16">
        <v>46180</v>
      </c>
      <c r="D712">
        <v>511.15999999999985</v>
      </c>
    </row>
    <row r="713" spans="1:4" x14ac:dyDescent="0.3">
      <c r="A713" s="75" t="s">
        <v>25</v>
      </c>
      <c r="B713" s="75"/>
      <c r="C713" s="16">
        <v>46180</v>
      </c>
      <c r="D713">
        <v>84.35</v>
      </c>
    </row>
    <row r="714" spans="1:4" x14ac:dyDescent="0.3">
      <c r="A714" s="75" t="s">
        <v>26</v>
      </c>
      <c r="B714" s="75"/>
      <c r="C714" s="16">
        <v>46180</v>
      </c>
      <c r="D714">
        <v>2237.77</v>
      </c>
    </row>
    <row r="715" spans="1:4" x14ac:dyDescent="0.3">
      <c r="A715" s="75" t="s">
        <v>27</v>
      </c>
      <c r="B715" s="75"/>
      <c r="C715" s="16">
        <v>46180</v>
      </c>
      <c r="D715">
        <v>3349.94</v>
      </c>
    </row>
    <row r="716" spans="1:4" x14ac:dyDescent="0.3">
      <c r="A716" s="75" t="s">
        <v>28</v>
      </c>
      <c r="B716" s="75"/>
      <c r="C716" s="16">
        <v>46180</v>
      </c>
      <c r="D716">
        <v>1968.99</v>
      </c>
    </row>
    <row r="717" spans="1:4" x14ac:dyDescent="0.3">
      <c r="A717" s="75" t="s">
        <v>29</v>
      </c>
      <c r="B717" s="75"/>
      <c r="C717" s="16">
        <v>46180</v>
      </c>
      <c r="D717">
        <v>382.69000000000005</v>
      </c>
    </row>
    <row r="718" spans="1:4" x14ac:dyDescent="0.3">
      <c r="A718" s="75" t="s">
        <v>30</v>
      </c>
      <c r="B718" s="75"/>
      <c r="C718" s="16">
        <v>46180</v>
      </c>
      <c r="D718">
        <v>1428.08</v>
      </c>
    </row>
    <row r="719" spans="1:4" x14ac:dyDescent="0.3">
      <c r="A719" s="75" t="s">
        <v>31</v>
      </c>
      <c r="B719" s="75"/>
      <c r="C719" s="16">
        <v>46180</v>
      </c>
      <c r="D719">
        <v>25789.969999999961</v>
      </c>
    </row>
    <row r="720" spans="1:4" x14ac:dyDescent="0.3">
      <c r="A720" s="75" t="s">
        <v>32</v>
      </c>
      <c r="B720" s="75"/>
      <c r="C720" s="16">
        <v>46180</v>
      </c>
      <c r="D720">
        <v>5321.4300000000021</v>
      </c>
    </row>
    <row r="721" spans="1:4" x14ac:dyDescent="0.3">
      <c r="A721" s="75" t="s">
        <v>33</v>
      </c>
      <c r="B721" s="75"/>
      <c r="C721" s="16">
        <v>46180</v>
      </c>
      <c r="D721">
        <v>24833.23</v>
      </c>
    </row>
    <row r="722" spans="1:4" x14ac:dyDescent="0.3">
      <c r="A722" s="75" t="s">
        <v>34</v>
      </c>
      <c r="B722" s="75"/>
      <c r="C722" s="16">
        <v>46180</v>
      </c>
      <c r="D722">
        <v>345</v>
      </c>
    </row>
    <row r="723" spans="1:4" x14ac:dyDescent="0.3">
      <c r="A723" s="75" t="s">
        <v>35</v>
      </c>
      <c r="B723" s="75"/>
      <c r="C723" s="16">
        <v>46180</v>
      </c>
      <c r="D723">
        <v>7716.0900000000038</v>
      </c>
    </row>
    <row r="724" spans="1:4" x14ac:dyDescent="0.3">
      <c r="A724" s="75" t="s">
        <v>17</v>
      </c>
      <c r="B724" s="75"/>
      <c r="C724" s="16">
        <v>46181</v>
      </c>
      <c r="D724">
        <v>733394.14000000013</v>
      </c>
    </row>
    <row r="725" spans="1:4" x14ac:dyDescent="0.3">
      <c r="A725" s="75" t="s">
        <v>18</v>
      </c>
      <c r="B725" s="75"/>
      <c r="C725" s="16">
        <v>46181</v>
      </c>
      <c r="D725">
        <v>69376.390000000174</v>
      </c>
    </row>
    <row r="726" spans="1:4" x14ac:dyDescent="0.3">
      <c r="A726" s="75" t="s">
        <v>19</v>
      </c>
      <c r="B726" s="75"/>
      <c r="C726" s="16">
        <v>46181</v>
      </c>
      <c r="D726">
        <v>1669.89</v>
      </c>
    </row>
    <row r="727" spans="1:4" x14ac:dyDescent="0.3">
      <c r="A727" s="75" t="s">
        <v>20</v>
      </c>
      <c r="B727" s="75"/>
      <c r="C727" s="16">
        <v>46181</v>
      </c>
      <c r="D727">
        <v>729545.23999999987</v>
      </c>
    </row>
    <row r="728" spans="1:4" x14ac:dyDescent="0.3">
      <c r="A728" s="75" t="s">
        <v>21</v>
      </c>
      <c r="B728" s="75"/>
      <c r="C728" s="16">
        <v>46181</v>
      </c>
      <c r="D728">
        <v>1164028.3199999994</v>
      </c>
    </row>
    <row r="729" spans="1:4" x14ac:dyDescent="0.3">
      <c r="A729" s="75" t="s">
        <v>22</v>
      </c>
      <c r="B729" s="75"/>
      <c r="C729" s="16">
        <v>46181</v>
      </c>
      <c r="D729">
        <v>116496.38</v>
      </c>
    </row>
    <row r="730" spans="1:4" x14ac:dyDescent="0.3">
      <c r="A730" s="75" t="s">
        <v>23</v>
      </c>
      <c r="B730" s="75"/>
      <c r="C730" s="16">
        <v>46181</v>
      </c>
      <c r="D730">
        <v>88090.37</v>
      </c>
    </row>
    <row r="731" spans="1:4" x14ac:dyDescent="0.3">
      <c r="A731" s="75" t="s">
        <v>24</v>
      </c>
      <c r="B731" s="75"/>
      <c r="C731" s="16">
        <v>46181</v>
      </c>
      <c r="D731">
        <v>511.15999999999985</v>
      </c>
    </row>
    <row r="732" spans="1:4" x14ac:dyDescent="0.3">
      <c r="A732" s="75" t="s">
        <v>25</v>
      </c>
      <c r="B732" s="75"/>
      <c r="C732" s="16">
        <v>46181</v>
      </c>
      <c r="D732">
        <v>84.35</v>
      </c>
    </row>
    <row r="733" spans="1:4" x14ac:dyDescent="0.3">
      <c r="A733" s="75" t="s">
        <v>26</v>
      </c>
      <c r="B733" s="75"/>
      <c r="C733" s="16">
        <v>46181</v>
      </c>
      <c r="D733">
        <v>2237.77</v>
      </c>
    </row>
    <row r="734" spans="1:4" x14ac:dyDescent="0.3">
      <c r="A734" s="75" t="s">
        <v>27</v>
      </c>
      <c r="B734" s="75"/>
      <c r="C734" s="16">
        <v>46181</v>
      </c>
      <c r="D734">
        <v>3349.94</v>
      </c>
    </row>
    <row r="735" spans="1:4" x14ac:dyDescent="0.3">
      <c r="A735" s="75" t="s">
        <v>28</v>
      </c>
      <c r="B735" s="75"/>
      <c r="C735" s="16">
        <v>46181</v>
      </c>
      <c r="D735">
        <v>1968.99</v>
      </c>
    </row>
    <row r="736" spans="1:4" x14ac:dyDescent="0.3">
      <c r="A736" s="75" t="s">
        <v>29</v>
      </c>
      <c r="B736" s="75"/>
      <c r="C736" s="16">
        <v>46181</v>
      </c>
      <c r="D736">
        <v>382.69000000000005</v>
      </c>
    </row>
    <row r="737" spans="1:4" x14ac:dyDescent="0.3">
      <c r="A737" s="75" t="s">
        <v>30</v>
      </c>
      <c r="B737" s="75"/>
      <c r="C737" s="16">
        <v>46181</v>
      </c>
      <c r="D737">
        <v>1428.08</v>
      </c>
    </row>
    <row r="738" spans="1:4" x14ac:dyDescent="0.3">
      <c r="A738" s="75" t="s">
        <v>31</v>
      </c>
      <c r="B738" s="75"/>
      <c r="C738" s="16">
        <v>46181</v>
      </c>
      <c r="D738">
        <v>25789.969999999961</v>
      </c>
    </row>
    <row r="739" spans="1:4" x14ac:dyDescent="0.3">
      <c r="A739" s="75" t="s">
        <v>32</v>
      </c>
      <c r="B739" s="75"/>
      <c r="C739" s="16">
        <v>46181</v>
      </c>
      <c r="D739">
        <v>5321.4300000000021</v>
      </c>
    </row>
    <row r="740" spans="1:4" x14ac:dyDescent="0.3">
      <c r="A740" s="75" t="s">
        <v>33</v>
      </c>
      <c r="B740" s="75"/>
      <c r="C740" s="16">
        <v>46181</v>
      </c>
      <c r="D740">
        <v>24833.23</v>
      </c>
    </row>
    <row r="741" spans="1:4" x14ac:dyDescent="0.3">
      <c r="A741" s="75" t="s">
        <v>34</v>
      </c>
      <c r="B741" s="75"/>
      <c r="C741" s="16">
        <v>46181</v>
      </c>
      <c r="D741">
        <v>345</v>
      </c>
    </row>
    <row r="742" spans="1:4" x14ac:dyDescent="0.3">
      <c r="A742" s="75" t="s">
        <v>35</v>
      </c>
      <c r="B742" s="75"/>
      <c r="C742" s="16">
        <v>46181</v>
      </c>
      <c r="D742">
        <v>6744.5000000000036</v>
      </c>
    </row>
    <row r="743" spans="1:4" x14ac:dyDescent="0.3">
      <c r="A743" s="75" t="s">
        <v>17</v>
      </c>
      <c r="B743" s="75"/>
      <c r="C743" s="16">
        <v>46182</v>
      </c>
      <c r="D743">
        <v>847381.29000000015</v>
      </c>
    </row>
    <row r="744" spans="1:4" x14ac:dyDescent="0.3">
      <c r="A744" s="75" t="s">
        <v>18</v>
      </c>
      <c r="B744" s="75"/>
      <c r="C744" s="16">
        <v>46182</v>
      </c>
      <c r="D744">
        <v>69376.390000000174</v>
      </c>
    </row>
    <row r="745" spans="1:4" x14ac:dyDescent="0.3">
      <c r="A745" s="75" t="s">
        <v>19</v>
      </c>
      <c r="B745" s="75"/>
      <c r="C745" s="16">
        <v>46182</v>
      </c>
      <c r="D745">
        <v>1669.89</v>
      </c>
    </row>
    <row r="746" spans="1:4" x14ac:dyDescent="0.3">
      <c r="A746" s="75" t="s">
        <v>20</v>
      </c>
      <c r="B746" s="75"/>
      <c r="C746" s="16">
        <v>46182</v>
      </c>
      <c r="D746">
        <v>729545.23999999987</v>
      </c>
    </row>
    <row r="747" spans="1:4" x14ac:dyDescent="0.3">
      <c r="A747" s="75" t="s">
        <v>21</v>
      </c>
      <c r="B747" s="75"/>
      <c r="C747" s="16">
        <v>46182</v>
      </c>
      <c r="D747">
        <v>1160274.0499999993</v>
      </c>
    </row>
    <row r="748" spans="1:4" x14ac:dyDescent="0.3">
      <c r="A748" s="75" t="s">
        <v>22</v>
      </c>
      <c r="B748" s="75"/>
      <c r="C748" s="16">
        <v>46182</v>
      </c>
      <c r="D748">
        <v>116496.38</v>
      </c>
    </row>
    <row r="749" spans="1:4" x14ac:dyDescent="0.3">
      <c r="A749" s="75" t="s">
        <v>23</v>
      </c>
      <c r="B749" s="75"/>
      <c r="C749" s="16">
        <v>46182</v>
      </c>
      <c r="D749">
        <v>88090.37</v>
      </c>
    </row>
    <row r="750" spans="1:4" x14ac:dyDescent="0.3">
      <c r="A750" s="75" t="s">
        <v>24</v>
      </c>
      <c r="B750" s="75"/>
      <c r="C750" s="16">
        <v>46182</v>
      </c>
      <c r="D750">
        <v>511.15999999999985</v>
      </c>
    </row>
    <row r="751" spans="1:4" x14ac:dyDescent="0.3">
      <c r="A751" s="75" t="s">
        <v>25</v>
      </c>
      <c r="B751" s="75"/>
      <c r="C751" s="16">
        <v>46182</v>
      </c>
      <c r="D751">
        <v>84.35</v>
      </c>
    </row>
    <row r="752" spans="1:4" x14ac:dyDescent="0.3">
      <c r="A752" s="75" t="s">
        <v>26</v>
      </c>
      <c r="B752" s="75"/>
      <c r="C752" s="16">
        <v>46182</v>
      </c>
      <c r="D752">
        <v>2237.77</v>
      </c>
    </row>
    <row r="753" spans="1:4" x14ac:dyDescent="0.3">
      <c r="A753" s="75" t="s">
        <v>27</v>
      </c>
      <c r="B753" s="75"/>
      <c r="C753" s="16">
        <v>46182</v>
      </c>
      <c r="D753">
        <v>3349.94</v>
      </c>
    </row>
    <row r="754" spans="1:4" x14ac:dyDescent="0.3">
      <c r="A754" s="75" t="s">
        <v>28</v>
      </c>
      <c r="B754" s="75"/>
      <c r="C754" s="16">
        <v>46182</v>
      </c>
      <c r="D754">
        <v>1968.99</v>
      </c>
    </row>
    <row r="755" spans="1:4" x14ac:dyDescent="0.3">
      <c r="A755" s="75" t="s">
        <v>29</v>
      </c>
      <c r="B755" s="75"/>
      <c r="C755" s="16">
        <v>46182</v>
      </c>
      <c r="D755">
        <v>382.69000000000005</v>
      </c>
    </row>
    <row r="756" spans="1:4" x14ac:dyDescent="0.3">
      <c r="A756" s="75" t="s">
        <v>30</v>
      </c>
      <c r="B756" s="75"/>
      <c r="C756" s="16">
        <v>46182</v>
      </c>
      <c r="D756">
        <v>1428.08</v>
      </c>
    </row>
    <row r="757" spans="1:4" x14ac:dyDescent="0.3">
      <c r="A757" s="75" t="s">
        <v>31</v>
      </c>
      <c r="B757" s="75"/>
      <c r="C757" s="16">
        <v>46182</v>
      </c>
      <c r="D757">
        <v>25789.969999999961</v>
      </c>
    </row>
    <row r="758" spans="1:4" x14ac:dyDescent="0.3">
      <c r="A758" s="75" t="s">
        <v>32</v>
      </c>
      <c r="B758" s="75"/>
      <c r="C758" s="16">
        <v>46182</v>
      </c>
      <c r="D758">
        <v>5321.4300000000021</v>
      </c>
    </row>
    <row r="759" spans="1:4" x14ac:dyDescent="0.3">
      <c r="A759" s="75" t="s">
        <v>33</v>
      </c>
      <c r="B759" s="75"/>
      <c r="C759" s="16">
        <v>46182</v>
      </c>
      <c r="D759">
        <v>24833.23</v>
      </c>
    </row>
    <row r="760" spans="1:4" x14ac:dyDescent="0.3">
      <c r="A760" s="75" t="s">
        <v>34</v>
      </c>
      <c r="B760" s="75"/>
      <c r="C760" s="16">
        <v>46182</v>
      </c>
      <c r="D760">
        <v>345</v>
      </c>
    </row>
    <row r="761" spans="1:4" x14ac:dyDescent="0.3">
      <c r="A761" s="75" t="s">
        <v>35</v>
      </c>
      <c r="B761" s="75"/>
      <c r="C761" s="16">
        <v>46182</v>
      </c>
      <c r="D761">
        <v>6583.0800000000036</v>
      </c>
    </row>
    <row r="762" spans="1:4" x14ac:dyDescent="0.3">
      <c r="A762" s="75" t="s">
        <v>17</v>
      </c>
      <c r="B762" s="75"/>
      <c r="C762" s="16">
        <v>46183</v>
      </c>
      <c r="D762">
        <v>2288745.9500000002</v>
      </c>
    </row>
    <row r="763" spans="1:4" x14ac:dyDescent="0.3">
      <c r="A763" s="75" t="s">
        <v>18</v>
      </c>
      <c r="B763" s="75"/>
      <c r="C763" s="16">
        <v>46183</v>
      </c>
      <c r="D763">
        <v>69376.390000000174</v>
      </c>
    </row>
    <row r="764" spans="1:4" x14ac:dyDescent="0.3">
      <c r="A764" s="75" t="s">
        <v>19</v>
      </c>
      <c r="B764" s="75"/>
      <c r="C764" s="16">
        <v>46183</v>
      </c>
      <c r="D764">
        <v>1669.89</v>
      </c>
    </row>
    <row r="765" spans="1:4" x14ac:dyDescent="0.3">
      <c r="A765" s="75" t="s">
        <v>20</v>
      </c>
      <c r="B765" s="75"/>
      <c r="C765" s="16">
        <v>46183</v>
      </c>
      <c r="D765">
        <v>744306.80999999982</v>
      </c>
    </row>
    <row r="766" spans="1:4" x14ac:dyDescent="0.3">
      <c r="A766" s="75" t="s">
        <v>21</v>
      </c>
      <c r="B766" s="75"/>
      <c r="C766" s="16">
        <v>46183</v>
      </c>
      <c r="D766">
        <v>1160274.0499999993</v>
      </c>
    </row>
    <row r="767" spans="1:4" x14ac:dyDescent="0.3">
      <c r="A767" s="75" t="s">
        <v>22</v>
      </c>
      <c r="B767" s="75"/>
      <c r="C767" s="16">
        <v>46183</v>
      </c>
      <c r="D767">
        <v>116496.38</v>
      </c>
    </row>
    <row r="768" spans="1:4" x14ac:dyDescent="0.3">
      <c r="A768" s="75" t="s">
        <v>23</v>
      </c>
      <c r="B768" s="75"/>
      <c r="C768" s="16">
        <v>46183</v>
      </c>
      <c r="D768">
        <v>88090.37</v>
      </c>
    </row>
    <row r="769" spans="1:4" x14ac:dyDescent="0.3">
      <c r="A769" s="75" t="s">
        <v>24</v>
      </c>
      <c r="B769" s="75"/>
      <c r="C769" s="16">
        <v>46183</v>
      </c>
      <c r="D769">
        <v>511.15999999999985</v>
      </c>
    </row>
    <row r="770" spans="1:4" x14ac:dyDescent="0.3">
      <c r="A770" s="75" t="s">
        <v>25</v>
      </c>
      <c r="B770" s="75"/>
      <c r="C770" s="16">
        <v>46183</v>
      </c>
      <c r="D770">
        <v>84.35</v>
      </c>
    </row>
    <row r="771" spans="1:4" x14ac:dyDescent="0.3">
      <c r="A771" s="75" t="s">
        <v>26</v>
      </c>
      <c r="B771" s="75"/>
      <c r="C771" s="16">
        <v>46183</v>
      </c>
      <c r="D771">
        <v>2237.77</v>
      </c>
    </row>
    <row r="772" spans="1:4" x14ac:dyDescent="0.3">
      <c r="A772" s="75" t="s">
        <v>27</v>
      </c>
      <c r="B772" s="75"/>
      <c r="C772" s="16">
        <v>46183</v>
      </c>
      <c r="D772">
        <v>3349.94</v>
      </c>
    </row>
    <row r="773" spans="1:4" x14ac:dyDescent="0.3">
      <c r="A773" s="75" t="s">
        <v>28</v>
      </c>
      <c r="B773" s="75"/>
      <c r="C773" s="16">
        <v>46183</v>
      </c>
      <c r="D773">
        <v>1968.99</v>
      </c>
    </row>
    <row r="774" spans="1:4" x14ac:dyDescent="0.3">
      <c r="A774" s="75" t="s">
        <v>29</v>
      </c>
      <c r="B774" s="75"/>
      <c r="C774" s="16">
        <v>46183</v>
      </c>
      <c r="D774">
        <v>382.69000000000005</v>
      </c>
    </row>
    <row r="775" spans="1:4" x14ac:dyDescent="0.3">
      <c r="A775" s="75" t="s">
        <v>30</v>
      </c>
      <c r="B775" s="75"/>
      <c r="C775" s="16">
        <v>46183</v>
      </c>
      <c r="D775">
        <v>1428.08</v>
      </c>
    </row>
    <row r="776" spans="1:4" x14ac:dyDescent="0.3">
      <c r="A776" s="75" t="s">
        <v>31</v>
      </c>
      <c r="B776" s="75"/>
      <c r="C776" s="16">
        <v>46183</v>
      </c>
      <c r="D776">
        <v>25789.969999999961</v>
      </c>
    </row>
    <row r="777" spans="1:4" x14ac:dyDescent="0.3">
      <c r="A777" s="75" t="s">
        <v>32</v>
      </c>
      <c r="B777" s="75"/>
      <c r="C777" s="16">
        <v>46183</v>
      </c>
      <c r="D777">
        <v>5321.4300000000021</v>
      </c>
    </row>
    <row r="778" spans="1:4" x14ac:dyDescent="0.3">
      <c r="A778" s="75" t="s">
        <v>33</v>
      </c>
      <c r="B778" s="75"/>
      <c r="C778" s="16">
        <v>46183</v>
      </c>
      <c r="D778">
        <v>24743.98</v>
      </c>
    </row>
    <row r="779" spans="1:4" x14ac:dyDescent="0.3">
      <c r="A779" s="75" t="s">
        <v>34</v>
      </c>
      <c r="B779" s="75"/>
      <c r="C779" s="16">
        <v>46183</v>
      </c>
      <c r="D779">
        <v>345</v>
      </c>
    </row>
    <row r="780" spans="1:4" x14ac:dyDescent="0.3">
      <c r="A780" s="75" t="s">
        <v>35</v>
      </c>
      <c r="B780" s="75"/>
      <c r="C780" s="16">
        <v>46183</v>
      </c>
      <c r="D780">
        <v>6583.0800000000036</v>
      </c>
    </row>
    <row r="781" spans="1:4" x14ac:dyDescent="0.3">
      <c r="A781" s="75" t="s">
        <v>17</v>
      </c>
      <c r="B781" s="75"/>
      <c r="C781" s="16">
        <v>46184</v>
      </c>
      <c r="D781">
        <v>1837784.84</v>
      </c>
    </row>
    <row r="782" spans="1:4" x14ac:dyDescent="0.3">
      <c r="A782" s="75" t="s">
        <v>18</v>
      </c>
      <c r="B782" s="75"/>
      <c r="C782" s="16">
        <v>46184</v>
      </c>
      <c r="D782">
        <v>69376.390000000174</v>
      </c>
    </row>
    <row r="783" spans="1:4" x14ac:dyDescent="0.3">
      <c r="A783" s="75" t="s">
        <v>19</v>
      </c>
      <c r="B783" s="75"/>
      <c r="C783" s="16">
        <v>46184</v>
      </c>
      <c r="D783">
        <v>1669.89</v>
      </c>
    </row>
    <row r="784" spans="1:4" x14ac:dyDescent="0.3">
      <c r="A784" s="75" t="s">
        <v>20</v>
      </c>
      <c r="B784" s="75"/>
      <c r="C784" s="16">
        <v>46184</v>
      </c>
      <c r="D784">
        <v>564626.20999999985</v>
      </c>
    </row>
    <row r="785" spans="1:4" x14ac:dyDescent="0.3">
      <c r="A785" s="75" t="s">
        <v>21</v>
      </c>
      <c r="B785" s="75"/>
      <c r="C785" s="16">
        <v>46184</v>
      </c>
      <c r="D785">
        <v>794731.82999999926</v>
      </c>
    </row>
    <row r="786" spans="1:4" x14ac:dyDescent="0.3">
      <c r="A786" s="75" t="s">
        <v>22</v>
      </c>
      <c r="B786" s="75"/>
      <c r="C786" s="16">
        <v>46184</v>
      </c>
      <c r="D786">
        <v>116496.38</v>
      </c>
    </row>
    <row r="787" spans="1:4" x14ac:dyDescent="0.3">
      <c r="A787" s="75" t="s">
        <v>23</v>
      </c>
      <c r="B787" s="75"/>
      <c r="C787" s="16">
        <v>46184</v>
      </c>
      <c r="D787">
        <v>88090.37</v>
      </c>
    </row>
    <row r="788" spans="1:4" x14ac:dyDescent="0.3">
      <c r="A788" s="75" t="s">
        <v>24</v>
      </c>
      <c r="B788" s="75"/>
      <c r="C788" s="16">
        <v>46184</v>
      </c>
      <c r="D788">
        <v>511.15999999999985</v>
      </c>
    </row>
    <row r="789" spans="1:4" x14ac:dyDescent="0.3">
      <c r="A789" s="75" t="s">
        <v>25</v>
      </c>
      <c r="B789" s="75"/>
      <c r="C789" s="16">
        <v>46184</v>
      </c>
      <c r="D789">
        <v>84.35</v>
      </c>
    </row>
    <row r="790" spans="1:4" x14ac:dyDescent="0.3">
      <c r="A790" s="75" t="s">
        <v>26</v>
      </c>
      <c r="B790" s="75"/>
      <c r="C790" s="16">
        <v>46184</v>
      </c>
      <c r="D790">
        <v>2237.77</v>
      </c>
    </row>
    <row r="791" spans="1:4" x14ac:dyDescent="0.3">
      <c r="A791" s="75" t="s">
        <v>27</v>
      </c>
      <c r="B791" s="75"/>
      <c r="C791" s="16">
        <v>46184</v>
      </c>
      <c r="D791">
        <v>3349.94</v>
      </c>
    </row>
    <row r="792" spans="1:4" x14ac:dyDescent="0.3">
      <c r="A792" s="75" t="s">
        <v>28</v>
      </c>
      <c r="B792" s="75"/>
      <c r="C792" s="16">
        <v>46184</v>
      </c>
      <c r="D792">
        <v>1968.99</v>
      </c>
    </row>
    <row r="793" spans="1:4" x14ac:dyDescent="0.3">
      <c r="A793" s="75" t="s">
        <v>29</v>
      </c>
      <c r="B793" s="75"/>
      <c r="C793" s="16">
        <v>46184</v>
      </c>
      <c r="D793">
        <v>382.69000000000005</v>
      </c>
    </row>
    <row r="794" spans="1:4" x14ac:dyDescent="0.3">
      <c r="A794" s="75" t="s">
        <v>30</v>
      </c>
      <c r="B794" s="75"/>
      <c r="C794" s="16">
        <v>46184</v>
      </c>
      <c r="D794">
        <v>1428.08</v>
      </c>
    </row>
    <row r="795" spans="1:4" x14ac:dyDescent="0.3">
      <c r="A795" s="75" t="s">
        <v>31</v>
      </c>
      <c r="B795" s="75"/>
      <c r="C795" s="16">
        <v>46184</v>
      </c>
      <c r="D795">
        <v>25789.969999999961</v>
      </c>
    </row>
    <row r="796" spans="1:4" x14ac:dyDescent="0.3">
      <c r="A796" s="75" t="s">
        <v>32</v>
      </c>
      <c r="B796" s="75"/>
      <c r="C796" s="16">
        <v>46184</v>
      </c>
      <c r="D796">
        <v>5321.4300000000021</v>
      </c>
    </row>
    <row r="797" spans="1:4" x14ac:dyDescent="0.3">
      <c r="A797" s="75" t="s">
        <v>33</v>
      </c>
      <c r="B797" s="75"/>
      <c r="C797" s="16">
        <v>46184</v>
      </c>
      <c r="D797">
        <v>24743.98</v>
      </c>
    </row>
    <row r="798" spans="1:4" x14ac:dyDescent="0.3">
      <c r="A798" s="75" t="s">
        <v>34</v>
      </c>
      <c r="B798" s="75"/>
      <c r="C798" s="16">
        <v>46184</v>
      </c>
      <c r="D798">
        <v>345</v>
      </c>
    </row>
    <row r="799" spans="1:4" x14ac:dyDescent="0.3">
      <c r="A799" s="75" t="s">
        <v>35</v>
      </c>
      <c r="B799" s="75"/>
      <c r="C799" s="16">
        <v>46184</v>
      </c>
      <c r="D799">
        <v>54068.08</v>
      </c>
    </row>
    <row r="800" spans="1:4" x14ac:dyDescent="0.3">
      <c r="A800" s="75" t="s">
        <v>17</v>
      </c>
      <c r="B800" s="75"/>
      <c r="C800" s="16">
        <v>46185</v>
      </c>
      <c r="D800">
        <v>1837784.84</v>
      </c>
    </row>
    <row r="801" spans="1:4" x14ac:dyDescent="0.3">
      <c r="A801" s="75" t="s">
        <v>18</v>
      </c>
      <c r="B801" s="75"/>
      <c r="C801" s="16">
        <v>46185</v>
      </c>
      <c r="D801">
        <v>69376.390000000174</v>
      </c>
    </row>
    <row r="802" spans="1:4" x14ac:dyDescent="0.3">
      <c r="A802" s="75" t="s">
        <v>19</v>
      </c>
      <c r="B802" s="75"/>
      <c r="C802" s="16">
        <v>46185</v>
      </c>
      <c r="D802">
        <v>1669.89</v>
      </c>
    </row>
    <row r="803" spans="1:4" x14ac:dyDescent="0.3">
      <c r="A803" s="75" t="s">
        <v>20</v>
      </c>
      <c r="B803" s="75"/>
      <c r="C803" s="16">
        <v>46185</v>
      </c>
      <c r="D803">
        <v>564626.20999999985</v>
      </c>
    </row>
    <row r="804" spans="1:4" x14ac:dyDescent="0.3">
      <c r="A804" s="75" t="s">
        <v>21</v>
      </c>
      <c r="B804" s="75"/>
      <c r="C804" s="16">
        <v>46185</v>
      </c>
      <c r="D804">
        <v>3763348.8299999996</v>
      </c>
    </row>
    <row r="805" spans="1:4" x14ac:dyDescent="0.3">
      <c r="A805" s="75" t="s">
        <v>22</v>
      </c>
      <c r="B805" s="75"/>
      <c r="C805" s="16">
        <v>46185</v>
      </c>
      <c r="D805">
        <v>116496.38</v>
      </c>
    </row>
    <row r="806" spans="1:4" x14ac:dyDescent="0.3">
      <c r="A806" s="75" t="s">
        <v>23</v>
      </c>
      <c r="B806" s="75"/>
      <c r="C806" s="16">
        <v>46185</v>
      </c>
      <c r="D806">
        <v>88090.37</v>
      </c>
    </row>
    <row r="807" spans="1:4" x14ac:dyDescent="0.3">
      <c r="A807" s="75" t="s">
        <v>24</v>
      </c>
      <c r="B807" s="75"/>
      <c r="C807" s="16">
        <v>46185</v>
      </c>
      <c r="D807">
        <v>511.15999999999985</v>
      </c>
    </row>
    <row r="808" spans="1:4" x14ac:dyDescent="0.3">
      <c r="A808" s="75" t="s">
        <v>25</v>
      </c>
      <c r="B808" s="75"/>
      <c r="C808" s="16">
        <v>46185</v>
      </c>
      <c r="D808">
        <v>84.35</v>
      </c>
    </row>
    <row r="809" spans="1:4" x14ac:dyDescent="0.3">
      <c r="A809" s="75" t="s">
        <v>26</v>
      </c>
      <c r="B809" s="75"/>
      <c r="C809" s="16">
        <v>46185</v>
      </c>
      <c r="D809">
        <v>2237.77</v>
      </c>
    </row>
    <row r="810" spans="1:4" x14ac:dyDescent="0.3">
      <c r="A810" s="75" t="s">
        <v>27</v>
      </c>
      <c r="B810" s="75"/>
      <c r="C810" s="16">
        <v>46185</v>
      </c>
      <c r="D810">
        <v>3349.94</v>
      </c>
    </row>
    <row r="811" spans="1:4" x14ac:dyDescent="0.3">
      <c r="A811" s="75" t="s">
        <v>28</v>
      </c>
      <c r="B811" s="75"/>
      <c r="C811" s="16">
        <v>46185</v>
      </c>
      <c r="D811">
        <v>1968.99</v>
      </c>
    </row>
    <row r="812" spans="1:4" x14ac:dyDescent="0.3">
      <c r="A812" s="75" t="s">
        <v>29</v>
      </c>
      <c r="B812" s="75"/>
      <c r="C812" s="16">
        <v>46185</v>
      </c>
      <c r="D812">
        <v>382.69000000000005</v>
      </c>
    </row>
    <row r="813" spans="1:4" x14ac:dyDescent="0.3">
      <c r="A813" s="75" t="s">
        <v>30</v>
      </c>
      <c r="B813" s="75"/>
      <c r="C813" s="16">
        <v>46185</v>
      </c>
      <c r="D813">
        <v>1428.08</v>
      </c>
    </row>
    <row r="814" spans="1:4" x14ac:dyDescent="0.3">
      <c r="A814" s="75" t="s">
        <v>31</v>
      </c>
      <c r="B814" s="75"/>
      <c r="C814" s="16">
        <v>46185</v>
      </c>
      <c r="D814">
        <v>27789.969999999961</v>
      </c>
    </row>
    <row r="815" spans="1:4" x14ac:dyDescent="0.3">
      <c r="A815" s="75" t="s">
        <v>32</v>
      </c>
      <c r="B815" s="75"/>
      <c r="C815" s="16">
        <v>46185</v>
      </c>
      <c r="D815">
        <v>5321.4300000000021</v>
      </c>
    </row>
    <row r="816" spans="1:4" x14ac:dyDescent="0.3">
      <c r="A816" s="75" t="s">
        <v>33</v>
      </c>
      <c r="B816" s="75"/>
      <c r="C816" s="16">
        <v>46185</v>
      </c>
      <c r="D816">
        <v>24484.85</v>
      </c>
    </row>
    <row r="817" spans="1:4" x14ac:dyDescent="0.3">
      <c r="A817" s="75" t="s">
        <v>34</v>
      </c>
      <c r="B817" s="75"/>
      <c r="C817" s="16">
        <v>46185</v>
      </c>
      <c r="D817">
        <v>345</v>
      </c>
    </row>
    <row r="818" spans="1:4" x14ac:dyDescent="0.3">
      <c r="A818" s="75" t="s">
        <v>35</v>
      </c>
      <c r="B818" s="75"/>
      <c r="C818" s="16">
        <v>46185</v>
      </c>
      <c r="D818">
        <v>54068.08</v>
      </c>
    </row>
    <row r="819" spans="1:4" x14ac:dyDescent="0.3">
      <c r="A819" s="75" t="s">
        <v>17</v>
      </c>
      <c r="B819" s="75"/>
      <c r="C819" s="16">
        <v>46186</v>
      </c>
      <c r="D819">
        <v>1837784.84</v>
      </c>
    </row>
    <row r="820" spans="1:4" x14ac:dyDescent="0.3">
      <c r="A820" s="75" t="s">
        <v>18</v>
      </c>
      <c r="B820" s="75"/>
      <c r="C820" s="16">
        <v>46186</v>
      </c>
      <c r="D820">
        <v>69376.390000000174</v>
      </c>
    </row>
    <row r="821" spans="1:4" x14ac:dyDescent="0.3">
      <c r="A821" s="75" t="s">
        <v>19</v>
      </c>
      <c r="B821" s="75"/>
      <c r="C821" s="16">
        <v>46186</v>
      </c>
      <c r="D821">
        <v>1669.89</v>
      </c>
    </row>
    <row r="822" spans="1:4" x14ac:dyDescent="0.3">
      <c r="A822" s="75" t="s">
        <v>20</v>
      </c>
      <c r="B822" s="75"/>
      <c r="C822" s="16">
        <v>46186</v>
      </c>
      <c r="D822">
        <v>564626.20999999985</v>
      </c>
    </row>
    <row r="823" spans="1:4" x14ac:dyDescent="0.3">
      <c r="A823" s="75" t="s">
        <v>21</v>
      </c>
      <c r="B823" s="75"/>
      <c r="C823" s="16">
        <v>46186</v>
      </c>
      <c r="D823">
        <v>3763348.8299999996</v>
      </c>
    </row>
    <row r="824" spans="1:4" x14ac:dyDescent="0.3">
      <c r="A824" s="75" t="s">
        <v>22</v>
      </c>
      <c r="B824" s="75"/>
      <c r="C824" s="16">
        <v>46186</v>
      </c>
      <c r="D824">
        <v>116496.38</v>
      </c>
    </row>
    <row r="825" spans="1:4" x14ac:dyDescent="0.3">
      <c r="A825" s="75" t="s">
        <v>23</v>
      </c>
      <c r="B825" s="75"/>
      <c r="C825" s="16">
        <v>46186</v>
      </c>
      <c r="D825">
        <v>88090.37</v>
      </c>
    </row>
    <row r="826" spans="1:4" x14ac:dyDescent="0.3">
      <c r="A826" s="75" t="s">
        <v>24</v>
      </c>
      <c r="B826" s="75"/>
      <c r="C826" s="16">
        <v>46186</v>
      </c>
      <c r="D826">
        <v>511.15999999999985</v>
      </c>
    </row>
    <row r="827" spans="1:4" x14ac:dyDescent="0.3">
      <c r="A827" s="75" t="s">
        <v>25</v>
      </c>
      <c r="B827" s="75"/>
      <c r="C827" s="16">
        <v>46186</v>
      </c>
      <c r="D827">
        <v>84.35</v>
      </c>
    </row>
    <row r="828" spans="1:4" x14ac:dyDescent="0.3">
      <c r="A828" s="75" t="s">
        <v>26</v>
      </c>
      <c r="B828" s="75"/>
      <c r="C828" s="16">
        <v>46186</v>
      </c>
      <c r="D828">
        <v>2237.77</v>
      </c>
    </row>
    <row r="829" spans="1:4" x14ac:dyDescent="0.3">
      <c r="A829" s="75" t="s">
        <v>27</v>
      </c>
      <c r="B829" s="75"/>
      <c r="C829" s="16">
        <v>46186</v>
      </c>
      <c r="D829">
        <v>3349.94</v>
      </c>
    </row>
    <row r="830" spans="1:4" x14ac:dyDescent="0.3">
      <c r="A830" s="75" t="s">
        <v>28</v>
      </c>
      <c r="B830" s="75"/>
      <c r="C830" s="16">
        <v>46186</v>
      </c>
      <c r="D830">
        <v>1968.99</v>
      </c>
    </row>
    <row r="831" spans="1:4" x14ac:dyDescent="0.3">
      <c r="A831" s="75" t="s">
        <v>29</v>
      </c>
      <c r="B831" s="75"/>
      <c r="C831" s="16">
        <v>46186</v>
      </c>
      <c r="D831">
        <v>382.69000000000005</v>
      </c>
    </row>
    <row r="832" spans="1:4" x14ac:dyDescent="0.3">
      <c r="A832" s="75" t="s">
        <v>30</v>
      </c>
      <c r="B832" s="75"/>
      <c r="C832" s="16">
        <v>46186</v>
      </c>
      <c r="D832">
        <v>1428.08</v>
      </c>
    </row>
    <row r="833" spans="1:4" x14ac:dyDescent="0.3">
      <c r="A833" s="75" t="s">
        <v>31</v>
      </c>
      <c r="B833" s="75"/>
      <c r="C833" s="16">
        <v>46186</v>
      </c>
      <c r="D833">
        <v>27789.969999999961</v>
      </c>
    </row>
    <row r="834" spans="1:4" x14ac:dyDescent="0.3">
      <c r="A834" s="75" t="s">
        <v>32</v>
      </c>
      <c r="B834" s="75"/>
      <c r="C834" s="16">
        <v>46186</v>
      </c>
      <c r="D834">
        <v>5321.4300000000021</v>
      </c>
    </row>
    <row r="835" spans="1:4" x14ac:dyDescent="0.3">
      <c r="A835" s="75" t="s">
        <v>33</v>
      </c>
      <c r="B835" s="75"/>
      <c r="C835" s="16">
        <v>46186</v>
      </c>
      <c r="D835">
        <v>24484.85</v>
      </c>
    </row>
    <row r="836" spans="1:4" x14ac:dyDescent="0.3">
      <c r="A836" s="75" t="s">
        <v>34</v>
      </c>
      <c r="B836" s="75"/>
      <c r="C836" s="16">
        <v>46186</v>
      </c>
      <c r="D836">
        <v>345</v>
      </c>
    </row>
    <row r="837" spans="1:4" x14ac:dyDescent="0.3">
      <c r="A837" s="75" t="s">
        <v>35</v>
      </c>
      <c r="B837" s="75"/>
      <c r="C837" s="16">
        <v>46186</v>
      </c>
      <c r="D837">
        <v>54068.08</v>
      </c>
    </row>
    <row r="838" spans="1:4" x14ac:dyDescent="0.3">
      <c r="A838" s="75" t="s">
        <v>17</v>
      </c>
      <c r="B838" s="75"/>
      <c r="C838" s="16">
        <v>46187</v>
      </c>
      <c r="D838">
        <v>1837784.84</v>
      </c>
    </row>
    <row r="839" spans="1:4" x14ac:dyDescent="0.3">
      <c r="A839" s="75" t="s">
        <v>18</v>
      </c>
      <c r="B839" s="75"/>
      <c r="C839" s="16">
        <v>46187</v>
      </c>
      <c r="D839">
        <v>69376.390000000174</v>
      </c>
    </row>
    <row r="840" spans="1:4" x14ac:dyDescent="0.3">
      <c r="A840" s="75" t="s">
        <v>19</v>
      </c>
      <c r="B840" s="75"/>
      <c r="C840" s="16">
        <v>46187</v>
      </c>
      <c r="D840">
        <v>1669.89</v>
      </c>
    </row>
    <row r="841" spans="1:4" x14ac:dyDescent="0.3">
      <c r="A841" s="75" t="s">
        <v>20</v>
      </c>
      <c r="B841" s="75"/>
      <c r="C841" s="16">
        <v>46187</v>
      </c>
      <c r="D841">
        <v>564626.20999999985</v>
      </c>
    </row>
    <row r="842" spans="1:4" x14ac:dyDescent="0.3">
      <c r="A842" s="75" t="s">
        <v>21</v>
      </c>
      <c r="B842" s="75"/>
      <c r="C842" s="16">
        <v>46187</v>
      </c>
      <c r="D842">
        <v>3763348.8299999996</v>
      </c>
    </row>
    <row r="843" spans="1:4" x14ac:dyDescent="0.3">
      <c r="A843" s="75" t="s">
        <v>22</v>
      </c>
      <c r="B843" s="75"/>
      <c r="C843" s="16">
        <v>46187</v>
      </c>
      <c r="D843">
        <v>116496.38</v>
      </c>
    </row>
    <row r="844" spans="1:4" x14ac:dyDescent="0.3">
      <c r="A844" s="75" t="s">
        <v>23</v>
      </c>
      <c r="B844" s="75"/>
      <c r="C844" s="16">
        <v>46187</v>
      </c>
      <c r="D844">
        <v>88090.37</v>
      </c>
    </row>
    <row r="845" spans="1:4" x14ac:dyDescent="0.3">
      <c r="A845" s="75" t="s">
        <v>24</v>
      </c>
      <c r="B845" s="75"/>
      <c r="C845" s="16">
        <v>46187</v>
      </c>
      <c r="D845">
        <v>511.15999999999985</v>
      </c>
    </row>
    <row r="846" spans="1:4" x14ac:dyDescent="0.3">
      <c r="A846" s="75" t="s">
        <v>25</v>
      </c>
      <c r="B846" s="75"/>
      <c r="C846" s="16">
        <v>46187</v>
      </c>
      <c r="D846">
        <v>84.35</v>
      </c>
    </row>
    <row r="847" spans="1:4" x14ac:dyDescent="0.3">
      <c r="A847" s="75" t="s">
        <v>26</v>
      </c>
      <c r="B847" s="75"/>
      <c r="C847" s="16">
        <v>46187</v>
      </c>
      <c r="D847">
        <v>2237.77</v>
      </c>
    </row>
    <row r="848" spans="1:4" x14ac:dyDescent="0.3">
      <c r="A848" s="75" t="s">
        <v>27</v>
      </c>
      <c r="B848" s="75"/>
      <c r="C848" s="16">
        <v>46187</v>
      </c>
      <c r="D848">
        <v>3349.94</v>
      </c>
    </row>
    <row r="849" spans="1:4" x14ac:dyDescent="0.3">
      <c r="A849" s="75" t="s">
        <v>28</v>
      </c>
      <c r="B849" s="75"/>
      <c r="C849" s="16">
        <v>46187</v>
      </c>
      <c r="D849">
        <v>1968.99</v>
      </c>
    </row>
    <row r="850" spans="1:4" x14ac:dyDescent="0.3">
      <c r="A850" s="75" t="s">
        <v>29</v>
      </c>
      <c r="B850" s="75"/>
      <c r="C850" s="16">
        <v>46187</v>
      </c>
      <c r="D850">
        <v>382.69000000000005</v>
      </c>
    </row>
    <row r="851" spans="1:4" x14ac:dyDescent="0.3">
      <c r="A851" s="75" t="s">
        <v>30</v>
      </c>
      <c r="B851" s="75"/>
      <c r="C851" s="16">
        <v>46187</v>
      </c>
      <c r="D851">
        <v>1428.08</v>
      </c>
    </row>
    <row r="852" spans="1:4" x14ac:dyDescent="0.3">
      <c r="A852" s="75" t="s">
        <v>31</v>
      </c>
      <c r="B852" s="75"/>
      <c r="C852" s="16">
        <v>46187</v>
      </c>
      <c r="D852">
        <v>27789.969999999961</v>
      </c>
    </row>
    <row r="853" spans="1:4" x14ac:dyDescent="0.3">
      <c r="A853" s="75" t="s">
        <v>32</v>
      </c>
      <c r="B853" s="75"/>
      <c r="C853" s="16">
        <v>46187</v>
      </c>
      <c r="D853">
        <v>5321.4300000000021</v>
      </c>
    </row>
    <row r="854" spans="1:4" x14ac:dyDescent="0.3">
      <c r="A854" s="75" t="s">
        <v>33</v>
      </c>
      <c r="B854" s="75"/>
      <c r="C854" s="16">
        <v>46187</v>
      </c>
      <c r="D854">
        <v>24484.85</v>
      </c>
    </row>
    <row r="855" spans="1:4" x14ac:dyDescent="0.3">
      <c r="A855" s="75" t="s">
        <v>34</v>
      </c>
      <c r="B855" s="75"/>
      <c r="C855" s="16">
        <v>46187</v>
      </c>
      <c r="D855">
        <v>345</v>
      </c>
    </row>
    <row r="856" spans="1:4" x14ac:dyDescent="0.3">
      <c r="A856" s="75" t="s">
        <v>35</v>
      </c>
      <c r="B856" s="75"/>
      <c r="C856" s="16">
        <v>46187</v>
      </c>
      <c r="D856">
        <v>54068.08</v>
      </c>
    </row>
    <row r="857" spans="1:4" x14ac:dyDescent="0.3">
      <c r="A857" s="75" t="s">
        <v>17</v>
      </c>
      <c r="B857" s="75"/>
      <c r="C857" s="16">
        <v>46188</v>
      </c>
      <c r="D857">
        <v>985975.94000000029</v>
      </c>
    </row>
    <row r="858" spans="1:4" x14ac:dyDescent="0.3">
      <c r="A858" s="75" t="s">
        <v>18</v>
      </c>
      <c r="B858" s="75"/>
      <c r="C858" s="16">
        <v>46188</v>
      </c>
      <c r="D858">
        <v>69376.390000000174</v>
      </c>
    </row>
    <row r="859" spans="1:4" x14ac:dyDescent="0.3">
      <c r="A859" s="75" t="s">
        <v>19</v>
      </c>
      <c r="B859" s="75"/>
      <c r="C859" s="16">
        <v>46188</v>
      </c>
      <c r="D859">
        <v>1669.89</v>
      </c>
    </row>
    <row r="860" spans="1:4" x14ac:dyDescent="0.3">
      <c r="A860" s="75" t="s">
        <v>20</v>
      </c>
      <c r="B860" s="75"/>
      <c r="C860" s="16">
        <v>46188</v>
      </c>
      <c r="D860">
        <v>503904.80999999982</v>
      </c>
    </row>
    <row r="861" spans="1:4" x14ac:dyDescent="0.3">
      <c r="A861" s="75" t="s">
        <v>21</v>
      </c>
      <c r="B861" s="75"/>
      <c r="C861" s="16">
        <v>46188</v>
      </c>
      <c r="D861">
        <v>3331737.2399999998</v>
      </c>
    </row>
    <row r="862" spans="1:4" x14ac:dyDescent="0.3">
      <c r="A862" s="75" t="s">
        <v>22</v>
      </c>
      <c r="B862" s="75"/>
      <c r="C862" s="16">
        <v>46188</v>
      </c>
      <c r="D862">
        <v>116496.38</v>
      </c>
    </row>
    <row r="863" spans="1:4" x14ac:dyDescent="0.3">
      <c r="A863" s="75" t="s">
        <v>23</v>
      </c>
      <c r="B863" s="75"/>
      <c r="C863" s="16">
        <v>46188</v>
      </c>
      <c r="D863">
        <v>88090.37</v>
      </c>
    </row>
    <row r="864" spans="1:4" x14ac:dyDescent="0.3">
      <c r="A864" s="75" t="s">
        <v>24</v>
      </c>
      <c r="B864" s="75"/>
      <c r="C864" s="16">
        <v>46188</v>
      </c>
      <c r="D864">
        <v>511.15999999999985</v>
      </c>
    </row>
    <row r="865" spans="1:4" x14ac:dyDescent="0.3">
      <c r="A865" s="75" t="s">
        <v>25</v>
      </c>
      <c r="B865" s="75"/>
      <c r="C865" s="16">
        <v>46188</v>
      </c>
      <c r="D865">
        <v>84.35</v>
      </c>
    </row>
    <row r="866" spans="1:4" x14ac:dyDescent="0.3">
      <c r="A866" s="75" t="s">
        <v>26</v>
      </c>
      <c r="B866" s="75"/>
      <c r="C866" s="16">
        <v>46188</v>
      </c>
      <c r="D866">
        <v>2237.77</v>
      </c>
    </row>
    <row r="867" spans="1:4" x14ac:dyDescent="0.3">
      <c r="A867" s="75" t="s">
        <v>27</v>
      </c>
      <c r="B867" s="75"/>
      <c r="C867" s="16">
        <v>46188</v>
      </c>
      <c r="D867">
        <v>3349.94</v>
      </c>
    </row>
    <row r="868" spans="1:4" x14ac:dyDescent="0.3">
      <c r="A868" s="75" t="s">
        <v>28</v>
      </c>
      <c r="B868" s="75"/>
      <c r="C868" s="16">
        <v>46188</v>
      </c>
      <c r="D868">
        <v>1968.99</v>
      </c>
    </row>
    <row r="869" spans="1:4" x14ac:dyDescent="0.3">
      <c r="A869" s="75" t="s">
        <v>29</v>
      </c>
      <c r="B869" s="75"/>
      <c r="C869" s="16">
        <v>46188</v>
      </c>
      <c r="D869">
        <v>382.69000000000005</v>
      </c>
    </row>
    <row r="870" spans="1:4" x14ac:dyDescent="0.3">
      <c r="A870" s="75" t="s">
        <v>30</v>
      </c>
      <c r="B870" s="75"/>
      <c r="C870" s="16">
        <v>46188</v>
      </c>
      <c r="D870">
        <v>1428.08</v>
      </c>
    </row>
    <row r="871" spans="1:4" x14ac:dyDescent="0.3">
      <c r="A871" s="75" t="s">
        <v>31</v>
      </c>
      <c r="B871" s="75"/>
      <c r="C871" s="16">
        <v>46188</v>
      </c>
      <c r="D871">
        <v>29789.969999999961</v>
      </c>
    </row>
    <row r="872" spans="1:4" x14ac:dyDescent="0.3">
      <c r="A872" s="75" t="s">
        <v>32</v>
      </c>
      <c r="B872" s="75"/>
      <c r="C872" s="16">
        <v>46188</v>
      </c>
      <c r="D872">
        <v>5321.4300000000021</v>
      </c>
    </row>
    <row r="873" spans="1:4" x14ac:dyDescent="0.3">
      <c r="A873" s="75" t="s">
        <v>33</v>
      </c>
      <c r="B873" s="75"/>
      <c r="C873" s="16">
        <v>46188</v>
      </c>
      <c r="D873">
        <v>20484.849999999999</v>
      </c>
    </row>
    <row r="874" spans="1:4" x14ac:dyDescent="0.3">
      <c r="A874" s="75" t="s">
        <v>34</v>
      </c>
      <c r="B874" s="75"/>
      <c r="C874" s="16">
        <v>46188</v>
      </c>
      <c r="D874">
        <v>345</v>
      </c>
    </row>
    <row r="875" spans="1:4" x14ac:dyDescent="0.3">
      <c r="A875" s="75" t="s">
        <v>35</v>
      </c>
      <c r="B875" s="75"/>
      <c r="C875" s="16">
        <v>46188</v>
      </c>
      <c r="D875">
        <v>54018.080000000002</v>
      </c>
    </row>
    <row r="876" spans="1:4" x14ac:dyDescent="0.3">
      <c r="A876" s="75" t="s">
        <v>17</v>
      </c>
      <c r="B876" s="75"/>
      <c r="C876" s="16">
        <v>46189</v>
      </c>
      <c r="D876">
        <v>1086358.7500000002</v>
      </c>
    </row>
    <row r="877" spans="1:4" x14ac:dyDescent="0.3">
      <c r="A877" s="75" t="s">
        <v>18</v>
      </c>
      <c r="B877" s="75"/>
      <c r="C877" s="16">
        <v>46189</v>
      </c>
      <c r="D877">
        <v>69376.390000000174</v>
      </c>
    </row>
    <row r="878" spans="1:4" x14ac:dyDescent="0.3">
      <c r="A878" s="75" t="s">
        <v>19</v>
      </c>
      <c r="B878" s="75"/>
      <c r="C878" s="16">
        <v>46189</v>
      </c>
      <c r="D878">
        <v>1669.89</v>
      </c>
    </row>
    <row r="879" spans="1:4" x14ac:dyDescent="0.3">
      <c r="A879" s="75" t="s">
        <v>20</v>
      </c>
      <c r="B879" s="75"/>
      <c r="C879" s="16">
        <v>46189</v>
      </c>
      <c r="D879">
        <v>503904.80999999982</v>
      </c>
    </row>
    <row r="880" spans="1:4" x14ac:dyDescent="0.3">
      <c r="A880" s="75" t="s">
        <v>21</v>
      </c>
      <c r="B880" s="75"/>
      <c r="C880" s="16">
        <v>46189</v>
      </c>
      <c r="D880">
        <v>3329246.88</v>
      </c>
    </row>
    <row r="881" spans="1:4" x14ac:dyDescent="0.3">
      <c r="A881" s="75" t="s">
        <v>22</v>
      </c>
      <c r="B881" s="75"/>
      <c r="C881" s="16">
        <v>46189</v>
      </c>
      <c r="D881">
        <v>116496.38</v>
      </c>
    </row>
    <row r="882" spans="1:4" x14ac:dyDescent="0.3">
      <c r="A882" s="75" t="s">
        <v>23</v>
      </c>
      <c r="B882" s="75"/>
      <c r="C882" s="16">
        <v>46189</v>
      </c>
      <c r="D882">
        <v>88090.37</v>
      </c>
    </row>
    <row r="883" spans="1:4" x14ac:dyDescent="0.3">
      <c r="A883" s="75" t="s">
        <v>24</v>
      </c>
      <c r="B883" s="75"/>
      <c r="C883" s="16">
        <v>46189</v>
      </c>
      <c r="D883">
        <v>511.15999999999985</v>
      </c>
    </row>
    <row r="884" spans="1:4" x14ac:dyDescent="0.3">
      <c r="A884" s="75" t="s">
        <v>25</v>
      </c>
      <c r="B884" s="75"/>
      <c r="C884" s="16">
        <v>46189</v>
      </c>
      <c r="D884">
        <v>84.35</v>
      </c>
    </row>
    <row r="885" spans="1:4" x14ac:dyDescent="0.3">
      <c r="A885" s="75" t="s">
        <v>26</v>
      </c>
      <c r="B885" s="75"/>
      <c r="C885" s="16">
        <v>46189</v>
      </c>
      <c r="D885">
        <v>2237.77</v>
      </c>
    </row>
    <row r="886" spans="1:4" x14ac:dyDescent="0.3">
      <c r="A886" s="75" t="s">
        <v>27</v>
      </c>
      <c r="B886" s="75"/>
      <c r="C886" s="16">
        <v>46189</v>
      </c>
      <c r="D886">
        <v>3349.94</v>
      </c>
    </row>
    <row r="887" spans="1:4" x14ac:dyDescent="0.3">
      <c r="A887" s="75" t="s">
        <v>28</v>
      </c>
      <c r="B887" s="75"/>
      <c r="C887" s="16">
        <v>46189</v>
      </c>
      <c r="D887">
        <v>1968.99</v>
      </c>
    </row>
    <row r="888" spans="1:4" x14ac:dyDescent="0.3">
      <c r="A888" s="75" t="s">
        <v>29</v>
      </c>
      <c r="B888" s="75"/>
      <c r="C888" s="16">
        <v>46189</v>
      </c>
      <c r="D888">
        <v>382.69000000000005</v>
      </c>
    </row>
    <row r="889" spans="1:4" x14ac:dyDescent="0.3">
      <c r="A889" s="75" t="s">
        <v>30</v>
      </c>
      <c r="B889" s="75"/>
      <c r="C889" s="16">
        <v>46189</v>
      </c>
      <c r="D889">
        <v>1428.08</v>
      </c>
    </row>
    <row r="890" spans="1:4" x14ac:dyDescent="0.3">
      <c r="A890" s="75" t="s">
        <v>31</v>
      </c>
      <c r="B890" s="75"/>
      <c r="C890" s="16">
        <v>46189</v>
      </c>
      <c r="D890">
        <v>29789.969999999961</v>
      </c>
    </row>
    <row r="891" spans="1:4" x14ac:dyDescent="0.3">
      <c r="A891" s="75" t="s">
        <v>32</v>
      </c>
      <c r="B891" s="75"/>
      <c r="C891" s="16">
        <v>46189</v>
      </c>
      <c r="D891">
        <v>20321.43</v>
      </c>
    </row>
    <row r="892" spans="1:4" x14ac:dyDescent="0.3">
      <c r="A892" s="75" t="s">
        <v>33</v>
      </c>
      <c r="B892" s="75"/>
      <c r="C892" s="16">
        <v>46189</v>
      </c>
      <c r="D892">
        <v>19811.349999999999</v>
      </c>
    </row>
    <row r="893" spans="1:4" x14ac:dyDescent="0.3">
      <c r="A893" s="75" t="s">
        <v>34</v>
      </c>
      <c r="B893" s="75"/>
      <c r="C893" s="16">
        <v>46189</v>
      </c>
      <c r="D893">
        <v>345</v>
      </c>
    </row>
    <row r="894" spans="1:4" x14ac:dyDescent="0.3">
      <c r="A894" s="75" t="s">
        <v>35</v>
      </c>
      <c r="B894" s="75"/>
      <c r="C894" s="16">
        <v>46189</v>
      </c>
      <c r="D894">
        <v>51334.36</v>
      </c>
    </row>
    <row r="895" spans="1:4" x14ac:dyDescent="0.3">
      <c r="A895" s="75" t="s">
        <v>17</v>
      </c>
      <c r="B895" s="75"/>
      <c r="C895" s="16">
        <v>46190</v>
      </c>
      <c r="D895">
        <v>1098358.7500000002</v>
      </c>
    </row>
    <row r="896" spans="1:4" x14ac:dyDescent="0.3">
      <c r="A896" s="75" t="s">
        <v>18</v>
      </c>
      <c r="B896" s="75"/>
      <c r="C896" s="16">
        <v>46190</v>
      </c>
      <c r="D896">
        <v>69376.390000000174</v>
      </c>
    </row>
    <row r="897" spans="1:4" x14ac:dyDescent="0.3">
      <c r="A897" s="75" t="s">
        <v>19</v>
      </c>
      <c r="B897" s="75"/>
      <c r="C897" s="16">
        <v>46190</v>
      </c>
      <c r="D897">
        <v>1669.89</v>
      </c>
    </row>
    <row r="898" spans="1:4" x14ac:dyDescent="0.3">
      <c r="A898" s="75" t="s">
        <v>20</v>
      </c>
      <c r="B898" s="75"/>
      <c r="C898" s="16">
        <v>46190</v>
      </c>
      <c r="D898">
        <v>503904.80999999982</v>
      </c>
    </row>
    <row r="899" spans="1:4" x14ac:dyDescent="0.3">
      <c r="A899" s="75" t="s">
        <v>21</v>
      </c>
      <c r="B899" s="75"/>
      <c r="C899" s="16">
        <v>46190</v>
      </c>
      <c r="D899">
        <v>3326863.3899999997</v>
      </c>
    </row>
    <row r="900" spans="1:4" x14ac:dyDescent="0.3">
      <c r="A900" s="75" t="s">
        <v>22</v>
      </c>
      <c r="B900" s="75"/>
      <c r="C900" s="16">
        <v>46190</v>
      </c>
      <c r="D900">
        <v>116496.38</v>
      </c>
    </row>
    <row r="901" spans="1:4" x14ac:dyDescent="0.3">
      <c r="A901" s="75" t="s">
        <v>23</v>
      </c>
      <c r="B901" s="75"/>
      <c r="C901" s="16">
        <v>46190</v>
      </c>
      <c r="D901">
        <v>88090.37</v>
      </c>
    </row>
    <row r="902" spans="1:4" x14ac:dyDescent="0.3">
      <c r="A902" s="75" t="s">
        <v>24</v>
      </c>
      <c r="B902" s="75"/>
      <c r="C902" s="16">
        <v>46190</v>
      </c>
      <c r="D902">
        <v>511.15999999999985</v>
      </c>
    </row>
    <row r="903" spans="1:4" x14ac:dyDescent="0.3">
      <c r="A903" s="75" t="s">
        <v>25</v>
      </c>
      <c r="B903" s="75"/>
      <c r="C903" s="16">
        <v>46190</v>
      </c>
      <c r="D903">
        <v>84.35</v>
      </c>
    </row>
    <row r="904" spans="1:4" x14ac:dyDescent="0.3">
      <c r="A904" s="75" t="s">
        <v>26</v>
      </c>
      <c r="B904" s="75"/>
      <c r="C904" s="16">
        <v>46190</v>
      </c>
      <c r="D904">
        <v>2237.77</v>
      </c>
    </row>
    <row r="905" spans="1:4" x14ac:dyDescent="0.3">
      <c r="A905" s="75" t="s">
        <v>27</v>
      </c>
      <c r="B905" s="75"/>
      <c r="C905" s="16">
        <v>46190</v>
      </c>
      <c r="D905">
        <v>3349.94</v>
      </c>
    </row>
    <row r="906" spans="1:4" x14ac:dyDescent="0.3">
      <c r="A906" s="75" t="s">
        <v>28</v>
      </c>
      <c r="B906" s="75"/>
      <c r="C906" s="16">
        <v>46190</v>
      </c>
      <c r="D906">
        <v>1968.99</v>
      </c>
    </row>
    <row r="907" spans="1:4" x14ac:dyDescent="0.3">
      <c r="A907" s="75" t="s">
        <v>29</v>
      </c>
      <c r="B907" s="75"/>
      <c r="C907" s="16">
        <v>46190</v>
      </c>
      <c r="D907">
        <v>382.69000000000005</v>
      </c>
    </row>
    <row r="908" spans="1:4" x14ac:dyDescent="0.3">
      <c r="A908" s="75" t="s">
        <v>30</v>
      </c>
      <c r="B908" s="75"/>
      <c r="C908" s="16">
        <v>46190</v>
      </c>
      <c r="D908">
        <v>1428.08</v>
      </c>
    </row>
    <row r="909" spans="1:4" x14ac:dyDescent="0.3">
      <c r="A909" s="75" t="s">
        <v>31</v>
      </c>
      <c r="B909" s="75"/>
      <c r="C909" s="16">
        <v>46190</v>
      </c>
      <c r="D909">
        <v>29789.969999999961</v>
      </c>
    </row>
    <row r="910" spans="1:4" x14ac:dyDescent="0.3">
      <c r="A910" s="75" t="s">
        <v>32</v>
      </c>
      <c r="B910" s="75"/>
      <c r="C910" s="16">
        <v>46190</v>
      </c>
      <c r="D910">
        <v>20321.43</v>
      </c>
    </row>
    <row r="911" spans="1:4" x14ac:dyDescent="0.3">
      <c r="A911" s="75" t="s">
        <v>33</v>
      </c>
      <c r="B911" s="75"/>
      <c r="C911" s="16">
        <v>46190</v>
      </c>
      <c r="D911">
        <v>16681.349999999999</v>
      </c>
    </row>
    <row r="912" spans="1:4" x14ac:dyDescent="0.3">
      <c r="A912" s="75" t="s">
        <v>34</v>
      </c>
      <c r="B912" s="75"/>
      <c r="C912" s="16">
        <v>46190</v>
      </c>
      <c r="D912">
        <v>345</v>
      </c>
    </row>
    <row r="913" spans="1:4" x14ac:dyDescent="0.3">
      <c r="A913" s="75" t="s">
        <v>35</v>
      </c>
      <c r="B913" s="75"/>
      <c r="C913" s="16">
        <v>46190</v>
      </c>
      <c r="D913">
        <v>50334.36</v>
      </c>
    </row>
    <row r="914" spans="1:4" x14ac:dyDescent="0.3">
      <c r="A914" s="75" t="s">
        <v>17</v>
      </c>
      <c r="B914" s="75"/>
      <c r="C914" s="16">
        <v>46191</v>
      </c>
      <c r="D914">
        <v>1098358.7500000002</v>
      </c>
    </row>
    <row r="915" spans="1:4" x14ac:dyDescent="0.3">
      <c r="A915" s="75" t="s">
        <v>18</v>
      </c>
      <c r="B915" s="75"/>
      <c r="C915" s="16">
        <v>46191</v>
      </c>
      <c r="D915">
        <v>69376.390000000174</v>
      </c>
    </row>
    <row r="916" spans="1:4" x14ac:dyDescent="0.3">
      <c r="A916" s="75" t="s">
        <v>19</v>
      </c>
      <c r="B916" s="75"/>
      <c r="C916" s="16">
        <v>46191</v>
      </c>
      <c r="D916">
        <v>1669.89</v>
      </c>
    </row>
    <row r="917" spans="1:4" x14ac:dyDescent="0.3">
      <c r="A917" s="75" t="s">
        <v>20</v>
      </c>
      <c r="B917" s="75"/>
      <c r="C917" s="16">
        <v>46191</v>
      </c>
      <c r="D917">
        <v>503904.80999999982</v>
      </c>
    </row>
    <row r="918" spans="1:4" x14ac:dyDescent="0.3">
      <c r="A918" s="75" t="s">
        <v>21</v>
      </c>
      <c r="B918" s="75"/>
      <c r="C918" s="16">
        <v>46191</v>
      </c>
      <c r="D918">
        <v>3326696.7299999995</v>
      </c>
    </row>
    <row r="919" spans="1:4" x14ac:dyDescent="0.3">
      <c r="A919" s="75" t="s">
        <v>22</v>
      </c>
      <c r="B919" s="75"/>
      <c r="C919" s="16">
        <v>46191</v>
      </c>
      <c r="D919">
        <v>116496.38</v>
      </c>
    </row>
    <row r="920" spans="1:4" x14ac:dyDescent="0.3">
      <c r="A920" s="75" t="s">
        <v>23</v>
      </c>
      <c r="B920" s="75"/>
      <c r="C920" s="16">
        <v>46191</v>
      </c>
      <c r="D920">
        <v>88090.37</v>
      </c>
    </row>
    <row r="921" spans="1:4" x14ac:dyDescent="0.3">
      <c r="A921" s="75" t="s">
        <v>24</v>
      </c>
      <c r="B921" s="75"/>
      <c r="C921" s="16">
        <v>46191</v>
      </c>
      <c r="D921">
        <v>511.15999999999985</v>
      </c>
    </row>
    <row r="922" spans="1:4" x14ac:dyDescent="0.3">
      <c r="A922" s="75" t="s">
        <v>25</v>
      </c>
      <c r="B922" s="75"/>
      <c r="C922" s="16">
        <v>46191</v>
      </c>
      <c r="D922">
        <v>84.35</v>
      </c>
    </row>
    <row r="923" spans="1:4" x14ac:dyDescent="0.3">
      <c r="A923" s="75" t="s">
        <v>26</v>
      </c>
      <c r="B923" s="75"/>
      <c r="C923" s="16">
        <v>46191</v>
      </c>
      <c r="D923">
        <v>2237.77</v>
      </c>
    </row>
    <row r="924" spans="1:4" x14ac:dyDescent="0.3">
      <c r="A924" s="75" t="s">
        <v>27</v>
      </c>
      <c r="B924" s="75"/>
      <c r="C924" s="16">
        <v>46191</v>
      </c>
      <c r="D924">
        <v>3349.94</v>
      </c>
    </row>
    <row r="925" spans="1:4" x14ac:dyDescent="0.3">
      <c r="A925" s="75" t="s">
        <v>28</v>
      </c>
      <c r="B925" s="75"/>
      <c r="C925" s="16">
        <v>46191</v>
      </c>
      <c r="D925">
        <v>1968.99</v>
      </c>
    </row>
    <row r="926" spans="1:4" x14ac:dyDescent="0.3">
      <c r="A926" s="75" t="s">
        <v>29</v>
      </c>
      <c r="B926" s="75"/>
      <c r="C926" s="16">
        <v>46191</v>
      </c>
      <c r="D926">
        <v>382.69000000000005</v>
      </c>
    </row>
    <row r="927" spans="1:4" x14ac:dyDescent="0.3">
      <c r="A927" s="75" t="s">
        <v>30</v>
      </c>
      <c r="B927" s="75"/>
      <c r="C927" s="16">
        <v>46191</v>
      </c>
      <c r="D927">
        <v>1428.08</v>
      </c>
    </row>
    <row r="928" spans="1:4" x14ac:dyDescent="0.3">
      <c r="A928" s="75" t="s">
        <v>31</v>
      </c>
      <c r="B928" s="75"/>
      <c r="C928" s="16">
        <v>46191</v>
      </c>
      <c r="D928">
        <v>29789.969999999961</v>
      </c>
    </row>
    <row r="929" spans="1:4" x14ac:dyDescent="0.3">
      <c r="A929" s="75" t="s">
        <v>32</v>
      </c>
      <c r="B929" s="75"/>
      <c r="C929" s="16">
        <v>46191</v>
      </c>
      <c r="D929">
        <v>20321.43</v>
      </c>
    </row>
    <row r="930" spans="1:4" x14ac:dyDescent="0.3">
      <c r="A930" s="75" t="s">
        <v>33</v>
      </c>
      <c r="B930" s="75"/>
      <c r="C930" s="16">
        <v>46191</v>
      </c>
      <c r="D930">
        <v>16681.349999999999</v>
      </c>
    </row>
    <row r="931" spans="1:4" x14ac:dyDescent="0.3">
      <c r="A931" s="75" t="s">
        <v>34</v>
      </c>
      <c r="B931" s="75"/>
      <c r="C931" s="16">
        <v>46191</v>
      </c>
      <c r="D931">
        <v>345</v>
      </c>
    </row>
    <row r="932" spans="1:4" x14ac:dyDescent="0.3">
      <c r="A932" s="75" t="s">
        <v>35</v>
      </c>
      <c r="B932" s="75"/>
      <c r="C932" s="16">
        <v>46191</v>
      </c>
      <c r="D932">
        <v>50334.36</v>
      </c>
    </row>
    <row r="933" spans="1:4" x14ac:dyDescent="0.3">
      <c r="A933" s="75" t="s">
        <v>17</v>
      </c>
      <c r="B933" s="75"/>
      <c r="C933" s="16">
        <v>46192</v>
      </c>
      <c r="D933">
        <v>1098358.7500000002</v>
      </c>
    </row>
    <row r="934" spans="1:4" x14ac:dyDescent="0.3">
      <c r="A934" s="75" t="s">
        <v>18</v>
      </c>
      <c r="B934" s="75"/>
      <c r="C934" s="16">
        <v>46192</v>
      </c>
      <c r="D934">
        <v>69376.390000000174</v>
      </c>
    </row>
    <row r="935" spans="1:4" x14ac:dyDescent="0.3">
      <c r="A935" s="75" t="s">
        <v>19</v>
      </c>
      <c r="B935" s="75"/>
      <c r="C935" s="16">
        <v>46192</v>
      </c>
      <c r="D935">
        <v>1669.89</v>
      </c>
    </row>
    <row r="936" spans="1:4" x14ac:dyDescent="0.3">
      <c r="A936" s="75" t="s">
        <v>20</v>
      </c>
      <c r="B936" s="75"/>
      <c r="C936" s="16">
        <v>46192</v>
      </c>
      <c r="D936">
        <v>503904.80999999982</v>
      </c>
    </row>
    <row r="937" spans="1:4" x14ac:dyDescent="0.3">
      <c r="A937" s="75" t="s">
        <v>21</v>
      </c>
      <c r="B937" s="75"/>
      <c r="C937" s="16">
        <v>46192</v>
      </c>
      <c r="D937">
        <v>3326696.7299999995</v>
      </c>
    </row>
    <row r="938" spans="1:4" x14ac:dyDescent="0.3">
      <c r="A938" s="75" t="s">
        <v>22</v>
      </c>
      <c r="B938" s="75"/>
      <c r="C938" s="16">
        <v>46192</v>
      </c>
      <c r="D938">
        <v>116496.38</v>
      </c>
    </row>
    <row r="939" spans="1:4" x14ac:dyDescent="0.3">
      <c r="A939" s="75" t="s">
        <v>23</v>
      </c>
      <c r="B939" s="75"/>
      <c r="C939" s="16">
        <v>46192</v>
      </c>
      <c r="D939">
        <v>88090.37</v>
      </c>
    </row>
    <row r="940" spans="1:4" x14ac:dyDescent="0.3">
      <c r="A940" s="75" t="s">
        <v>24</v>
      </c>
      <c r="B940" s="75"/>
      <c r="C940" s="16">
        <v>46192</v>
      </c>
      <c r="D940">
        <v>511.15999999999985</v>
      </c>
    </row>
    <row r="941" spans="1:4" x14ac:dyDescent="0.3">
      <c r="A941" s="75" t="s">
        <v>25</v>
      </c>
      <c r="B941" s="75"/>
      <c r="C941" s="16">
        <v>46192</v>
      </c>
      <c r="D941">
        <v>84.35</v>
      </c>
    </row>
    <row r="942" spans="1:4" x14ac:dyDescent="0.3">
      <c r="A942" s="75" t="s">
        <v>26</v>
      </c>
      <c r="B942" s="75"/>
      <c r="C942" s="16">
        <v>46192</v>
      </c>
      <c r="D942">
        <v>2237.77</v>
      </c>
    </row>
    <row r="943" spans="1:4" x14ac:dyDescent="0.3">
      <c r="A943" s="75" t="s">
        <v>27</v>
      </c>
      <c r="B943" s="75"/>
      <c r="C943" s="16">
        <v>46192</v>
      </c>
      <c r="D943">
        <v>3349.94</v>
      </c>
    </row>
    <row r="944" spans="1:4" x14ac:dyDescent="0.3">
      <c r="A944" s="75" t="s">
        <v>28</v>
      </c>
      <c r="B944" s="75"/>
      <c r="C944" s="16">
        <v>46192</v>
      </c>
      <c r="D944">
        <v>1968.99</v>
      </c>
    </row>
    <row r="945" spans="1:4" x14ac:dyDescent="0.3">
      <c r="A945" s="75" t="s">
        <v>29</v>
      </c>
      <c r="B945" s="75"/>
      <c r="C945" s="16">
        <v>46192</v>
      </c>
      <c r="D945">
        <v>382.69000000000005</v>
      </c>
    </row>
    <row r="946" spans="1:4" x14ac:dyDescent="0.3">
      <c r="A946" s="75" t="s">
        <v>30</v>
      </c>
      <c r="B946" s="75"/>
      <c r="C946" s="16">
        <v>46192</v>
      </c>
      <c r="D946">
        <v>1428.08</v>
      </c>
    </row>
    <row r="947" spans="1:4" x14ac:dyDescent="0.3">
      <c r="A947" s="75" t="s">
        <v>31</v>
      </c>
      <c r="B947" s="75"/>
      <c r="C947" s="16">
        <v>46192</v>
      </c>
      <c r="D947">
        <v>29789.969999999961</v>
      </c>
    </row>
    <row r="948" spans="1:4" x14ac:dyDescent="0.3">
      <c r="A948" s="75" t="s">
        <v>32</v>
      </c>
      <c r="B948" s="75"/>
      <c r="C948" s="16">
        <v>46192</v>
      </c>
      <c r="D948">
        <v>20321.43</v>
      </c>
    </row>
    <row r="949" spans="1:4" x14ac:dyDescent="0.3">
      <c r="A949" s="75" t="s">
        <v>33</v>
      </c>
      <c r="B949" s="75"/>
      <c r="C949" s="16">
        <v>46192</v>
      </c>
      <c r="D949">
        <v>16681.349999999999</v>
      </c>
    </row>
    <row r="950" spans="1:4" x14ac:dyDescent="0.3">
      <c r="A950" s="75" t="s">
        <v>34</v>
      </c>
      <c r="B950" s="75"/>
      <c r="C950" s="16">
        <v>46192</v>
      </c>
      <c r="D950">
        <v>345</v>
      </c>
    </row>
    <row r="951" spans="1:4" x14ac:dyDescent="0.3">
      <c r="A951" s="75" t="s">
        <v>35</v>
      </c>
      <c r="B951" s="75"/>
      <c r="C951" s="16">
        <v>46192</v>
      </c>
      <c r="D951">
        <v>50334.36</v>
      </c>
    </row>
    <row r="952" spans="1:4" x14ac:dyDescent="0.3">
      <c r="A952" s="75" t="s">
        <v>17</v>
      </c>
      <c r="B952" s="75"/>
      <c r="C952" s="16">
        <v>46193</v>
      </c>
      <c r="D952">
        <v>1098358.7500000002</v>
      </c>
    </row>
    <row r="953" spans="1:4" x14ac:dyDescent="0.3">
      <c r="A953" s="75" t="s">
        <v>18</v>
      </c>
      <c r="B953" s="75"/>
      <c r="C953" s="16">
        <v>46193</v>
      </c>
      <c r="D953">
        <v>69376.390000000174</v>
      </c>
    </row>
    <row r="954" spans="1:4" x14ac:dyDescent="0.3">
      <c r="A954" s="75" t="s">
        <v>19</v>
      </c>
      <c r="B954" s="75"/>
      <c r="C954" s="16">
        <v>46193</v>
      </c>
      <c r="D954">
        <v>1669.89</v>
      </c>
    </row>
    <row r="955" spans="1:4" x14ac:dyDescent="0.3">
      <c r="A955" s="75" t="s">
        <v>20</v>
      </c>
      <c r="B955" s="75"/>
      <c r="C955" s="16">
        <v>46193</v>
      </c>
      <c r="D955">
        <v>503904.80999999982</v>
      </c>
    </row>
    <row r="956" spans="1:4" x14ac:dyDescent="0.3">
      <c r="A956" s="75" t="s">
        <v>21</v>
      </c>
      <c r="B956" s="75"/>
      <c r="C956" s="16">
        <v>46193</v>
      </c>
      <c r="D956">
        <v>3326696.7299999995</v>
      </c>
    </row>
    <row r="957" spans="1:4" x14ac:dyDescent="0.3">
      <c r="A957" s="75" t="s">
        <v>22</v>
      </c>
      <c r="B957" s="75"/>
      <c r="C957" s="16">
        <v>46193</v>
      </c>
      <c r="D957">
        <v>116496.38</v>
      </c>
    </row>
    <row r="958" spans="1:4" x14ac:dyDescent="0.3">
      <c r="A958" s="75" t="s">
        <v>23</v>
      </c>
      <c r="B958" s="75"/>
      <c r="C958" s="16">
        <v>46193</v>
      </c>
      <c r="D958">
        <v>88090.37</v>
      </c>
    </row>
    <row r="959" spans="1:4" x14ac:dyDescent="0.3">
      <c r="A959" s="75" t="s">
        <v>24</v>
      </c>
      <c r="B959" s="75"/>
      <c r="C959" s="16">
        <v>46193</v>
      </c>
      <c r="D959">
        <v>511.15999999999985</v>
      </c>
    </row>
    <row r="960" spans="1:4" x14ac:dyDescent="0.3">
      <c r="A960" s="75" t="s">
        <v>25</v>
      </c>
      <c r="B960" s="75"/>
      <c r="C960" s="16">
        <v>46193</v>
      </c>
      <c r="D960">
        <v>84.35</v>
      </c>
    </row>
    <row r="961" spans="1:4" x14ac:dyDescent="0.3">
      <c r="A961" s="75" t="s">
        <v>26</v>
      </c>
      <c r="B961" s="75"/>
      <c r="C961" s="16">
        <v>46193</v>
      </c>
      <c r="D961">
        <v>2237.77</v>
      </c>
    </row>
    <row r="962" spans="1:4" x14ac:dyDescent="0.3">
      <c r="A962" s="75" t="s">
        <v>27</v>
      </c>
      <c r="B962" s="75"/>
      <c r="C962" s="16">
        <v>46193</v>
      </c>
      <c r="D962">
        <v>3349.94</v>
      </c>
    </row>
    <row r="963" spans="1:4" x14ac:dyDescent="0.3">
      <c r="A963" s="75" t="s">
        <v>28</v>
      </c>
      <c r="B963" s="75"/>
      <c r="C963" s="16">
        <v>46193</v>
      </c>
      <c r="D963">
        <v>1968.99</v>
      </c>
    </row>
    <row r="964" spans="1:4" x14ac:dyDescent="0.3">
      <c r="A964" s="75" t="s">
        <v>29</v>
      </c>
      <c r="B964" s="75"/>
      <c r="C964" s="16">
        <v>46193</v>
      </c>
      <c r="D964">
        <v>382.69000000000005</v>
      </c>
    </row>
    <row r="965" spans="1:4" x14ac:dyDescent="0.3">
      <c r="A965" s="75" t="s">
        <v>30</v>
      </c>
      <c r="B965" s="75"/>
      <c r="C965" s="16">
        <v>46193</v>
      </c>
      <c r="D965">
        <v>1428.08</v>
      </c>
    </row>
    <row r="966" spans="1:4" x14ac:dyDescent="0.3">
      <c r="A966" s="75" t="s">
        <v>31</v>
      </c>
      <c r="B966" s="75"/>
      <c r="C966" s="16">
        <v>46193</v>
      </c>
      <c r="D966">
        <v>29789.969999999961</v>
      </c>
    </row>
    <row r="967" spans="1:4" x14ac:dyDescent="0.3">
      <c r="A967" s="75" t="s">
        <v>32</v>
      </c>
      <c r="B967" s="75"/>
      <c r="C967" s="16">
        <v>46193</v>
      </c>
      <c r="D967">
        <v>20321.43</v>
      </c>
    </row>
    <row r="968" spans="1:4" x14ac:dyDescent="0.3">
      <c r="A968" s="75" t="s">
        <v>33</v>
      </c>
      <c r="B968" s="75"/>
      <c r="C968" s="16">
        <v>46193</v>
      </c>
      <c r="D968">
        <v>16681.349999999999</v>
      </c>
    </row>
    <row r="969" spans="1:4" x14ac:dyDescent="0.3">
      <c r="A969" s="75" t="s">
        <v>34</v>
      </c>
      <c r="B969" s="75"/>
      <c r="C969" s="16">
        <v>46193</v>
      </c>
      <c r="D969">
        <v>345</v>
      </c>
    </row>
    <row r="970" spans="1:4" x14ac:dyDescent="0.3">
      <c r="A970" s="75" t="s">
        <v>35</v>
      </c>
      <c r="B970" s="75"/>
      <c r="C970" s="16">
        <v>46193</v>
      </c>
      <c r="D970">
        <v>50334.36</v>
      </c>
    </row>
    <row r="971" spans="1:4" x14ac:dyDescent="0.3">
      <c r="A971" s="75" t="s">
        <v>17</v>
      </c>
      <c r="B971" s="75"/>
      <c r="C971" s="16">
        <v>46194</v>
      </c>
      <c r="D971">
        <v>1098358.7500000002</v>
      </c>
    </row>
    <row r="972" spans="1:4" x14ac:dyDescent="0.3">
      <c r="A972" s="75" t="s">
        <v>18</v>
      </c>
      <c r="B972" s="75"/>
      <c r="C972" s="16">
        <v>46194</v>
      </c>
      <c r="D972">
        <v>69376.390000000174</v>
      </c>
    </row>
    <row r="973" spans="1:4" x14ac:dyDescent="0.3">
      <c r="A973" s="75" t="s">
        <v>19</v>
      </c>
      <c r="B973" s="75"/>
      <c r="C973" s="16">
        <v>46194</v>
      </c>
      <c r="D973">
        <v>1669.89</v>
      </c>
    </row>
    <row r="974" spans="1:4" x14ac:dyDescent="0.3">
      <c r="A974" s="75" t="s">
        <v>20</v>
      </c>
      <c r="B974" s="75"/>
      <c r="C974" s="16">
        <v>46194</v>
      </c>
      <c r="D974">
        <v>503904.80999999982</v>
      </c>
    </row>
    <row r="975" spans="1:4" x14ac:dyDescent="0.3">
      <c r="A975" s="75" t="s">
        <v>21</v>
      </c>
      <c r="B975" s="75"/>
      <c r="C975" s="16">
        <v>46194</v>
      </c>
      <c r="D975">
        <v>3326696.7299999995</v>
      </c>
    </row>
    <row r="976" spans="1:4" x14ac:dyDescent="0.3">
      <c r="A976" s="75" t="s">
        <v>22</v>
      </c>
      <c r="B976" s="75"/>
      <c r="C976" s="16">
        <v>46194</v>
      </c>
      <c r="D976">
        <v>116496.38</v>
      </c>
    </row>
    <row r="977" spans="1:4" x14ac:dyDescent="0.3">
      <c r="A977" s="75" t="s">
        <v>23</v>
      </c>
      <c r="B977" s="75"/>
      <c r="C977" s="16">
        <v>46194</v>
      </c>
      <c r="D977">
        <v>88090.37</v>
      </c>
    </row>
    <row r="978" spans="1:4" x14ac:dyDescent="0.3">
      <c r="A978" s="75" t="s">
        <v>24</v>
      </c>
      <c r="B978" s="75"/>
      <c r="C978" s="16">
        <v>46194</v>
      </c>
      <c r="D978">
        <v>511.15999999999985</v>
      </c>
    </row>
    <row r="979" spans="1:4" x14ac:dyDescent="0.3">
      <c r="A979" s="75" t="s">
        <v>25</v>
      </c>
      <c r="B979" s="75"/>
      <c r="C979" s="16">
        <v>46194</v>
      </c>
      <c r="D979">
        <v>84.35</v>
      </c>
    </row>
    <row r="980" spans="1:4" x14ac:dyDescent="0.3">
      <c r="A980" s="75" t="s">
        <v>26</v>
      </c>
      <c r="B980" s="75"/>
      <c r="C980" s="16">
        <v>46194</v>
      </c>
      <c r="D980">
        <v>2237.77</v>
      </c>
    </row>
    <row r="981" spans="1:4" x14ac:dyDescent="0.3">
      <c r="A981" s="75" t="s">
        <v>27</v>
      </c>
      <c r="B981" s="75"/>
      <c r="C981" s="16">
        <v>46194</v>
      </c>
      <c r="D981">
        <v>3349.94</v>
      </c>
    </row>
    <row r="982" spans="1:4" x14ac:dyDescent="0.3">
      <c r="A982" s="75" t="s">
        <v>28</v>
      </c>
      <c r="B982" s="75"/>
      <c r="C982" s="16">
        <v>46194</v>
      </c>
      <c r="D982">
        <v>1968.99</v>
      </c>
    </row>
    <row r="983" spans="1:4" x14ac:dyDescent="0.3">
      <c r="A983" s="75" t="s">
        <v>29</v>
      </c>
      <c r="B983" s="75"/>
      <c r="C983" s="16">
        <v>46194</v>
      </c>
      <c r="D983">
        <v>382.69000000000005</v>
      </c>
    </row>
    <row r="984" spans="1:4" x14ac:dyDescent="0.3">
      <c r="A984" s="75" t="s">
        <v>30</v>
      </c>
      <c r="B984" s="75"/>
      <c r="C984" s="16">
        <v>46194</v>
      </c>
      <c r="D984">
        <v>1428.08</v>
      </c>
    </row>
    <row r="985" spans="1:4" x14ac:dyDescent="0.3">
      <c r="A985" s="75" t="s">
        <v>31</v>
      </c>
      <c r="B985" s="75"/>
      <c r="C985" s="16">
        <v>46194</v>
      </c>
      <c r="D985">
        <v>29789.969999999961</v>
      </c>
    </row>
    <row r="986" spans="1:4" x14ac:dyDescent="0.3">
      <c r="A986" s="75" t="s">
        <v>32</v>
      </c>
      <c r="B986" s="75"/>
      <c r="C986" s="16">
        <v>46194</v>
      </c>
      <c r="D986">
        <v>20321.43</v>
      </c>
    </row>
    <row r="987" spans="1:4" x14ac:dyDescent="0.3">
      <c r="A987" s="75" t="s">
        <v>33</v>
      </c>
      <c r="B987" s="75"/>
      <c r="C987" s="16">
        <v>46194</v>
      </c>
      <c r="D987">
        <v>16681.349999999999</v>
      </c>
    </row>
    <row r="988" spans="1:4" x14ac:dyDescent="0.3">
      <c r="A988" s="75" t="s">
        <v>34</v>
      </c>
      <c r="B988" s="75"/>
      <c r="C988" s="16">
        <v>46194</v>
      </c>
      <c r="D988">
        <v>345</v>
      </c>
    </row>
    <row r="989" spans="1:4" x14ac:dyDescent="0.3">
      <c r="A989" s="75" t="s">
        <v>35</v>
      </c>
      <c r="B989" s="75"/>
      <c r="C989" s="16">
        <v>46194</v>
      </c>
      <c r="D989">
        <v>50334.36</v>
      </c>
    </row>
    <row r="990" spans="1:4" x14ac:dyDescent="0.3">
      <c r="A990" s="75" t="s">
        <v>17</v>
      </c>
      <c r="B990" s="75"/>
      <c r="C990" s="16">
        <v>46195</v>
      </c>
      <c r="D990">
        <v>7613332.1400000006</v>
      </c>
    </row>
    <row r="991" spans="1:4" x14ac:dyDescent="0.3">
      <c r="A991" s="75" t="s">
        <v>18</v>
      </c>
      <c r="B991" s="75"/>
      <c r="C991" s="16">
        <v>46195</v>
      </c>
      <c r="D991">
        <v>69376.390000000174</v>
      </c>
    </row>
    <row r="992" spans="1:4" x14ac:dyDescent="0.3">
      <c r="A992" s="75" t="s">
        <v>19</v>
      </c>
      <c r="B992" s="75"/>
      <c r="C992" s="16">
        <v>46195</v>
      </c>
      <c r="D992">
        <v>1669.89</v>
      </c>
    </row>
    <row r="993" spans="1:4" x14ac:dyDescent="0.3">
      <c r="A993" s="75" t="s">
        <v>20</v>
      </c>
      <c r="B993" s="75"/>
      <c r="C993" s="16">
        <v>46195</v>
      </c>
      <c r="D993">
        <v>503904.80999999982</v>
      </c>
    </row>
    <row r="994" spans="1:4" x14ac:dyDescent="0.3">
      <c r="A994" s="75" t="s">
        <v>21</v>
      </c>
      <c r="B994" s="75"/>
      <c r="C994" s="16">
        <v>46195</v>
      </c>
      <c r="D994">
        <v>3325868.6899999995</v>
      </c>
    </row>
    <row r="995" spans="1:4" x14ac:dyDescent="0.3">
      <c r="A995" s="75" t="s">
        <v>22</v>
      </c>
      <c r="B995" s="75"/>
      <c r="C995" s="16">
        <v>46195</v>
      </c>
      <c r="D995">
        <v>116496.38</v>
      </c>
    </row>
    <row r="996" spans="1:4" x14ac:dyDescent="0.3">
      <c r="A996" s="75" t="s">
        <v>23</v>
      </c>
      <c r="B996" s="75"/>
      <c r="C996" s="16">
        <v>46195</v>
      </c>
      <c r="D996">
        <v>88090.37</v>
      </c>
    </row>
    <row r="997" spans="1:4" x14ac:dyDescent="0.3">
      <c r="A997" s="75" t="s">
        <v>24</v>
      </c>
      <c r="B997" s="75"/>
      <c r="C997" s="16">
        <v>46195</v>
      </c>
      <c r="D997">
        <v>511.15999999999985</v>
      </c>
    </row>
    <row r="998" spans="1:4" x14ac:dyDescent="0.3">
      <c r="A998" s="75" t="s">
        <v>25</v>
      </c>
      <c r="B998" s="75"/>
      <c r="C998" s="16">
        <v>46195</v>
      </c>
      <c r="D998">
        <v>84.35</v>
      </c>
    </row>
    <row r="999" spans="1:4" x14ac:dyDescent="0.3">
      <c r="A999" s="75" t="s">
        <v>26</v>
      </c>
      <c r="B999" s="75"/>
      <c r="C999" s="16">
        <v>46195</v>
      </c>
      <c r="D999">
        <v>2237.77</v>
      </c>
    </row>
    <row r="1000" spans="1:4" x14ac:dyDescent="0.3">
      <c r="A1000" s="75" t="s">
        <v>27</v>
      </c>
      <c r="B1000" s="75"/>
      <c r="C1000" s="16">
        <v>46195</v>
      </c>
      <c r="D1000">
        <v>3349.94</v>
      </c>
    </row>
    <row r="1001" spans="1:4" x14ac:dyDescent="0.3">
      <c r="A1001" s="75" t="s">
        <v>28</v>
      </c>
      <c r="B1001" s="75"/>
      <c r="C1001" s="16">
        <v>46195</v>
      </c>
      <c r="D1001">
        <v>1968.99</v>
      </c>
    </row>
    <row r="1002" spans="1:4" x14ac:dyDescent="0.3">
      <c r="A1002" s="75" t="s">
        <v>29</v>
      </c>
      <c r="B1002" s="75"/>
      <c r="C1002" s="16">
        <v>46195</v>
      </c>
      <c r="D1002">
        <v>382.69000000000005</v>
      </c>
    </row>
    <row r="1003" spans="1:4" x14ac:dyDescent="0.3">
      <c r="A1003" s="75" t="s">
        <v>30</v>
      </c>
      <c r="B1003" s="75"/>
      <c r="C1003" s="16">
        <v>46195</v>
      </c>
      <c r="D1003">
        <v>1428.08</v>
      </c>
    </row>
    <row r="1004" spans="1:4" x14ac:dyDescent="0.3">
      <c r="A1004" s="75" t="s">
        <v>31</v>
      </c>
      <c r="B1004" s="75"/>
      <c r="C1004" s="16">
        <v>46195</v>
      </c>
      <c r="D1004">
        <v>31039.969999999961</v>
      </c>
    </row>
    <row r="1005" spans="1:4" x14ac:dyDescent="0.3">
      <c r="A1005" s="75" t="s">
        <v>32</v>
      </c>
      <c r="B1005" s="75"/>
      <c r="C1005" s="16">
        <v>46195</v>
      </c>
      <c r="D1005">
        <v>20321.43</v>
      </c>
    </row>
    <row r="1006" spans="1:4" x14ac:dyDescent="0.3">
      <c r="A1006" s="75" t="s">
        <v>33</v>
      </c>
      <c r="B1006" s="75"/>
      <c r="C1006" s="16">
        <v>46195</v>
      </c>
      <c r="D1006">
        <v>16681.349999999999</v>
      </c>
    </row>
    <row r="1007" spans="1:4" x14ac:dyDescent="0.3">
      <c r="A1007" s="75" t="s">
        <v>34</v>
      </c>
      <c r="B1007" s="75"/>
      <c r="C1007" s="16">
        <v>46195</v>
      </c>
      <c r="D1007">
        <v>345</v>
      </c>
    </row>
    <row r="1008" spans="1:4" x14ac:dyDescent="0.3">
      <c r="A1008" s="75" t="s">
        <v>35</v>
      </c>
      <c r="B1008" s="75"/>
      <c r="C1008" s="16">
        <v>46195</v>
      </c>
      <c r="D1008">
        <v>50109.68</v>
      </c>
    </row>
    <row r="1009" spans="1:4" x14ac:dyDescent="0.3">
      <c r="A1009" s="75" t="s">
        <v>17</v>
      </c>
      <c r="B1009" s="75"/>
      <c r="C1009" s="16">
        <v>46196</v>
      </c>
      <c r="D1009">
        <v>7675741.5900000008</v>
      </c>
    </row>
    <row r="1010" spans="1:4" x14ac:dyDescent="0.3">
      <c r="A1010" s="75" t="s">
        <v>18</v>
      </c>
      <c r="B1010" s="75"/>
      <c r="C1010" s="16">
        <v>46196</v>
      </c>
      <c r="D1010">
        <v>69376.390000000174</v>
      </c>
    </row>
    <row r="1011" spans="1:4" x14ac:dyDescent="0.3">
      <c r="A1011" s="75" t="s">
        <v>19</v>
      </c>
      <c r="B1011" s="75"/>
      <c r="C1011" s="16">
        <v>46196</v>
      </c>
      <c r="D1011">
        <v>1669.89</v>
      </c>
    </row>
    <row r="1012" spans="1:4" x14ac:dyDescent="0.3">
      <c r="A1012" s="75" t="s">
        <v>20</v>
      </c>
      <c r="B1012" s="75"/>
      <c r="C1012" s="16">
        <v>46196</v>
      </c>
      <c r="D1012">
        <v>503904.80999999982</v>
      </c>
    </row>
    <row r="1013" spans="1:4" x14ac:dyDescent="0.3">
      <c r="A1013" s="75" t="s">
        <v>21</v>
      </c>
      <c r="B1013" s="75"/>
      <c r="C1013" s="16">
        <v>46196</v>
      </c>
      <c r="D1013">
        <v>3325868.6899999995</v>
      </c>
    </row>
    <row r="1014" spans="1:4" x14ac:dyDescent="0.3">
      <c r="A1014" s="75" t="s">
        <v>22</v>
      </c>
      <c r="B1014" s="75"/>
      <c r="C1014" s="16">
        <v>46196</v>
      </c>
      <c r="D1014">
        <v>116496.38</v>
      </c>
    </row>
    <row r="1015" spans="1:4" x14ac:dyDescent="0.3">
      <c r="A1015" s="75" t="s">
        <v>23</v>
      </c>
      <c r="B1015" s="75"/>
      <c r="C1015" s="16">
        <v>46196</v>
      </c>
      <c r="D1015">
        <v>88090.37</v>
      </c>
    </row>
    <row r="1016" spans="1:4" x14ac:dyDescent="0.3">
      <c r="A1016" s="75" t="s">
        <v>24</v>
      </c>
      <c r="B1016" s="75"/>
      <c r="C1016" s="16">
        <v>46196</v>
      </c>
      <c r="D1016">
        <v>511.15999999999985</v>
      </c>
    </row>
    <row r="1017" spans="1:4" x14ac:dyDescent="0.3">
      <c r="A1017" s="75" t="s">
        <v>25</v>
      </c>
      <c r="B1017" s="75"/>
      <c r="C1017" s="16">
        <v>46196</v>
      </c>
      <c r="D1017">
        <v>84.35</v>
      </c>
    </row>
    <row r="1018" spans="1:4" x14ac:dyDescent="0.3">
      <c r="A1018" s="75" t="s">
        <v>26</v>
      </c>
      <c r="B1018" s="75"/>
      <c r="C1018" s="16">
        <v>46196</v>
      </c>
      <c r="D1018">
        <v>2237.77</v>
      </c>
    </row>
    <row r="1019" spans="1:4" x14ac:dyDescent="0.3">
      <c r="A1019" s="75" t="s">
        <v>27</v>
      </c>
      <c r="B1019" s="75"/>
      <c r="C1019" s="16">
        <v>46196</v>
      </c>
      <c r="D1019">
        <v>3349.94</v>
      </c>
    </row>
    <row r="1020" spans="1:4" x14ac:dyDescent="0.3">
      <c r="A1020" s="75" t="s">
        <v>28</v>
      </c>
      <c r="B1020" s="75"/>
      <c r="C1020" s="16">
        <v>46196</v>
      </c>
      <c r="D1020">
        <v>1968.99</v>
      </c>
    </row>
    <row r="1021" spans="1:4" x14ac:dyDescent="0.3">
      <c r="A1021" s="75" t="s">
        <v>29</v>
      </c>
      <c r="B1021" s="75"/>
      <c r="C1021" s="16">
        <v>46196</v>
      </c>
      <c r="D1021">
        <v>382.69000000000005</v>
      </c>
    </row>
    <row r="1022" spans="1:4" x14ac:dyDescent="0.3">
      <c r="A1022" s="75" t="s">
        <v>30</v>
      </c>
      <c r="B1022" s="75"/>
      <c r="C1022" s="16">
        <v>46196</v>
      </c>
      <c r="D1022">
        <v>1428.08</v>
      </c>
    </row>
    <row r="1023" spans="1:4" x14ac:dyDescent="0.3">
      <c r="A1023" s="75" t="s">
        <v>31</v>
      </c>
      <c r="B1023" s="75"/>
      <c r="C1023" s="16">
        <v>46196</v>
      </c>
      <c r="D1023">
        <v>31039.969999999961</v>
      </c>
    </row>
    <row r="1024" spans="1:4" x14ac:dyDescent="0.3">
      <c r="A1024" s="75" t="s">
        <v>32</v>
      </c>
      <c r="B1024" s="75"/>
      <c r="C1024" s="16">
        <v>46196</v>
      </c>
      <c r="D1024">
        <v>20321.43</v>
      </c>
    </row>
    <row r="1025" spans="1:4" x14ac:dyDescent="0.3">
      <c r="A1025" s="75" t="s">
        <v>33</v>
      </c>
      <c r="B1025" s="75"/>
      <c r="C1025" s="16">
        <v>46196</v>
      </c>
      <c r="D1025">
        <v>16681.349999999999</v>
      </c>
    </row>
    <row r="1026" spans="1:4" x14ac:dyDescent="0.3">
      <c r="A1026" s="75" t="s">
        <v>34</v>
      </c>
      <c r="B1026" s="75"/>
      <c r="C1026" s="16">
        <v>46196</v>
      </c>
      <c r="D1026">
        <v>345</v>
      </c>
    </row>
    <row r="1027" spans="1:4" x14ac:dyDescent="0.3">
      <c r="A1027" s="75" t="s">
        <v>35</v>
      </c>
      <c r="B1027" s="75"/>
      <c r="C1027" s="16">
        <v>46196</v>
      </c>
      <c r="D1027">
        <v>49981.31</v>
      </c>
    </row>
    <row r="1028" spans="1:4" x14ac:dyDescent="0.3">
      <c r="A1028" s="75" t="s">
        <v>17</v>
      </c>
      <c r="B1028" s="75"/>
      <c r="C1028" s="16">
        <v>46197</v>
      </c>
      <c r="D1028">
        <v>7742810.7100000009</v>
      </c>
    </row>
    <row r="1029" spans="1:4" x14ac:dyDescent="0.3">
      <c r="A1029" s="75" t="s">
        <v>18</v>
      </c>
      <c r="B1029" s="75"/>
      <c r="C1029" s="16">
        <v>46197</v>
      </c>
      <c r="D1029">
        <v>72386.190000000177</v>
      </c>
    </row>
    <row r="1030" spans="1:4" x14ac:dyDescent="0.3">
      <c r="A1030" s="75" t="s">
        <v>19</v>
      </c>
      <c r="B1030" s="75"/>
      <c r="C1030" s="16">
        <v>46197</v>
      </c>
      <c r="D1030">
        <v>1669.89</v>
      </c>
    </row>
    <row r="1031" spans="1:4" x14ac:dyDescent="0.3">
      <c r="A1031" s="75" t="s">
        <v>20</v>
      </c>
      <c r="B1031" s="75"/>
      <c r="C1031" s="16">
        <v>46197</v>
      </c>
      <c r="D1031">
        <v>532766.72999999986</v>
      </c>
    </row>
    <row r="1032" spans="1:4" x14ac:dyDescent="0.3">
      <c r="A1032" s="75" t="s">
        <v>21</v>
      </c>
      <c r="B1032" s="75"/>
      <c r="C1032" s="16">
        <v>46197</v>
      </c>
      <c r="D1032">
        <v>3325868.6899999995</v>
      </c>
    </row>
    <row r="1033" spans="1:4" x14ac:dyDescent="0.3">
      <c r="A1033" s="75" t="s">
        <v>22</v>
      </c>
      <c r="B1033" s="75"/>
      <c r="C1033" s="16">
        <v>46197</v>
      </c>
      <c r="D1033">
        <v>116496.38</v>
      </c>
    </row>
    <row r="1034" spans="1:4" x14ac:dyDescent="0.3">
      <c r="A1034" s="75" t="s">
        <v>23</v>
      </c>
      <c r="B1034" s="75"/>
      <c r="C1034" s="16">
        <v>46197</v>
      </c>
      <c r="D1034">
        <v>88090.37</v>
      </c>
    </row>
    <row r="1035" spans="1:4" x14ac:dyDescent="0.3">
      <c r="A1035" s="75" t="s">
        <v>24</v>
      </c>
      <c r="B1035" s="75"/>
      <c r="C1035" s="16">
        <v>46197</v>
      </c>
      <c r="D1035">
        <v>511.15999999999985</v>
      </c>
    </row>
    <row r="1036" spans="1:4" x14ac:dyDescent="0.3">
      <c r="A1036" s="75" t="s">
        <v>25</v>
      </c>
      <c r="B1036" s="75"/>
      <c r="C1036" s="16">
        <v>46197</v>
      </c>
      <c r="D1036">
        <v>84.35</v>
      </c>
    </row>
    <row r="1037" spans="1:4" x14ac:dyDescent="0.3">
      <c r="A1037" s="75" t="s">
        <v>26</v>
      </c>
      <c r="B1037" s="75"/>
      <c r="C1037" s="16">
        <v>46197</v>
      </c>
      <c r="D1037">
        <v>2237.77</v>
      </c>
    </row>
    <row r="1038" spans="1:4" x14ac:dyDescent="0.3">
      <c r="A1038" s="75" t="s">
        <v>27</v>
      </c>
      <c r="B1038" s="75"/>
      <c r="C1038" s="16">
        <v>46197</v>
      </c>
      <c r="D1038">
        <v>3349.94</v>
      </c>
    </row>
    <row r="1039" spans="1:4" x14ac:dyDescent="0.3">
      <c r="A1039" s="75" t="s">
        <v>28</v>
      </c>
      <c r="B1039" s="75"/>
      <c r="C1039" s="16">
        <v>46197</v>
      </c>
      <c r="D1039">
        <v>1968.99</v>
      </c>
    </row>
    <row r="1040" spans="1:4" x14ac:dyDescent="0.3">
      <c r="A1040" s="75" t="s">
        <v>29</v>
      </c>
      <c r="B1040" s="75"/>
      <c r="C1040" s="16">
        <v>46197</v>
      </c>
      <c r="D1040">
        <v>382.69000000000005</v>
      </c>
    </row>
    <row r="1041" spans="1:4" x14ac:dyDescent="0.3">
      <c r="A1041" s="75" t="s">
        <v>30</v>
      </c>
      <c r="B1041" s="75"/>
      <c r="C1041" s="16">
        <v>46197</v>
      </c>
      <c r="D1041">
        <v>1428.08</v>
      </c>
    </row>
    <row r="1042" spans="1:4" x14ac:dyDescent="0.3">
      <c r="A1042" s="75" t="s">
        <v>31</v>
      </c>
      <c r="B1042" s="75"/>
      <c r="C1042" s="16">
        <v>46197</v>
      </c>
      <c r="D1042">
        <v>31039.969999999961</v>
      </c>
    </row>
    <row r="1043" spans="1:4" x14ac:dyDescent="0.3">
      <c r="A1043" s="75" t="s">
        <v>32</v>
      </c>
      <c r="B1043" s="75"/>
      <c r="C1043" s="16">
        <v>46197</v>
      </c>
      <c r="D1043">
        <v>20321.43</v>
      </c>
    </row>
    <row r="1044" spans="1:4" x14ac:dyDescent="0.3">
      <c r="A1044" s="75" t="s">
        <v>33</v>
      </c>
      <c r="B1044" s="75"/>
      <c r="C1044" s="16">
        <v>46197</v>
      </c>
      <c r="D1044">
        <v>16681.349999999999</v>
      </c>
    </row>
    <row r="1045" spans="1:4" x14ac:dyDescent="0.3">
      <c r="A1045" s="75" t="s">
        <v>34</v>
      </c>
      <c r="B1045" s="75"/>
      <c r="C1045" s="16">
        <v>46197</v>
      </c>
      <c r="D1045">
        <v>345</v>
      </c>
    </row>
    <row r="1046" spans="1:4" x14ac:dyDescent="0.3">
      <c r="A1046" s="75" t="s">
        <v>35</v>
      </c>
      <c r="B1046" s="75"/>
      <c r="C1046" s="16">
        <v>46197</v>
      </c>
      <c r="D1046">
        <v>49981.31</v>
      </c>
    </row>
    <row r="1047" spans="1:4" x14ac:dyDescent="0.3">
      <c r="A1047" s="75" t="s">
        <v>17</v>
      </c>
      <c r="B1047" s="75"/>
      <c r="C1047" s="16">
        <v>46198</v>
      </c>
      <c r="D1047">
        <v>6298935.7100000009</v>
      </c>
    </row>
    <row r="1048" spans="1:4" x14ac:dyDescent="0.3">
      <c r="A1048" s="75" t="s">
        <v>18</v>
      </c>
      <c r="B1048" s="75"/>
      <c r="C1048" s="16">
        <v>46198</v>
      </c>
      <c r="D1048">
        <v>72386.190000000177</v>
      </c>
    </row>
    <row r="1049" spans="1:4" x14ac:dyDescent="0.3">
      <c r="A1049" s="75" t="s">
        <v>19</v>
      </c>
      <c r="B1049" s="75"/>
      <c r="C1049" s="16">
        <v>46198</v>
      </c>
      <c r="D1049">
        <v>1669.89</v>
      </c>
    </row>
    <row r="1050" spans="1:4" x14ac:dyDescent="0.3">
      <c r="A1050" s="75" t="s">
        <v>20</v>
      </c>
      <c r="B1050" s="75"/>
      <c r="C1050" s="16">
        <v>46198</v>
      </c>
      <c r="D1050">
        <v>472766.72999999986</v>
      </c>
    </row>
    <row r="1051" spans="1:4" x14ac:dyDescent="0.3">
      <c r="A1051" s="75" t="s">
        <v>21</v>
      </c>
      <c r="B1051" s="75"/>
      <c r="C1051" s="16">
        <v>46198</v>
      </c>
      <c r="D1051">
        <v>1933152.7099999995</v>
      </c>
    </row>
    <row r="1052" spans="1:4" x14ac:dyDescent="0.3">
      <c r="A1052" s="75" t="s">
        <v>22</v>
      </c>
      <c r="B1052" s="75"/>
      <c r="C1052" s="16">
        <v>46198</v>
      </c>
      <c r="D1052">
        <v>1996496.38</v>
      </c>
    </row>
    <row r="1053" spans="1:4" x14ac:dyDescent="0.3">
      <c r="A1053" s="75" t="s">
        <v>23</v>
      </c>
      <c r="B1053" s="75"/>
      <c r="C1053" s="16">
        <v>46198</v>
      </c>
      <c r="D1053">
        <v>88090.37</v>
      </c>
    </row>
    <row r="1054" spans="1:4" x14ac:dyDescent="0.3">
      <c r="A1054" s="75" t="s">
        <v>24</v>
      </c>
      <c r="B1054" s="75"/>
      <c r="C1054" s="16">
        <v>46198</v>
      </c>
      <c r="D1054">
        <v>511.15999999999985</v>
      </c>
    </row>
    <row r="1055" spans="1:4" x14ac:dyDescent="0.3">
      <c r="A1055" s="75" t="s">
        <v>25</v>
      </c>
      <c r="B1055" s="75"/>
      <c r="C1055" s="16">
        <v>46198</v>
      </c>
      <c r="D1055">
        <v>84.35</v>
      </c>
    </row>
    <row r="1056" spans="1:4" x14ac:dyDescent="0.3">
      <c r="A1056" s="75" t="s">
        <v>26</v>
      </c>
      <c r="B1056" s="75"/>
      <c r="C1056" s="16">
        <v>46198</v>
      </c>
      <c r="D1056">
        <v>2237.77</v>
      </c>
    </row>
    <row r="1057" spans="1:4" x14ac:dyDescent="0.3">
      <c r="A1057" s="75" t="s">
        <v>27</v>
      </c>
      <c r="B1057" s="75"/>
      <c r="C1057" s="16">
        <v>46198</v>
      </c>
      <c r="D1057">
        <v>3349.94</v>
      </c>
    </row>
    <row r="1058" spans="1:4" x14ac:dyDescent="0.3">
      <c r="A1058" s="75" t="s">
        <v>28</v>
      </c>
      <c r="B1058" s="75"/>
      <c r="C1058" s="16">
        <v>46198</v>
      </c>
      <c r="D1058">
        <v>1968.99</v>
      </c>
    </row>
    <row r="1059" spans="1:4" x14ac:dyDescent="0.3">
      <c r="A1059" s="75" t="s">
        <v>29</v>
      </c>
      <c r="B1059" s="75"/>
      <c r="C1059" s="16">
        <v>46198</v>
      </c>
      <c r="D1059">
        <v>382.69000000000005</v>
      </c>
    </row>
    <row r="1060" spans="1:4" x14ac:dyDescent="0.3">
      <c r="A1060" s="75" t="s">
        <v>30</v>
      </c>
      <c r="B1060" s="75"/>
      <c r="C1060" s="16">
        <v>46198</v>
      </c>
      <c r="D1060">
        <v>1428.08</v>
      </c>
    </row>
    <row r="1061" spans="1:4" x14ac:dyDescent="0.3">
      <c r="A1061" s="75" t="s">
        <v>31</v>
      </c>
      <c r="B1061" s="75"/>
      <c r="C1061" s="16">
        <v>46198</v>
      </c>
      <c r="D1061">
        <v>31039.969999999961</v>
      </c>
    </row>
    <row r="1062" spans="1:4" x14ac:dyDescent="0.3">
      <c r="A1062" s="75" t="s">
        <v>32</v>
      </c>
      <c r="B1062" s="75"/>
      <c r="C1062" s="16">
        <v>46198</v>
      </c>
      <c r="D1062">
        <v>20321.43</v>
      </c>
    </row>
    <row r="1063" spans="1:4" x14ac:dyDescent="0.3">
      <c r="A1063" s="75" t="s">
        <v>33</v>
      </c>
      <c r="B1063" s="75"/>
      <c r="C1063" s="16">
        <v>46198</v>
      </c>
      <c r="D1063">
        <v>28473.599999999999</v>
      </c>
    </row>
    <row r="1064" spans="1:4" x14ac:dyDescent="0.3">
      <c r="A1064" s="75" t="s">
        <v>34</v>
      </c>
      <c r="B1064" s="75"/>
      <c r="C1064" s="16">
        <v>46198</v>
      </c>
      <c r="D1064">
        <v>345</v>
      </c>
    </row>
    <row r="1065" spans="1:4" x14ac:dyDescent="0.3">
      <c r="A1065" s="75" t="s">
        <v>35</v>
      </c>
      <c r="B1065" s="75"/>
      <c r="C1065" s="16">
        <v>46198</v>
      </c>
      <c r="D1065">
        <v>38025.43</v>
      </c>
    </row>
    <row r="1066" spans="1:4" x14ac:dyDescent="0.3">
      <c r="A1066" s="75" t="s">
        <v>17</v>
      </c>
      <c r="B1066" s="75"/>
      <c r="C1066" s="16">
        <v>46199</v>
      </c>
      <c r="D1066">
        <v>6288055.7100000009</v>
      </c>
    </row>
    <row r="1067" spans="1:4" x14ac:dyDescent="0.3">
      <c r="A1067" s="75" t="s">
        <v>18</v>
      </c>
      <c r="B1067" s="75"/>
      <c r="C1067" s="16">
        <v>46199</v>
      </c>
      <c r="D1067">
        <v>72386.190000000177</v>
      </c>
    </row>
    <row r="1068" spans="1:4" x14ac:dyDescent="0.3">
      <c r="A1068" s="75" t="s">
        <v>19</v>
      </c>
      <c r="B1068" s="75"/>
      <c r="C1068" s="16">
        <v>46199</v>
      </c>
      <c r="D1068">
        <v>1669.89</v>
      </c>
    </row>
    <row r="1069" spans="1:4" x14ac:dyDescent="0.3">
      <c r="A1069" s="75" t="s">
        <v>20</v>
      </c>
      <c r="B1069" s="75"/>
      <c r="C1069" s="16">
        <v>46199</v>
      </c>
      <c r="D1069">
        <v>472766.72999999986</v>
      </c>
    </row>
    <row r="1070" spans="1:4" x14ac:dyDescent="0.3">
      <c r="A1070" s="75" t="s">
        <v>21</v>
      </c>
      <c r="B1070" s="75"/>
      <c r="C1070" s="16">
        <v>46199</v>
      </c>
      <c r="D1070">
        <v>1932389.7199999993</v>
      </c>
    </row>
    <row r="1071" spans="1:4" x14ac:dyDescent="0.3">
      <c r="A1071" s="75" t="s">
        <v>22</v>
      </c>
      <c r="B1071" s="75"/>
      <c r="C1071" s="16">
        <v>46199</v>
      </c>
      <c r="D1071">
        <v>1396496.38</v>
      </c>
    </row>
    <row r="1072" spans="1:4" x14ac:dyDescent="0.3">
      <c r="A1072" s="75" t="s">
        <v>23</v>
      </c>
      <c r="B1072" s="75"/>
      <c r="C1072" s="16">
        <v>46199</v>
      </c>
      <c r="D1072">
        <v>88090.37</v>
      </c>
    </row>
    <row r="1073" spans="1:4" x14ac:dyDescent="0.3">
      <c r="A1073" s="75" t="s">
        <v>24</v>
      </c>
      <c r="B1073" s="75"/>
      <c r="C1073" s="16">
        <v>46199</v>
      </c>
      <c r="D1073">
        <v>511.15999999999985</v>
      </c>
    </row>
    <row r="1074" spans="1:4" x14ac:dyDescent="0.3">
      <c r="A1074" s="75" t="s">
        <v>25</v>
      </c>
      <c r="B1074" s="75"/>
      <c r="C1074" s="16">
        <v>46199</v>
      </c>
      <c r="D1074">
        <v>84.35</v>
      </c>
    </row>
    <row r="1075" spans="1:4" x14ac:dyDescent="0.3">
      <c r="A1075" s="75" t="s">
        <v>26</v>
      </c>
      <c r="B1075" s="75"/>
      <c r="C1075" s="16">
        <v>46199</v>
      </c>
      <c r="D1075">
        <v>2237.77</v>
      </c>
    </row>
    <row r="1076" spans="1:4" x14ac:dyDescent="0.3">
      <c r="A1076" s="75" t="s">
        <v>27</v>
      </c>
      <c r="B1076" s="75"/>
      <c r="C1076" s="16">
        <v>46199</v>
      </c>
      <c r="D1076">
        <v>3349.94</v>
      </c>
    </row>
    <row r="1077" spans="1:4" x14ac:dyDescent="0.3">
      <c r="A1077" s="75" t="s">
        <v>28</v>
      </c>
      <c r="B1077" s="75"/>
      <c r="C1077" s="16">
        <v>46199</v>
      </c>
      <c r="D1077">
        <v>1968.99</v>
      </c>
    </row>
    <row r="1078" spans="1:4" x14ac:dyDescent="0.3">
      <c r="A1078" s="75" t="s">
        <v>29</v>
      </c>
      <c r="B1078" s="75"/>
      <c r="C1078" s="16">
        <v>46199</v>
      </c>
      <c r="D1078">
        <v>382.69000000000005</v>
      </c>
    </row>
    <row r="1079" spans="1:4" x14ac:dyDescent="0.3">
      <c r="A1079" s="75" t="s">
        <v>30</v>
      </c>
      <c r="B1079" s="75"/>
      <c r="C1079" s="16">
        <v>46199</v>
      </c>
      <c r="D1079">
        <v>1428.08</v>
      </c>
    </row>
    <row r="1080" spans="1:4" x14ac:dyDescent="0.3">
      <c r="A1080" s="75" t="s">
        <v>31</v>
      </c>
      <c r="B1080" s="75"/>
      <c r="C1080" s="16">
        <v>46199</v>
      </c>
      <c r="D1080">
        <v>31039.969999999961</v>
      </c>
    </row>
    <row r="1081" spans="1:4" x14ac:dyDescent="0.3">
      <c r="A1081" s="75" t="s">
        <v>32</v>
      </c>
      <c r="B1081" s="75"/>
      <c r="C1081" s="16">
        <v>46199</v>
      </c>
      <c r="D1081">
        <v>20321.43</v>
      </c>
    </row>
    <row r="1082" spans="1:4" x14ac:dyDescent="0.3">
      <c r="A1082" s="75" t="s">
        <v>33</v>
      </c>
      <c r="B1082" s="75"/>
      <c r="C1082" s="16">
        <v>46199</v>
      </c>
      <c r="D1082">
        <v>28458.6</v>
      </c>
    </row>
    <row r="1083" spans="1:4" x14ac:dyDescent="0.3">
      <c r="A1083" s="75" t="s">
        <v>34</v>
      </c>
      <c r="B1083" s="75"/>
      <c r="C1083" s="16">
        <v>46199</v>
      </c>
      <c r="D1083">
        <v>345</v>
      </c>
    </row>
    <row r="1084" spans="1:4" x14ac:dyDescent="0.3">
      <c r="A1084" s="75" t="s">
        <v>35</v>
      </c>
      <c r="B1084" s="75"/>
      <c r="C1084" s="16">
        <v>46199</v>
      </c>
      <c r="D1084">
        <v>29918.639999999999</v>
      </c>
    </row>
    <row r="1085" spans="1:4" x14ac:dyDescent="0.3">
      <c r="A1085" s="75" t="s">
        <v>17</v>
      </c>
      <c r="B1085" s="75"/>
      <c r="C1085" s="16">
        <v>46200</v>
      </c>
      <c r="D1085">
        <v>6288055.7100000009</v>
      </c>
    </row>
    <row r="1086" spans="1:4" x14ac:dyDescent="0.3">
      <c r="A1086" s="75" t="s">
        <v>18</v>
      </c>
      <c r="B1086" s="75"/>
      <c r="C1086" s="16">
        <v>46200</v>
      </c>
      <c r="D1086">
        <v>72386.190000000177</v>
      </c>
    </row>
    <row r="1087" spans="1:4" x14ac:dyDescent="0.3">
      <c r="A1087" s="75" t="s">
        <v>19</v>
      </c>
      <c r="B1087" s="75"/>
      <c r="C1087" s="16">
        <v>46200</v>
      </c>
      <c r="D1087">
        <v>1669.89</v>
      </c>
    </row>
    <row r="1088" spans="1:4" x14ac:dyDescent="0.3">
      <c r="A1088" s="75" t="s">
        <v>20</v>
      </c>
      <c r="B1088" s="75"/>
      <c r="C1088" s="16">
        <v>46200</v>
      </c>
      <c r="D1088">
        <v>472766.72999999986</v>
      </c>
    </row>
    <row r="1089" spans="1:4" x14ac:dyDescent="0.3">
      <c r="A1089" s="75" t="s">
        <v>21</v>
      </c>
      <c r="B1089" s="75"/>
      <c r="C1089" s="16">
        <v>46200</v>
      </c>
      <c r="D1089">
        <v>1932389.7199999993</v>
      </c>
    </row>
    <row r="1090" spans="1:4" x14ac:dyDescent="0.3">
      <c r="A1090" s="75" t="s">
        <v>22</v>
      </c>
      <c r="B1090" s="75"/>
      <c r="C1090" s="16">
        <v>46200</v>
      </c>
      <c r="D1090">
        <v>1396496.38</v>
      </c>
    </row>
    <row r="1091" spans="1:4" x14ac:dyDescent="0.3">
      <c r="A1091" s="75" t="s">
        <v>23</v>
      </c>
      <c r="B1091" s="75"/>
      <c r="C1091" s="16">
        <v>46200</v>
      </c>
      <c r="D1091">
        <v>88090.37</v>
      </c>
    </row>
    <row r="1092" spans="1:4" x14ac:dyDescent="0.3">
      <c r="A1092" s="75" t="s">
        <v>24</v>
      </c>
      <c r="B1092" s="75"/>
      <c r="C1092" s="16">
        <v>46200</v>
      </c>
      <c r="D1092">
        <v>511.15999999999985</v>
      </c>
    </row>
    <row r="1093" spans="1:4" x14ac:dyDescent="0.3">
      <c r="A1093" s="75" t="s">
        <v>25</v>
      </c>
      <c r="B1093" s="75"/>
      <c r="C1093" s="16">
        <v>46200</v>
      </c>
      <c r="D1093">
        <v>84.35</v>
      </c>
    </row>
    <row r="1094" spans="1:4" x14ac:dyDescent="0.3">
      <c r="A1094" s="75" t="s">
        <v>26</v>
      </c>
      <c r="B1094" s="75"/>
      <c r="C1094" s="16">
        <v>46200</v>
      </c>
      <c r="D1094">
        <v>2237.77</v>
      </c>
    </row>
    <row r="1095" spans="1:4" x14ac:dyDescent="0.3">
      <c r="A1095" s="75" t="s">
        <v>27</v>
      </c>
      <c r="B1095" s="75"/>
      <c r="C1095" s="16">
        <v>46200</v>
      </c>
      <c r="D1095">
        <v>3349.94</v>
      </c>
    </row>
    <row r="1096" spans="1:4" x14ac:dyDescent="0.3">
      <c r="A1096" s="75" t="s">
        <v>28</v>
      </c>
      <c r="B1096" s="75"/>
      <c r="C1096" s="16">
        <v>46200</v>
      </c>
      <c r="D1096">
        <v>1968.99</v>
      </c>
    </row>
    <row r="1097" spans="1:4" x14ac:dyDescent="0.3">
      <c r="A1097" s="75" t="s">
        <v>29</v>
      </c>
      <c r="B1097" s="75"/>
      <c r="C1097" s="16">
        <v>46200</v>
      </c>
      <c r="D1097">
        <v>382.69000000000005</v>
      </c>
    </row>
    <row r="1098" spans="1:4" x14ac:dyDescent="0.3">
      <c r="A1098" s="75" t="s">
        <v>30</v>
      </c>
      <c r="B1098" s="75"/>
      <c r="C1098" s="16">
        <v>46200</v>
      </c>
      <c r="D1098">
        <v>1428.08</v>
      </c>
    </row>
    <row r="1099" spans="1:4" x14ac:dyDescent="0.3">
      <c r="A1099" s="75" t="s">
        <v>31</v>
      </c>
      <c r="B1099" s="75"/>
      <c r="C1099" s="16">
        <v>46200</v>
      </c>
      <c r="D1099">
        <v>31039.969999999961</v>
      </c>
    </row>
    <row r="1100" spans="1:4" x14ac:dyDescent="0.3">
      <c r="A1100" s="75" t="s">
        <v>32</v>
      </c>
      <c r="B1100" s="75"/>
      <c r="C1100" s="16">
        <v>46200</v>
      </c>
      <c r="D1100">
        <v>20321.43</v>
      </c>
    </row>
    <row r="1101" spans="1:4" x14ac:dyDescent="0.3">
      <c r="A1101" s="75" t="s">
        <v>33</v>
      </c>
      <c r="B1101" s="75"/>
      <c r="C1101" s="16">
        <v>46200</v>
      </c>
      <c r="D1101">
        <v>28458.6</v>
      </c>
    </row>
    <row r="1102" spans="1:4" x14ac:dyDescent="0.3">
      <c r="A1102" s="75" t="s">
        <v>34</v>
      </c>
      <c r="B1102" s="75"/>
      <c r="C1102" s="16">
        <v>46200</v>
      </c>
      <c r="D1102">
        <v>345</v>
      </c>
    </row>
    <row r="1103" spans="1:4" x14ac:dyDescent="0.3">
      <c r="A1103" s="75" t="s">
        <v>35</v>
      </c>
      <c r="B1103" s="75"/>
      <c r="C1103" s="16">
        <v>46200</v>
      </c>
      <c r="D1103">
        <v>29918.639999999999</v>
      </c>
    </row>
    <row r="1104" spans="1:4" x14ac:dyDescent="0.3">
      <c r="A1104" s="75" t="s">
        <v>17</v>
      </c>
      <c r="B1104" s="75"/>
      <c r="C1104" s="16">
        <v>46201</v>
      </c>
      <c r="D1104">
        <v>6288055.7100000009</v>
      </c>
    </row>
    <row r="1105" spans="1:4" x14ac:dyDescent="0.3">
      <c r="A1105" s="75" t="s">
        <v>18</v>
      </c>
      <c r="B1105" s="75"/>
      <c r="C1105" s="16">
        <v>46201</v>
      </c>
      <c r="D1105">
        <v>72386.190000000177</v>
      </c>
    </row>
    <row r="1106" spans="1:4" x14ac:dyDescent="0.3">
      <c r="A1106" s="75" t="s">
        <v>19</v>
      </c>
      <c r="B1106" s="75"/>
      <c r="C1106" s="16">
        <v>46201</v>
      </c>
      <c r="D1106">
        <v>1669.89</v>
      </c>
    </row>
    <row r="1107" spans="1:4" x14ac:dyDescent="0.3">
      <c r="A1107" s="75" t="s">
        <v>20</v>
      </c>
      <c r="B1107" s="75"/>
      <c r="C1107" s="16">
        <v>46201</v>
      </c>
      <c r="D1107">
        <v>472766.72999999986</v>
      </c>
    </row>
    <row r="1108" spans="1:4" x14ac:dyDescent="0.3">
      <c r="A1108" s="75" t="s">
        <v>21</v>
      </c>
      <c r="B1108" s="75"/>
      <c r="C1108" s="16">
        <v>46201</v>
      </c>
      <c r="D1108">
        <v>1932389.7199999993</v>
      </c>
    </row>
    <row r="1109" spans="1:4" x14ac:dyDescent="0.3">
      <c r="A1109" s="75" t="s">
        <v>22</v>
      </c>
      <c r="B1109" s="75"/>
      <c r="C1109" s="16">
        <v>46201</v>
      </c>
      <c r="D1109">
        <v>1396496.38</v>
      </c>
    </row>
    <row r="1110" spans="1:4" x14ac:dyDescent="0.3">
      <c r="A1110" s="75" t="s">
        <v>23</v>
      </c>
      <c r="B1110" s="75"/>
      <c r="C1110" s="16">
        <v>46201</v>
      </c>
      <c r="D1110">
        <v>88090.37</v>
      </c>
    </row>
    <row r="1111" spans="1:4" x14ac:dyDescent="0.3">
      <c r="A1111" s="75" t="s">
        <v>24</v>
      </c>
      <c r="B1111" s="75"/>
      <c r="C1111" s="16">
        <v>46201</v>
      </c>
      <c r="D1111">
        <v>511.15999999999985</v>
      </c>
    </row>
    <row r="1112" spans="1:4" x14ac:dyDescent="0.3">
      <c r="A1112" s="75" t="s">
        <v>25</v>
      </c>
      <c r="B1112" s="75"/>
      <c r="C1112" s="16">
        <v>46201</v>
      </c>
      <c r="D1112">
        <v>84.35</v>
      </c>
    </row>
    <row r="1113" spans="1:4" x14ac:dyDescent="0.3">
      <c r="A1113" s="75" t="s">
        <v>26</v>
      </c>
      <c r="B1113" s="75"/>
      <c r="C1113" s="16">
        <v>46201</v>
      </c>
      <c r="D1113">
        <v>2237.77</v>
      </c>
    </row>
    <row r="1114" spans="1:4" x14ac:dyDescent="0.3">
      <c r="A1114" s="75" t="s">
        <v>27</v>
      </c>
      <c r="B1114" s="75"/>
      <c r="C1114" s="16">
        <v>46201</v>
      </c>
      <c r="D1114">
        <v>3349.94</v>
      </c>
    </row>
    <row r="1115" spans="1:4" x14ac:dyDescent="0.3">
      <c r="A1115" s="75" t="s">
        <v>28</v>
      </c>
      <c r="B1115" s="75"/>
      <c r="C1115" s="16">
        <v>46201</v>
      </c>
      <c r="D1115">
        <v>1968.99</v>
      </c>
    </row>
    <row r="1116" spans="1:4" x14ac:dyDescent="0.3">
      <c r="A1116" s="75" t="s">
        <v>29</v>
      </c>
      <c r="B1116" s="75"/>
      <c r="C1116" s="16">
        <v>46201</v>
      </c>
      <c r="D1116">
        <v>382.69000000000005</v>
      </c>
    </row>
    <row r="1117" spans="1:4" x14ac:dyDescent="0.3">
      <c r="A1117" s="75" t="s">
        <v>30</v>
      </c>
      <c r="B1117" s="75"/>
      <c r="C1117" s="16">
        <v>46201</v>
      </c>
      <c r="D1117">
        <v>1428.08</v>
      </c>
    </row>
    <row r="1118" spans="1:4" x14ac:dyDescent="0.3">
      <c r="A1118" s="75" t="s">
        <v>31</v>
      </c>
      <c r="B1118" s="75"/>
      <c r="C1118" s="16">
        <v>46201</v>
      </c>
      <c r="D1118">
        <v>31039.969999999961</v>
      </c>
    </row>
    <row r="1119" spans="1:4" x14ac:dyDescent="0.3">
      <c r="A1119" s="75" t="s">
        <v>32</v>
      </c>
      <c r="B1119" s="75"/>
      <c r="C1119" s="16">
        <v>46201</v>
      </c>
      <c r="D1119">
        <v>20321.43</v>
      </c>
    </row>
    <row r="1120" spans="1:4" x14ac:dyDescent="0.3">
      <c r="A1120" s="75" t="s">
        <v>33</v>
      </c>
      <c r="B1120" s="75"/>
      <c r="C1120" s="16">
        <v>46201</v>
      </c>
      <c r="D1120">
        <v>28458.6</v>
      </c>
    </row>
    <row r="1121" spans="1:4" x14ac:dyDescent="0.3">
      <c r="A1121" s="75" t="s">
        <v>34</v>
      </c>
      <c r="B1121" s="75"/>
      <c r="C1121" s="16">
        <v>46201</v>
      </c>
      <c r="D1121">
        <v>345</v>
      </c>
    </row>
    <row r="1122" spans="1:4" x14ac:dyDescent="0.3">
      <c r="A1122" s="75" t="s">
        <v>35</v>
      </c>
      <c r="B1122" s="75"/>
      <c r="C1122" s="16">
        <v>46201</v>
      </c>
      <c r="D1122">
        <v>29918.639999999999</v>
      </c>
    </row>
    <row r="1123" spans="1:4" x14ac:dyDescent="0.3">
      <c r="A1123" s="75" t="s">
        <v>17</v>
      </c>
      <c r="B1123" s="75"/>
      <c r="C1123" s="16">
        <v>46202</v>
      </c>
      <c r="D1123">
        <v>6299174.8100000015</v>
      </c>
    </row>
    <row r="1124" spans="1:4" x14ac:dyDescent="0.3">
      <c r="A1124" s="75" t="s">
        <v>18</v>
      </c>
      <c r="B1124" s="75"/>
      <c r="C1124" s="16">
        <v>46202</v>
      </c>
      <c r="D1124">
        <v>72386.190000000177</v>
      </c>
    </row>
    <row r="1125" spans="1:4" x14ac:dyDescent="0.3">
      <c r="A1125" s="75" t="s">
        <v>19</v>
      </c>
      <c r="B1125" s="75"/>
      <c r="C1125" s="16">
        <v>46202</v>
      </c>
      <c r="D1125">
        <v>1669.89</v>
      </c>
    </row>
    <row r="1126" spans="1:4" x14ac:dyDescent="0.3">
      <c r="A1126" s="75" t="s">
        <v>20</v>
      </c>
      <c r="B1126" s="75"/>
      <c r="C1126" s="16">
        <v>46202</v>
      </c>
      <c r="D1126">
        <v>489745.62999999989</v>
      </c>
    </row>
    <row r="1127" spans="1:4" x14ac:dyDescent="0.3">
      <c r="A1127" s="75" t="s">
        <v>21</v>
      </c>
      <c r="B1127" s="75"/>
      <c r="C1127" s="16">
        <v>46202</v>
      </c>
      <c r="D1127">
        <v>1768167.9199999995</v>
      </c>
    </row>
    <row r="1128" spans="1:4" x14ac:dyDescent="0.3">
      <c r="A1128" s="75" t="s">
        <v>22</v>
      </c>
      <c r="B1128" s="75"/>
      <c r="C1128" s="16">
        <v>46202</v>
      </c>
      <c r="D1128">
        <v>396496.38</v>
      </c>
    </row>
    <row r="1129" spans="1:4" x14ac:dyDescent="0.3">
      <c r="A1129" s="75" t="s">
        <v>23</v>
      </c>
      <c r="B1129" s="75"/>
      <c r="C1129" s="16">
        <v>46202</v>
      </c>
      <c r="D1129">
        <v>88090.37</v>
      </c>
    </row>
    <row r="1130" spans="1:4" x14ac:dyDescent="0.3">
      <c r="A1130" s="75" t="s">
        <v>24</v>
      </c>
      <c r="B1130" s="75"/>
      <c r="C1130" s="16">
        <v>46202</v>
      </c>
      <c r="D1130">
        <v>511.15999999999985</v>
      </c>
    </row>
    <row r="1131" spans="1:4" x14ac:dyDescent="0.3">
      <c r="A1131" s="75" t="s">
        <v>25</v>
      </c>
      <c r="B1131" s="75"/>
      <c r="C1131" s="16">
        <v>46202</v>
      </c>
      <c r="D1131">
        <v>84.35</v>
      </c>
    </row>
    <row r="1132" spans="1:4" x14ac:dyDescent="0.3">
      <c r="A1132" s="75" t="s">
        <v>26</v>
      </c>
      <c r="B1132" s="75"/>
      <c r="C1132" s="16">
        <v>46202</v>
      </c>
      <c r="D1132">
        <v>2237.77</v>
      </c>
    </row>
    <row r="1133" spans="1:4" x14ac:dyDescent="0.3">
      <c r="A1133" s="75" t="s">
        <v>27</v>
      </c>
      <c r="B1133" s="75"/>
      <c r="C1133" s="16">
        <v>46202</v>
      </c>
      <c r="D1133">
        <v>3349.94</v>
      </c>
    </row>
    <row r="1134" spans="1:4" x14ac:dyDescent="0.3">
      <c r="A1134" s="75" t="s">
        <v>28</v>
      </c>
      <c r="B1134" s="75"/>
      <c r="C1134" s="16">
        <v>46202</v>
      </c>
      <c r="D1134">
        <v>1968.99</v>
      </c>
    </row>
    <row r="1135" spans="1:4" x14ac:dyDescent="0.3">
      <c r="A1135" s="75" t="s">
        <v>29</v>
      </c>
      <c r="B1135" s="75"/>
      <c r="C1135" s="16">
        <v>46202</v>
      </c>
      <c r="D1135">
        <v>382.69000000000005</v>
      </c>
    </row>
    <row r="1136" spans="1:4" x14ac:dyDescent="0.3">
      <c r="A1136" s="75" t="s">
        <v>30</v>
      </c>
      <c r="B1136" s="75"/>
      <c r="C1136" s="16">
        <v>46202</v>
      </c>
      <c r="D1136">
        <v>1428.08</v>
      </c>
    </row>
    <row r="1137" spans="1:4" x14ac:dyDescent="0.3">
      <c r="A1137" s="75" t="s">
        <v>31</v>
      </c>
      <c r="B1137" s="75"/>
      <c r="C1137" s="16">
        <v>46202</v>
      </c>
      <c r="D1137">
        <v>31039.969999999961</v>
      </c>
    </row>
    <row r="1138" spans="1:4" x14ac:dyDescent="0.3">
      <c r="A1138" s="75" t="s">
        <v>32</v>
      </c>
      <c r="B1138" s="75"/>
      <c r="C1138" s="16">
        <v>46202</v>
      </c>
      <c r="D1138">
        <v>20321.43</v>
      </c>
    </row>
    <row r="1139" spans="1:4" x14ac:dyDescent="0.3">
      <c r="A1139" s="75" t="s">
        <v>33</v>
      </c>
      <c r="B1139" s="75"/>
      <c r="C1139" s="16">
        <v>46202</v>
      </c>
      <c r="D1139">
        <v>28458.6</v>
      </c>
    </row>
    <row r="1140" spans="1:4" x14ac:dyDescent="0.3">
      <c r="A1140" s="75" t="s">
        <v>34</v>
      </c>
      <c r="B1140" s="75"/>
      <c r="C1140" s="16">
        <v>46202</v>
      </c>
      <c r="D1140">
        <v>345</v>
      </c>
    </row>
    <row r="1141" spans="1:4" x14ac:dyDescent="0.3">
      <c r="A1141" s="75" t="s">
        <v>35</v>
      </c>
      <c r="B1141" s="75"/>
      <c r="C1141" s="16">
        <v>46202</v>
      </c>
      <c r="D1141">
        <v>23872.78</v>
      </c>
    </row>
    <row r="1142" spans="1:4" x14ac:dyDescent="0.3">
      <c r="A1142" s="75" t="s">
        <v>17</v>
      </c>
      <c r="B1142" s="75"/>
      <c r="C1142" s="16">
        <v>46203</v>
      </c>
      <c r="D1142">
        <v>6295585.7500000009</v>
      </c>
    </row>
    <row r="1143" spans="1:4" x14ac:dyDescent="0.3">
      <c r="A1143" s="75" t="s">
        <v>18</v>
      </c>
      <c r="B1143" s="75"/>
      <c r="C1143" s="16">
        <v>46203</v>
      </c>
      <c r="D1143">
        <v>79139.680000000168</v>
      </c>
    </row>
    <row r="1144" spans="1:4" x14ac:dyDescent="0.3">
      <c r="A1144" s="75" t="s">
        <v>19</v>
      </c>
      <c r="B1144" s="75"/>
      <c r="C1144" s="16">
        <v>46203</v>
      </c>
      <c r="D1144">
        <v>1669.89</v>
      </c>
    </row>
    <row r="1145" spans="1:4" x14ac:dyDescent="0.3">
      <c r="A1145" s="75" t="s">
        <v>20</v>
      </c>
      <c r="B1145" s="75"/>
      <c r="C1145" s="16">
        <v>46203</v>
      </c>
      <c r="D1145">
        <v>489745.62999999989</v>
      </c>
    </row>
    <row r="1146" spans="1:4" x14ac:dyDescent="0.3">
      <c r="A1146" s="75" t="s">
        <v>21</v>
      </c>
      <c r="B1146" s="75"/>
      <c r="C1146" s="16">
        <v>46203</v>
      </c>
      <c r="D1146">
        <v>1696284.7299999995</v>
      </c>
    </row>
    <row r="1147" spans="1:4" x14ac:dyDescent="0.3">
      <c r="A1147" s="75" t="s">
        <v>22</v>
      </c>
      <c r="B1147" s="75"/>
      <c r="C1147" s="16">
        <v>46203</v>
      </c>
      <c r="D1147">
        <v>390496.38</v>
      </c>
    </row>
    <row r="1148" spans="1:4" x14ac:dyDescent="0.3">
      <c r="A1148" s="75" t="s">
        <v>23</v>
      </c>
      <c r="B1148" s="75"/>
      <c r="C1148" s="16">
        <v>46203</v>
      </c>
      <c r="D1148">
        <v>88090.37</v>
      </c>
    </row>
    <row r="1149" spans="1:4" x14ac:dyDescent="0.3">
      <c r="A1149" s="75" t="s">
        <v>24</v>
      </c>
      <c r="B1149" s="75"/>
      <c r="C1149" s="16">
        <v>46203</v>
      </c>
      <c r="D1149">
        <v>511.15999999999985</v>
      </c>
    </row>
    <row r="1150" spans="1:4" x14ac:dyDescent="0.3">
      <c r="A1150" s="75" t="s">
        <v>25</v>
      </c>
      <c r="B1150" s="75"/>
      <c r="C1150" s="16">
        <v>46203</v>
      </c>
      <c r="D1150">
        <v>84.35</v>
      </c>
    </row>
    <row r="1151" spans="1:4" x14ac:dyDescent="0.3">
      <c r="A1151" s="75" t="s">
        <v>26</v>
      </c>
      <c r="B1151" s="75"/>
      <c r="C1151" s="16">
        <v>46203</v>
      </c>
      <c r="D1151">
        <v>2237.77</v>
      </c>
    </row>
    <row r="1152" spans="1:4" x14ac:dyDescent="0.3">
      <c r="A1152" s="75" t="s">
        <v>27</v>
      </c>
      <c r="B1152" s="75"/>
      <c r="C1152" s="16">
        <v>46203</v>
      </c>
      <c r="D1152">
        <v>3349.94</v>
      </c>
    </row>
    <row r="1153" spans="1:4" x14ac:dyDescent="0.3">
      <c r="A1153" s="75" t="s">
        <v>28</v>
      </c>
      <c r="B1153" s="75"/>
      <c r="C1153" s="16">
        <v>46203</v>
      </c>
      <c r="D1153">
        <v>1968.99</v>
      </c>
    </row>
    <row r="1154" spans="1:4" x14ac:dyDescent="0.3">
      <c r="A1154" s="75" t="s">
        <v>29</v>
      </c>
      <c r="B1154" s="75"/>
      <c r="C1154" s="16">
        <v>46203</v>
      </c>
      <c r="D1154">
        <v>382.69000000000005</v>
      </c>
    </row>
    <row r="1155" spans="1:4" x14ac:dyDescent="0.3">
      <c r="A1155" s="75" t="s">
        <v>30</v>
      </c>
      <c r="B1155" s="75"/>
      <c r="C1155" s="16">
        <v>46203</v>
      </c>
      <c r="D1155">
        <v>1428.08</v>
      </c>
    </row>
    <row r="1156" spans="1:4" x14ac:dyDescent="0.3">
      <c r="A1156" s="75" t="s">
        <v>31</v>
      </c>
      <c r="B1156" s="75"/>
      <c r="C1156" s="16">
        <v>46203</v>
      </c>
      <c r="D1156">
        <v>31039.969999999961</v>
      </c>
    </row>
    <row r="1157" spans="1:4" x14ac:dyDescent="0.3">
      <c r="A1157" s="75" t="s">
        <v>32</v>
      </c>
      <c r="B1157" s="75"/>
      <c r="C1157" s="16">
        <v>46203</v>
      </c>
      <c r="D1157">
        <v>20321.43</v>
      </c>
    </row>
    <row r="1158" spans="1:4" x14ac:dyDescent="0.3">
      <c r="A1158" s="75" t="s">
        <v>33</v>
      </c>
      <c r="B1158" s="75"/>
      <c r="C1158" s="16">
        <v>46203</v>
      </c>
      <c r="D1158">
        <v>28458.6</v>
      </c>
    </row>
    <row r="1159" spans="1:4" x14ac:dyDescent="0.3">
      <c r="A1159" s="75" t="s">
        <v>34</v>
      </c>
      <c r="B1159" s="75"/>
      <c r="C1159" s="16">
        <v>46203</v>
      </c>
      <c r="D1159">
        <v>345</v>
      </c>
    </row>
    <row r="1160" spans="1:4" x14ac:dyDescent="0.3">
      <c r="A1160" s="75" t="s">
        <v>35</v>
      </c>
      <c r="B1160" s="75"/>
      <c r="C1160" s="16">
        <v>46203</v>
      </c>
      <c r="D1160">
        <v>23872.78</v>
      </c>
    </row>
    <row r="1161" spans="1:4" x14ac:dyDescent="0.3">
      <c r="A1161" s="75" t="s">
        <v>17</v>
      </c>
      <c r="B1161" s="75"/>
      <c r="C1161" s="16">
        <v>46204</v>
      </c>
      <c r="D1161">
        <v>6295585.7500000009</v>
      </c>
    </row>
    <row r="1162" spans="1:4" x14ac:dyDescent="0.3">
      <c r="A1162" s="75" t="s">
        <v>18</v>
      </c>
      <c r="B1162" s="75"/>
      <c r="C1162" s="16">
        <v>46204</v>
      </c>
      <c r="D1162">
        <v>79139.680000000168</v>
      </c>
    </row>
    <row r="1163" spans="1:4" x14ac:dyDescent="0.3">
      <c r="A1163" s="75" t="s">
        <v>19</v>
      </c>
      <c r="B1163" s="75"/>
      <c r="C1163" s="16">
        <v>46204</v>
      </c>
      <c r="D1163">
        <v>1669.89</v>
      </c>
    </row>
    <row r="1164" spans="1:4" x14ac:dyDescent="0.3">
      <c r="A1164" s="75" t="s">
        <v>20</v>
      </c>
      <c r="B1164" s="75"/>
      <c r="C1164" s="16">
        <v>46204</v>
      </c>
      <c r="D1164">
        <v>507936.37999999989</v>
      </c>
    </row>
    <row r="1165" spans="1:4" x14ac:dyDescent="0.3">
      <c r="A1165" s="75" t="s">
        <v>21</v>
      </c>
      <c r="B1165" s="75"/>
      <c r="C1165" s="16">
        <v>46204</v>
      </c>
      <c r="D1165">
        <v>1696284.7299999995</v>
      </c>
    </row>
    <row r="1166" spans="1:4" x14ac:dyDescent="0.3">
      <c r="A1166" s="75" t="s">
        <v>22</v>
      </c>
      <c r="B1166" s="75"/>
      <c r="C1166" s="16">
        <v>46204</v>
      </c>
      <c r="D1166">
        <v>390496.38</v>
      </c>
    </row>
    <row r="1167" spans="1:4" x14ac:dyDescent="0.3">
      <c r="A1167" s="75" t="s">
        <v>23</v>
      </c>
      <c r="B1167" s="75"/>
      <c r="C1167" s="16">
        <v>46204</v>
      </c>
      <c r="D1167">
        <v>88090.37</v>
      </c>
    </row>
    <row r="1168" spans="1:4" x14ac:dyDescent="0.3">
      <c r="A1168" s="75" t="s">
        <v>24</v>
      </c>
      <c r="B1168" s="75"/>
      <c r="C1168" s="16">
        <v>46204</v>
      </c>
      <c r="D1168">
        <v>511.15999999999985</v>
      </c>
    </row>
    <row r="1169" spans="1:4" x14ac:dyDescent="0.3">
      <c r="A1169" s="75" t="s">
        <v>25</v>
      </c>
      <c r="B1169" s="75"/>
      <c r="C1169" s="16">
        <v>46204</v>
      </c>
      <c r="D1169">
        <v>54.400000000000006</v>
      </c>
    </row>
    <row r="1170" spans="1:4" x14ac:dyDescent="0.3">
      <c r="A1170" s="75" t="s">
        <v>26</v>
      </c>
      <c r="B1170" s="75"/>
      <c r="C1170" s="16">
        <v>46204</v>
      </c>
      <c r="D1170">
        <v>2207.8200000000002</v>
      </c>
    </row>
    <row r="1171" spans="1:4" x14ac:dyDescent="0.3">
      <c r="A1171" s="75" t="s">
        <v>27</v>
      </c>
      <c r="B1171" s="75"/>
      <c r="C1171" s="16">
        <v>46204</v>
      </c>
      <c r="D1171">
        <v>3349.94</v>
      </c>
    </row>
    <row r="1172" spans="1:4" x14ac:dyDescent="0.3">
      <c r="A1172" s="75" t="s">
        <v>28</v>
      </c>
      <c r="B1172" s="75"/>
      <c r="C1172" s="16">
        <v>46204</v>
      </c>
      <c r="D1172">
        <v>1968.99</v>
      </c>
    </row>
    <row r="1173" spans="1:4" x14ac:dyDescent="0.3">
      <c r="A1173" s="75" t="s">
        <v>29</v>
      </c>
      <c r="B1173" s="75"/>
      <c r="C1173" s="16">
        <v>46204</v>
      </c>
      <c r="D1173">
        <v>382.69000000000005</v>
      </c>
    </row>
    <row r="1174" spans="1:4" x14ac:dyDescent="0.3">
      <c r="A1174" s="75" t="s">
        <v>30</v>
      </c>
      <c r="B1174" s="75"/>
      <c r="C1174" s="16">
        <v>46204</v>
      </c>
      <c r="D1174">
        <v>1412.08</v>
      </c>
    </row>
    <row r="1175" spans="1:4" x14ac:dyDescent="0.3">
      <c r="A1175" s="75" t="s">
        <v>31</v>
      </c>
      <c r="B1175" s="75"/>
      <c r="C1175" s="16">
        <v>46204</v>
      </c>
      <c r="D1175">
        <v>22496.639999999959</v>
      </c>
    </row>
    <row r="1176" spans="1:4" x14ac:dyDescent="0.3">
      <c r="A1176" s="75" t="s">
        <v>32</v>
      </c>
      <c r="B1176" s="75"/>
      <c r="C1176" s="16">
        <v>46204</v>
      </c>
      <c r="D1176">
        <v>10522.800000000003</v>
      </c>
    </row>
    <row r="1177" spans="1:4" x14ac:dyDescent="0.3">
      <c r="A1177" s="75" t="s">
        <v>33</v>
      </c>
      <c r="B1177" s="75"/>
      <c r="C1177" s="16">
        <v>46204</v>
      </c>
      <c r="D1177">
        <v>19685.559999999998</v>
      </c>
    </row>
    <row r="1178" spans="1:4" x14ac:dyDescent="0.3">
      <c r="A1178" s="75" t="s">
        <v>34</v>
      </c>
      <c r="B1178" s="75"/>
      <c r="C1178" s="16">
        <v>46204</v>
      </c>
      <c r="D1178">
        <v>345</v>
      </c>
    </row>
    <row r="1179" spans="1:4" x14ac:dyDescent="0.3">
      <c r="A1179" s="75" t="s">
        <v>35</v>
      </c>
      <c r="B1179" s="75"/>
      <c r="C1179" s="16">
        <v>46204</v>
      </c>
      <c r="D1179">
        <v>23439.279999999999</v>
      </c>
    </row>
    <row r="1180" spans="1:4" x14ac:dyDescent="0.3">
      <c r="A1180" s="75" t="s">
        <v>17</v>
      </c>
      <c r="B1180" s="75"/>
      <c r="C1180" s="16">
        <v>46205</v>
      </c>
      <c r="D1180">
        <v>5592585.7500000009</v>
      </c>
    </row>
    <row r="1181" spans="1:4" x14ac:dyDescent="0.3">
      <c r="A1181" s="75" t="s">
        <v>18</v>
      </c>
      <c r="B1181" s="75"/>
      <c r="C1181" s="16">
        <v>46205</v>
      </c>
      <c r="D1181">
        <v>79139.680000000168</v>
      </c>
    </row>
    <row r="1182" spans="1:4" x14ac:dyDescent="0.3">
      <c r="A1182" s="75" t="s">
        <v>19</v>
      </c>
      <c r="B1182" s="75"/>
      <c r="C1182" s="16">
        <v>46205</v>
      </c>
      <c r="D1182">
        <v>1669.89</v>
      </c>
    </row>
    <row r="1183" spans="1:4" x14ac:dyDescent="0.3">
      <c r="A1183" s="75" t="s">
        <v>20</v>
      </c>
      <c r="B1183" s="75"/>
      <c r="C1183" s="16">
        <v>46205</v>
      </c>
      <c r="D1183">
        <v>350475.62999999989</v>
      </c>
    </row>
    <row r="1184" spans="1:4" x14ac:dyDescent="0.3">
      <c r="A1184" s="75" t="s">
        <v>21</v>
      </c>
      <c r="B1184" s="75"/>
      <c r="C1184" s="16">
        <v>46205</v>
      </c>
      <c r="D1184">
        <v>1761564.8799999994</v>
      </c>
    </row>
    <row r="1185" spans="1:4" x14ac:dyDescent="0.3">
      <c r="A1185" s="75" t="s">
        <v>22</v>
      </c>
      <c r="B1185" s="75"/>
      <c r="C1185" s="16">
        <v>46205</v>
      </c>
      <c r="D1185">
        <v>220496.38</v>
      </c>
    </row>
    <row r="1186" spans="1:4" x14ac:dyDescent="0.3">
      <c r="A1186" s="75" t="s">
        <v>23</v>
      </c>
      <c r="B1186" s="75"/>
      <c r="C1186" s="16">
        <v>46205</v>
      </c>
      <c r="D1186">
        <v>88090.37</v>
      </c>
    </row>
    <row r="1187" spans="1:4" x14ac:dyDescent="0.3">
      <c r="A1187" s="75" t="s">
        <v>24</v>
      </c>
      <c r="B1187" s="75"/>
      <c r="C1187" s="16">
        <v>46205</v>
      </c>
      <c r="D1187">
        <v>511.15999999999985</v>
      </c>
    </row>
    <row r="1188" spans="1:4" x14ac:dyDescent="0.3">
      <c r="A1188" s="75" t="s">
        <v>25</v>
      </c>
      <c r="B1188" s="75"/>
      <c r="C1188" s="16">
        <v>46205</v>
      </c>
      <c r="D1188">
        <v>54.400000000000006</v>
      </c>
    </row>
    <row r="1189" spans="1:4" x14ac:dyDescent="0.3">
      <c r="A1189" s="75" t="s">
        <v>26</v>
      </c>
      <c r="B1189" s="75"/>
      <c r="C1189" s="16">
        <v>46205</v>
      </c>
      <c r="D1189">
        <v>2207.8200000000002</v>
      </c>
    </row>
    <row r="1190" spans="1:4" x14ac:dyDescent="0.3">
      <c r="A1190" s="75" t="s">
        <v>27</v>
      </c>
      <c r="B1190" s="75"/>
      <c r="C1190" s="16">
        <v>46205</v>
      </c>
      <c r="D1190">
        <v>3349.94</v>
      </c>
    </row>
    <row r="1191" spans="1:4" x14ac:dyDescent="0.3">
      <c r="A1191" s="75" t="s">
        <v>28</v>
      </c>
      <c r="B1191" s="75"/>
      <c r="C1191" s="16">
        <v>46205</v>
      </c>
      <c r="D1191">
        <v>1968.99</v>
      </c>
    </row>
    <row r="1192" spans="1:4" x14ac:dyDescent="0.3">
      <c r="A1192" s="75" t="s">
        <v>29</v>
      </c>
      <c r="B1192" s="75"/>
      <c r="C1192" s="16">
        <v>46205</v>
      </c>
      <c r="D1192">
        <v>382.69000000000005</v>
      </c>
    </row>
    <row r="1193" spans="1:4" x14ac:dyDescent="0.3">
      <c r="A1193" s="75" t="s">
        <v>30</v>
      </c>
      <c r="B1193" s="75"/>
      <c r="C1193" s="16">
        <v>46205</v>
      </c>
      <c r="D1193">
        <v>1412.08</v>
      </c>
    </row>
    <row r="1194" spans="1:4" x14ac:dyDescent="0.3">
      <c r="A1194" s="75" t="s">
        <v>31</v>
      </c>
      <c r="B1194" s="75"/>
      <c r="C1194" s="16">
        <v>46205</v>
      </c>
      <c r="D1194">
        <v>22496.639999999959</v>
      </c>
    </row>
    <row r="1195" spans="1:4" x14ac:dyDescent="0.3">
      <c r="A1195" s="75" t="s">
        <v>32</v>
      </c>
      <c r="B1195" s="75"/>
      <c r="C1195" s="16">
        <v>46205</v>
      </c>
      <c r="D1195">
        <v>10522.800000000003</v>
      </c>
    </row>
    <row r="1196" spans="1:4" x14ac:dyDescent="0.3">
      <c r="A1196" s="75" t="s">
        <v>33</v>
      </c>
      <c r="B1196" s="75"/>
      <c r="C1196" s="16">
        <v>46205</v>
      </c>
      <c r="D1196">
        <v>24085.559999999998</v>
      </c>
    </row>
    <row r="1197" spans="1:4" x14ac:dyDescent="0.3">
      <c r="A1197" s="75" t="s">
        <v>34</v>
      </c>
      <c r="B1197" s="75"/>
      <c r="C1197" s="16">
        <v>46205</v>
      </c>
      <c r="D1197">
        <v>345</v>
      </c>
    </row>
    <row r="1198" spans="1:4" x14ac:dyDescent="0.3">
      <c r="A1198" s="75" t="s">
        <v>35</v>
      </c>
      <c r="B1198" s="75"/>
      <c r="C1198" s="16">
        <v>46205</v>
      </c>
      <c r="D1198">
        <v>36241.22</v>
      </c>
    </row>
    <row r="1199" spans="1:4" x14ac:dyDescent="0.3">
      <c r="A1199" s="75" t="s">
        <v>17</v>
      </c>
      <c r="B1199" s="75"/>
      <c r="C1199" s="16">
        <v>46206</v>
      </c>
      <c r="D1199">
        <v>5592585.7500000009</v>
      </c>
    </row>
    <row r="1200" spans="1:4" x14ac:dyDescent="0.3">
      <c r="A1200" s="75" t="s">
        <v>18</v>
      </c>
      <c r="B1200" s="75"/>
      <c r="C1200" s="16">
        <v>46206</v>
      </c>
      <c r="D1200">
        <v>79139.680000000168</v>
      </c>
    </row>
    <row r="1201" spans="1:4" x14ac:dyDescent="0.3">
      <c r="A1201" s="75" t="s">
        <v>19</v>
      </c>
      <c r="B1201" s="75"/>
      <c r="C1201" s="16">
        <v>46206</v>
      </c>
      <c r="D1201">
        <v>1669.89</v>
      </c>
    </row>
    <row r="1202" spans="1:4" x14ac:dyDescent="0.3">
      <c r="A1202" s="75" t="s">
        <v>20</v>
      </c>
      <c r="B1202" s="75"/>
      <c r="C1202" s="16">
        <v>46206</v>
      </c>
      <c r="D1202">
        <v>350475.62999999989</v>
      </c>
    </row>
    <row r="1203" spans="1:4" x14ac:dyDescent="0.3">
      <c r="A1203" s="75" t="s">
        <v>21</v>
      </c>
      <c r="B1203" s="75"/>
      <c r="C1203" s="16">
        <v>46206</v>
      </c>
      <c r="D1203">
        <v>1761564.8799999994</v>
      </c>
    </row>
    <row r="1204" spans="1:4" x14ac:dyDescent="0.3">
      <c r="A1204" s="75" t="s">
        <v>22</v>
      </c>
      <c r="B1204" s="75"/>
      <c r="C1204" s="16">
        <v>46206</v>
      </c>
      <c r="D1204">
        <v>220496.38</v>
      </c>
    </row>
    <row r="1205" spans="1:4" x14ac:dyDescent="0.3">
      <c r="A1205" s="75" t="s">
        <v>23</v>
      </c>
      <c r="B1205" s="75"/>
      <c r="C1205" s="16">
        <v>46206</v>
      </c>
      <c r="D1205">
        <v>88090.37</v>
      </c>
    </row>
    <row r="1206" spans="1:4" x14ac:dyDescent="0.3">
      <c r="A1206" s="75" t="s">
        <v>24</v>
      </c>
      <c r="B1206" s="75"/>
      <c r="C1206" s="16">
        <v>46206</v>
      </c>
      <c r="D1206">
        <v>471.15999999999985</v>
      </c>
    </row>
    <row r="1207" spans="1:4" x14ac:dyDescent="0.3">
      <c r="A1207" s="75" t="s">
        <v>25</v>
      </c>
      <c r="B1207" s="75"/>
      <c r="C1207" s="16">
        <v>46206</v>
      </c>
      <c r="D1207">
        <v>54.400000000000006</v>
      </c>
    </row>
    <row r="1208" spans="1:4" x14ac:dyDescent="0.3">
      <c r="A1208" s="75" t="s">
        <v>26</v>
      </c>
      <c r="B1208" s="75"/>
      <c r="C1208" s="16">
        <v>46206</v>
      </c>
      <c r="D1208">
        <v>2207.8200000000002</v>
      </c>
    </row>
    <row r="1209" spans="1:4" x14ac:dyDescent="0.3">
      <c r="A1209" s="75" t="s">
        <v>27</v>
      </c>
      <c r="B1209" s="75"/>
      <c r="C1209" s="16">
        <v>46206</v>
      </c>
      <c r="D1209">
        <v>3349.94</v>
      </c>
    </row>
    <row r="1210" spans="1:4" x14ac:dyDescent="0.3">
      <c r="A1210" s="75" t="s">
        <v>28</v>
      </c>
      <c r="B1210" s="75"/>
      <c r="C1210" s="16">
        <v>46206</v>
      </c>
      <c r="D1210">
        <v>1968.99</v>
      </c>
    </row>
    <row r="1211" spans="1:4" x14ac:dyDescent="0.3">
      <c r="A1211" s="75" t="s">
        <v>29</v>
      </c>
      <c r="B1211" s="75"/>
      <c r="C1211" s="16">
        <v>46206</v>
      </c>
      <c r="D1211">
        <v>382.69000000000005</v>
      </c>
    </row>
    <row r="1212" spans="1:4" x14ac:dyDescent="0.3">
      <c r="A1212" s="75" t="s">
        <v>30</v>
      </c>
      <c r="B1212" s="75"/>
      <c r="C1212" s="16">
        <v>46206</v>
      </c>
      <c r="D1212">
        <v>1412.08</v>
      </c>
    </row>
    <row r="1213" spans="1:4" x14ac:dyDescent="0.3">
      <c r="A1213" s="75" t="s">
        <v>31</v>
      </c>
      <c r="B1213" s="75"/>
      <c r="C1213" s="16">
        <v>46206</v>
      </c>
      <c r="D1213">
        <v>22496.639999999959</v>
      </c>
    </row>
    <row r="1214" spans="1:4" x14ac:dyDescent="0.3">
      <c r="A1214" s="75" t="s">
        <v>32</v>
      </c>
      <c r="B1214" s="75"/>
      <c r="C1214" s="16">
        <v>46206</v>
      </c>
      <c r="D1214">
        <v>10522.800000000003</v>
      </c>
    </row>
    <row r="1215" spans="1:4" x14ac:dyDescent="0.3">
      <c r="A1215" s="75" t="s">
        <v>33</v>
      </c>
      <c r="B1215" s="75"/>
      <c r="C1215" s="16">
        <v>46206</v>
      </c>
      <c r="D1215">
        <v>24085.559999999998</v>
      </c>
    </row>
    <row r="1216" spans="1:4" x14ac:dyDescent="0.3">
      <c r="A1216" s="75" t="s">
        <v>34</v>
      </c>
      <c r="B1216" s="75"/>
      <c r="C1216" s="16">
        <v>46206</v>
      </c>
      <c r="D1216">
        <v>345</v>
      </c>
    </row>
    <row r="1217" spans="1:4" x14ac:dyDescent="0.3">
      <c r="A1217" s="75" t="s">
        <v>35</v>
      </c>
      <c r="B1217" s="75"/>
      <c r="C1217" s="16">
        <v>46206</v>
      </c>
      <c r="D1217">
        <v>33119.040000000001</v>
      </c>
    </row>
    <row r="1218" spans="1:4" x14ac:dyDescent="0.3">
      <c r="A1218" s="75" t="s">
        <v>17</v>
      </c>
      <c r="B1218" s="75"/>
      <c r="C1218" s="16">
        <v>46207</v>
      </c>
      <c r="D1218">
        <v>5592585.7500000009</v>
      </c>
    </row>
    <row r="1219" spans="1:4" x14ac:dyDescent="0.3">
      <c r="A1219" s="75" t="s">
        <v>18</v>
      </c>
      <c r="B1219" s="75"/>
      <c r="C1219" s="16">
        <v>46207</v>
      </c>
      <c r="D1219">
        <v>79139.680000000168</v>
      </c>
    </row>
    <row r="1220" spans="1:4" x14ac:dyDescent="0.3">
      <c r="A1220" s="75" t="s">
        <v>19</v>
      </c>
      <c r="B1220" s="75"/>
      <c r="C1220" s="16">
        <v>46207</v>
      </c>
      <c r="D1220">
        <v>1669.89</v>
      </c>
    </row>
    <row r="1221" spans="1:4" x14ac:dyDescent="0.3">
      <c r="A1221" s="75" t="s">
        <v>20</v>
      </c>
      <c r="B1221" s="75"/>
      <c r="C1221" s="16">
        <v>46207</v>
      </c>
      <c r="D1221">
        <v>350475.62999999989</v>
      </c>
    </row>
    <row r="1222" spans="1:4" x14ac:dyDescent="0.3">
      <c r="A1222" s="75" t="s">
        <v>21</v>
      </c>
      <c r="B1222" s="75"/>
      <c r="C1222" s="16">
        <v>46207</v>
      </c>
      <c r="D1222">
        <v>1761564.8799999994</v>
      </c>
    </row>
    <row r="1223" spans="1:4" x14ac:dyDescent="0.3">
      <c r="A1223" s="75" t="s">
        <v>22</v>
      </c>
      <c r="B1223" s="75"/>
      <c r="C1223" s="16">
        <v>46207</v>
      </c>
      <c r="D1223">
        <v>220496.38</v>
      </c>
    </row>
    <row r="1224" spans="1:4" x14ac:dyDescent="0.3">
      <c r="A1224" s="75" t="s">
        <v>23</v>
      </c>
      <c r="B1224" s="75"/>
      <c r="C1224" s="16">
        <v>46207</v>
      </c>
      <c r="D1224">
        <v>88090.37</v>
      </c>
    </row>
    <row r="1225" spans="1:4" x14ac:dyDescent="0.3">
      <c r="A1225" s="75" t="s">
        <v>24</v>
      </c>
      <c r="B1225" s="75"/>
      <c r="C1225" s="16">
        <v>46207</v>
      </c>
      <c r="D1225">
        <v>471.15999999999985</v>
      </c>
    </row>
    <row r="1226" spans="1:4" x14ac:dyDescent="0.3">
      <c r="A1226" s="75" t="s">
        <v>25</v>
      </c>
      <c r="B1226" s="75"/>
      <c r="C1226" s="16">
        <v>46207</v>
      </c>
      <c r="D1226">
        <v>54.400000000000006</v>
      </c>
    </row>
    <row r="1227" spans="1:4" x14ac:dyDescent="0.3">
      <c r="A1227" s="75" t="s">
        <v>26</v>
      </c>
      <c r="B1227" s="75"/>
      <c r="C1227" s="16">
        <v>46207</v>
      </c>
      <c r="D1227">
        <v>2207.8200000000002</v>
      </c>
    </row>
    <row r="1228" spans="1:4" x14ac:dyDescent="0.3">
      <c r="A1228" s="75" t="s">
        <v>27</v>
      </c>
      <c r="B1228" s="75"/>
      <c r="C1228" s="16">
        <v>46207</v>
      </c>
      <c r="D1228">
        <v>3349.94</v>
      </c>
    </row>
    <row r="1229" spans="1:4" x14ac:dyDescent="0.3">
      <c r="A1229" s="75" t="s">
        <v>28</v>
      </c>
      <c r="B1229" s="75"/>
      <c r="C1229" s="16">
        <v>46207</v>
      </c>
      <c r="D1229">
        <v>1968.99</v>
      </c>
    </row>
    <row r="1230" spans="1:4" x14ac:dyDescent="0.3">
      <c r="A1230" s="75" t="s">
        <v>29</v>
      </c>
      <c r="B1230" s="75"/>
      <c r="C1230" s="16">
        <v>46207</v>
      </c>
      <c r="D1230">
        <v>382.69000000000005</v>
      </c>
    </row>
    <row r="1231" spans="1:4" x14ac:dyDescent="0.3">
      <c r="A1231" s="75" t="s">
        <v>30</v>
      </c>
      <c r="B1231" s="75"/>
      <c r="C1231" s="16">
        <v>46207</v>
      </c>
      <c r="D1231">
        <v>1412.08</v>
      </c>
    </row>
    <row r="1232" spans="1:4" x14ac:dyDescent="0.3">
      <c r="A1232" s="75" t="s">
        <v>31</v>
      </c>
      <c r="B1232" s="75"/>
      <c r="C1232" s="16">
        <v>46207</v>
      </c>
      <c r="D1232">
        <v>22496.639999999959</v>
      </c>
    </row>
    <row r="1233" spans="1:4" x14ac:dyDescent="0.3">
      <c r="A1233" s="75" t="s">
        <v>32</v>
      </c>
      <c r="B1233" s="75"/>
      <c r="C1233" s="16">
        <v>46207</v>
      </c>
      <c r="D1233">
        <v>10522.800000000003</v>
      </c>
    </row>
    <row r="1234" spans="1:4" x14ac:dyDescent="0.3">
      <c r="A1234" s="75" t="s">
        <v>33</v>
      </c>
      <c r="B1234" s="75"/>
      <c r="C1234" s="16">
        <v>46207</v>
      </c>
      <c r="D1234">
        <v>24085.559999999998</v>
      </c>
    </row>
    <row r="1235" spans="1:4" x14ac:dyDescent="0.3">
      <c r="A1235" s="75" t="s">
        <v>34</v>
      </c>
      <c r="B1235" s="75"/>
      <c r="C1235" s="16">
        <v>46207</v>
      </c>
      <c r="D1235">
        <v>345</v>
      </c>
    </row>
    <row r="1236" spans="1:4" x14ac:dyDescent="0.3">
      <c r="A1236" s="75" t="s">
        <v>35</v>
      </c>
      <c r="B1236" s="75"/>
      <c r="C1236" s="16">
        <v>46207</v>
      </c>
      <c r="D1236">
        <v>33119.040000000001</v>
      </c>
    </row>
    <row r="1237" spans="1:4" x14ac:dyDescent="0.3">
      <c r="A1237" s="75" t="s">
        <v>17</v>
      </c>
      <c r="B1237" s="75"/>
      <c r="C1237" s="16">
        <v>46208</v>
      </c>
      <c r="D1237">
        <v>5592585.7500000009</v>
      </c>
    </row>
    <row r="1238" spans="1:4" x14ac:dyDescent="0.3">
      <c r="A1238" s="75" t="s">
        <v>18</v>
      </c>
      <c r="B1238" s="75"/>
      <c r="C1238" s="16">
        <v>46208</v>
      </c>
      <c r="D1238">
        <v>79139.680000000168</v>
      </c>
    </row>
    <row r="1239" spans="1:4" x14ac:dyDescent="0.3">
      <c r="A1239" s="75" t="s">
        <v>19</v>
      </c>
      <c r="B1239" s="75"/>
      <c r="C1239" s="16">
        <v>46208</v>
      </c>
      <c r="D1239">
        <v>1669.89</v>
      </c>
    </row>
    <row r="1240" spans="1:4" x14ac:dyDescent="0.3">
      <c r="A1240" s="75" t="s">
        <v>20</v>
      </c>
      <c r="B1240" s="75"/>
      <c r="C1240" s="16">
        <v>46208</v>
      </c>
      <c r="D1240">
        <v>350475.62999999989</v>
      </c>
    </row>
    <row r="1241" spans="1:4" x14ac:dyDescent="0.3">
      <c r="A1241" s="75" t="s">
        <v>21</v>
      </c>
      <c r="B1241" s="75"/>
      <c r="C1241" s="16">
        <v>46208</v>
      </c>
      <c r="D1241">
        <v>1761564.8799999994</v>
      </c>
    </row>
    <row r="1242" spans="1:4" x14ac:dyDescent="0.3">
      <c r="A1242" s="75" t="s">
        <v>22</v>
      </c>
      <c r="B1242" s="75"/>
      <c r="C1242" s="16">
        <v>46208</v>
      </c>
      <c r="D1242">
        <v>220496.38</v>
      </c>
    </row>
    <row r="1243" spans="1:4" x14ac:dyDescent="0.3">
      <c r="A1243" s="75" t="s">
        <v>23</v>
      </c>
      <c r="B1243" s="75"/>
      <c r="C1243" s="16">
        <v>46208</v>
      </c>
      <c r="D1243">
        <v>88090.37</v>
      </c>
    </row>
    <row r="1244" spans="1:4" x14ac:dyDescent="0.3">
      <c r="A1244" s="75" t="s">
        <v>24</v>
      </c>
      <c r="B1244" s="75"/>
      <c r="C1244" s="16">
        <v>46208</v>
      </c>
      <c r="D1244">
        <v>471.15999999999985</v>
      </c>
    </row>
    <row r="1245" spans="1:4" x14ac:dyDescent="0.3">
      <c r="A1245" s="75" t="s">
        <v>25</v>
      </c>
      <c r="B1245" s="75"/>
      <c r="C1245" s="16">
        <v>46208</v>
      </c>
      <c r="D1245">
        <v>54.400000000000006</v>
      </c>
    </row>
    <row r="1246" spans="1:4" x14ac:dyDescent="0.3">
      <c r="A1246" s="75" t="s">
        <v>26</v>
      </c>
      <c r="B1246" s="75"/>
      <c r="C1246" s="16">
        <v>46208</v>
      </c>
      <c r="D1246">
        <v>2207.8200000000002</v>
      </c>
    </row>
    <row r="1247" spans="1:4" x14ac:dyDescent="0.3">
      <c r="A1247" s="75" t="s">
        <v>27</v>
      </c>
      <c r="B1247" s="75"/>
      <c r="C1247" s="16">
        <v>46208</v>
      </c>
      <c r="D1247">
        <v>3349.94</v>
      </c>
    </row>
    <row r="1248" spans="1:4" x14ac:dyDescent="0.3">
      <c r="A1248" s="75" t="s">
        <v>28</v>
      </c>
      <c r="B1248" s="75"/>
      <c r="C1248" s="16">
        <v>46208</v>
      </c>
      <c r="D1248">
        <v>1968.99</v>
      </c>
    </row>
    <row r="1249" spans="1:4" x14ac:dyDescent="0.3">
      <c r="A1249" s="75" t="s">
        <v>29</v>
      </c>
      <c r="B1249" s="75"/>
      <c r="C1249" s="16">
        <v>46208</v>
      </c>
      <c r="D1249">
        <v>382.69000000000005</v>
      </c>
    </row>
    <row r="1250" spans="1:4" x14ac:dyDescent="0.3">
      <c r="A1250" s="75" t="s">
        <v>30</v>
      </c>
      <c r="B1250" s="75"/>
      <c r="C1250" s="16">
        <v>46208</v>
      </c>
      <c r="D1250">
        <v>1412.08</v>
      </c>
    </row>
    <row r="1251" spans="1:4" x14ac:dyDescent="0.3">
      <c r="A1251" s="75" t="s">
        <v>31</v>
      </c>
      <c r="B1251" s="75"/>
      <c r="C1251" s="16">
        <v>46208</v>
      </c>
      <c r="D1251">
        <v>22496.639999999959</v>
      </c>
    </row>
    <row r="1252" spans="1:4" x14ac:dyDescent="0.3">
      <c r="A1252" s="75" t="s">
        <v>32</v>
      </c>
      <c r="B1252" s="75"/>
      <c r="C1252" s="16">
        <v>46208</v>
      </c>
      <c r="D1252">
        <v>10522.800000000003</v>
      </c>
    </row>
    <row r="1253" spans="1:4" x14ac:dyDescent="0.3">
      <c r="A1253" s="75" t="s">
        <v>33</v>
      </c>
      <c r="B1253" s="75"/>
      <c r="C1253" s="16">
        <v>46208</v>
      </c>
      <c r="D1253">
        <v>24085.559999999998</v>
      </c>
    </row>
    <row r="1254" spans="1:4" x14ac:dyDescent="0.3">
      <c r="A1254" s="75" t="s">
        <v>34</v>
      </c>
      <c r="B1254" s="75"/>
      <c r="C1254" s="16">
        <v>46208</v>
      </c>
      <c r="D1254">
        <v>345</v>
      </c>
    </row>
    <row r="1255" spans="1:4" x14ac:dyDescent="0.3">
      <c r="A1255" s="75" t="s">
        <v>35</v>
      </c>
      <c r="B1255" s="75"/>
      <c r="C1255" s="16">
        <v>46208</v>
      </c>
      <c r="D1255">
        <v>33119.040000000001</v>
      </c>
    </row>
    <row r="1256" spans="1:4" x14ac:dyDescent="0.3">
      <c r="A1256" s="75" t="s">
        <v>17</v>
      </c>
      <c r="B1256" s="75"/>
      <c r="C1256" s="16">
        <v>46209</v>
      </c>
      <c r="D1256">
        <v>5592585.7500000009</v>
      </c>
    </row>
    <row r="1257" spans="1:4" x14ac:dyDescent="0.3">
      <c r="A1257" s="75" t="s">
        <v>18</v>
      </c>
      <c r="B1257" s="75"/>
      <c r="C1257" s="16">
        <v>46209</v>
      </c>
      <c r="D1257">
        <v>79139.680000000168</v>
      </c>
    </row>
    <row r="1258" spans="1:4" x14ac:dyDescent="0.3">
      <c r="A1258" s="75" t="s">
        <v>19</v>
      </c>
      <c r="B1258" s="75"/>
      <c r="C1258" s="16">
        <v>46209</v>
      </c>
      <c r="D1258">
        <v>1669.89</v>
      </c>
    </row>
    <row r="1259" spans="1:4" x14ac:dyDescent="0.3">
      <c r="A1259" s="75" t="s">
        <v>20</v>
      </c>
      <c r="B1259" s="75"/>
      <c r="C1259" s="16">
        <v>46209</v>
      </c>
      <c r="D1259">
        <v>350475.62999999989</v>
      </c>
    </row>
    <row r="1260" spans="1:4" x14ac:dyDescent="0.3">
      <c r="A1260" s="75" t="s">
        <v>21</v>
      </c>
      <c r="B1260" s="75"/>
      <c r="C1260" s="16">
        <v>46209</v>
      </c>
      <c r="D1260">
        <v>1761026.4599999995</v>
      </c>
    </row>
    <row r="1261" spans="1:4" x14ac:dyDescent="0.3">
      <c r="A1261" s="75" t="s">
        <v>22</v>
      </c>
      <c r="B1261" s="75"/>
      <c r="C1261" s="16">
        <v>46209</v>
      </c>
      <c r="D1261">
        <v>220496.38</v>
      </c>
    </row>
    <row r="1262" spans="1:4" x14ac:dyDescent="0.3">
      <c r="A1262" s="75" t="s">
        <v>23</v>
      </c>
      <c r="B1262" s="75"/>
      <c r="C1262" s="16">
        <v>46209</v>
      </c>
      <c r="D1262">
        <v>88090.37</v>
      </c>
    </row>
    <row r="1263" spans="1:4" x14ac:dyDescent="0.3">
      <c r="A1263" s="75" t="s">
        <v>24</v>
      </c>
      <c r="B1263" s="75"/>
      <c r="C1263" s="16">
        <v>46209</v>
      </c>
      <c r="D1263">
        <v>471.15999999999985</v>
      </c>
    </row>
    <row r="1264" spans="1:4" x14ac:dyDescent="0.3">
      <c r="A1264" s="75" t="s">
        <v>25</v>
      </c>
      <c r="B1264" s="75"/>
      <c r="C1264" s="16">
        <v>46209</v>
      </c>
      <c r="D1264">
        <v>54.400000000000006</v>
      </c>
    </row>
    <row r="1265" spans="1:4" x14ac:dyDescent="0.3">
      <c r="A1265" s="75" t="s">
        <v>26</v>
      </c>
      <c r="B1265" s="75"/>
      <c r="C1265" s="16">
        <v>46209</v>
      </c>
      <c r="D1265">
        <v>2207.8200000000002</v>
      </c>
    </row>
    <row r="1266" spans="1:4" x14ac:dyDescent="0.3">
      <c r="A1266" s="75" t="s">
        <v>27</v>
      </c>
      <c r="B1266" s="75"/>
      <c r="C1266" s="16">
        <v>46209</v>
      </c>
      <c r="D1266">
        <v>3349.94</v>
      </c>
    </row>
    <row r="1267" spans="1:4" x14ac:dyDescent="0.3">
      <c r="A1267" s="75" t="s">
        <v>28</v>
      </c>
      <c r="B1267" s="75"/>
      <c r="C1267" s="16">
        <v>46209</v>
      </c>
      <c r="D1267">
        <v>1968.99</v>
      </c>
    </row>
    <row r="1268" spans="1:4" x14ac:dyDescent="0.3">
      <c r="A1268" s="75" t="s">
        <v>29</v>
      </c>
      <c r="B1268" s="75"/>
      <c r="C1268" s="16">
        <v>46209</v>
      </c>
      <c r="D1268">
        <v>382.69000000000005</v>
      </c>
    </row>
    <row r="1269" spans="1:4" x14ac:dyDescent="0.3">
      <c r="A1269" s="75" t="s">
        <v>30</v>
      </c>
      <c r="B1269" s="75"/>
      <c r="C1269" s="16">
        <v>46209</v>
      </c>
      <c r="D1269">
        <v>1412.08</v>
      </c>
    </row>
    <row r="1270" spans="1:4" x14ac:dyDescent="0.3">
      <c r="A1270" s="75" t="s">
        <v>31</v>
      </c>
      <c r="B1270" s="75"/>
      <c r="C1270" s="16">
        <v>46209</v>
      </c>
      <c r="D1270">
        <v>22496.639999999959</v>
      </c>
    </row>
    <row r="1271" spans="1:4" x14ac:dyDescent="0.3">
      <c r="A1271" s="75" t="s">
        <v>32</v>
      </c>
      <c r="B1271" s="75"/>
      <c r="C1271" s="16">
        <v>46209</v>
      </c>
      <c r="D1271">
        <v>10522.800000000003</v>
      </c>
    </row>
    <row r="1272" spans="1:4" x14ac:dyDescent="0.3">
      <c r="A1272" s="75" t="s">
        <v>33</v>
      </c>
      <c r="B1272" s="75"/>
      <c r="C1272" s="16">
        <v>46209</v>
      </c>
      <c r="D1272">
        <v>24085.559999999998</v>
      </c>
    </row>
    <row r="1273" spans="1:4" x14ac:dyDescent="0.3">
      <c r="A1273" s="75" t="s">
        <v>34</v>
      </c>
      <c r="B1273" s="75"/>
      <c r="C1273" s="16">
        <v>46209</v>
      </c>
      <c r="D1273">
        <v>345</v>
      </c>
    </row>
    <row r="1274" spans="1:4" x14ac:dyDescent="0.3">
      <c r="A1274" s="75" t="s">
        <v>35</v>
      </c>
      <c r="B1274" s="75"/>
      <c r="C1274" s="16">
        <v>46209</v>
      </c>
      <c r="D1274">
        <v>15165.34</v>
      </c>
    </row>
    <row r="1275" spans="1:4" x14ac:dyDescent="0.3">
      <c r="A1275" s="75" t="s">
        <v>17</v>
      </c>
      <c r="B1275" s="75"/>
      <c r="C1275" s="16">
        <v>46210</v>
      </c>
      <c r="D1275">
        <v>5592585.7500000009</v>
      </c>
    </row>
    <row r="1276" spans="1:4" x14ac:dyDescent="0.3">
      <c r="A1276" s="75" t="s">
        <v>18</v>
      </c>
      <c r="B1276" s="75"/>
      <c r="C1276" s="16">
        <v>46210</v>
      </c>
      <c r="D1276">
        <v>79139.680000000168</v>
      </c>
    </row>
    <row r="1277" spans="1:4" x14ac:dyDescent="0.3">
      <c r="A1277" s="75" t="s">
        <v>19</v>
      </c>
      <c r="B1277" s="75"/>
      <c r="C1277" s="16">
        <v>46210</v>
      </c>
      <c r="D1277">
        <v>1669.89</v>
      </c>
    </row>
    <row r="1278" spans="1:4" x14ac:dyDescent="0.3">
      <c r="A1278" s="75" t="s">
        <v>20</v>
      </c>
      <c r="B1278" s="75"/>
      <c r="C1278" s="16">
        <v>46210</v>
      </c>
      <c r="D1278">
        <v>350475.62999999989</v>
      </c>
    </row>
    <row r="1279" spans="1:4" x14ac:dyDescent="0.3">
      <c r="A1279" s="75" t="s">
        <v>21</v>
      </c>
      <c r="B1279" s="75"/>
      <c r="C1279" s="16">
        <v>46210</v>
      </c>
      <c r="D1279">
        <v>1761026.4599999995</v>
      </c>
    </row>
    <row r="1280" spans="1:4" x14ac:dyDescent="0.3">
      <c r="A1280" s="75" t="s">
        <v>22</v>
      </c>
      <c r="B1280" s="75"/>
      <c r="C1280" s="16">
        <v>46210</v>
      </c>
      <c r="D1280">
        <v>220496.38</v>
      </c>
    </row>
    <row r="1281" spans="1:4" x14ac:dyDescent="0.3">
      <c r="A1281" s="75" t="s">
        <v>23</v>
      </c>
      <c r="B1281" s="75"/>
      <c r="C1281" s="16">
        <v>46210</v>
      </c>
      <c r="D1281">
        <v>88090.37</v>
      </c>
    </row>
    <row r="1282" spans="1:4" x14ac:dyDescent="0.3">
      <c r="A1282" s="75" t="s">
        <v>24</v>
      </c>
      <c r="B1282" s="75"/>
      <c r="C1282" s="16">
        <v>46210</v>
      </c>
      <c r="D1282">
        <v>471.15999999999985</v>
      </c>
    </row>
    <row r="1283" spans="1:4" x14ac:dyDescent="0.3">
      <c r="A1283" s="75" t="s">
        <v>25</v>
      </c>
      <c r="B1283" s="75"/>
      <c r="C1283" s="16">
        <v>46210</v>
      </c>
      <c r="D1283">
        <v>54.400000000000006</v>
      </c>
    </row>
    <row r="1284" spans="1:4" x14ac:dyDescent="0.3">
      <c r="A1284" s="75" t="s">
        <v>26</v>
      </c>
      <c r="B1284" s="75"/>
      <c r="C1284" s="16">
        <v>46210</v>
      </c>
      <c r="D1284">
        <v>2207.8200000000002</v>
      </c>
    </row>
    <row r="1285" spans="1:4" x14ac:dyDescent="0.3">
      <c r="A1285" s="75" t="s">
        <v>27</v>
      </c>
      <c r="B1285" s="75"/>
      <c r="C1285" s="16">
        <v>46210</v>
      </c>
      <c r="D1285">
        <v>3349.94</v>
      </c>
    </row>
    <row r="1286" spans="1:4" x14ac:dyDescent="0.3">
      <c r="A1286" s="75" t="s">
        <v>28</v>
      </c>
      <c r="B1286" s="75"/>
      <c r="C1286" s="16">
        <v>46210</v>
      </c>
      <c r="D1286">
        <v>1968.99</v>
      </c>
    </row>
    <row r="1287" spans="1:4" x14ac:dyDescent="0.3">
      <c r="A1287" s="75" t="s">
        <v>29</v>
      </c>
      <c r="B1287" s="75"/>
      <c r="C1287" s="16">
        <v>46210</v>
      </c>
      <c r="D1287">
        <v>382.69000000000005</v>
      </c>
    </row>
    <row r="1288" spans="1:4" x14ac:dyDescent="0.3">
      <c r="A1288" s="75" t="s">
        <v>30</v>
      </c>
      <c r="B1288" s="75"/>
      <c r="C1288" s="16">
        <v>46210</v>
      </c>
      <c r="D1288">
        <v>1412.08</v>
      </c>
    </row>
    <row r="1289" spans="1:4" x14ac:dyDescent="0.3">
      <c r="A1289" s="75" t="s">
        <v>31</v>
      </c>
      <c r="B1289" s="75"/>
      <c r="C1289" s="16">
        <v>46210</v>
      </c>
      <c r="D1289">
        <v>22496.639999999959</v>
      </c>
    </row>
    <row r="1290" spans="1:4" x14ac:dyDescent="0.3">
      <c r="A1290" s="75" t="s">
        <v>32</v>
      </c>
      <c r="B1290" s="75"/>
      <c r="C1290" s="16">
        <v>46210</v>
      </c>
      <c r="D1290">
        <v>10522.800000000003</v>
      </c>
    </row>
    <row r="1291" spans="1:4" x14ac:dyDescent="0.3">
      <c r="A1291" s="75" t="s">
        <v>33</v>
      </c>
      <c r="B1291" s="75"/>
      <c r="C1291" s="16">
        <v>46210</v>
      </c>
      <c r="D1291">
        <v>24085.559999999998</v>
      </c>
    </row>
    <row r="1292" spans="1:4" x14ac:dyDescent="0.3">
      <c r="A1292" s="75" t="s">
        <v>34</v>
      </c>
      <c r="B1292" s="75"/>
      <c r="C1292" s="16">
        <v>46210</v>
      </c>
      <c r="D1292">
        <v>345</v>
      </c>
    </row>
    <row r="1293" spans="1:4" x14ac:dyDescent="0.3">
      <c r="A1293" s="75" t="s">
        <v>35</v>
      </c>
      <c r="B1293" s="75"/>
      <c r="C1293" s="16">
        <v>46210</v>
      </c>
      <c r="D1293">
        <v>14498.59</v>
      </c>
    </row>
    <row r="1294" spans="1:4" x14ac:dyDescent="0.3">
      <c r="A1294" s="75" t="s">
        <v>17</v>
      </c>
      <c r="B1294" s="75"/>
      <c r="C1294" s="16">
        <v>46211</v>
      </c>
      <c r="D1294">
        <v>5592585.7500000009</v>
      </c>
    </row>
    <row r="1295" spans="1:4" x14ac:dyDescent="0.3">
      <c r="A1295" s="75" t="s">
        <v>18</v>
      </c>
      <c r="B1295" s="75"/>
      <c r="C1295" s="16">
        <v>46211</v>
      </c>
      <c r="D1295">
        <v>79139.680000000168</v>
      </c>
    </row>
    <row r="1296" spans="1:4" x14ac:dyDescent="0.3">
      <c r="A1296" s="75" t="s">
        <v>19</v>
      </c>
      <c r="B1296" s="75"/>
      <c r="C1296" s="16">
        <v>46211</v>
      </c>
      <c r="D1296">
        <v>1669.89</v>
      </c>
    </row>
    <row r="1297" spans="1:4" x14ac:dyDescent="0.3">
      <c r="A1297" s="75" t="s">
        <v>20</v>
      </c>
      <c r="B1297" s="75"/>
      <c r="C1297" s="16">
        <v>46211</v>
      </c>
      <c r="D1297">
        <v>350475.62999999989</v>
      </c>
    </row>
    <row r="1298" spans="1:4" x14ac:dyDescent="0.3">
      <c r="A1298" s="75" t="s">
        <v>21</v>
      </c>
      <c r="B1298" s="75"/>
      <c r="C1298" s="16">
        <v>46211</v>
      </c>
      <c r="D1298">
        <v>1751695.8399999994</v>
      </c>
    </row>
    <row r="1299" spans="1:4" x14ac:dyDescent="0.3">
      <c r="A1299" s="75" t="s">
        <v>22</v>
      </c>
      <c r="B1299" s="75"/>
      <c r="C1299" s="16">
        <v>46211</v>
      </c>
      <c r="D1299">
        <v>220496.38</v>
      </c>
    </row>
    <row r="1300" spans="1:4" x14ac:dyDescent="0.3">
      <c r="A1300" s="75" t="s">
        <v>23</v>
      </c>
      <c r="B1300" s="75"/>
      <c r="C1300" s="16">
        <v>46211</v>
      </c>
      <c r="D1300">
        <v>88090.37</v>
      </c>
    </row>
    <row r="1301" spans="1:4" x14ac:dyDescent="0.3">
      <c r="A1301" s="75" t="s">
        <v>24</v>
      </c>
      <c r="B1301" s="75"/>
      <c r="C1301" s="16">
        <v>46211</v>
      </c>
      <c r="D1301">
        <v>471.15999999999985</v>
      </c>
    </row>
    <row r="1302" spans="1:4" x14ac:dyDescent="0.3">
      <c r="A1302" s="75" t="s">
        <v>25</v>
      </c>
      <c r="B1302" s="75"/>
      <c r="C1302" s="16">
        <v>46211</v>
      </c>
      <c r="D1302">
        <v>54.400000000000006</v>
      </c>
    </row>
    <row r="1303" spans="1:4" x14ac:dyDescent="0.3">
      <c r="A1303" s="75" t="s">
        <v>26</v>
      </c>
      <c r="B1303" s="75"/>
      <c r="C1303" s="16">
        <v>46211</v>
      </c>
      <c r="D1303">
        <v>2207.8200000000002</v>
      </c>
    </row>
    <row r="1304" spans="1:4" x14ac:dyDescent="0.3">
      <c r="A1304" s="75" t="s">
        <v>27</v>
      </c>
      <c r="B1304" s="75"/>
      <c r="C1304" s="16">
        <v>46211</v>
      </c>
      <c r="D1304">
        <v>3334.94</v>
      </c>
    </row>
    <row r="1305" spans="1:4" x14ac:dyDescent="0.3">
      <c r="A1305" s="75" t="s">
        <v>28</v>
      </c>
      <c r="B1305" s="75"/>
      <c r="C1305" s="16">
        <v>46211</v>
      </c>
      <c r="D1305">
        <v>1968.99</v>
      </c>
    </row>
    <row r="1306" spans="1:4" x14ac:dyDescent="0.3">
      <c r="A1306" s="75" t="s">
        <v>29</v>
      </c>
      <c r="B1306" s="75"/>
      <c r="C1306" s="16">
        <v>46211</v>
      </c>
      <c r="D1306">
        <v>382.69000000000005</v>
      </c>
    </row>
    <row r="1307" spans="1:4" x14ac:dyDescent="0.3">
      <c r="A1307" s="75" t="s">
        <v>30</v>
      </c>
      <c r="B1307" s="75"/>
      <c r="C1307" s="16">
        <v>46211</v>
      </c>
      <c r="D1307">
        <v>1412.08</v>
      </c>
    </row>
    <row r="1308" spans="1:4" x14ac:dyDescent="0.3">
      <c r="A1308" s="75" t="s">
        <v>31</v>
      </c>
      <c r="B1308" s="75"/>
      <c r="C1308" s="16">
        <v>46211</v>
      </c>
      <c r="D1308">
        <v>22496.639999999959</v>
      </c>
    </row>
    <row r="1309" spans="1:4" x14ac:dyDescent="0.3">
      <c r="A1309" s="75" t="s">
        <v>32</v>
      </c>
      <c r="B1309" s="75"/>
      <c r="C1309" s="16">
        <v>46211</v>
      </c>
      <c r="D1309">
        <v>6522.8000000000029</v>
      </c>
    </row>
    <row r="1310" spans="1:4" x14ac:dyDescent="0.3">
      <c r="A1310" s="75" t="s">
        <v>33</v>
      </c>
      <c r="B1310" s="75"/>
      <c r="C1310" s="16">
        <v>46211</v>
      </c>
      <c r="D1310">
        <v>24085.559999999998</v>
      </c>
    </row>
    <row r="1311" spans="1:4" x14ac:dyDescent="0.3">
      <c r="A1311" s="75" t="s">
        <v>34</v>
      </c>
      <c r="B1311" s="75"/>
      <c r="C1311" s="16">
        <v>46211</v>
      </c>
      <c r="D1311">
        <v>345</v>
      </c>
    </row>
    <row r="1312" spans="1:4" x14ac:dyDescent="0.3">
      <c r="A1312" s="75" t="s">
        <v>35</v>
      </c>
      <c r="B1312" s="75"/>
      <c r="C1312" s="16">
        <v>46211</v>
      </c>
      <c r="D1312">
        <v>14498.59</v>
      </c>
    </row>
    <row r="1313" spans="1:4" x14ac:dyDescent="0.3">
      <c r="A1313" s="75" t="s">
        <v>17</v>
      </c>
      <c r="B1313" s="75"/>
      <c r="C1313" s="16">
        <v>46212</v>
      </c>
      <c r="D1313">
        <v>4377944.080000001</v>
      </c>
    </row>
    <row r="1314" spans="1:4" x14ac:dyDescent="0.3">
      <c r="A1314" s="75" t="s">
        <v>18</v>
      </c>
      <c r="B1314" s="75"/>
      <c r="C1314" s="16">
        <v>46212</v>
      </c>
      <c r="D1314">
        <v>73157.680000000168</v>
      </c>
    </row>
    <row r="1315" spans="1:4" x14ac:dyDescent="0.3">
      <c r="A1315" s="75" t="s">
        <v>19</v>
      </c>
      <c r="B1315" s="75"/>
      <c r="C1315" s="16">
        <v>46212</v>
      </c>
      <c r="D1315">
        <v>1669.89</v>
      </c>
    </row>
    <row r="1316" spans="1:4" x14ac:dyDescent="0.3">
      <c r="A1316" s="75" t="s">
        <v>20</v>
      </c>
      <c r="B1316" s="75"/>
      <c r="C1316" s="16">
        <v>46212</v>
      </c>
      <c r="D1316">
        <v>290475.62999999989</v>
      </c>
    </row>
    <row r="1317" spans="1:4" x14ac:dyDescent="0.3">
      <c r="A1317" s="75" t="s">
        <v>21</v>
      </c>
      <c r="B1317" s="75"/>
      <c r="C1317" s="16">
        <v>46212</v>
      </c>
      <c r="D1317">
        <v>2119592.9399999995</v>
      </c>
    </row>
    <row r="1318" spans="1:4" x14ac:dyDescent="0.3">
      <c r="A1318" s="75" t="s">
        <v>22</v>
      </c>
      <c r="B1318" s="75"/>
      <c r="C1318" s="16">
        <v>46212</v>
      </c>
      <c r="D1318">
        <v>200496.38</v>
      </c>
    </row>
    <row r="1319" spans="1:4" x14ac:dyDescent="0.3">
      <c r="A1319" s="75" t="s">
        <v>23</v>
      </c>
      <c r="B1319" s="75"/>
      <c r="C1319" s="16">
        <v>46212</v>
      </c>
      <c r="D1319">
        <v>88090.37</v>
      </c>
    </row>
    <row r="1320" spans="1:4" x14ac:dyDescent="0.3">
      <c r="A1320" s="75" t="s">
        <v>24</v>
      </c>
      <c r="B1320" s="75"/>
      <c r="C1320" s="16">
        <v>46212</v>
      </c>
      <c r="D1320">
        <v>15130.45</v>
      </c>
    </row>
    <row r="1321" spans="1:4" x14ac:dyDescent="0.3">
      <c r="A1321" s="75" t="s">
        <v>25</v>
      </c>
      <c r="B1321" s="75"/>
      <c r="C1321" s="16">
        <v>46212</v>
      </c>
      <c r="D1321">
        <v>54.400000000000006</v>
      </c>
    </row>
    <row r="1322" spans="1:4" x14ac:dyDescent="0.3">
      <c r="A1322" s="75" t="s">
        <v>26</v>
      </c>
      <c r="B1322" s="75"/>
      <c r="C1322" s="16">
        <v>46212</v>
      </c>
      <c r="D1322">
        <v>2207.8200000000002</v>
      </c>
    </row>
    <row r="1323" spans="1:4" x14ac:dyDescent="0.3">
      <c r="A1323" s="75" t="s">
        <v>27</v>
      </c>
      <c r="B1323" s="75"/>
      <c r="C1323" s="16">
        <v>46212</v>
      </c>
      <c r="D1323">
        <v>1454604.72</v>
      </c>
    </row>
    <row r="1324" spans="1:4" x14ac:dyDescent="0.3">
      <c r="A1324" s="75" t="s">
        <v>28</v>
      </c>
      <c r="B1324" s="75"/>
      <c r="C1324" s="16">
        <v>46212</v>
      </c>
      <c r="D1324">
        <v>1968.99</v>
      </c>
    </row>
    <row r="1325" spans="1:4" x14ac:dyDescent="0.3">
      <c r="A1325" s="75" t="s">
        <v>29</v>
      </c>
      <c r="B1325" s="75"/>
      <c r="C1325" s="16">
        <v>46212</v>
      </c>
      <c r="D1325">
        <v>382.69000000000005</v>
      </c>
    </row>
    <row r="1326" spans="1:4" x14ac:dyDescent="0.3">
      <c r="A1326" s="75" t="s">
        <v>30</v>
      </c>
      <c r="B1326" s="75"/>
      <c r="C1326" s="16">
        <v>46212</v>
      </c>
      <c r="D1326">
        <v>1412.08</v>
      </c>
    </row>
    <row r="1327" spans="1:4" x14ac:dyDescent="0.3">
      <c r="A1327" s="75" t="s">
        <v>31</v>
      </c>
      <c r="B1327" s="75"/>
      <c r="C1327" s="16">
        <v>46212</v>
      </c>
      <c r="D1327">
        <v>22496.639999999959</v>
      </c>
    </row>
    <row r="1328" spans="1:4" x14ac:dyDescent="0.3">
      <c r="A1328" s="75" t="s">
        <v>32</v>
      </c>
      <c r="B1328" s="75"/>
      <c r="C1328" s="16">
        <v>46212</v>
      </c>
      <c r="D1328">
        <v>6522.8000000000029</v>
      </c>
    </row>
    <row r="1329" spans="1:4" x14ac:dyDescent="0.3">
      <c r="A1329" s="75" t="s">
        <v>33</v>
      </c>
      <c r="B1329" s="75"/>
      <c r="C1329" s="16">
        <v>46212</v>
      </c>
      <c r="D1329">
        <v>24085.559999999998</v>
      </c>
    </row>
    <row r="1330" spans="1:4" x14ac:dyDescent="0.3">
      <c r="A1330" s="75" t="s">
        <v>34</v>
      </c>
      <c r="B1330" s="75"/>
      <c r="C1330" s="16">
        <v>46212</v>
      </c>
      <c r="D1330">
        <v>345</v>
      </c>
    </row>
    <row r="1331" spans="1:4" x14ac:dyDescent="0.3">
      <c r="A1331" s="75" t="s">
        <v>35</v>
      </c>
      <c r="B1331" s="75"/>
      <c r="C1331" s="16">
        <v>46212</v>
      </c>
      <c r="D1331">
        <v>31900.120000000003</v>
      </c>
    </row>
    <row r="1332" spans="1:4" x14ac:dyDescent="0.3">
      <c r="A1332" s="75" t="s">
        <v>17</v>
      </c>
      <c r="B1332" s="75"/>
      <c r="C1332" s="16">
        <v>46213</v>
      </c>
      <c r="D1332">
        <v>4163755.7500000005</v>
      </c>
    </row>
    <row r="1333" spans="1:4" x14ac:dyDescent="0.3">
      <c r="A1333" s="75" t="s">
        <v>18</v>
      </c>
      <c r="B1333" s="75"/>
      <c r="C1333" s="16">
        <v>46213</v>
      </c>
      <c r="D1333">
        <v>73157.680000000168</v>
      </c>
    </row>
    <row r="1334" spans="1:4" x14ac:dyDescent="0.3">
      <c r="A1334" s="75" t="s">
        <v>19</v>
      </c>
      <c r="B1334" s="75"/>
      <c r="C1334" s="16">
        <v>46213</v>
      </c>
      <c r="D1334">
        <v>1669.89</v>
      </c>
    </row>
    <row r="1335" spans="1:4" x14ac:dyDescent="0.3">
      <c r="A1335" s="75" t="s">
        <v>20</v>
      </c>
      <c r="B1335" s="75"/>
      <c r="C1335" s="16">
        <v>46213</v>
      </c>
      <c r="D1335">
        <v>290141.62999999989</v>
      </c>
    </row>
    <row r="1336" spans="1:4" x14ac:dyDescent="0.3">
      <c r="A1336" s="75" t="s">
        <v>21</v>
      </c>
      <c r="B1336" s="75"/>
      <c r="C1336" s="16">
        <v>46213</v>
      </c>
      <c r="D1336">
        <v>1921752.2699999993</v>
      </c>
    </row>
    <row r="1337" spans="1:4" x14ac:dyDescent="0.3">
      <c r="A1337" s="75" t="s">
        <v>22</v>
      </c>
      <c r="B1337" s="75"/>
      <c r="C1337" s="16">
        <v>46213</v>
      </c>
      <c r="D1337">
        <v>200496.38</v>
      </c>
    </row>
    <row r="1338" spans="1:4" x14ac:dyDescent="0.3">
      <c r="A1338" s="75" t="s">
        <v>23</v>
      </c>
      <c r="B1338" s="75"/>
      <c r="C1338" s="16">
        <v>46213</v>
      </c>
      <c r="D1338">
        <v>88090.37</v>
      </c>
    </row>
    <row r="1339" spans="1:4" x14ac:dyDescent="0.3">
      <c r="A1339" s="75" t="s">
        <v>24</v>
      </c>
      <c r="B1339" s="75"/>
      <c r="C1339" s="16">
        <v>46213</v>
      </c>
      <c r="D1339">
        <v>14580.45</v>
      </c>
    </row>
    <row r="1340" spans="1:4" x14ac:dyDescent="0.3">
      <c r="A1340" s="75" t="s">
        <v>25</v>
      </c>
      <c r="B1340" s="75"/>
      <c r="C1340" s="16">
        <v>46213</v>
      </c>
      <c r="D1340">
        <v>54.400000000000006</v>
      </c>
    </row>
    <row r="1341" spans="1:4" x14ac:dyDescent="0.3">
      <c r="A1341" s="75" t="s">
        <v>26</v>
      </c>
      <c r="B1341" s="75"/>
      <c r="C1341" s="16">
        <v>46213</v>
      </c>
      <c r="D1341">
        <v>2207.8200000000002</v>
      </c>
    </row>
    <row r="1342" spans="1:4" x14ac:dyDescent="0.3">
      <c r="A1342" s="75" t="s">
        <v>27</v>
      </c>
      <c r="B1342" s="75"/>
      <c r="C1342" s="16">
        <v>46213</v>
      </c>
      <c r="D1342">
        <v>1454589.72</v>
      </c>
    </row>
    <row r="1343" spans="1:4" x14ac:dyDescent="0.3">
      <c r="A1343" s="75" t="s">
        <v>28</v>
      </c>
      <c r="B1343" s="75"/>
      <c r="C1343" s="16">
        <v>46213</v>
      </c>
      <c r="D1343">
        <v>1968.99</v>
      </c>
    </row>
    <row r="1344" spans="1:4" x14ac:dyDescent="0.3">
      <c r="A1344" s="75" t="s">
        <v>29</v>
      </c>
      <c r="B1344" s="75"/>
      <c r="C1344" s="16">
        <v>46213</v>
      </c>
      <c r="D1344">
        <v>382.69000000000005</v>
      </c>
    </row>
    <row r="1345" spans="1:4" x14ac:dyDescent="0.3">
      <c r="A1345" s="75" t="s">
        <v>30</v>
      </c>
      <c r="B1345" s="75"/>
      <c r="C1345" s="16">
        <v>46213</v>
      </c>
      <c r="D1345">
        <v>1412.08</v>
      </c>
    </row>
    <row r="1346" spans="1:4" x14ac:dyDescent="0.3">
      <c r="A1346" s="75" t="s">
        <v>31</v>
      </c>
      <c r="B1346" s="75"/>
      <c r="C1346" s="16">
        <v>46213</v>
      </c>
      <c r="D1346">
        <v>22496.639999999959</v>
      </c>
    </row>
    <row r="1347" spans="1:4" x14ac:dyDescent="0.3">
      <c r="A1347" s="75" t="s">
        <v>32</v>
      </c>
      <c r="B1347" s="75"/>
      <c r="C1347" s="16">
        <v>46213</v>
      </c>
      <c r="D1347">
        <v>6522.8000000000029</v>
      </c>
    </row>
    <row r="1348" spans="1:4" x14ac:dyDescent="0.3">
      <c r="A1348" s="75" t="s">
        <v>33</v>
      </c>
      <c r="B1348" s="75"/>
      <c r="C1348" s="16">
        <v>46213</v>
      </c>
      <c r="D1348">
        <v>24085.559999999998</v>
      </c>
    </row>
    <row r="1349" spans="1:4" x14ac:dyDescent="0.3">
      <c r="A1349" s="75" t="s">
        <v>34</v>
      </c>
      <c r="B1349" s="75"/>
      <c r="C1349" s="16">
        <v>46213</v>
      </c>
      <c r="D1349">
        <v>345</v>
      </c>
    </row>
    <row r="1350" spans="1:4" x14ac:dyDescent="0.3">
      <c r="A1350" s="75" t="s">
        <v>35</v>
      </c>
      <c r="B1350" s="75"/>
      <c r="C1350" s="16">
        <v>46213</v>
      </c>
      <c r="D1350">
        <v>31900.120000000003</v>
      </c>
    </row>
    <row r="1351" spans="1:4" x14ac:dyDescent="0.3">
      <c r="A1351" s="75" t="s">
        <v>17</v>
      </c>
      <c r="B1351" s="75"/>
      <c r="C1351" s="16">
        <v>46214</v>
      </c>
      <c r="D1351">
        <v>4163755.7500000005</v>
      </c>
    </row>
    <row r="1352" spans="1:4" x14ac:dyDescent="0.3">
      <c r="A1352" s="75" t="s">
        <v>18</v>
      </c>
      <c r="B1352" s="75"/>
      <c r="C1352" s="16">
        <v>46214</v>
      </c>
      <c r="D1352">
        <v>73157.680000000168</v>
      </c>
    </row>
    <row r="1353" spans="1:4" x14ac:dyDescent="0.3">
      <c r="A1353" s="75" t="s">
        <v>19</v>
      </c>
      <c r="B1353" s="75"/>
      <c r="C1353" s="16">
        <v>46214</v>
      </c>
      <c r="D1353">
        <v>1669.89</v>
      </c>
    </row>
    <row r="1354" spans="1:4" x14ac:dyDescent="0.3">
      <c r="A1354" s="75" t="s">
        <v>20</v>
      </c>
      <c r="B1354" s="75"/>
      <c r="C1354" s="16">
        <v>46214</v>
      </c>
      <c r="D1354">
        <v>290141.62999999989</v>
      </c>
    </row>
    <row r="1355" spans="1:4" x14ac:dyDescent="0.3">
      <c r="A1355" s="75" t="s">
        <v>21</v>
      </c>
      <c r="B1355" s="75"/>
      <c r="C1355" s="16">
        <v>46214</v>
      </c>
      <c r="D1355">
        <v>1921752.2699999993</v>
      </c>
    </row>
    <row r="1356" spans="1:4" x14ac:dyDescent="0.3">
      <c r="A1356" s="75" t="s">
        <v>22</v>
      </c>
      <c r="B1356" s="75"/>
      <c r="C1356" s="16">
        <v>46214</v>
      </c>
      <c r="D1356">
        <v>200496.38</v>
      </c>
    </row>
    <row r="1357" spans="1:4" x14ac:dyDescent="0.3">
      <c r="A1357" s="75" t="s">
        <v>23</v>
      </c>
      <c r="B1357" s="75"/>
      <c r="C1357" s="16">
        <v>46214</v>
      </c>
      <c r="D1357">
        <v>88090.37</v>
      </c>
    </row>
    <row r="1358" spans="1:4" x14ac:dyDescent="0.3">
      <c r="A1358" s="75" t="s">
        <v>24</v>
      </c>
      <c r="B1358" s="75"/>
      <c r="C1358" s="16">
        <v>46214</v>
      </c>
      <c r="D1358">
        <v>14580.45</v>
      </c>
    </row>
    <row r="1359" spans="1:4" x14ac:dyDescent="0.3">
      <c r="A1359" s="75" t="s">
        <v>25</v>
      </c>
      <c r="B1359" s="75"/>
      <c r="C1359" s="16">
        <v>46214</v>
      </c>
      <c r="D1359">
        <v>54.400000000000006</v>
      </c>
    </row>
    <row r="1360" spans="1:4" x14ac:dyDescent="0.3">
      <c r="A1360" s="75" t="s">
        <v>26</v>
      </c>
      <c r="B1360" s="75"/>
      <c r="C1360" s="16">
        <v>46214</v>
      </c>
      <c r="D1360">
        <v>2207.8200000000002</v>
      </c>
    </row>
    <row r="1361" spans="1:4" x14ac:dyDescent="0.3">
      <c r="A1361" s="75" t="s">
        <v>27</v>
      </c>
      <c r="B1361" s="75"/>
      <c r="C1361" s="16">
        <v>46214</v>
      </c>
      <c r="D1361">
        <v>1454589.72</v>
      </c>
    </row>
    <row r="1362" spans="1:4" x14ac:dyDescent="0.3">
      <c r="A1362" s="75" t="s">
        <v>28</v>
      </c>
      <c r="B1362" s="75"/>
      <c r="C1362" s="16">
        <v>46214</v>
      </c>
      <c r="D1362">
        <v>1968.99</v>
      </c>
    </row>
    <row r="1363" spans="1:4" x14ac:dyDescent="0.3">
      <c r="A1363" s="75" t="s">
        <v>29</v>
      </c>
      <c r="B1363" s="75"/>
      <c r="C1363" s="16">
        <v>46214</v>
      </c>
      <c r="D1363">
        <v>382.69000000000005</v>
      </c>
    </row>
    <row r="1364" spans="1:4" x14ac:dyDescent="0.3">
      <c r="A1364" s="75" t="s">
        <v>30</v>
      </c>
      <c r="B1364" s="75"/>
      <c r="C1364" s="16">
        <v>46214</v>
      </c>
      <c r="D1364">
        <v>1412.08</v>
      </c>
    </row>
    <row r="1365" spans="1:4" x14ac:dyDescent="0.3">
      <c r="A1365" s="75" t="s">
        <v>31</v>
      </c>
      <c r="B1365" s="75"/>
      <c r="C1365" s="16">
        <v>46214</v>
      </c>
      <c r="D1365">
        <v>22496.639999999959</v>
      </c>
    </row>
    <row r="1366" spans="1:4" x14ac:dyDescent="0.3">
      <c r="A1366" s="75" t="s">
        <v>32</v>
      </c>
      <c r="B1366" s="75"/>
      <c r="C1366" s="16">
        <v>46214</v>
      </c>
      <c r="D1366">
        <v>6522.8000000000029</v>
      </c>
    </row>
    <row r="1367" spans="1:4" x14ac:dyDescent="0.3">
      <c r="A1367" s="75" t="s">
        <v>33</v>
      </c>
      <c r="B1367" s="75"/>
      <c r="C1367" s="16">
        <v>46214</v>
      </c>
      <c r="D1367">
        <v>24085.559999999998</v>
      </c>
    </row>
    <row r="1368" spans="1:4" x14ac:dyDescent="0.3">
      <c r="A1368" s="75" t="s">
        <v>34</v>
      </c>
      <c r="B1368" s="75"/>
      <c r="C1368" s="16">
        <v>46214</v>
      </c>
      <c r="D1368">
        <v>345</v>
      </c>
    </row>
    <row r="1369" spans="1:4" x14ac:dyDescent="0.3">
      <c r="A1369" s="75" t="s">
        <v>35</v>
      </c>
      <c r="B1369" s="75"/>
      <c r="C1369" s="16">
        <v>46214</v>
      </c>
      <c r="D1369">
        <v>31900.120000000003</v>
      </c>
    </row>
    <row r="1370" spans="1:4" x14ac:dyDescent="0.3">
      <c r="A1370" s="75" t="s">
        <v>17</v>
      </c>
      <c r="B1370" s="75"/>
      <c r="C1370" s="16">
        <v>46215</v>
      </c>
      <c r="D1370">
        <v>4163755.7500000005</v>
      </c>
    </row>
    <row r="1371" spans="1:4" x14ac:dyDescent="0.3">
      <c r="A1371" s="75" t="s">
        <v>18</v>
      </c>
      <c r="B1371" s="75"/>
      <c r="C1371" s="16">
        <v>46215</v>
      </c>
      <c r="D1371">
        <v>73157.680000000168</v>
      </c>
    </row>
    <row r="1372" spans="1:4" x14ac:dyDescent="0.3">
      <c r="A1372" s="75" t="s">
        <v>19</v>
      </c>
      <c r="B1372" s="75"/>
      <c r="C1372" s="16">
        <v>46215</v>
      </c>
      <c r="D1372">
        <v>1669.89</v>
      </c>
    </row>
    <row r="1373" spans="1:4" x14ac:dyDescent="0.3">
      <c r="A1373" s="75" t="s">
        <v>20</v>
      </c>
      <c r="B1373" s="75"/>
      <c r="C1373" s="16">
        <v>46215</v>
      </c>
      <c r="D1373">
        <v>290141.62999999989</v>
      </c>
    </row>
    <row r="1374" spans="1:4" x14ac:dyDescent="0.3">
      <c r="A1374" s="75" t="s">
        <v>21</v>
      </c>
      <c r="B1374" s="75"/>
      <c r="C1374" s="16">
        <v>46215</v>
      </c>
      <c r="D1374">
        <v>1921752.2699999993</v>
      </c>
    </row>
    <row r="1375" spans="1:4" x14ac:dyDescent="0.3">
      <c r="A1375" s="75" t="s">
        <v>22</v>
      </c>
      <c r="B1375" s="75"/>
      <c r="C1375" s="16">
        <v>46215</v>
      </c>
      <c r="D1375">
        <v>200496.38</v>
      </c>
    </row>
    <row r="1376" spans="1:4" x14ac:dyDescent="0.3">
      <c r="A1376" s="75" t="s">
        <v>23</v>
      </c>
      <c r="B1376" s="75"/>
      <c r="C1376" s="16">
        <v>46215</v>
      </c>
      <c r="D1376">
        <v>88090.37</v>
      </c>
    </row>
    <row r="1377" spans="1:4" x14ac:dyDescent="0.3">
      <c r="A1377" s="75" t="s">
        <v>24</v>
      </c>
      <c r="B1377" s="75"/>
      <c r="C1377" s="16">
        <v>46215</v>
      </c>
      <c r="D1377">
        <v>14580.45</v>
      </c>
    </row>
    <row r="1378" spans="1:4" x14ac:dyDescent="0.3">
      <c r="A1378" s="75" t="s">
        <v>25</v>
      </c>
      <c r="B1378" s="75"/>
      <c r="C1378" s="16">
        <v>46215</v>
      </c>
      <c r="D1378">
        <v>54.400000000000006</v>
      </c>
    </row>
    <row r="1379" spans="1:4" x14ac:dyDescent="0.3">
      <c r="A1379" s="75" t="s">
        <v>26</v>
      </c>
      <c r="B1379" s="75"/>
      <c r="C1379" s="16">
        <v>46215</v>
      </c>
      <c r="D1379">
        <v>2207.8200000000002</v>
      </c>
    </row>
    <row r="1380" spans="1:4" x14ac:dyDescent="0.3">
      <c r="A1380" s="75" t="s">
        <v>27</v>
      </c>
      <c r="B1380" s="75"/>
      <c r="C1380" s="16">
        <v>46215</v>
      </c>
      <c r="D1380">
        <v>1454589.72</v>
      </c>
    </row>
    <row r="1381" spans="1:4" x14ac:dyDescent="0.3">
      <c r="A1381" s="75" t="s">
        <v>28</v>
      </c>
      <c r="B1381" s="75"/>
      <c r="C1381" s="16">
        <v>46215</v>
      </c>
      <c r="D1381">
        <v>1968.99</v>
      </c>
    </row>
    <row r="1382" spans="1:4" x14ac:dyDescent="0.3">
      <c r="A1382" s="75" t="s">
        <v>29</v>
      </c>
      <c r="B1382" s="75"/>
      <c r="C1382" s="16">
        <v>46215</v>
      </c>
      <c r="D1382">
        <v>382.69000000000005</v>
      </c>
    </row>
    <row r="1383" spans="1:4" x14ac:dyDescent="0.3">
      <c r="A1383" s="75" t="s">
        <v>30</v>
      </c>
      <c r="B1383" s="75"/>
      <c r="C1383" s="16">
        <v>46215</v>
      </c>
      <c r="D1383">
        <v>1412.08</v>
      </c>
    </row>
    <row r="1384" spans="1:4" x14ac:dyDescent="0.3">
      <c r="A1384" s="75" t="s">
        <v>31</v>
      </c>
      <c r="B1384" s="75"/>
      <c r="C1384" s="16">
        <v>46215</v>
      </c>
      <c r="D1384">
        <v>22496.639999999959</v>
      </c>
    </row>
    <row r="1385" spans="1:4" x14ac:dyDescent="0.3">
      <c r="A1385" s="75" t="s">
        <v>32</v>
      </c>
      <c r="B1385" s="75"/>
      <c r="C1385" s="16">
        <v>46215</v>
      </c>
      <c r="D1385">
        <v>6522.8000000000029</v>
      </c>
    </row>
    <row r="1386" spans="1:4" x14ac:dyDescent="0.3">
      <c r="A1386" s="75" t="s">
        <v>33</v>
      </c>
      <c r="B1386" s="75"/>
      <c r="C1386" s="16">
        <v>46215</v>
      </c>
      <c r="D1386">
        <v>24085.559999999998</v>
      </c>
    </row>
    <row r="1387" spans="1:4" x14ac:dyDescent="0.3">
      <c r="A1387" s="75" t="s">
        <v>34</v>
      </c>
      <c r="B1387" s="75"/>
      <c r="C1387" s="16">
        <v>46215</v>
      </c>
      <c r="D1387">
        <v>345</v>
      </c>
    </row>
    <row r="1388" spans="1:4" x14ac:dyDescent="0.3">
      <c r="A1388" s="75" t="s">
        <v>35</v>
      </c>
      <c r="B1388" s="75"/>
      <c r="C1388" s="16">
        <v>46215</v>
      </c>
      <c r="D1388">
        <v>31900.120000000003</v>
      </c>
    </row>
    <row r="1389" spans="1:4" x14ac:dyDescent="0.3">
      <c r="A1389" s="75" t="s">
        <v>17</v>
      </c>
      <c r="B1389" s="75"/>
      <c r="C1389" s="16">
        <v>46216</v>
      </c>
      <c r="D1389">
        <v>4163755.7500000005</v>
      </c>
    </row>
    <row r="1390" spans="1:4" x14ac:dyDescent="0.3">
      <c r="A1390" s="75" t="s">
        <v>18</v>
      </c>
      <c r="B1390" s="75"/>
      <c r="C1390" s="16">
        <v>46216</v>
      </c>
      <c r="D1390">
        <v>73157.680000000168</v>
      </c>
    </row>
    <row r="1391" spans="1:4" x14ac:dyDescent="0.3">
      <c r="A1391" s="75" t="s">
        <v>19</v>
      </c>
      <c r="B1391" s="75"/>
      <c r="C1391" s="16">
        <v>46216</v>
      </c>
      <c r="D1391">
        <v>1669.89</v>
      </c>
    </row>
    <row r="1392" spans="1:4" x14ac:dyDescent="0.3">
      <c r="A1392" s="75" t="s">
        <v>20</v>
      </c>
      <c r="B1392" s="75"/>
      <c r="C1392" s="16">
        <v>46216</v>
      </c>
      <c r="D1392">
        <v>290141.62999999989</v>
      </c>
    </row>
    <row r="1393" spans="1:4" x14ac:dyDescent="0.3">
      <c r="A1393" s="75" t="s">
        <v>21</v>
      </c>
      <c r="B1393" s="75"/>
      <c r="C1393" s="16">
        <v>46216</v>
      </c>
      <c r="D1393">
        <v>1921752.2699999993</v>
      </c>
    </row>
    <row r="1394" spans="1:4" x14ac:dyDescent="0.3">
      <c r="A1394" s="75" t="s">
        <v>22</v>
      </c>
      <c r="B1394" s="75"/>
      <c r="C1394" s="16">
        <v>46216</v>
      </c>
      <c r="D1394">
        <v>200496.38</v>
      </c>
    </row>
    <row r="1395" spans="1:4" x14ac:dyDescent="0.3">
      <c r="A1395" s="75" t="s">
        <v>23</v>
      </c>
      <c r="B1395" s="75"/>
      <c r="C1395" s="16">
        <v>46216</v>
      </c>
      <c r="D1395">
        <v>88090.37</v>
      </c>
    </row>
    <row r="1396" spans="1:4" x14ac:dyDescent="0.3">
      <c r="A1396" s="75" t="s">
        <v>24</v>
      </c>
      <c r="B1396" s="75"/>
      <c r="C1396" s="16">
        <v>46216</v>
      </c>
      <c r="D1396">
        <v>14580.45</v>
      </c>
    </row>
    <row r="1397" spans="1:4" x14ac:dyDescent="0.3">
      <c r="A1397" s="75" t="s">
        <v>25</v>
      </c>
      <c r="B1397" s="75"/>
      <c r="C1397" s="16">
        <v>46216</v>
      </c>
      <c r="D1397">
        <v>54.400000000000006</v>
      </c>
    </row>
    <row r="1398" spans="1:4" x14ac:dyDescent="0.3">
      <c r="A1398" s="75" t="s">
        <v>26</v>
      </c>
      <c r="B1398" s="75"/>
      <c r="C1398" s="16">
        <v>46216</v>
      </c>
      <c r="D1398">
        <v>2207.8200000000002</v>
      </c>
    </row>
    <row r="1399" spans="1:4" x14ac:dyDescent="0.3">
      <c r="A1399" s="75" t="s">
        <v>27</v>
      </c>
      <c r="B1399" s="75"/>
      <c r="C1399" s="16">
        <v>46216</v>
      </c>
      <c r="D1399">
        <v>1454589.72</v>
      </c>
    </row>
    <row r="1400" spans="1:4" x14ac:dyDescent="0.3">
      <c r="A1400" s="75" t="s">
        <v>28</v>
      </c>
      <c r="B1400" s="75"/>
      <c r="C1400" s="16">
        <v>46216</v>
      </c>
      <c r="D1400">
        <v>1968.99</v>
      </c>
    </row>
    <row r="1401" spans="1:4" x14ac:dyDescent="0.3">
      <c r="A1401" s="75" t="s">
        <v>29</v>
      </c>
      <c r="B1401" s="75"/>
      <c r="C1401" s="16">
        <v>46216</v>
      </c>
      <c r="D1401">
        <v>901.34</v>
      </c>
    </row>
    <row r="1402" spans="1:4" x14ac:dyDescent="0.3">
      <c r="A1402" s="75" t="s">
        <v>30</v>
      </c>
      <c r="B1402" s="75"/>
      <c r="C1402" s="16">
        <v>46216</v>
      </c>
      <c r="D1402">
        <v>1412.08</v>
      </c>
    </row>
    <row r="1403" spans="1:4" x14ac:dyDescent="0.3">
      <c r="A1403" s="75" t="s">
        <v>31</v>
      </c>
      <c r="B1403" s="75"/>
      <c r="C1403" s="16">
        <v>46216</v>
      </c>
      <c r="D1403">
        <v>22496.639999999959</v>
      </c>
    </row>
    <row r="1404" spans="1:4" x14ac:dyDescent="0.3">
      <c r="A1404" s="75" t="s">
        <v>32</v>
      </c>
      <c r="B1404" s="75"/>
      <c r="C1404" s="16">
        <v>46216</v>
      </c>
      <c r="D1404">
        <v>6522.8000000000029</v>
      </c>
    </row>
    <row r="1405" spans="1:4" x14ac:dyDescent="0.3">
      <c r="A1405" s="75" t="s">
        <v>33</v>
      </c>
      <c r="B1405" s="75"/>
      <c r="C1405" s="16">
        <v>46216</v>
      </c>
      <c r="D1405">
        <v>24085.559999999998</v>
      </c>
    </row>
    <row r="1406" spans="1:4" x14ac:dyDescent="0.3">
      <c r="A1406" s="75" t="s">
        <v>34</v>
      </c>
      <c r="B1406" s="75"/>
      <c r="C1406" s="16">
        <v>46216</v>
      </c>
      <c r="D1406">
        <v>345</v>
      </c>
    </row>
    <row r="1407" spans="1:4" x14ac:dyDescent="0.3">
      <c r="A1407" s="75" t="s">
        <v>35</v>
      </c>
      <c r="B1407" s="75"/>
      <c r="C1407" s="16">
        <v>46216</v>
      </c>
      <c r="D1407">
        <v>25198.240000000002</v>
      </c>
    </row>
    <row r="1408" spans="1:4" x14ac:dyDescent="0.3">
      <c r="A1408" s="75" t="s">
        <v>17</v>
      </c>
      <c r="B1408" s="75"/>
      <c r="C1408" s="16">
        <v>46217</v>
      </c>
      <c r="D1408">
        <v>3363755.7500000005</v>
      </c>
    </row>
    <row r="1409" spans="1:4" x14ac:dyDescent="0.3">
      <c r="A1409" s="75" t="s">
        <v>18</v>
      </c>
      <c r="B1409" s="75"/>
      <c r="C1409" s="16">
        <v>46217</v>
      </c>
      <c r="D1409">
        <v>73157.680000000168</v>
      </c>
    </row>
    <row r="1410" spans="1:4" x14ac:dyDescent="0.3">
      <c r="A1410" s="75" t="s">
        <v>19</v>
      </c>
      <c r="B1410" s="75"/>
      <c r="C1410" s="16">
        <v>46217</v>
      </c>
      <c r="D1410">
        <v>1669.89</v>
      </c>
    </row>
    <row r="1411" spans="1:4" x14ac:dyDescent="0.3">
      <c r="A1411" s="75" t="s">
        <v>20</v>
      </c>
      <c r="B1411" s="75"/>
      <c r="C1411" s="16">
        <v>46217</v>
      </c>
      <c r="D1411">
        <v>1090141.6299999999</v>
      </c>
    </row>
    <row r="1412" spans="1:4" x14ac:dyDescent="0.3">
      <c r="A1412" s="75" t="s">
        <v>21</v>
      </c>
      <c r="B1412" s="75"/>
      <c r="C1412" s="16">
        <v>46217</v>
      </c>
      <c r="D1412">
        <v>1856542.8899999992</v>
      </c>
    </row>
    <row r="1413" spans="1:4" x14ac:dyDescent="0.3">
      <c r="A1413" s="75" t="s">
        <v>22</v>
      </c>
      <c r="B1413" s="75"/>
      <c r="C1413" s="16">
        <v>46217</v>
      </c>
      <c r="D1413">
        <v>200496.38</v>
      </c>
    </row>
    <row r="1414" spans="1:4" x14ac:dyDescent="0.3">
      <c r="A1414" s="75" t="s">
        <v>23</v>
      </c>
      <c r="B1414" s="75"/>
      <c r="C1414" s="16">
        <v>46217</v>
      </c>
      <c r="D1414">
        <v>88090.37</v>
      </c>
    </row>
    <row r="1415" spans="1:4" x14ac:dyDescent="0.3">
      <c r="A1415" s="75" t="s">
        <v>24</v>
      </c>
      <c r="B1415" s="75"/>
      <c r="C1415" s="16">
        <v>46217</v>
      </c>
      <c r="D1415">
        <v>14580.45</v>
      </c>
    </row>
    <row r="1416" spans="1:4" x14ac:dyDescent="0.3">
      <c r="A1416" s="75" t="s">
        <v>25</v>
      </c>
      <c r="B1416" s="75"/>
      <c r="C1416" s="16">
        <v>46217</v>
      </c>
      <c r="D1416">
        <v>54.400000000000006</v>
      </c>
    </row>
    <row r="1417" spans="1:4" x14ac:dyDescent="0.3">
      <c r="A1417" s="75" t="s">
        <v>26</v>
      </c>
      <c r="B1417" s="75"/>
      <c r="C1417" s="16">
        <v>46217</v>
      </c>
      <c r="D1417">
        <v>2207.8200000000002</v>
      </c>
    </row>
    <row r="1418" spans="1:4" x14ac:dyDescent="0.3">
      <c r="A1418" s="75" t="s">
        <v>27</v>
      </c>
      <c r="B1418" s="75"/>
      <c r="C1418" s="16">
        <v>46217</v>
      </c>
      <c r="D1418">
        <v>1454589.72</v>
      </c>
    </row>
    <row r="1419" spans="1:4" x14ac:dyDescent="0.3">
      <c r="A1419" s="75" t="s">
        <v>28</v>
      </c>
      <c r="B1419" s="75"/>
      <c r="C1419" s="16">
        <v>46217</v>
      </c>
      <c r="D1419">
        <v>1968.99</v>
      </c>
    </row>
    <row r="1420" spans="1:4" x14ac:dyDescent="0.3">
      <c r="A1420" s="75" t="s">
        <v>29</v>
      </c>
      <c r="B1420" s="75"/>
      <c r="C1420" s="16">
        <v>46217</v>
      </c>
      <c r="D1420">
        <v>901.34</v>
      </c>
    </row>
    <row r="1421" spans="1:4" x14ac:dyDescent="0.3">
      <c r="A1421" s="75" t="s">
        <v>30</v>
      </c>
      <c r="B1421" s="75"/>
      <c r="C1421" s="16">
        <v>46217</v>
      </c>
      <c r="D1421">
        <v>1412.08</v>
      </c>
    </row>
    <row r="1422" spans="1:4" x14ac:dyDescent="0.3">
      <c r="A1422" s="75" t="s">
        <v>31</v>
      </c>
      <c r="B1422" s="75"/>
      <c r="C1422" s="16">
        <v>46217</v>
      </c>
      <c r="D1422">
        <v>22347.56999999996</v>
      </c>
    </row>
    <row r="1423" spans="1:4" x14ac:dyDescent="0.3">
      <c r="A1423" s="75" t="s">
        <v>32</v>
      </c>
      <c r="B1423" s="75"/>
      <c r="C1423" s="16">
        <v>46217</v>
      </c>
      <c r="D1423">
        <v>6522.8000000000029</v>
      </c>
    </row>
    <row r="1424" spans="1:4" x14ac:dyDescent="0.3">
      <c r="A1424" s="75" t="s">
        <v>33</v>
      </c>
      <c r="B1424" s="75"/>
      <c r="C1424" s="16">
        <v>46217</v>
      </c>
      <c r="D1424">
        <v>24085.559999999998</v>
      </c>
    </row>
    <row r="1425" spans="1:4" x14ac:dyDescent="0.3">
      <c r="A1425" s="75" t="s">
        <v>34</v>
      </c>
      <c r="B1425" s="75"/>
      <c r="C1425" s="16">
        <v>46217</v>
      </c>
      <c r="D1425">
        <v>345</v>
      </c>
    </row>
    <row r="1426" spans="1:4" x14ac:dyDescent="0.3">
      <c r="A1426" s="75" t="s">
        <v>35</v>
      </c>
      <c r="B1426" s="75"/>
      <c r="C1426" s="16">
        <v>46217</v>
      </c>
      <c r="D1426">
        <v>25198.240000000002</v>
      </c>
    </row>
    <row r="1427" spans="1:4" x14ac:dyDescent="0.3">
      <c r="A1427" s="75" t="s">
        <v>17</v>
      </c>
      <c r="B1427" s="75"/>
      <c r="C1427" s="16">
        <v>46218</v>
      </c>
      <c r="D1427">
        <v>3363755.7500000005</v>
      </c>
    </row>
    <row r="1428" spans="1:4" x14ac:dyDescent="0.3">
      <c r="A1428" s="75" t="s">
        <v>18</v>
      </c>
      <c r="B1428" s="75"/>
      <c r="C1428" s="16">
        <v>46218</v>
      </c>
      <c r="D1428">
        <v>73157.680000000168</v>
      </c>
    </row>
    <row r="1429" spans="1:4" x14ac:dyDescent="0.3">
      <c r="A1429" s="75" t="s">
        <v>19</v>
      </c>
      <c r="B1429" s="75"/>
      <c r="C1429" s="16">
        <v>46218</v>
      </c>
      <c r="D1429">
        <v>1669.89</v>
      </c>
    </row>
    <row r="1430" spans="1:4" x14ac:dyDescent="0.3">
      <c r="A1430" s="75" t="s">
        <v>20</v>
      </c>
      <c r="B1430" s="75"/>
      <c r="C1430" s="16">
        <v>46218</v>
      </c>
      <c r="D1430">
        <v>1089804.7499999998</v>
      </c>
    </row>
    <row r="1431" spans="1:4" x14ac:dyDescent="0.3">
      <c r="A1431" s="75" t="s">
        <v>21</v>
      </c>
      <c r="B1431" s="75"/>
      <c r="C1431" s="16">
        <v>46218</v>
      </c>
      <c r="D1431">
        <v>1856513.4499999993</v>
      </c>
    </row>
    <row r="1432" spans="1:4" x14ac:dyDescent="0.3">
      <c r="A1432" s="75" t="s">
        <v>22</v>
      </c>
      <c r="B1432" s="75"/>
      <c r="C1432" s="16">
        <v>46218</v>
      </c>
      <c r="D1432">
        <v>200496.38</v>
      </c>
    </row>
    <row r="1433" spans="1:4" x14ac:dyDescent="0.3">
      <c r="A1433" s="75" t="s">
        <v>23</v>
      </c>
      <c r="B1433" s="75"/>
      <c r="C1433" s="16">
        <v>46218</v>
      </c>
      <c r="D1433">
        <v>88090.37</v>
      </c>
    </row>
    <row r="1434" spans="1:4" x14ac:dyDescent="0.3">
      <c r="A1434" s="75" t="s">
        <v>24</v>
      </c>
      <c r="B1434" s="75"/>
      <c r="C1434" s="16">
        <v>46218</v>
      </c>
      <c r="D1434">
        <v>14580.45</v>
      </c>
    </row>
    <row r="1435" spans="1:4" x14ac:dyDescent="0.3">
      <c r="A1435" s="75" t="s">
        <v>25</v>
      </c>
      <c r="B1435" s="75"/>
      <c r="C1435" s="16">
        <v>46218</v>
      </c>
      <c r="D1435">
        <v>54.400000000000006</v>
      </c>
    </row>
    <row r="1436" spans="1:4" x14ac:dyDescent="0.3">
      <c r="A1436" s="75" t="s">
        <v>26</v>
      </c>
      <c r="B1436" s="75"/>
      <c r="C1436" s="16">
        <v>46218</v>
      </c>
      <c r="D1436">
        <v>2207.8200000000002</v>
      </c>
    </row>
    <row r="1437" spans="1:4" x14ac:dyDescent="0.3">
      <c r="A1437" s="75" t="s">
        <v>27</v>
      </c>
      <c r="B1437" s="75"/>
      <c r="C1437" s="16">
        <v>46218</v>
      </c>
      <c r="D1437">
        <v>1454589.72</v>
      </c>
    </row>
    <row r="1438" spans="1:4" x14ac:dyDescent="0.3">
      <c r="A1438" s="75" t="s">
        <v>28</v>
      </c>
      <c r="B1438" s="75"/>
      <c r="C1438" s="16">
        <v>46218</v>
      </c>
      <c r="D1438">
        <v>1968.99</v>
      </c>
    </row>
    <row r="1439" spans="1:4" x14ac:dyDescent="0.3">
      <c r="A1439" s="75" t="s">
        <v>29</v>
      </c>
      <c r="B1439" s="75"/>
      <c r="C1439" s="16">
        <v>46218</v>
      </c>
      <c r="D1439">
        <v>901.34</v>
      </c>
    </row>
    <row r="1440" spans="1:4" x14ac:dyDescent="0.3">
      <c r="A1440" s="75" t="s">
        <v>30</v>
      </c>
      <c r="B1440" s="75"/>
      <c r="C1440" s="16">
        <v>46218</v>
      </c>
      <c r="D1440">
        <v>1412.08</v>
      </c>
    </row>
    <row r="1441" spans="1:4" x14ac:dyDescent="0.3">
      <c r="A1441" s="75" t="s">
        <v>31</v>
      </c>
      <c r="B1441" s="75"/>
      <c r="C1441" s="16">
        <v>46218</v>
      </c>
      <c r="D1441">
        <v>22347.56999999996</v>
      </c>
    </row>
    <row r="1442" spans="1:4" x14ac:dyDescent="0.3">
      <c r="A1442" s="75" t="s">
        <v>32</v>
      </c>
      <c r="B1442" s="75"/>
      <c r="C1442" s="16">
        <v>46218</v>
      </c>
      <c r="D1442">
        <v>6522.8000000000029</v>
      </c>
    </row>
    <row r="1443" spans="1:4" x14ac:dyDescent="0.3">
      <c r="A1443" s="75" t="s">
        <v>33</v>
      </c>
      <c r="B1443" s="75"/>
      <c r="C1443" s="16">
        <v>46218</v>
      </c>
      <c r="D1443">
        <v>24085.559999999998</v>
      </c>
    </row>
    <row r="1444" spans="1:4" x14ac:dyDescent="0.3">
      <c r="A1444" s="75" t="s">
        <v>34</v>
      </c>
      <c r="B1444" s="75"/>
      <c r="C1444" s="16">
        <v>46218</v>
      </c>
      <c r="D1444">
        <v>345</v>
      </c>
    </row>
    <row r="1445" spans="1:4" x14ac:dyDescent="0.3">
      <c r="A1445" s="75" t="s">
        <v>35</v>
      </c>
      <c r="B1445" s="75"/>
      <c r="C1445" s="16">
        <v>46218</v>
      </c>
      <c r="D1445">
        <v>25023.24</v>
      </c>
    </row>
    <row r="1446" spans="1:4" x14ac:dyDescent="0.3">
      <c r="A1446" s="75" t="s">
        <v>17</v>
      </c>
      <c r="B1446" s="75"/>
      <c r="C1446" s="16">
        <v>46219</v>
      </c>
      <c r="D1446">
        <v>3110339.0700000008</v>
      </c>
    </row>
    <row r="1447" spans="1:4" x14ac:dyDescent="0.3">
      <c r="A1447" s="75" t="s">
        <v>18</v>
      </c>
      <c r="B1447" s="75"/>
      <c r="C1447" s="16">
        <v>46219</v>
      </c>
      <c r="D1447">
        <v>73157.680000000168</v>
      </c>
    </row>
    <row r="1448" spans="1:4" x14ac:dyDescent="0.3">
      <c r="A1448" s="75" t="s">
        <v>19</v>
      </c>
      <c r="B1448" s="75"/>
      <c r="C1448" s="16">
        <v>46219</v>
      </c>
      <c r="D1448">
        <v>1669.89</v>
      </c>
    </row>
    <row r="1449" spans="1:4" x14ac:dyDescent="0.3">
      <c r="A1449" s="75" t="s">
        <v>20</v>
      </c>
      <c r="B1449" s="75"/>
      <c r="C1449" s="16">
        <v>46219</v>
      </c>
      <c r="D1449">
        <v>1029804.7499999998</v>
      </c>
    </row>
    <row r="1450" spans="1:4" x14ac:dyDescent="0.3">
      <c r="A1450" s="75" t="s">
        <v>21</v>
      </c>
      <c r="B1450" s="75"/>
      <c r="C1450" s="16">
        <v>46219</v>
      </c>
      <c r="D1450">
        <v>1678189.7499999995</v>
      </c>
    </row>
    <row r="1451" spans="1:4" x14ac:dyDescent="0.3">
      <c r="A1451" s="75" t="s">
        <v>22</v>
      </c>
      <c r="B1451" s="75"/>
      <c r="C1451" s="16">
        <v>46219</v>
      </c>
      <c r="D1451">
        <v>200496.38</v>
      </c>
    </row>
    <row r="1452" spans="1:4" x14ac:dyDescent="0.3">
      <c r="A1452" s="75" t="s">
        <v>23</v>
      </c>
      <c r="B1452" s="75"/>
      <c r="C1452" s="16">
        <v>46219</v>
      </c>
      <c r="D1452">
        <v>88090.37</v>
      </c>
    </row>
    <row r="1453" spans="1:4" x14ac:dyDescent="0.3">
      <c r="A1453" s="75" t="s">
        <v>24</v>
      </c>
      <c r="B1453" s="75"/>
      <c r="C1453" s="16">
        <v>46219</v>
      </c>
      <c r="D1453">
        <v>14580.45</v>
      </c>
    </row>
    <row r="1454" spans="1:4" x14ac:dyDescent="0.3">
      <c r="A1454" s="75" t="s">
        <v>25</v>
      </c>
      <c r="B1454" s="75"/>
      <c r="C1454" s="16">
        <v>46219</v>
      </c>
      <c r="D1454">
        <v>54.400000000000006</v>
      </c>
    </row>
    <row r="1455" spans="1:4" x14ac:dyDescent="0.3">
      <c r="A1455" s="75" t="s">
        <v>26</v>
      </c>
      <c r="B1455" s="75"/>
      <c r="C1455" s="16">
        <v>46219</v>
      </c>
      <c r="D1455">
        <v>2207.8200000000002</v>
      </c>
    </row>
    <row r="1456" spans="1:4" x14ac:dyDescent="0.3">
      <c r="A1456" s="75" t="s">
        <v>27</v>
      </c>
      <c r="B1456" s="75"/>
      <c r="C1456" s="16">
        <v>46219</v>
      </c>
      <c r="D1456">
        <v>1454589.72</v>
      </c>
    </row>
    <row r="1457" spans="1:4" x14ac:dyDescent="0.3">
      <c r="A1457" s="75" t="s">
        <v>28</v>
      </c>
      <c r="B1457" s="75"/>
      <c r="C1457" s="16">
        <v>46219</v>
      </c>
      <c r="D1457">
        <v>1968.99</v>
      </c>
    </row>
    <row r="1458" spans="1:4" x14ac:dyDescent="0.3">
      <c r="A1458" s="75" t="s">
        <v>29</v>
      </c>
      <c r="B1458" s="75"/>
      <c r="C1458" s="16">
        <v>46219</v>
      </c>
      <c r="D1458">
        <v>901.34</v>
      </c>
    </row>
    <row r="1459" spans="1:4" x14ac:dyDescent="0.3">
      <c r="A1459" s="75" t="s">
        <v>30</v>
      </c>
      <c r="B1459" s="75"/>
      <c r="C1459" s="16">
        <v>46219</v>
      </c>
      <c r="D1459">
        <v>1412.08</v>
      </c>
    </row>
    <row r="1460" spans="1:4" x14ac:dyDescent="0.3">
      <c r="A1460" s="75" t="s">
        <v>31</v>
      </c>
      <c r="B1460" s="75"/>
      <c r="C1460" s="16">
        <v>46219</v>
      </c>
      <c r="D1460">
        <v>22347.56999999996</v>
      </c>
    </row>
    <row r="1461" spans="1:4" x14ac:dyDescent="0.3">
      <c r="A1461" s="75" t="s">
        <v>32</v>
      </c>
      <c r="B1461" s="75"/>
      <c r="C1461" s="16">
        <v>46219</v>
      </c>
      <c r="D1461">
        <v>3522.8000000000029</v>
      </c>
    </row>
    <row r="1462" spans="1:4" x14ac:dyDescent="0.3">
      <c r="A1462" s="75" t="s">
        <v>33</v>
      </c>
      <c r="B1462" s="75"/>
      <c r="C1462" s="16">
        <v>46219</v>
      </c>
      <c r="D1462">
        <v>24085.559999999998</v>
      </c>
    </row>
    <row r="1463" spans="1:4" x14ac:dyDescent="0.3">
      <c r="A1463" s="75" t="s">
        <v>34</v>
      </c>
      <c r="B1463" s="75"/>
      <c r="C1463" s="16">
        <v>46219</v>
      </c>
      <c r="D1463">
        <v>345</v>
      </c>
    </row>
    <row r="1464" spans="1:4" x14ac:dyDescent="0.3">
      <c r="A1464" s="75" t="s">
        <v>35</v>
      </c>
      <c r="B1464" s="75"/>
      <c r="C1464" s="16">
        <v>46219</v>
      </c>
      <c r="D1464">
        <v>23978.850000000002</v>
      </c>
    </row>
    <row r="1465" spans="1:4" x14ac:dyDescent="0.3">
      <c r="A1465" s="75" t="s">
        <v>17</v>
      </c>
      <c r="B1465" s="75"/>
      <c r="C1465" s="16">
        <v>46220</v>
      </c>
      <c r="D1465">
        <v>3110339.0700000008</v>
      </c>
    </row>
    <row r="1466" spans="1:4" x14ac:dyDescent="0.3">
      <c r="A1466" s="75" t="s">
        <v>18</v>
      </c>
      <c r="B1466" s="75"/>
      <c r="C1466" s="16">
        <v>46220</v>
      </c>
      <c r="D1466">
        <v>73157.680000000168</v>
      </c>
    </row>
    <row r="1467" spans="1:4" x14ac:dyDescent="0.3">
      <c r="A1467" s="75" t="s">
        <v>19</v>
      </c>
      <c r="B1467" s="75"/>
      <c r="C1467" s="16">
        <v>46220</v>
      </c>
      <c r="D1467">
        <v>1669.89</v>
      </c>
    </row>
    <row r="1468" spans="1:4" x14ac:dyDescent="0.3">
      <c r="A1468" s="75" t="s">
        <v>20</v>
      </c>
      <c r="B1468" s="75"/>
      <c r="C1468" s="16">
        <v>46220</v>
      </c>
      <c r="D1468">
        <v>1029804.7499999998</v>
      </c>
    </row>
    <row r="1469" spans="1:4" x14ac:dyDescent="0.3">
      <c r="A1469" s="75" t="s">
        <v>21</v>
      </c>
      <c r="B1469" s="75"/>
      <c r="C1469" s="16">
        <v>46220</v>
      </c>
      <c r="D1469">
        <v>1748189.7499999995</v>
      </c>
    </row>
    <row r="1470" spans="1:4" x14ac:dyDescent="0.3">
      <c r="A1470" s="75" t="s">
        <v>22</v>
      </c>
      <c r="B1470" s="75"/>
      <c r="C1470" s="16">
        <v>46220</v>
      </c>
      <c r="D1470">
        <v>200496.38</v>
      </c>
    </row>
    <row r="1471" spans="1:4" x14ac:dyDescent="0.3">
      <c r="A1471" s="75" t="s">
        <v>23</v>
      </c>
      <c r="B1471" s="75"/>
      <c r="C1471" s="16">
        <v>46220</v>
      </c>
      <c r="D1471">
        <v>88090.37</v>
      </c>
    </row>
    <row r="1472" spans="1:4" x14ac:dyDescent="0.3">
      <c r="A1472" s="75" t="s">
        <v>24</v>
      </c>
      <c r="B1472" s="75"/>
      <c r="C1472" s="16">
        <v>46220</v>
      </c>
      <c r="D1472">
        <v>14580.45</v>
      </c>
    </row>
    <row r="1473" spans="1:4" x14ac:dyDescent="0.3">
      <c r="A1473" s="75" t="s">
        <v>25</v>
      </c>
      <c r="B1473" s="75"/>
      <c r="C1473" s="16">
        <v>46220</v>
      </c>
      <c r="D1473">
        <v>54.400000000000006</v>
      </c>
    </row>
    <row r="1474" spans="1:4" x14ac:dyDescent="0.3">
      <c r="A1474" s="75" t="s">
        <v>26</v>
      </c>
      <c r="B1474" s="75"/>
      <c r="C1474" s="16">
        <v>46220</v>
      </c>
      <c r="D1474">
        <v>2207.8200000000002</v>
      </c>
    </row>
    <row r="1475" spans="1:4" x14ac:dyDescent="0.3">
      <c r="A1475" s="75" t="s">
        <v>27</v>
      </c>
      <c r="B1475" s="75"/>
      <c r="C1475" s="16">
        <v>46220</v>
      </c>
      <c r="D1475">
        <v>1454589.72</v>
      </c>
    </row>
    <row r="1476" spans="1:4" x14ac:dyDescent="0.3">
      <c r="A1476" s="75" t="s">
        <v>28</v>
      </c>
      <c r="B1476" s="75"/>
      <c r="C1476" s="16">
        <v>46220</v>
      </c>
      <c r="D1476">
        <v>1968.99</v>
      </c>
    </row>
    <row r="1477" spans="1:4" x14ac:dyDescent="0.3">
      <c r="A1477" s="75" t="s">
        <v>29</v>
      </c>
      <c r="B1477" s="75"/>
      <c r="C1477" s="16">
        <v>46220</v>
      </c>
      <c r="D1477">
        <v>901.34</v>
      </c>
    </row>
    <row r="1478" spans="1:4" x14ac:dyDescent="0.3">
      <c r="A1478" s="75" t="s">
        <v>30</v>
      </c>
      <c r="B1478" s="75"/>
      <c r="C1478" s="16">
        <v>46220</v>
      </c>
      <c r="D1478">
        <v>1412.08</v>
      </c>
    </row>
    <row r="1479" spans="1:4" x14ac:dyDescent="0.3">
      <c r="A1479" s="75" t="s">
        <v>31</v>
      </c>
      <c r="B1479" s="75"/>
      <c r="C1479" s="16">
        <v>46220</v>
      </c>
      <c r="D1479">
        <v>22347.56999999996</v>
      </c>
    </row>
    <row r="1480" spans="1:4" x14ac:dyDescent="0.3">
      <c r="A1480" s="75" t="s">
        <v>32</v>
      </c>
      <c r="B1480" s="75"/>
      <c r="C1480" s="16">
        <v>46220</v>
      </c>
      <c r="D1480">
        <v>3522.8000000000029</v>
      </c>
    </row>
    <row r="1481" spans="1:4" x14ac:dyDescent="0.3">
      <c r="A1481" s="75" t="s">
        <v>33</v>
      </c>
      <c r="B1481" s="75"/>
      <c r="C1481" s="16">
        <v>46220</v>
      </c>
      <c r="D1481">
        <v>24085.559999999998</v>
      </c>
    </row>
    <row r="1482" spans="1:4" x14ac:dyDescent="0.3">
      <c r="A1482" s="75" t="s">
        <v>34</v>
      </c>
      <c r="B1482" s="75"/>
      <c r="C1482" s="16">
        <v>46220</v>
      </c>
      <c r="D1482">
        <v>345</v>
      </c>
    </row>
    <row r="1483" spans="1:4" x14ac:dyDescent="0.3">
      <c r="A1483" s="75" t="s">
        <v>35</v>
      </c>
      <c r="B1483" s="75"/>
      <c r="C1483" s="16">
        <v>46220</v>
      </c>
      <c r="D1483">
        <v>16230.620000000003</v>
      </c>
    </row>
    <row r="1484" spans="1:4" x14ac:dyDescent="0.3">
      <c r="A1484" s="75" t="s">
        <v>17</v>
      </c>
      <c r="B1484" s="75"/>
      <c r="C1484" s="16">
        <v>46221</v>
      </c>
      <c r="D1484">
        <v>3110339.0700000008</v>
      </c>
    </row>
    <row r="1485" spans="1:4" x14ac:dyDescent="0.3">
      <c r="A1485" s="75" t="s">
        <v>18</v>
      </c>
      <c r="B1485" s="75"/>
      <c r="C1485" s="16">
        <v>46221</v>
      </c>
      <c r="D1485">
        <v>73157.680000000168</v>
      </c>
    </row>
    <row r="1486" spans="1:4" x14ac:dyDescent="0.3">
      <c r="A1486" s="75" t="s">
        <v>19</v>
      </c>
      <c r="B1486" s="75"/>
      <c r="C1486" s="16">
        <v>46221</v>
      </c>
      <c r="D1486">
        <v>1669.89</v>
      </c>
    </row>
    <row r="1487" spans="1:4" x14ac:dyDescent="0.3">
      <c r="A1487" s="75" t="s">
        <v>20</v>
      </c>
      <c r="B1487" s="75"/>
      <c r="C1487" s="16">
        <v>46221</v>
      </c>
      <c r="D1487">
        <v>1029804.7499999998</v>
      </c>
    </row>
    <row r="1488" spans="1:4" x14ac:dyDescent="0.3">
      <c r="A1488" s="75" t="s">
        <v>21</v>
      </c>
      <c r="B1488" s="75"/>
      <c r="C1488" s="16">
        <v>46221</v>
      </c>
      <c r="D1488">
        <v>1748189.7499999995</v>
      </c>
    </row>
    <row r="1489" spans="1:4" x14ac:dyDescent="0.3">
      <c r="A1489" s="75" t="s">
        <v>22</v>
      </c>
      <c r="B1489" s="75"/>
      <c r="C1489" s="16">
        <v>46221</v>
      </c>
      <c r="D1489">
        <v>200496.38</v>
      </c>
    </row>
    <row r="1490" spans="1:4" x14ac:dyDescent="0.3">
      <c r="A1490" s="75" t="s">
        <v>23</v>
      </c>
      <c r="B1490" s="75"/>
      <c r="C1490" s="16">
        <v>46221</v>
      </c>
      <c r="D1490">
        <v>88090.37</v>
      </c>
    </row>
    <row r="1491" spans="1:4" x14ac:dyDescent="0.3">
      <c r="A1491" s="75" t="s">
        <v>24</v>
      </c>
      <c r="B1491" s="75"/>
      <c r="C1491" s="16">
        <v>46221</v>
      </c>
      <c r="D1491">
        <v>14580.45</v>
      </c>
    </row>
    <row r="1492" spans="1:4" x14ac:dyDescent="0.3">
      <c r="A1492" s="75" t="s">
        <v>25</v>
      </c>
      <c r="B1492" s="75"/>
      <c r="C1492" s="16">
        <v>46221</v>
      </c>
      <c r="D1492">
        <v>54.400000000000006</v>
      </c>
    </row>
    <row r="1493" spans="1:4" x14ac:dyDescent="0.3">
      <c r="A1493" s="75" t="s">
        <v>26</v>
      </c>
      <c r="B1493" s="75"/>
      <c r="C1493" s="16">
        <v>46221</v>
      </c>
      <c r="D1493">
        <v>2207.8200000000002</v>
      </c>
    </row>
    <row r="1494" spans="1:4" x14ac:dyDescent="0.3">
      <c r="A1494" s="75" t="s">
        <v>27</v>
      </c>
      <c r="B1494" s="75"/>
      <c r="C1494" s="16">
        <v>46221</v>
      </c>
      <c r="D1494">
        <v>1454589.72</v>
      </c>
    </row>
    <row r="1495" spans="1:4" x14ac:dyDescent="0.3">
      <c r="A1495" s="75" t="s">
        <v>28</v>
      </c>
      <c r="B1495" s="75"/>
      <c r="C1495" s="16">
        <v>46221</v>
      </c>
      <c r="D1495">
        <v>1968.99</v>
      </c>
    </row>
    <row r="1496" spans="1:4" x14ac:dyDescent="0.3">
      <c r="A1496" s="75" t="s">
        <v>29</v>
      </c>
      <c r="B1496" s="75"/>
      <c r="C1496" s="16">
        <v>46221</v>
      </c>
      <c r="D1496">
        <v>901.34</v>
      </c>
    </row>
    <row r="1497" spans="1:4" x14ac:dyDescent="0.3">
      <c r="A1497" s="75" t="s">
        <v>30</v>
      </c>
      <c r="B1497" s="75"/>
      <c r="C1497" s="16">
        <v>46221</v>
      </c>
      <c r="D1497">
        <v>1412.08</v>
      </c>
    </row>
    <row r="1498" spans="1:4" x14ac:dyDescent="0.3">
      <c r="A1498" s="75" t="s">
        <v>31</v>
      </c>
      <c r="B1498" s="75"/>
      <c r="C1498" s="16">
        <v>46221</v>
      </c>
      <c r="D1498">
        <v>22347.56999999996</v>
      </c>
    </row>
    <row r="1499" spans="1:4" x14ac:dyDescent="0.3">
      <c r="A1499" s="75" t="s">
        <v>32</v>
      </c>
      <c r="B1499" s="75"/>
      <c r="C1499" s="16">
        <v>46221</v>
      </c>
      <c r="D1499">
        <v>3522.8000000000029</v>
      </c>
    </row>
    <row r="1500" spans="1:4" x14ac:dyDescent="0.3">
      <c r="A1500" s="75" t="s">
        <v>33</v>
      </c>
      <c r="B1500" s="75"/>
      <c r="C1500" s="16">
        <v>46221</v>
      </c>
      <c r="D1500">
        <v>24085.559999999998</v>
      </c>
    </row>
    <row r="1501" spans="1:4" x14ac:dyDescent="0.3">
      <c r="A1501" s="75" t="s">
        <v>34</v>
      </c>
      <c r="B1501" s="75"/>
      <c r="C1501" s="16">
        <v>46221</v>
      </c>
      <c r="D1501">
        <v>345</v>
      </c>
    </row>
    <row r="1502" spans="1:4" x14ac:dyDescent="0.3">
      <c r="A1502" s="75" t="s">
        <v>35</v>
      </c>
      <c r="B1502" s="75"/>
      <c r="C1502" s="16">
        <v>46221</v>
      </c>
      <c r="D1502">
        <v>16230.620000000003</v>
      </c>
    </row>
    <row r="1503" spans="1:4" x14ac:dyDescent="0.3">
      <c r="A1503" s="75" t="s">
        <v>17</v>
      </c>
      <c r="B1503" s="75"/>
      <c r="C1503" s="16">
        <v>46222</v>
      </c>
      <c r="D1503">
        <v>3110339.0700000008</v>
      </c>
    </row>
    <row r="1504" spans="1:4" x14ac:dyDescent="0.3">
      <c r="A1504" s="75" t="s">
        <v>18</v>
      </c>
      <c r="B1504" s="75"/>
      <c r="C1504" s="16">
        <v>46222</v>
      </c>
      <c r="D1504">
        <v>73157.680000000168</v>
      </c>
    </row>
    <row r="1505" spans="1:4" x14ac:dyDescent="0.3">
      <c r="A1505" s="75" t="s">
        <v>19</v>
      </c>
      <c r="B1505" s="75"/>
      <c r="C1505" s="16">
        <v>46222</v>
      </c>
      <c r="D1505">
        <v>1669.89</v>
      </c>
    </row>
    <row r="1506" spans="1:4" x14ac:dyDescent="0.3">
      <c r="A1506" s="75" t="s">
        <v>20</v>
      </c>
      <c r="B1506" s="75"/>
      <c r="C1506" s="16">
        <v>46222</v>
      </c>
      <c r="D1506">
        <v>1029804.7499999998</v>
      </c>
    </row>
    <row r="1507" spans="1:4" x14ac:dyDescent="0.3">
      <c r="A1507" s="75" t="s">
        <v>21</v>
      </c>
      <c r="B1507" s="75"/>
      <c r="C1507" s="16">
        <v>46222</v>
      </c>
      <c r="D1507">
        <v>1748189.7499999995</v>
      </c>
    </row>
    <row r="1508" spans="1:4" x14ac:dyDescent="0.3">
      <c r="A1508" s="75" t="s">
        <v>22</v>
      </c>
      <c r="B1508" s="75"/>
      <c r="C1508" s="16">
        <v>46222</v>
      </c>
      <c r="D1508">
        <v>200496.38</v>
      </c>
    </row>
    <row r="1509" spans="1:4" x14ac:dyDescent="0.3">
      <c r="A1509" s="75" t="s">
        <v>23</v>
      </c>
      <c r="B1509" s="75"/>
      <c r="C1509" s="16">
        <v>46222</v>
      </c>
      <c r="D1509">
        <v>88090.37</v>
      </c>
    </row>
    <row r="1510" spans="1:4" x14ac:dyDescent="0.3">
      <c r="A1510" s="75" t="s">
        <v>24</v>
      </c>
      <c r="B1510" s="75"/>
      <c r="C1510" s="16">
        <v>46222</v>
      </c>
      <c r="D1510">
        <v>14580.45</v>
      </c>
    </row>
    <row r="1511" spans="1:4" x14ac:dyDescent="0.3">
      <c r="A1511" s="75" t="s">
        <v>25</v>
      </c>
      <c r="B1511" s="75"/>
      <c r="C1511" s="16">
        <v>46222</v>
      </c>
      <c r="D1511">
        <v>54.400000000000006</v>
      </c>
    </row>
    <row r="1512" spans="1:4" x14ac:dyDescent="0.3">
      <c r="A1512" s="75" t="s">
        <v>26</v>
      </c>
      <c r="B1512" s="75"/>
      <c r="C1512" s="16">
        <v>46222</v>
      </c>
      <c r="D1512">
        <v>2207.8200000000002</v>
      </c>
    </row>
    <row r="1513" spans="1:4" x14ac:dyDescent="0.3">
      <c r="A1513" s="75" t="s">
        <v>27</v>
      </c>
      <c r="B1513" s="75"/>
      <c r="C1513" s="16">
        <v>46222</v>
      </c>
      <c r="D1513">
        <v>1454589.72</v>
      </c>
    </row>
    <row r="1514" spans="1:4" x14ac:dyDescent="0.3">
      <c r="A1514" s="75" t="s">
        <v>28</v>
      </c>
      <c r="B1514" s="75"/>
      <c r="C1514" s="16">
        <v>46222</v>
      </c>
      <c r="D1514">
        <v>1968.99</v>
      </c>
    </row>
    <row r="1515" spans="1:4" x14ac:dyDescent="0.3">
      <c r="A1515" s="75" t="s">
        <v>29</v>
      </c>
      <c r="B1515" s="75"/>
      <c r="C1515" s="16">
        <v>46222</v>
      </c>
      <c r="D1515">
        <v>901.34</v>
      </c>
    </row>
    <row r="1516" spans="1:4" x14ac:dyDescent="0.3">
      <c r="A1516" s="75" t="s">
        <v>30</v>
      </c>
      <c r="B1516" s="75"/>
      <c r="C1516" s="16">
        <v>46222</v>
      </c>
      <c r="D1516">
        <v>1412.08</v>
      </c>
    </row>
    <row r="1517" spans="1:4" x14ac:dyDescent="0.3">
      <c r="A1517" s="75" t="s">
        <v>31</v>
      </c>
      <c r="B1517" s="75"/>
      <c r="C1517" s="16">
        <v>46222</v>
      </c>
      <c r="D1517">
        <v>22347.56999999996</v>
      </c>
    </row>
    <row r="1518" spans="1:4" x14ac:dyDescent="0.3">
      <c r="A1518" s="75" t="s">
        <v>32</v>
      </c>
      <c r="B1518" s="75"/>
      <c r="C1518" s="16">
        <v>46222</v>
      </c>
      <c r="D1518">
        <v>3522.8000000000029</v>
      </c>
    </row>
    <row r="1519" spans="1:4" x14ac:dyDescent="0.3">
      <c r="A1519" s="75" t="s">
        <v>33</v>
      </c>
      <c r="B1519" s="75"/>
      <c r="C1519" s="16">
        <v>46222</v>
      </c>
      <c r="D1519">
        <v>24085.559999999998</v>
      </c>
    </row>
    <row r="1520" spans="1:4" x14ac:dyDescent="0.3">
      <c r="A1520" s="75" t="s">
        <v>34</v>
      </c>
      <c r="B1520" s="75"/>
      <c r="C1520" s="16">
        <v>46222</v>
      </c>
      <c r="D1520">
        <v>345</v>
      </c>
    </row>
    <row r="1521" spans="1:4" x14ac:dyDescent="0.3">
      <c r="A1521" s="75" t="s">
        <v>35</v>
      </c>
      <c r="B1521" s="75"/>
      <c r="C1521" s="16">
        <v>46222</v>
      </c>
      <c r="D1521">
        <v>16230.620000000003</v>
      </c>
    </row>
    <row r="1522" spans="1:4" x14ac:dyDescent="0.3">
      <c r="A1522" s="75" t="s">
        <v>17</v>
      </c>
      <c r="B1522" s="75"/>
      <c r="C1522" s="16">
        <v>46223</v>
      </c>
      <c r="D1522">
        <v>3110339.0700000008</v>
      </c>
    </row>
    <row r="1523" spans="1:4" x14ac:dyDescent="0.3">
      <c r="A1523" s="75" t="s">
        <v>18</v>
      </c>
      <c r="B1523" s="75"/>
      <c r="C1523" s="16">
        <v>46223</v>
      </c>
      <c r="D1523">
        <v>73157.680000000168</v>
      </c>
    </row>
    <row r="1524" spans="1:4" x14ac:dyDescent="0.3">
      <c r="A1524" s="75" t="s">
        <v>19</v>
      </c>
      <c r="B1524" s="75"/>
      <c r="C1524" s="16">
        <v>46223</v>
      </c>
      <c r="D1524">
        <v>1669.89</v>
      </c>
    </row>
    <row r="1525" spans="1:4" x14ac:dyDescent="0.3">
      <c r="A1525" s="75" t="s">
        <v>20</v>
      </c>
      <c r="B1525" s="75"/>
      <c r="C1525" s="16">
        <v>46223</v>
      </c>
      <c r="D1525">
        <v>1029804.7499999998</v>
      </c>
    </row>
    <row r="1526" spans="1:4" x14ac:dyDescent="0.3">
      <c r="A1526" s="75" t="s">
        <v>21</v>
      </c>
      <c r="B1526" s="75"/>
      <c r="C1526" s="16">
        <v>46223</v>
      </c>
      <c r="D1526">
        <v>1744257.8699999994</v>
      </c>
    </row>
    <row r="1527" spans="1:4" x14ac:dyDescent="0.3">
      <c r="A1527" s="75" t="s">
        <v>22</v>
      </c>
      <c r="B1527" s="75"/>
      <c r="C1527" s="16">
        <v>46223</v>
      </c>
      <c r="D1527">
        <v>200496.38</v>
      </c>
    </row>
    <row r="1528" spans="1:4" x14ac:dyDescent="0.3">
      <c r="A1528" s="75" t="s">
        <v>23</v>
      </c>
      <c r="B1528" s="75"/>
      <c r="C1528" s="16">
        <v>46223</v>
      </c>
      <c r="D1528">
        <v>88090.37</v>
      </c>
    </row>
    <row r="1529" spans="1:4" x14ac:dyDescent="0.3">
      <c r="A1529" s="75" t="s">
        <v>24</v>
      </c>
      <c r="B1529" s="75"/>
      <c r="C1529" s="16">
        <v>46223</v>
      </c>
      <c r="D1529">
        <v>14580.45</v>
      </c>
    </row>
    <row r="1530" spans="1:4" x14ac:dyDescent="0.3">
      <c r="A1530" s="75" t="s">
        <v>25</v>
      </c>
      <c r="B1530" s="75"/>
      <c r="C1530" s="16">
        <v>46223</v>
      </c>
      <c r="D1530">
        <v>54.400000000000006</v>
      </c>
    </row>
    <row r="1531" spans="1:4" x14ac:dyDescent="0.3">
      <c r="A1531" s="75" t="s">
        <v>26</v>
      </c>
      <c r="B1531" s="75"/>
      <c r="C1531" s="16">
        <v>46223</v>
      </c>
      <c r="D1531">
        <v>2207.8200000000002</v>
      </c>
    </row>
    <row r="1532" spans="1:4" x14ac:dyDescent="0.3">
      <c r="A1532" s="75" t="s">
        <v>27</v>
      </c>
      <c r="B1532" s="75"/>
      <c r="C1532" s="16">
        <v>46223</v>
      </c>
      <c r="D1532">
        <v>1454589.72</v>
      </c>
    </row>
    <row r="1533" spans="1:4" x14ac:dyDescent="0.3">
      <c r="A1533" s="75" t="s">
        <v>28</v>
      </c>
      <c r="B1533" s="75"/>
      <c r="C1533" s="16">
        <v>46223</v>
      </c>
      <c r="D1533">
        <v>1968.99</v>
      </c>
    </row>
    <row r="1534" spans="1:4" x14ac:dyDescent="0.3">
      <c r="A1534" s="75" t="s">
        <v>29</v>
      </c>
      <c r="B1534" s="75"/>
      <c r="C1534" s="16">
        <v>46223</v>
      </c>
      <c r="D1534">
        <v>901.34</v>
      </c>
    </row>
    <row r="1535" spans="1:4" x14ac:dyDescent="0.3">
      <c r="A1535" s="75" t="s">
        <v>30</v>
      </c>
      <c r="B1535" s="75"/>
      <c r="C1535" s="16">
        <v>46223</v>
      </c>
      <c r="D1535">
        <v>1412.08</v>
      </c>
    </row>
    <row r="1536" spans="1:4" x14ac:dyDescent="0.3">
      <c r="A1536" s="75" t="s">
        <v>31</v>
      </c>
      <c r="B1536" s="75"/>
      <c r="C1536" s="16">
        <v>46223</v>
      </c>
      <c r="D1536">
        <v>22347.56999999996</v>
      </c>
    </row>
    <row r="1537" spans="1:4" x14ac:dyDescent="0.3">
      <c r="A1537" s="75" t="s">
        <v>32</v>
      </c>
      <c r="B1537" s="75"/>
      <c r="C1537" s="16">
        <v>46223</v>
      </c>
      <c r="D1537">
        <v>3522.8000000000029</v>
      </c>
    </row>
    <row r="1538" spans="1:4" x14ac:dyDescent="0.3">
      <c r="A1538" s="75" t="s">
        <v>33</v>
      </c>
      <c r="B1538" s="75"/>
      <c r="C1538" s="16">
        <v>46223</v>
      </c>
      <c r="D1538">
        <v>24085.559999999998</v>
      </c>
    </row>
    <row r="1539" spans="1:4" x14ac:dyDescent="0.3">
      <c r="A1539" s="75" t="s">
        <v>34</v>
      </c>
      <c r="B1539" s="75"/>
      <c r="C1539" s="16">
        <v>46223</v>
      </c>
      <c r="D1539">
        <v>345</v>
      </c>
    </row>
    <row r="1540" spans="1:4" x14ac:dyDescent="0.3">
      <c r="A1540" s="75" t="s">
        <v>35</v>
      </c>
      <c r="B1540" s="75"/>
      <c r="C1540" s="16">
        <v>46223</v>
      </c>
      <c r="D1540">
        <v>14097.480000000003</v>
      </c>
    </row>
    <row r="1541" spans="1:4" x14ac:dyDescent="0.3">
      <c r="A1541" s="75" t="s">
        <v>17</v>
      </c>
      <c r="B1541" s="75"/>
      <c r="C1541" s="16">
        <v>46224</v>
      </c>
      <c r="D1541">
        <v>3110339.0700000008</v>
      </c>
    </row>
    <row r="1542" spans="1:4" x14ac:dyDescent="0.3">
      <c r="A1542" s="75" t="s">
        <v>18</v>
      </c>
      <c r="B1542" s="75"/>
      <c r="C1542" s="16">
        <v>46224</v>
      </c>
      <c r="D1542">
        <v>73157.680000000168</v>
      </c>
    </row>
    <row r="1543" spans="1:4" x14ac:dyDescent="0.3">
      <c r="A1543" s="75" t="s">
        <v>19</v>
      </c>
      <c r="B1543" s="75"/>
      <c r="C1543" s="16">
        <v>46224</v>
      </c>
      <c r="D1543">
        <v>1669.89</v>
      </c>
    </row>
    <row r="1544" spans="1:4" x14ac:dyDescent="0.3">
      <c r="A1544" s="75" t="s">
        <v>20</v>
      </c>
      <c r="B1544" s="75"/>
      <c r="C1544" s="16">
        <v>46224</v>
      </c>
      <c r="D1544">
        <v>1029804.7499999998</v>
      </c>
    </row>
    <row r="1545" spans="1:4" x14ac:dyDescent="0.3">
      <c r="A1545" s="75" t="s">
        <v>21</v>
      </c>
      <c r="B1545" s="75"/>
      <c r="C1545" s="16">
        <v>46224</v>
      </c>
      <c r="D1545">
        <v>1744257.8699999994</v>
      </c>
    </row>
    <row r="1546" spans="1:4" x14ac:dyDescent="0.3">
      <c r="A1546" s="75" t="s">
        <v>22</v>
      </c>
      <c r="B1546" s="75"/>
      <c r="C1546" s="16">
        <v>46224</v>
      </c>
      <c r="D1546">
        <v>200496.38</v>
      </c>
    </row>
    <row r="1547" spans="1:4" x14ac:dyDescent="0.3">
      <c r="A1547" s="75" t="s">
        <v>23</v>
      </c>
      <c r="B1547" s="75"/>
      <c r="C1547" s="16">
        <v>46224</v>
      </c>
      <c r="D1547">
        <v>88090.37</v>
      </c>
    </row>
    <row r="1548" spans="1:4" x14ac:dyDescent="0.3">
      <c r="A1548" s="75" t="s">
        <v>24</v>
      </c>
      <c r="B1548" s="75"/>
      <c r="C1548" s="16">
        <v>46224</v>
      </c>
      <c r="D1548">
        <v>14580.45</v>
      </c>
    </row>
    <row r="1549" spans="1:4" x14ac:dyDescent="0.3">
      <c r="A1549" s="75" t="s">
        <v>25</v>
      </c>
      <c r="B1549" s="75"/>
      <c r="C1549" s="16">
        <v>46224</v>
      </c>
      <c r="D1549">
        <v>54.400000000000006</v>
      </c>
    </row>
    <row r="1550" spans="1:4" x14ac:dyDescent="0.3">
      <c r="A1550" s="75" t="s">
        <v>26</v>
      </c>
      <c r="B1550" s="75"/>
      <c r="C1550" s="16">
        <v>46224</v>
      </c>
      <c r="D1550">
        <v>2207.8200000000002</v>
      </c>
    </row>
    <row r="1551" spans="1:4" x14ac:dyDescent="0.3">
      <c r="A1551" s="75" t="s">
        <v>27</v>
      </c>
      <c r="B1551" s="75"/>
      <c r="C1551" s="16">
        <v>46224</v>
      </c>
      <c r="D1551">
        <v>1454589.72</v>
      </c>
    </row>
    <row r="1552" spans="1:4" x14ac:dyDescent="0.3">
      <c r="A1552" s="75" t="s">
        <v>28</v>
      </c>
      <c r="B1552" s="75"/>
      <c r="C1552" s="16">
        <v>46224</v>
      </c>
      <c r="D1552">
        <v>1968.99</v>
      </c>
    </row>
    <row r="1553" spans="1:4" x14ac:dyDescent="0.3">
      <c r="A1553" s="75" t="s">
        <v>29</v>
      </c>
      <c r="B1553" s="75"/>
      <c r="C1553" s="16">
        <v>46224</v>
      </c>
      <c r="D1553">
        <v>901.34</v>
      </c>
    </row>
    <row r="1554" spans="1:4" x14ac:dyDescent="0.3">
      <c r="A1554" s="75" t="s">
        <v>30</v>
      </c>
      <c r="B1554" s="75"/>
      <c r="C1554" s="16">
        <v>46224</v>
      </c>
      <c r="D1554">
        <v>1412.08</v>
      </c>
    </row>
    <row r="1555" spans="1:4" x14ac:dyDescent="0.3">
      <c r="A1555" s="75" t="s">
        <v>31</v>
      </c>
      <c r="B1555" s="75"/>
      <c r="C1555" s="16">
        <v>46224</v>
      </c>
      <c r="D1555">
        <v>22347.56999999996</v>
      </c>
    </row>
    <row r="1556" spans="1:4" x14ac:dyDescent="0.3">
      <c r="A1556" s="75" t="s">
        <v>32</v>
      </c>
      <c r="B1556" s="75"/>
      <c r="C1556" s="16">
        <v>46224</v>
      </c>
      <c r="D1556">
        <v>3522.8000000000029</v>
      </c>
    </row>
    <row r="1557" spans="1:4" x14ac:dyDescent="0.3">
      <c r="A1557" s="75" t="s">
        <v>33</v>
      </c>
      <c r="B1557" s="75"/>
      <c r="C1557" s="16">
        <v>46224</v>
      </c>
      <c r="D1557">
        <v>24085.559999999998</v>
      </c>
    </row>
    <row r="1558" spans="1:4" x14ac:dyDescent="0.3">
      <c r="A1558" s="75" t="s">
        <v>34</v>
      </c>
      <c r="B1558" s="75"/>
      <c r="C1558" s="16">
        <v>46224</v>
      </c>
      <c r="D1558">
        <v>345</v>
      </c>
    </row>
    <row r="1559" spans="1:4" x14ac:dyDescent="0.3">
      <c r="A1559" s="75" t="s">
        <v>35</v>
      </c>
      <c r="B1559" s="75"/>
      <c r="C1559" s="16">
        <v>46224</v>
      </c>
      <c r="D1559">
        <v>13745.850000000002</v>
      </c>
    </row>
    <row r="1560" spans="1:4" x14ac:dyDescent="0.3">
      <c r="A1560" s="75" t="s">
        <v>17</v>
      </c>
      <c r="B1560" s="75"/>
      <c r="C1560" s="16">
        <v>46225</v>
      </c>
      <c r="D1560">
        <v>2255755.7400000007</v>
      </c>
    </row>
    <row r="1561" spans="1:4" x14ac:dyDescent="0.3">
      <c r="A1561" s="75" t="s">
        <v>18</v>
      </c>
      <c r="B1561" s="75"/>
      <c r="C1561" s="16">
        <v>46225</v>
      </c>
      <c r="D1561">
        <v>73157.680000000168</v>
      </c>
    </row>
    <row r="1562" spans="1:4" x14ac:dyDescent="0.3">
      <c r="A1562" s="75" t="s">
        <v>19</v>
      </c>
      <c r="B1562" s="75"/>
      <c r="C1562" s="16">
        <v>46225</v>
      </c>
      <c r="D1562">
        <v>1669.89</v>
      </c>
    </row>
    <row r="1563" spans="1:4" x14ac:dyDescent="0.3">
      <c r="A1563" s="75" t="s">
        <v>20</v>
      </c>
      <c r="B1563" s="75"/>
      <c r="C1563" s="16">
        <v>46225</v>
      </c>
      <c r="D1563">
        <v>1002754.9899999998</v>
      </c>
    </row>
    <row r="1564" spans="1:4" x14ac:dyDescent="0.3">
      <c r="A1564" s="75" t="s">
        <v>21</v>
      </c>
      <c r="B1564" s="75"/>
      <c r="C1564" s="16">
        <v>46225</v>
      </c>
      <c r="D1564">
        <v>2022877.8699999996</v>
      </c>
    </row>
    <row r="1565" spans="1:4" x14ac:dyDescent="0.3">
      <c r="A1565" s="75" t="s">
        <v>22</v>
      </c>
      <c r="B1565" s="75"/>
      <c r="C1565" s="16">
        <v>46225</v>
      </c>
      <c r="D1565">
        <v>200496.38</v>
      </c>
    </row>
    <row r="1566" spans="1:4" x14ac:dyDescent="0.3">
      <c r="A1566" s="75" t="s">
        <v>23</v>
      </c>
      <c r="B1566" s="75"/>
      <c r="C1566" s="16">
        <v>46225</v>
      </c>
      <c r="D1566">
        <v>88090.37</v>
      </c>
    </row>
    <row r="1567" spans="1:4" x14ac:dyDescent="0.3">
      <c r="A1567" s="75" t="s">
        <v>24</v>
      </c>
      <c r="B1567" s="75"/>
      <c r="C1567" s="16">
        <v>46225</v>
      </c>
      <c r="D1567">
        <v>14580.45</v>
      </c>
    </row>
    <row r="1568" spans="1:4" x14ac:dyDescent="0.3">
      <c r="A1568" s="75" t="s">
        <v>25</v>
      </c>
      <c r="B1568" s="75"/>
      <c r="C1568" s="16">
        <v>46225</v>
      </c>
      <c r="D1568">
        <v>54.400000000000006</v>
      </c>
    </row>
    <row r="1569" spans="1:4" x14ac:dyDescent="0.3">
      <c r="A1569" s="75" t="s">
        <v>26</v>
      </c>
      <c r="B1569" s="75"/>
      <c r="C1569" s="16">
        <v>46225</v>
      </c>
      <c r="D1569">
        <v>2207.8200000000002</v>
      </c>
    </row>
    <row r="1570" spans="1:4" x14ac:dyDescent="0.3">
      <c r="A1570" s="75" t="s">
        <v>27</v>
      </c>
      <c r="B1570" s="75"/>
      <c r="C1570" s="16">
        <v>46225</v>
      </c>
      <c r="D1570">
        <v>1454589.72</v>
      </c>
    </row>
    <row r="1571" spans="1:4" x14ac:dyDescent="0.3">
      <c r="A1571" s="75" t="s">
        <v>28</v>
      </c>
      <c r="B1571" s="75"/>
      <c r="C1571" s="16">
        <v>46225</v>
      </c>
      <c r="D1571">
        <v>1968.99</v>
      </c>
    </row>
    <row r="1572" spans="1:4" x14ac:dyDescent="0.3">
      <c r="A1572" s="75" t="s">
        <v>29</v>
      </c>
      <c r="B1572" s="75"/>
      <c r="C1572" s="16">
        <v>46225</v>
      </c>
      <c r="D1572">
        <v>901.34</v>
      </c>
    </row>
    <row r="1573" spans="1:4" x14ac:dyDescent="0.3">
      <c r="A1573" s="75" t="s">
        <v>30</v>
      </c>
      <c r="B1573" s="75"/>
      <c r="C1573" s="16">
        <v>46225</v>
      </c>
      <c r="D1573">
        <v>1412.08</v>
      </c>
    </row>
    <row r="1574" spans="1:4" x14ac:dyDescent="0.3">
      <c r="A1574" s="75" t="s">
        <v>31</v>
      </c>
      <c r="B1574" s="75"/>
      <c r="C1574" s="16">
        <v>46225</v>
      </c>
      <c r="D1574">
        <v>22347.56999999996</v>
      </c>
    </row>
    <row r="1575" spans="1:4" x14ac:dyDescent="0.3">
      <c r="A1575" s="75" t="s">
        <v>32</v>
      </c>
      <c r="B1575" s="75"/>
      <c r="C1575" s="16">
        <v>46225</v>
      </c>
      <c r="D1575">
        <v>3522.8000000000029</v>
      </c>
    </row>
    <row r="1576" spans="1:4" x14ac:dyDescent="0.3">
      <c r="A1576" s="75" t="s">
        <v>33</v>
      </c>
      <c r="B1576" s="75"/>
      <c r="C1576" s="16">
        <v>46225</v>
      </c>
      <c r="D1576">
        <v>24085.559999999998</v>
      </c>
    </row>
    <row r="1577" spans="1:4" x14ac:dyDescent="0.3">
      <c r="A1577" s="75" t="s">
        <v>34</v>
      </c>
      <c r="B1577" s="75"/>
      <c r="C1577" s="16">
        <v>46225</v>
      </c>
      <c r="D1577">
        <v>345</v>
      </c>
    </row>
    <row r="1578" spans="1:4" x14ac:dyDescent="0.3">
      <c r="A1578" s="75" t="s">
        <v>35</v>
      </c>
      <c r="B1578" s="75"/>
      <c r="C1578" s="16">
        <v>46225</v>
      </c>
      <c r="D1578">
        <v>10252.290000000003</v>
      </c>
    </row>
    <row r="1579" spans="1:4" x14ac:dyDescent="0.3">
      <c r="A1579" s="75" t="s">
        <v>17</v>
      </c>
      <c r="B1579" s="75"/>
      <c r="C1579" s="16">
        <v>46226</v>
      </c>
      <c r="D1579">
        <v>2255750.7400000007</v>
      </c>
    </row>
    <row r="1580" spans="1:4" x14ac:dyDescent="0.3">
      <c r="A1580" s="75" t="s">
        <v>18</v>
      </c>
      <c r="B1580" s="75"/>
      <c r="C1580" s="16">
        <v>46226</v>
      </c>
      <c r="D1580">
        <v>73157.680000000168</v>
      </c>
    </row>
    <row r="1581" spans="1:4" x14ac:dyDescent="0.3">
      <c r="A1581" s="75" t="s">
        <v>19</v>
      </c>
      <c r="B1581" s="75"/>
      <c r="C1581" s="16">
        <v>46226</v>
      </c>
      <c r="D1581">
        <v>1669.89</v>
      </c>
    </row>
    <row r="1582" spans="1:4" x14ac:dyDescent="0.3">
      <c r="A1582" s="75" t="s">
        <v>20</v>
      </c>
      <c r="B1582" s="75"/>
      <c r="C1582" s="16">
        <v>46226</v>
      </c>
      <c r="D1582">
        <v>1042744.6899999997</v>
      </c>
    </row>
    <row r="1583" spans="1:4" x14ac:dyDescent="0.3">
      <c r="A1583" s="75" t="s">
        <v>21</v>
      </c>
      <c r="B1583" s="75"/>
      <c r="C1583" s="16">
        <v>46226</v>
      </c>
      <c r="D1583">
        <v>2022877.8699999996</v>
      </c>
    </row>
    <row r="1584" spans="1:4" x14ac:dyDescent="0.3">
      <c r="A1584" s="75" t="s">
        <v>22</v>
      </c>
      <c r="B1584" s="75"/>
      <c r="C1584" s="16">
        <v>46226</v>
      </c>
      <c r="D1584">
        <v>200496.38</v>
      </c>
    </row>
    <row r="1585" spans="1:4" x14ac:dyDescent="0.3">
      <c r="A1585" s="75" t="s">
        <v>23</v>
      </c>
      <c r="B1585" s="75"/>
      <c r="C1585" s="16">
        <v>46226</v>
      </c>
      <c r="D1585">
        <v>88090.37</v>
      </c>
    </row>
    <row r="1586" spans="1:4" x14ac:dyDescent="0.3">
      <c r="A1586" s="75" t="s">
        <v>24</v>
      </c>
      <c r="B1586" s="75"/>
      <c r="C1586" s="16">
        <v>46226</v>
      </c>
      <c r="D1586">
        <v>14580.45</v>
      </c>
    </row>
    <row r="1587" spans="1:4" x14ac:dyDescent="0.3">
      <c r="A1587" s="75" t="s">
        <v>25</v>
      </c>
      <c r="B1587" s="75"/>
      <c r="C1587" s="16">
        <v>46226</v>
      </c>
      <c r="D1587">
        <v>54.400000000000006</v>
      </c>
    </row>
    <row r="1588" spans="1:4" x14ac:dyDescent="0.3">
      <c r="A1588" s="75" t="s">
        <v>26</v>
      </c>
      <c r="B1588" s="75"/>
      <c r="C1588" s="16">
        <v>46226</v>
      </c>
      <c r="D1588">
        <v>2207.8200000000002</v>
      </c>
    </row>
    <row r="1589" spans="1:4" x14ac:dyDescent="0.3">
      <c r="A1589" s="75" t="s">
        <v>27</v>
      </c>
      <c r="B1589" s="75"/>
      <c r="C1589" s="16">
        <v>46226</v>
      </c>
      <c r="D1589">
        <v>1454589.72</v>
      </c>
    </row>
    <row r="1590" spans="1:4" x14ac:dyDescent="0.3">
      <c r="A1590" s="75" t="s">
        <v>28</v>
      </c>
      <c r="B1590" s="75"/>
      <c r="C1590" s="16">
        <v>46226</v>
      </c>
      <c r="D1590">
        <v>1968.99</v>
      </c>
    </row>
    <row r="1591" spans="1:4" x14ac:dyDescent="0.3">
      <c r="A1591" s="75" t="s">
        <v>29</v>
      </c>
      <c r="B1591" s="75"/>
      <c r="C1591" s="16">
        <v>46226</v>
      </c>
      <c r="D1591">
        <v>901.34</v>
      </c>
    </row>
    <row r="1592" spans="1:4" x14ac:dyDescent="0.3">
      <c r="A1592" s="75" t="s">
        <v>30</v>
      </c>
      <c r="B1592" s="75"/>
      <c r="C1592" s="16">
        <v>46226</v>
      </c>
      <c r="D1592">
        <v>1412.08</v>
      </c>
    </row>
    <row r="1593" spans="1:4" x14ac:dyDescent="0.3">
      <c r="A1593" s="75" t="s">
        <v>31</v>
      </c>
      <c r="B1593" s="75"/>
      <c r="C1593" s="16">
        <v>46226</v>
      </c>
      <c r="D1593">
        <v>22347.56999999996</v>
      </c>
    </row>
    <row r="1594" spans="1:4" x14ac:dyDescent="0.3">
      <c r="A1594" s="75" t="s">
        <v>32</v>
      </c>
      <c r="B1594" s="75"/>
      <c r="C1594" s="16">
        <v>46226</v>
      </c>
      <c r="D1594">
        <v>18522.800000000003</v>
      </c>
    </row>
    <row r="1595" spans="1:4" x14ac:dyDescent="0.3">
      <c r="A1595" s="75" t="s">
        <v>33</v>
      </c>
      <c r="B1595" s="75"/>
      <c r="C1595" s="16">
        <v>46226</v>
      </c>
      <c r="D1595">
        <v>24085.559999999998</v>
      </c>
    </row>
    <row r="1596" spans="1:4" x14ac:dyDescent="0.3">
      <c r="A1596" s="75" t="s">
        <v>34</v>
      </c>
      <c r="B1596" s="75"/>
      <c r="C1596" s="16">
        <v>46226</v>
      </c>
      <c r="D1596">
        <v>345</v>
      </c>
    </row>
    <row r="1597" spans="1:4" x14ac:dyDescent="0.3">
      <c r="A1597" s="75" t="s">
        <v>35</v>
      </c>
      <c r="B1597" s="75"/>
      <c r="C1597" s="16">
        <v>46226</v>
      </c>
      <c r="D1597">
        <v>9958.7100000000028</v>
      </c>
    </row>
    <row r="1598" spans="1:4" x14ac:dyDescent="0.3">
      <c r="A1598" s="75" t="s">
        <v>17</v>
      </c>
      <c r="B1598" s="75"/>
      <c r="C1598" s="16">
        <v>46227</v>
      </c>
      <c r="D1598">
        <v>2255750.7400000007</v>
      </c>
    </row>
    <row r="1599" spans="1:4" x14ac:dyDescent="0.3">
      <c r="A1599" s="75" t="s">
        <v>18</v>
      </c>
      <c r="B1599" s="75"/>
      <c r="C1599" s="16">
        <v>46227</v>
      </c>
      <c r="D1599">
        <v>73157.680000000168</v>
      </c>
    </row>
    <row r="1600" spans="1:4" x14ac:dyDescent="0.3">
      <c r="A1600" s="75" t="s">
        <v>19</v>
      </c>
      <c r="B1600" s="75"/>
      <c r="C1600" s="16">
        <v>46227</v>
      </c>
      <c r="D1600">
        <v>1669.89</v>
      </c>
    </row>
    <row r="1601" spans="1:4" x14ac:dyDescent="0.3">
      <c r="A1601" s="75" t="s">
        <v>20</v>
      </c>
      <c r="B1601" s="75"/>
      <c r="C1601" s="16">
        <v>46227</v>
      </c>
      <c r="D1601">
        <v>1042744.6899999997</v>
      </c>
    </row>
    <row r="1602" spans="1:4" x14ac:dyDescent="0.3">
      <c r="A1602" s="75" t="s">
        <v>21</v>
      </c>
      <c r="B1602" s="75"/>
      <c r="C1602" s="16">
        <v>46227</v>
      </c>
      <c r="D1602">
        <v>2022877.8699999996</v>
      </c>
    </row>
    <row r="1603" spans="1:4" x14ac:dyDescent="0.3">
      <c r="A1603" s="75" t="s">
        <v>22</v>
      </c>
      <c r="B1603" s="75"/>
      <c r="C1603" s="16">
        <v>46227</v>
      </c>
      <c r="D1603">
        <v>200496.38</v>
      </c>
    </row>
    <row r="1604" spans="1:4" x14ac:dyDescent="0.3">
      <c r="A1604" s="75" t="s">
        <v>23</v>
      </c>
      <c r="B1604" s="75"/>
      <c r="C1604" s="16">
        <v>46227</v>
      </c>
      <c r="D1604">
        <v>88090.37</v>
      </c>
    </row>
    <row r="1605" spans="1:4" x14ac:dyDescent="0.3">
      <c r="A1605" s="75" t="s">
        <v>24</v>
      </c>
      <c r="B1605" s="75"/>
      <c r="C1605" s="16">
        <v>46227</v>
      </c>
      <c r="D1605">
        <v>14580.45</v>
      </c>
    </row>
    <row r="1606" spans="1:4" x14ac:dyDescent="0.3">
      <c r="A1606" s="75" t="s">
        <v>25</v>
      </c>
      <c r="B1606" s="75"/>
      <c r="C1606" s="16">
        <v>46227</v>
      </c>
      <c r="D1606">
        <v>54.400000000000006</v>
      </c>
    </row>
    <row r="1607" spans="1:4" x14ac:dyDescent="0.3">
      <c r="A1607" s="75" t="s">
        <v>26</v>
      </c>
      <c r="B1607" s="75"/>
      <c r="C1607" s="16">
        <v>46227</v>
      </c>
      <c r="D1607">
        <v>2207.8200000000002</v>
      </c>
    </row>
    <row r="1608" spans="1:4" x14ac:dyDescent="0.3">
      <c r="A1608" s="75" t="s">
        <v>27</v>
      </c>
      <c r="B1608" s="75"/>
      <c r="C1608" s="16">
        <v>46227</v>
      </c>
      <c r="D1608">
        <v>1454589.72</v>
      </c>
    </row>
    <row r="1609" spans="1:4" x14ac:dyDescent="0.3">
      <c r="A1609" s="75" t="s">
        <v>28</v>
      </c>
      <c r="B1609" s="75"/>
      <c r="C1609" s="16">
        <v>46227</v>
      </c>
      <c r="D1609">
        <v>1968.99</v>
      </c>
    </row>
    <row r="1610" spans="1:4" x14ac:dyDescent="0.3">
      <c r="A1610" s="75" t="s">
        <v>29</v>
      </c>
      <c r="B1610" s="75"/>
      <c r="C1610" s="16">
        <v>46227</v>
      </c>
      <c r="D1610">
        <v>901.34</v>
      </c>
    </row>
    <row r="1611" spans="1:4" x14ac:dyDescent="0.3">
      <c r="A1611" s="75" t="s">
        <v>30</v>
      </c>
      <c r="B1611" s="75"/>
      <c r="C1611" s="16">
        <v>46227</v>
      </c>
      <c r="D1611">
        <v>1412.08</v>
      </c>
    </row>
    <row r="1612" spans="1:4" x14ac:dyDescent="0.3">
      <c r="A1612" s="75" t="s">
        <v>31</v>
      </c>
      <c r="B1612" s="75"/>
      <c r="C1612" s="16">
        <v>46227</v>
      </c>
      <c r="D1612">
        <v>22347.56999999996</v>
      </c>
    </row>
    <row r="1613" spans="1:4" x14ac:dyDescent="0.3">
      <c r="A1613" s="75" t="s">
        <v>32</v>
      </c>
      <c r="B1613" s="75"/>
      <c r="C1613" s="16">
        <v>46227</v>
      </c>
      <c r="D1613">
        <v>18522.800000000003</v>
      </c>
    </row>
    <row r="1614" spans="1:4" x14ac:dyDescent="0.3">
      <c r="A1614" s="75" t="s">
        <v>33</v>
      </c>
      <c r="B1614" s="75"/>
      <c r="C1614" s="16">
        <v>46227</v>
      </c>
      <c r="D1614">
        <v>24085.559999999998</v>
      </c>
    </row>
    <row r="1615" spans="1:4" x14ac:dyDescent="0.3">
      <c r="A1615" s="75" t="s">
        <v>34</v>
      </c>
      <c r="B1615" s="75"/>
      <c r="C1615" s="16">
        <v>46227</v>
      </c>
      <c r="D1615">
        <v>345</v>
      </c>
    </row>
    <row r="1616" spans="1:4" x14ac:dyDescent="0.3">
      <c r="A1616" s="75" t="s">
        <v>35</v>
      </c>
      <c r="B1616" s="75"/>
      <c r="C1616" s="16">
        <v>46227</v>
      </c>
      <c r="D1616">
        <v>9557.6300000000028</v>
      </c>
    </row>
    <row r="1617" spans="1:4" x14ac:dyDescent="0.3">
      <c r="A1617" s="75" t="s">
        <v>17</v>
      </c>
      <c r="B1617" s="75"/>
      <c r="C1617" s="16">
        <v>46228</v>
      </c>
      <c r="D1617">
        <v>2255750.7400000007</v>
      </c>
    </row>
    <row r="1618" spans="1:4" x14ac:dyDescent="0.3">
      <c r="A1618" s="75" t="s">
        <v>18</v>
      </c>
      <c r="B1618" s="75"/>
      <c r="C1618" s="16">
        <v>46228</v>
      </c>
      <c r="D1618">
        <v>73157.680000000168</v>
      </c>
    </row>
    <row r="1619" spans="1:4" x14ac:dyDescent="0.3">
      <c r="A1619" s="75" t="s">
        <v>19</v>
      </c>
      <c r="B1619" s="75"/>
      <c r="C1619" s="16">
        <v>46228</v>
      </c>
      <c r="D1619">
        <v>1669.89</v>
      </c>
    </row>
    <row r="1620" spans="1:4" x14ac:dyDescent="0.3">
      <c r="A1620" s="75" t="s">
        <v>20</v>
      </c>
      <c r="B1620" s="75"/>
      <c r="C1620" s="16">
        <v>46228</v>
      </c>
      <c r="D1620">
        <v>1042744.6899999997</v>
      </c>
    </row>
    <row r="1621" spans="1:4" x14ac:dyDescent="0.3">
      <c r="A1621" s="75" t="s">
        <v>21</v>
      </c>
      <c r="B1621" s="75"/>
      <c r="C1621" s="16">
        <v>46228</v>
      </c>
      <c r="D1621">
        <v>2022877.8699999996</v>
      </c>
    </row>
    <row r="1622" spans="1:4" x14ac:dyDescent="0.3">
      <c r="A1622" s="75" t="s">
        <v>22</v>
      </c>
      <c r="B1622" s="75"/>
      <c r="C1622" s="16">
        <v>46228</v>
      </c>
      <c r="D1622">
        <v>200496.38</v>
      </c>
    </row>
    <row r="1623" spans="1:4" x14ac:dyDescent="0.3">
      <c r="A1623" s="75" t="s">
        <v>23</v>
      </c>
      <c r="B1623" s="75"/>
      <c r="C1623" s="16">
        <v>46228</v>
      </c>
      <c r="D1623">
        <v>88090.37</v>
      </c>
    </row>
    <row r="1624" spans="1:4" x14ac:dyDescent="0.3">
      <c r="A1624" s="75" t="s">
        <v>24</v>
      </c>
      <c r="B1624" s="75"/>
      <c r="C1624" s="16">
        <v>46228</v>
      </c>
      <c r="D1624">
        <v>14580.45</v>
      </c>
    </row>
    <row r="1625" spans="1:4" x14ac:dyDescent="0.3">
      <c r="A1625" s="75" t="s">
        <v>25</v>
      </c>
      <c r="B1625" s="75"/>
      <c r="C1625" s="16">
        <v>46228</v>
      </c>
      <c r="D1625">
        <v>54.400000000000006</v>
      </c>
    </row>
    <row r="1626" spans="1:4" x14ac:dyDescent="0.3">
      <c r="A1626" s="75" t="s">
        <v>26</v>
      </c>
      <c r="B1626" s="75"/>
      <c r="C1626" s="16">
        <v>46228</v>
      </c>
      <c r="D1626">
        <v>2207.8200000000002</v>
      </c>
    </row>
    <row r="1627" spans="1:4" x14ac:dyDescent="0.3">
      <c r="A1627" s="75" t="s">
        <v>27</v>
      </c>
      <c r="B1627" s="75"/>
      <c r="C1627" s="16">
        <v>46228</v>
      </c>
      <c r="D1627">
        <v>1454589.72</v>
      </c>
    </row>
    <row r="1628" spans="1:4" x14ac:dyDescent="0.3">
      <c r="A1628" s="75" t="s">
        <v>28</v>
      </c>
      <c r="B1628" s="75"/>
      <c r="C1628" s="16">
        <v>46228</v>
      </c>
      <c r="D1628">
        <v>1968.99</v>
      </c>
    </row>
    <row r="1629" spans="1:4" x14ac:dyDescent="0.3">
      <c r="A1629" s="75" t="s">
        <v>29</v>
      </c>
      <c r="B1629" s="75"/>
      <c r="C1629" s="16">
        <v>46228</v>
      </c>
      <c r="D1629">
        <v>901.34</v>
      </c>
    </row>
    <row r="1630" spans="1:4" x14ac:dyDescent="0.3">
      <c r="A1630" s="75" t="s">
        <v>30</v>
      </c>
      <c r="B1630" s="75"/>
      <c r="C1630" s="16">
        <v>46228</v>
      </c>
      <c r="D1630">
        <v>1412.08</v>
      </c>
    </row>
    <row r="1631" spans="1:4" x14ac:dyDescent="0.3">
      <c r="A1631" s="75" t="s">
        <v>31</v>
      </c>
      <c r="B1631" s="75"/>
      <c r="C1631" s="16">
        <v>46228</v>
      </c>
      <c r="D1631">
        <v>22347.56999999996</v>
      </c>
    </row>
    <row r="1632" spans="1:4" x14ac:dyDescent="0.3">
      <c r="A1632" s="75" t="s">
        <v>32</v>
      </c>
      <c r="B1632" s="75"/>
      <c r="C1632" s="16">
        <v>46228</v>
      </c>
      <c r="D1632">
        <v>18522.800000000003</v>
      </c>
    </row>
    <row r="1633" spans="1:4" x14ac:dyDescent="0.3">
      <c r="A1633" s="75" t="s">
        <v>33</v>
      </c>
      <c r="B1633" s="75"/>
      <c r="C1633" s="16">
        <v>46228</v>
      </c>
      <c r="D1633">
        <v>24085.559999999998</v>
      </c>
    </row>
    <row r="1634" spans="1:4" x14ac:dyDescent="0.3">
      <c r="A1634" s="75" t="s">
        <v>34</v>
      </c>
      <c r="B1634" s="75"/>
      <c r="C1634" s="16">
        <v>46228</v>
      </c>
      <c r="D1634">
        <v>345</v>
      </c>
    </row>
    <row r="1635" spans="1:4" x14ac:dyDescent="0.3">
      <c r="A1635" s="75" t="s">
        <v>35</v>
      </c>
      <c r="B1635" s="75"/>
      <c r="C1635" s="16">
        <v>46228</v>
      </c>
      <c r="D1635">
        <v>9557.6300000000028</v>
      </c>
    </row>
    <row r="1636" spans="1:4" x14ac:dyDescent="0.3">
      <c r="A1636" s="75" t="s">
        <v>17</v>
      </c>
      <c r="B1636" s="75"/>
      <c r="C1636" s="16">
        <v>46229</v>
      </c>
      <c r="D1636">
        <v>2255750.7400000007</v>
      </c>
    </row>
    <row r="1637" spans="1:4" x14ac:dyDescent="0.3">
      <c r="A1637" s="75" t="s">
        <v>18</v>
      </c>
      <c r="B1637" s="75"/>
      <c r="C1637" s="16">
        <v>46229</v>
      </c>
      <c r="D1637">
        <v>73157.680000000168</v>
      </c>
    </row>
    <row r="1638" spans="1:4" x14ac:dyDescent="0.3">
      <c r="A1638" s="75" t="s">
        <v>19</v>
      </c>
      <c r="B1638" s="75"/>
      <c r="C1638" s="16">
        <v>46229</v>
      </c>
      <c r="D1638">
        <v>1669.89</v>
      </c>
    </row>
    <row r="1639" spans="1:4" x14ac:dyDescent="0.3">
      <c r="A1639" s="75" t="s">
        <v>20</v>
      </c>
      <c r="B1639" s="75"/>
      <c r="C1639" s="16">
        <v>46229</v>
      </c>
      <c r="D1639">
        <v>1042744.6899999997</v>
      </c>
    </row>
    <row r="1640" spans="1:4" x14ac:dyDescent="0.3">
      <c r="A1640" s="75" t="s">
        <v>21</v>
      </c>
      <c r="B1640" s="75"/>
      <c r="C1640" s="16">
        <v>46229</v>
      </c>
      <c r="D1640">
        <v>2022877.8699999996</v>
      </c>
    </row>
    <row r="1641" spans="1:4" x14ac:dyDescent="0.3">
      <c r="A1641" s="75" t="s">
        <v>22</v>
      </c>
      <c r="B1641" s="75"/>
      <c r="C1641" s="16">
        <v>46229</v>
      </c>
      <c r="D1641">
        <v>200496.38</v>
      </c>
    </row>
    <row r="1642" spans="1:4" x14ac:dyDescent="0.3">
      <c r="A1642" s="75" t="s">
        <v>23</v>
      </c>
      <c r="B1642" s="75"/>
      <c r="C1642" s="16">
        <v>46229</v>
      </c>
      <c r="D1642">
        <v>88090.37</v>
      </c>
    </row>
    <row r="1643" spans="1:4" x14ac:dyDescent="0.3">
      <c r="A1643" s="75" t="s">
        <v>24</v>
      </c>
      <c r="B1643" s="75"/>
      <c r="C1643" s="16">
        <v>46229</v>
      </c>
      <c r="D1643">
        <v>14580.45</v>
      </c>
    </row>
    <row r="1644" spans="1:4" x14ac:dyDescent="0.3">
      <c r="A1644" s="75" t="s">
        <v>25</v>
      </c>
      <c r="B1644" s="75"/>
      <c r="C1644" s="16">
        <v>46229</v>
      </c>
      <c r="D1644">
        <v>54.400000000000006</v>
      </c>
    </row>
    <row r="1645" spans="1:4" x14ac:dyDescent="0.3">
      <c r="A1645" s="75" t="s">
        <v>26</v>
      </c>
      <c r="B1645" s="75"/>
      <c r="C1645" s="16">
        <v>46229</v>
      </c>
      <c r="D1645">
        <v>2207.8200000000002</v>
      </c>
    </row>
    <row r="1646" spans="1:4" x14ac:dyDescent="0.3">
      <c r="A1646" s="75" t="s">
        <v>27</v>
      </c>
      <c r="B1646" s="75"/>
      <c r="C1646" s="16">
        <v>46229</v>
      </c>
      <c r="D1646">
        <v>1454589.72</v>
      </c>
    </row>
    <row r="1647" spans="1:4" x14ac:dyDescent="0.3">
      <c r="A1647" s="75" t="s">
        <v>28</v>
      </c>
      <c r="B1647" s="75"/>
      <c r="C1647" s="16">
        <v>46229</v>
      </c>
      <c r="D1647">
        <v>1968.99</v>
      </c>
    </row>
    <row r="1648" spans="1:4" x14ac:dyDescent="0.3">
      <c r="A1648" s="75" t="s">
        <v>29</v>
      </c>
      <c r="B1648" s="75"/>
      <c r="C1648" s="16">
        <v>46229</v>
      </c>
      <c r="D1648">
        <v>901.34</v>
      </c>
    </row>
    <row r="1649" spans="1:4" x14ac:dyDescent="0.3">
      <c r="A1649" s="75" t="s">
        <v>30</v>
      </c>
      <c r="B1649" s="75"/>
      <c r="C1649" s="16">
        <v>46229</v>
      </c>
      <c r="D1649">
        <v>1412.08</v>
      </c>
    </row>
    <row r="1650" spans="1:4" x14ac:dyDescent="0.3">
      <c r="A1650" s="75" t="s">
        <v>31</v>
      </c>
      <c r="B1650" s="75"/>
      <c r="C1650" s="16">
        <v>46229</v>
      </c>
      <c r="D1650">
        <v>22347.56999999996</v>
      </c>
    </row>
    <row r="1651" spans="1:4" x14ac:dyDescent="0.3">
      <c r="A1651" s="75" t="s">
        <v>32</v>
      </c>
      <c r="B1651" s="75"/>
      <c r="C1651" s="16">
        <v>46229</v>
      </c>
      <c r="D1651">
        <v>18522.800000000003</v>
      </c>
    </row>
    <row r="1652" spans="1:4" x14ac:dyDescent="0.3">
      <c r="A1652" s="75" t="s">
        <v>33</v>
      </c>
      <c r="B1652" s="75"/>
      <c r="C1652" s="16">
        <v>46229</v>
      </c>
      <c r="D1652">
        <v>24085.559999999998</v>
      </c>
    </row>
    <row r="1653" spans="1:4" x14ac:dyDescent="0.3">
      <c r="A1653" s="75" t="s">
        <v>34</v>
      </c>
      <c r="B1653" s="75"/>
      <c r="C1653" s="16">
        <v>46229</v>
      </c>
      <c r="D1653">
        <v>345</v>
      </c>
    </row>
    <row r="1654" spans="1:4" x14ac:dyDescent="0.3">
      <c r="A1654" s="75" t="s">
        <v>35</v>
      </c>
      <c r="B1654" s="75"/>
      <c r="C1654" s="16">
        <v>46229</v>
      </c>
      <c r="D1654">
        <v>9557.6300000000028</v>
      </c>
    </row>
    <row r="1655" spans="1:4" x14ac:dyDescent="0.3">
      <c r="A1655" s="75" t="s">
        <v>17</v>
      </c>
      <c r="B1655" s="75"/>
      <c r="C1655" s="16">
        <v>46230</v>
      </c>
      <c r="D1655">
        <v>2255750.7400000007</v>
      </c>
    </row>
    <row r="1656" spans="1:4" x14ac:dyDescent="0.3">
      <c r="A1656" s="75" t="s">
        <v>18</v>
      </c>
      <c r="B1656" s="75"/>
      <c r="C1656" s="16">
        <v>46230</v>
      </c>
      <c r="D1656">
        <v>73157.680000000168</v>
      </c>
    </row>
    <row r="1657" spans="1:4" x14ac:dyDescent="0.3">
      <c r="A1657" s="75" t="s">
        <v>19</v>
      </c>
      <c r="B1657" s="75"/>
      <c r="C1657" s="16">
        <v>46230</v>
      </c>
      <c r="D1657">
        <v>1669.89</v>
      </c>
    </row>
    <row r="1658" spans="1:4" x14ac:dyDescent="0.3">
      <c r="A1658" s="75" t="s">
        <v>20</v>
      </c>
      <c r="B1658" s="75"/>
      <c r="C1658" s="16">
        <v>46230</v>
      </c>
      <c r="D1658">
        <v>1392744.6899999997</v>
      </c>
    </row>
    <row r="1659" spans="1:4" x14ac:dyDescent="0.3">
      <c r="A1659" s="75" t="s">
        <v>21</v>
      </c>
      <c r="B1659" s="75"/>
      <c r="C1659" s="16">
        <v>46230</v>
      </c>
      <c r="D1659">
        <v>2022877.8699999996</v>
      </c>
    </row>
    <row r="1660" spans="1:4" x14ac:dyDescent="0.3">
      <c r="A1660" s="75" t="s">
        <v>22</v>
      </c>
      <c r="B1660" s="75"/>
      <c r="C1660" s="16">
        <v>46230</v>
      </c>
      <c r="D1660">
        <v>190496.38</v>
      </c>
    </row>
    <row r="1661" spans="1:4" x14ac:dyDescent="0.3">
      <c r="A1661" s="75" t="s">
        <v>23</v>
      </c>
      <c r="B1661" s="75"/>
      <c r="C1661" s="16">
        <v>46230</v>
      </c>
      <c r="D1661">
        <v>88090.37</v>
      </c>
    </row>
    <row r="1662" spans="1:4" x14ac:dyDescent="0.3">
      <c r="A1662" s="75" t="s">
        <v>24</v>
      </c>
      <c r="B1662" s="75"/>
      <c r="C1662" s="16">
        <v>46230</v>
      </c>
      <c r="D1662">
        <v>14580.45</v>
      </c>
    </row>
    <row r="1663" spans="1:4" x14ac:dyDescent="0.3">
      <c r="A1663" s="75" t="s">
        <v>25</v>
      </c>
      <c r="B1663" s="75"/>
      <c r="C1663" s="16">
        <v>46230</v>
      </c>
      <c r="D1663">
        <v>54.400000000000006</v>
      </c>
    </row>
    <row r="1664" spans="1:4" x14ac:dyDescent="0.3">
      <c r="A1664" s="75" t="s">
        <v>26</v>
      </c>
      <c r="B1664" s="75"/>
      <c r="C1664" s="16">
        <v>46230</v>
      </c>
      <c r="D1664">
        <v>2207.8200000000002</v>
      </c>
    </row>
    <row r="1665" spans="1:4" x14ac:dyDescent="0.3">
      <c r="A1665" s="75" t="s">
        <v>27</v>
      </c>
      <c r="B1665" s="75"/>
      <c r="C1665" s="16">
        <v>46230</v>
      </c>
      <c r="D1665">
        <v>1454589.72</v>
      </c>
    </row>
    <row r="1666" spans="1:4" x14ac:dyDescent="0.3">
      <c r="A1666" s="75" t="s">
        <v>28</v>
      </c>
      <c r="B1666" s="75"/>
      <c r="C1666" s="16">
        <v>46230</v>
      </c>
      <c r="D1666">
        <v>1968.99</v>
      </c>
    </row>
    <row r="1667" spans="1:4" x14ac:dyDescent="0.3">
      <c r="A1667" s="75" t="s">
        <v>29</v>
      </c>
      <c r="B1667" s="75"/>
      <c r="C1667" s="16">
        <v>46230</v>
      </c>
      <c r="D1667">
        <v>901.34</v>
      </c>
    </row>
    <row r="1668" spans="1:4" x14ac:dyDescent="0.3">
      <c r="A1668" s="75" t="s">
        <v>30</v>
      </c>
      <c r="B1668" s="75"/>
      <c r="C1668" s="16">
        <v>46230</v>
      </c>
      <c r="D1668">
        <v>1412.08</v>
      </c>
    </row>
    <row r="1669" spans="1:4" x14ac:dyDescent="0.3">
      <c r="A1669" s="75" t="s">
        <v>31</v>
      </c>
      <c r="B1669" s="75"/>
      <c r="C1669" s="16">
        <v>46230</v>
      </c>
      <c r="D1669">
        <v>22347.56999999996</v>
      </c>
    </row>
    <row r="1670" spans="1:4" x14ac:dyDescent="0.3">
      <c r="A1670" s="75" t="s">
        <v>32</v>
      </c>
      <c r="B1670" s="75"/>
      <c r="C1670" s="16">
        <v>46230</v>
      </c>
      <c r="D1670">
        <v>18522.800000000003</v>
      </c>
    </row>
    <row r="1671" spans="1:4" x14ac:dyDescent="0.3">
      <c r="A1671" s="75" t="s">
        <v>33</v>
      </c>
      <c r="B1671" s="75"/>
      <c r="C1671" s="16">
        <v>46230</v>
      </c>
      <c r="D1671">
        <v>24085.559999999998</v>
      </c>
    </row>
    <row r="1672" spans="1:4" x14ac:dyDescent="0.3">
      <c r="A1672" s="75" t="s">
        <v>34</v>
      </c>
      <c r="B1672" s="75"/>
      <c r="C1672" s="16">
        <v>46230</v>
      </c>
      <c r="D1672">
        <v>345</v>
      </c>
    </row>
    <row r="1673" spans="1:4" x14ac:dyDescent="0.3">
      <c r="A1673" s="75" t="s">
        <v>35</v>
      </c>
      <c r="B1673" s="75"/>
      <c r="C1673" s="16">
        <v>46230</v>
      </c>
      <c r="D1673">
        <v>15418.180000000004</v>
      </c>
    </row>
    <row r="1674" spans="1:4" x14ac:dyDescent="0.3">
      <c r="A1674" s="75" t="s">
        <v>17</v>
      </c>
      <c r="B1674" s="75"/>
      <c r="C1674" s="16">
        <v>46231</v>
      </c>
      <c r="D1674">
        <v>2255750.7400000007</v>
      </c>
    </row>
    <row r="1675" spans="1:4" x14ac:dyDescent="0.3">
      <c r="A1675" s="75" t="s">
        <v>18</v>
      </c>
      <c r="B1675" s="75"/>
      <c r="C1675" s="16">
        <v>46231</v>
      </c>
      <c r="D1675">
        <v>80574.12000000017</v>
      </c>
    </row>
    <row r="1676" spans="1:4" x14ac:dyDescent="0.3">
      <c r="A1676" s="75" t="s">
        <v>19</v>
      </c>
      <c r="B1676" s="75"/>
      <c r="C1676" s="16">
        <v>46231</v>
      </c>
      <c r="D1676">
        <v>1669.89</v>
      </c>
    </row>
    <row r="1677" spans="1:4" x14ac:dyDescent="0.3">
      <c r="A1677" s="75" t="s">
        <v>20</v>
      </c>
      <c r="B1677" s="75"/>
      <c r="C1677" s="16">
        <v>46231</v>
      </c>
      <c r="D1677">
        <v>1415636.7399999998</v>
      </c>
    </row>
    <row r="1678" spans="1:4" x14ac:dyDescent="0.3">
      <c r="A1678" s="75" t="s">
        <v>21</v>
      </c>
      <c r="B1678" s="75"/>
      <c r="C1678" s="16">
        <v>46231</v>
      </c>
      <c r="D1678">
        <v>1857997.0999999996</v>
      </c>
    </row>
    <row r="1679" spans="1:4" x14ac:dyDescent="0.3">
      <c r="A1679" s="75" t="s">
        <v>22</v>
      </c>
      <c r="B1679" s="75"/>
      <c r="C1679" s="16">
        <v>46231</v>
      </c>
      <c r="D1679">
        <v>190496.38</v>
      </c>
    </row>
    <row r="1680" spans="1:4" x14ac:dyDescent="0.3">
      <c r="A1680" s="75" t="s">
        <v>23</v>
      </c>
      <c r="B1680" s="75"/>
      <c r="C1680" s="16">
        <v>46231</v>
      </c>
      <c r="D1680">
        <v>88090.37</v>
      </c>
    </row>
    <row r="1681" spans="1:4" x14ac:dyDescent="0.3">
      <c r="A1681" s="75" t="s">
        <v>24</v>
      </c>
      <c r="B1681" s="75"/>
      <c r="C1681" s="16">
        <v>46231</v>
      </c>
      <c r="D1681">
        <v>14580.45</v>
      </c>
    </row>
    <row r="1682" spans="1:4" x14ac:dyDescent="0.3">
      <c r="A1682" s="75" t="s">
        <v>25</v>
      </c>
      <c r="B1682" s="75"/>
      <c r="C1682" s="16">
        <v>46231</v>
      </c>
      <c r="D1682">
        <v>54.400000000000006</v>
      </c>
    </row>
    <row r="1683" spans="1:4" x14ac:dyDescent="0.3">
      <c r="A1683" s="75" t="s">
        <v>26</v>
      </c>
      <c r="B1683" s="75"/>
      <c r="C1683" s="16">
        <v>46231</v>
      </c>
      <c r="D1683">
        <v>2207.8200000000002</v>
      </c>
    </row>
    <row r="1684" spans="1:4" x14ac:dyDescent="0.3">
      <c r="A1684" s="75" t="s">
        <v>27</v>
      </c>
      <c r="B1684" s="75"/>
      <c r="C1684" s="16">
        <v>46231</v>
      </c>
      <c r="D1684">
        <v>1454589.72</v>
      </c>
    </row>
    <row r="1685" spans="1:4" x14ac:dyDescent="0.3">
      <c r="A1685" s="75" t="s">
        <v>28</v>
      </c>
      <c r="B1685" s="75"/>
      <c r="C1685" s="16">
        <v>46231</v>
      </c>
      <c r="D1685">
        <v>1968.99</v>
      </c>
    </row>
    <row r="1686" spans="1:4" x14ac:dyDescent="0.3">
      <c r="A1686" s="75" t="s">
        <v>29</v>
      </c>
      <c r="B1686" s="75"/>
      <c r="C1686" s="16">
        <v>46231</v>
      </c>
      <c r="D1686">
        <v>901.34</v>
      </c>
    </row>
    <row r="1687" spans="1:4" x14ac:dyDescent="0.3">
      <c r="A1687" s="75" t="s">
        <v>30</v>
      </c>
      <c r="B1687" s="75"/>
      <c r="C1687" s="16">
        <v>46231</v>
      </c>
      <c r="D1687">
        <v>1412.08</v>
      </c>
    </row>
    <row r="1688" spans="1:4" x14ac:dyDescent="0.3">
      <c r="A1688" s="75" t="s">
        <v>31</v>
      </c>
      <c r="B1688" s="75"/>
      <c r="C1688" s="16">
        <v>46231</v>
      </c>
      <c r="D1688">
        <v>22347.56999999996</v>
      </c>
    </row>
    <row r="1689" spans="1:4" x14ac:dyDescent="0.3">
      <c r="A1689" s="75" t="s">
        <v>32</v>
      </c>
      <c r="B1689" s="75"/>
      <c r="C1689" s="16">
        <v>46231</v>
      </c>
      <c r="D1689">
        <v>18522.800000000003</v>
      </c>
    </row>
    <row r="1690" spans="1:4" x14ac:dyDescent="0.3">
      <c r="A1690" s="75" t="s">
        <v>33</v>
      </c>
      <c r="B1690" s="75"/>
      <c r="C1690" s="16">
        <v>46231</v>
      </c>
      <c r="D1690">
        <v>24085.559999999998</v>
      </c>
    </row>
    <row r="1691" spans="1:4" x14ac:dyDescent="0.3">
      <c r="A1691" s="75" t="s">
        <v>34</v>
      </c>
      <c r="B1691" s="75"/>
      <c r="C1691" s="16">
        <v>46231</v>
      </c>
      <c r="D1691">
        <v>345</v>
      </c>
    </row>
    <row r="1692" spans="1:4" x14ac:dyDescent="0.3">
      <c r="A1692" s="75" t="s">
        <v>35</v>
      </c>
      <c r="B1692" s="75"/>
      <c r="C1692" s="16">
        <v>46231</v>
      </c>
      <c r="D1692">
        <v>15094.090000000004</v>
      </c>
    </row>
    <row r="1693" spans="1:4" x14ac:dyDescent="0.3">
      <c r="A1693" s="75" t="s">
        <v>17</v>
      </c>
      <c r="B1693" s="75"/>
      <c r="C1693" s="16">
        <v>46232</v>
      </c>
      <c r="D1693">
        <v>2270539.1300000008</v>
      </c>
    </row>
    <row r="1694" spans="1:4" x14ac:dyDescent="0.3">
      <c r="A1694" s="75" t="s">
        <v>18</v>
      </c>
      <c r="B1694" s="75"/>
      <c r="C1694" s="16">
        <v>46232</v>
      </c>
      <c r="D1694">
        <v>83211.250000000175</v>
      </c>
    </row>
    <row r="1695" spans="1:4" x14ac:dyDescent="0.3">
      <c r="A1695" s="75" t="s">
        <v>19</v>
      </c>
      <c r="B1695" s="75"/>
      <c r="C1695" s="16">
        <v>46232</v>
      </c>
      <c r="D1695">
        <v>1669.89</v>
      </c>
    </row>
    <row r="1696" spans="1:4" x14ac:dyDescent="0.3">
      <c r="A1696" s="75" t="s">
        <v>20</v>
      </c>
      <c r="B1696" s="75"/>
      <c r="C1696" s="16">
        <v>46232</v>
      </c>
      <c r="D1696">
        <v>1434634.5999999999</v>
      </c>
    </row>
    <row r="1697" spans="1:4" x14ac:dyDescent="0.3">
      <c r="A1697" s="75" t="s">
        <v>21</v>
      </c>
      <c r="B1697" s="75"/>
      <c r="C1697" s="16">
        <v>46232</v>
      </c>
      <c r="D1697">
        <v>1857997.0999999996</v>
      </c>
    </row>
    <row r="1698" spans="1:4" x14ac:dyDescent="0.3">
      <c r="A1698" s="75" t="s">
        <v>22</v>
      </c>
      <c r="B1698" s="75"/>
      <c r="C1698" s="16">
        <v>46232</v>
      </c>
      <c r="D1698">
        <v>190496.38</v>
      </c>
    </row>
    <row r="1699" spans="1:4" x14ac:dyDescent="0.3">
      <c r="A1699" s="75" t="s">
        <v>23</v>
      </c>
      <c r="B1699" s="75"/>
      <c r="C1699" s="16">
        <v>46232</v>
      </c>
      <c r="D1699">
        <v>88090.37</v>
      </c>
    </row>
    <row r="1700" spans="1:4" x14ac:dyDescent="0.3">
      <c r="A1700" s="75" t="s">
        <v>24</v>
      </c>
      <c r="B1700" s="75"/>
      <c r="C1700" s="16">
        <v>46232</v>
      </c>
      <c r="D1700">
        <v>14580.45</v>
      </c>
    </row>
    <row r="1701" spans="1:4" x14ac:dyDescent="0.3">
      <c r="A1701" s="75" t="s">
        <v>25</v>
      </c>
      <c r="B1701" s="75"/>
      <c r="C1701" s="16">
        <v>46232</v>
      </c>
      <c r="D1701">
        <v>54.400000000000006</v>
      </c>
    </row>
    <row r="1702" spans="1:4" x14ac:dyDescent="0.3">
      <c r="A1702" s="75" t="s">
        <v>26</v>
      </c>
      <c r="B1702" s="75"/>
      <c r="C1702" s="16">
        <v>46232</v>
      </c>
      <c r="D1702">
        <v>2207.8200000000002</v>
      </c>
    </row>
    <row r="1703" spans="1:4" x14ac:dyDescent="0.3">
      <c r="A1703" s="75" t="s">
        <v>27</v>
      </c>
      <c r="B1703" s="75"/>
      <c r="C1703" s="16">
        <v>46232</v>
      </c>
      <c r="D1703">
        <v>1454589.72</v>
      </c>
    </row>
    <row r="1704" spans="1:4" x14ac:dyDescent="0.3">
      <c r="A1704" s="75" t="s">
        <v>28</v>
      </c>
      <c r="B1704" s="75"/>
      <c r="C1704" s="16">
        <v>46232</v>
      </c>
      <c r="D1704">
        <v>1968.99</v>
      </c>
    </row>
    <row r="1705" spans="1:4" x14ac:dyDescent="0.3">
      <c r="A1705" s="75" t="s">
        <v>29</v>
      </c>
      <c r="B1705" s="75"/>
      <c r="C1705" s="16">
        <v>46232</v>
      </c>
      <c r="D1705">
        <v>901.34</v>
      </c>
    </row>
    <row r="1706" spans="1:4" x14ac:dyDescent="0.3">
      <c r="A1706" s="75" t="s">
        <v>30</v>
      </c>
      <c r="B1706" s="75"/>
      <c r="C1706" s="16">
        <v>46232</v>
      </c>
      <c r="D1706">
        <v>1412.08</v>
      </c>
    </row>
    <row r="1707" spans="1:4" x14ac:dyDescent="0.3">
      <c r="A1707" s="75" t="s">
        <v>31</v>
      </c>
      <c r="B1707" s="75"/>
      <c r="C1707" s="16">
        <v>46232</v>
      </c>
      <c r="D1707">
        <v>22347.56999999996</v>
      </c>
    </row>
    <row r="1708" spans="1:4" x14ac:dyDescent="0.3">
      <c r="A1708" s="75" t="s">
        <v>32</v>
      </c>
      <c r="B1708" s="75"/>
      <c r="C1708" s="16">
        <v>46232</v>
      </c>
      <c r="D1708">
        <v>18522.800000000003</v>
      </c>
    </row>
    <row r="1709" spans="1:4" x14ac:dyDescent="0.3">
      <c r="A1709" s="75" t="s">
        <v>33</v>
      </c>
      <c r="B1709" s="75"/>
      <c r="C1709" s="16">
        <v>46232</v>
      </c>
      <c r="D1709">
        <v>24085.559999999998</v>
      </c>
    </row>
    <row r="1710" spans="1:4" x14ac:dyDescent="0.3">
      <c r="A1710" s="75" t="s">
        <v>34</v>
      </c>
      <c r="B1710" s="75"/>
      <c r="C1710" s="16">
        <v>46232</v>
      </c>
      <c r="D1710">
        <v>345</v>
      </c>
    </row>
    <row r="1711" spans="1:4" x14ac:dyDescent="0.3">
      <c r="A1711" s="75" t="s">
        <v>35</v>
      </c>
      <c r="B1711" s="75"/>
      <c r="C1711" s="16">
        <v>46232</v>
      </c>
      <c r="D1711">
        <v>13469.780000000002</v>
      </c>
    </row>
    <row r="1712" spans="1:4" x14ac:dyDescent="0.3">
      <c r="A1712" s="75" t="s">
        <v>17</v>
      </c>
      <c r="B1712" s="75"/>
      <c r="C1712" s="16">
        <v>46233</v>
      </c>
      <c r="D1712">
        <v>2470350.7000000002</v>
      </c>
    </row>
    <row r="1713" spans="1:4" x14ac:dyDescent="0.3">
      <c r="A1713" s="75" t="s">
        <v>18</v>
      </c>
      <c r="B1713" s="75"/>
      <c r="C1713" s="16">
        <v>46233</v>
      </c>
      <c r="D1713">
        <v>83211.250000000175</v>
      </c>
    </row>
    <row r="1714" spans="1:4" x14ac:dyDescent="0.3">
      <c r="A1714" s="75" t="s">
        <v>19</v>
      </c>
      <c r="B1714" s="75"/>
      <c r="C1714" s="16">
        <v>46233</v>
      </c>
      <c r="D1714">
        <v>1669.89</v>
      </c>
    </row>
    <row r="1715" spans="1:4" x14ac:dyDescent="0.3">
      <c r="A1715" s="75" t="s">
        <v>20</v>
      </c>
      <c r="B1715" s="75"/>
      <c r="C1715" s="16">
        <v>46233</v>
      </c>
      <c r="D1715">
        <v>1458426.0399999998</v>
      </c>
    </row>
    <row r="1716" spans="1:4" x14ac:dyDescent="0.3">
      <c r="A1716" s="75" t="s">
        <v>21</v>
      </c>
      <c r="B1716" s="75"/>
      <c r="C1716" s="16">
        <v>46233</v>
      </c>
      <c r="D1716">
        <v>1857993.8499999996</v>
      </c>
    </row>
    <row r="1717" spans="1:4" x14ac:dyDescent="0.3">
      <c r="A1717" s="75" t="s">
        <v>22</v>
      </c>
      <c r="B1717" s="75"/>
      <c r="C1717" s="16">
        <v>46233</v>
      </c>
      <c r="D1717">
        <v>190496.38</v>
      </c>
    </row>
    <row r="1718" spans="1:4" x14ac:dyDescent="0.3">
      <c r="A1718" s="75" t="s">
        <v>23</v>
      </c>
      <c r="B1718" s="75"/>
      <c r="C1718" s="16">
        <v>46233</v>
      </c>
      <c r="D1718">
        <v>88090.37</v>
      </c>
    </row>
    <row r="1719" spans="1:4" x14ac:dyDescent="0.3">
      <c r="A1719" s="75" t="s">
        <v>24</v>
      </c>
      <c r="B1719" s="75"/>
      <c r="C1719" s="16">
        <v>46233</v>
      </c>
      <c r="D1719">
        <v>14580.45</v>
      </c>
    </row>
    <row r="1720" spans="1:4" x14ac:dyDescent="0.3">
      <c r="A1720" s="75" t="s">
        <v>25</v>
      </c>
      <c r="B1720" s="75"/>
      <c r="C1720" s="16">
        <v>46233</v>
      </c>
      <c r="D1720">
        <v>54.400000000000006</v>
      </c>
    </row>
    <row r="1721" spans="1:4" x14ac:dyDescent="0.3">
      <c r="A1721" s="75" t="s">
        <v>26</v>
      </c>
      <c r="B1721" s="75"/>
      <c r="C1721" s="16">
        <v>46233</v>
      </c>
      <c r="D1721">
        <v>2207.8200000000002</v>
      </c>
    </row>
    <row r="1722" spans="1:4" x14ac:dyDescent="0.3">
      <c r="A1722" s="75" t="s">
        <v>27</v>
      </c>
      <c r="B1722" s="75"/>
      <c r="C1722" s="16">
        <v>46233</v>
      </c>
      <c r="D1722">
        <v>1454589.72</v>
      </c>
    </row>
    <row r="1723" spans="1:4" x14ac:dyDescent="0.3">
      <c r="A1723" s="75" t="s">
        <v>28</v>
      </c>
      <c r="B1723" s="75"/>
      <c r="C1723" s="16">
        <v>46233</v>
      </c>
      <c r="D1723">
        <v>1968.99</v>
      </c>
    </row>
    <row r="1724" spans="1:4" x14ac:dyDescent="0.3">
      <c r="A1724" s="75" t="s">
        <v>29</v>
      </c>
      <c r="B1724" s="75"/>
      <c r="C1724" s="16">
        <v>46233</v>
      </c>
      <c r="D1724">
        <v>901.34</v>
      </c>
    </row>
    <row r="1725" spans="1:4" x14ac:dyDescent="0.3">
      <c r="A1725" s="75" t="s">
        <v>30</v>
      </c>
      <c r="B1725" s="75"/>
      <c r="C1725" s="16">
        <v>46233</v>
      </c>
      <c r="D1725">
        <v>1412.08</v>
      </c>
    </row>
    <row r="1726" spans="1:4" x14ac:dyDescent="0.3">
      <c r="A1726" s="75" t="s">
        <v>31</v>
      </c>
      <c r="B1726" s="75"/>
      <c r="C1726" s="16">
        <v>46233</v>
      </c>
      <c r="D1726">
        <v>22347.56999999996</v>
      </c>
    </row>
    <row r="1727" spans="1:4" x14ac:dyDescent="0.3">
      <c r="A1727" s="75" t="s">
        <v>32</v>
      </c>
      <c r="B1727" s="75"/>
      <c r="C1727" s="16">
        <v>46233</v>
      </c>
      <c r="D1727">
        <v>18522.800000000003</v>
      </c>
    </row>
    <row r="1728" spans="1:4" x14ac:dyDescent="0.3">
      <c r="A1728" s="75" t="s">
        <v>33</v>
      </c>
      <c r="B1728" s="75"/>
      <c r="C1728" s="16">
        <v>46233</v>
      </c>
      <c r="D1728">
        <v>24085.559999999998</v>
      </c>
    </row>
    <row r="1729" spans="1:4" x14ac:dyDescent="0.3">
      <c r="A1729" s="75" t="s">
        <v>34</v>
      </c>
      <c r="B1729" s="75"/>
      <c r="C1729" s="16">
        <v>46233</v>
      </c>
      <c r="D1729">
        <v>345</v>
      </c>
    </row>
    <row r="1730" spans="1:4" x14ac:dyDescent="0.3">
      <c r="A1730" s="75" t="s">
        <v>35</v>
      </c>
      <c r="B1730" s="75"/>
      <c r="C1730" s="16">
        <v>46233</v>
      </c>
      <c r="D1730">
        <v>11634.930000000004</v>
      </c>
    </row>
    <row r="1731" spans="1:4" x14ac:dyDescent="0.3">
      <c r="A1731" s="75" t="s">
        <v>17</v>
      </c>
      <c r="B1731" s="75"/>
      <c r="C1731" s="16">
        <v>46234</v>
      </c>
      <c r="D1731">
        <v>2468032.08</v>
      </c>
    </row>
    <row r="1732" spans="1:4" x14ac:dyDescent="0.3">
      <c r="A1732" s="75" t="s">
        <v>18</v>
      </c>
      <c r="B1732" s="75"/>
      <c r="C1732" s="16">
        <v>46234</v>
      </c>
      <c r="D1732">
        <v>83211.250000000175</v>
      </c>
    </row>
    <row r="1733" spans="1:4" x14ac:dyDescent="0.3">
      <c r="A1733" s="75" t="s">
        <v>19</v>
      </c>
      <c r="B1733" s="75"/>
      <c r="C1733" s="16">
        <v>46234</v>
      </c>
      <c r="D1733">
        <v>1669.89</v>
      </c>
    </row>
    <row r="1734" spans="1:4" x14ac:dyDescent="0.3">
      <c r="A1734" s="75" t="s">
        <v>20</v>
      </c>
      <c r="B1734" s="75"/>
      <c r="C1734" s="16">
        <v>46234</v>
      </c>
      <c r="D1734">
        <v>1458426.0399999998</v>
      </c>
    </row>
    <row r="1735" spans="1:4" x14ac:dyDescent="0.3">
      <c r="A1735" s="75" t="s">
        <v>21</v>
      </c>
      <c r="B1735" s="75"/>
      <c r="C1735" s="16">
        <v>46234</v>
      </c>
      <c r="D1735">
        <v>1514477.1199999996</v>
      </c>
    </row>
    <row r="1736" spans="1:4" x14ac:dyDescent="0.3">
      <c r="A1736" s="75" t="s">
        <v>22</v>
      </c>
      <c r="B1736" s="75"/>
      <c r="C1736" s="16">
        <v>46234</v>
      </c>
      <c r="D1736">
        <v>190496.38</v>
      </c>
    </row>
    <row r="1737" spans="1:4" x14ac:dyDescent="0.3">
      <c r="A1737" s="75" t="s">
        <v>23</v>
      </c>
      <c r="B1737" s="75"/>
      <c r="C1737" s="16">
        <v>46234</v>
      </c>
      <c r="D1737">
        <v>88090.37</v>
      </c>
    </row>
    <row r="1738" spans="1:4" x14ac:dyDescent="0.3">
      <c r="A1738" s="75" t="s">
        <v>24</v>
      </c>
      <c r="B1738" s="75"/>
      <c r="C1738" s="16">
        <v>46234</v>
      </c>
      <c r="D1738">
        <v>14580.45</v>
      </c>
    </row>
    <row r="1739" spans="1:4" x14ac:dyDescent="0.3">
      <c r="A1739" s="75" t="s">
        <v>25</v>
      </c>
      <c r="B1739" s="75"/>
      <c r="C1739" s="16">
        <v>46234</v>
      </c>
      <c r="D1739">
        <v>54.400000000000006</v>
      </c>
    </row>
    <row r="1740" spans="1:4" x14ac:dyDescent="0.3">
      <c r="A1740" s="75" t="s">
        <v>26</v>
      </c>
      <c r="B1740" s="75"/>
      <c r="C1740" s="16">
        <v>46234</v>
      </c>
      <c r="D1740">
        <v>2207.8200000000002</v>
      </c>
    </row>
    <row r="1741" spans="1:4" x14ac:dyDescent="0.3">
      <c r="A1741" s="75" t="s">
        <v>27</v>
      </c>
      <c r="B1741" s="75"/>
      <c r="C1741" s="16">
        <v>46234</v>
      </c>
      <c r="D1741">
        <v>1454589.72</v>
      </c>
    </row>
    <row r="1742" spans="1:4" x14ac:dyDescent="0.3">
      <c r="A1742" s="75" t="s">
        <v>28</v>
      </c>
      <c r="B1742" s="75"/>
      <c r="C1742" s="16">
        <v>46234</v>
      </c>
      <c r="D1742">
        <v>1968.99</v>
      </c>
    </row>
    <row r="1743" spans="1:4" x14ac:dyDescent="0.3">
      <c r="A1743" s="75" t="s">
        <v>29</v>
      </c>
      <c r="B1743" s="75"/>
      <c r="C1743" s="16">
        <v>46234</v>
      </c>
      <c r="D1743">
        <v>901.34</v>
      </c>
    </row>
    <row r="1744" spans="1:4" x14ac:dyDescent="0.3">
      <c r="A1744" s="75" t="s">
        <v>30</v>
      </c>
      <c r="B1744" s="75"/>
      <c r="C1744" s="16">
        <v>46234</v>
      </c>
      <c r="D1744">
        <v>1412.08</v>
      </c>
    </row>
    <row r="1745" spans="1:4" x14ac:dyDescent="0.3">
      <c r="A1745" s="75" t="s">
        <v>31</v>
      </c>
      <c r="B1745" s="75"/>
      <c r="C1745" s="16">
        <v>46234</v>
      </c>
      <c r="D1745">
        <v>22347.56999999996</v>
      </c>
    </row>
    <row r="1746" spans="1:4" x14ac:dyDescent="0.3">
      <c r="A1746" s="75" t="s">
        <v>32</v>
      </c>
      <c r="B1746" s="75"/>
      <c r="C1746" s="16">
        <v>46234</v>
      </c>
      <c r="D1746">
        <v>18522.800000000003</v>
      </c>
    </row>
    <row r="1747" spans="1:4" x14ac:dyDescent="0.3">
      <c r="A1747" s="75" t="s">
        <v>33</v>
      </c>
      <c r="B1747" s="75"/>
      <c r="C1747" s="16">
        <v>46234</v>
      </c>
      <c r="D1747">
        <v>24085.559999999998</v>
      </c>
    </row>
    <row r="1748" spans="1:4" x14ac:dyDescent="0.3">
      <c r="A1748" s="75" t="s">
        <v>34</v>
      </c>
      <c r="B1748" s="75"/>
      <c r="C1748" s="16">
        <v>46234</v>
      </c>
      <c r="D1748">
        <v>345</v>
      </c>
    </row>
    <row r="1749" spans="1:4" x14ac:dyDescent="0.3">
      <c r="A1749" s="75" t="s">
        <v>35</v>
      </c>
      <c r="B1749" s="75"/>
      <c r="C1749" s="16">
        <v>46234</v>
      </c>
      <c r="D1749">
        <v>11634.930000000004</v>
      </c>
    </row>
    <row r="1750" spans="1:4" x14ac:dyDescent="0.3">
      <c r="A1750" s="75" t="s">
        <v>17</v>
      </c>
      <c r="B1750" s="75"/>
      <c r="C1750" s="16">
        <v>46235</v>
      </c>
      <c r="D1750">
        <v>2468032.08</v>
      </c>
    </row>
    <row r="1751" spans="1:4" x14ac:dyDescent="0.3">
      <c r="A1751" s="75" t="s">
        <v>18</v>
      </c>
      <c r="B1751" s="75"/>
      <c r="C1751" s="16">
        <v>46235</v>
      </c>
      <c r="D1751">
        <v>83211.250000000175</v>
      </c>
    </row>
    <row r="1752" spans="1:4" x14ac:dyDescent="0.3">
      <c r="A1752" s="75" t="s">
        <v>19</v>
      </c>
      <c r="B1752" s="75"/>
      <c r="C1752" s="16">
        <v>46235</v>
      </c>
      <c r="D1752">
        <v>1669.89</v>
      </c>
    </row>
    <row r="1753" spans="1:4" x14ac:dyDescent="0.3">
      <c r="A1753" s="75" t="s">
        <v>20</v>
      </c>
      <c r="B1753" s="75"/>
      <c r="C1753" s="16">
        <v>46235</v>
      </c>
      <c r="D1753">
        <v>1458426.0399999998</v>
      </c>
    </row>
    <row r="1754" spans="1:4" x14ac:dyDescent="0.3">
      <c r="A1754" s="75" t="s">
        <v>21</v>
      </c>
      <c r="B1754" s="75"/>
      <c r="C1754" s="16">
        <v>46235</v>
      </c>
      <c r="D1754">
        <v>1514477.1199999996</v>
      </c>
    </row>
    <row r="1755" spans="1:4" x14ac:dyDescent="0.3">
      <c r="A1755" s="75" t="s">
        <v>22</v>
      </c>
      <c r="B1755" s="75"/>
      <c r="C1755" s="16">
        <v>46235</v>
      </c>
      <c r="D1755">
        <v>190496.38</v>
      </c>
    </row>
    <row r="1756" spans="1:4" x14ac:dyDescent="0.3">
      <c r="A1756" s="75" t="s">
        <v>23</v>
      </c>
      <c r="B1756" s="75"/>
      <c r="C1756" s="16">
        <v>46235</v>
      </c>
      <c r="D1756">
        <v>88090.37</v>
      </c>
    </row>
    <row r="1757" spans="1:4" x14ac:dyDescent="0.3">
      <c r="A1757" s="75" t="s">
        <v>24</v>
      </c>
      <c r="B1757" s="75"/>
      <c r="C1757" s="16">
        <v>46235</v>
      </c>
      <c r="D1757">
        <v>14580.45</v>
      </c>
    </row>
    <row r="1758" spans="1:4" x14ac:dyDescent="0.3">
      <c r="A1758" s="75" t="s">
        <v>25</v>
      </c>
      <c r="B1758" s="75"/>
      <c r="C1758" s="16">
        <v>46235</v>
      </c>
      <c r="D1758">
        <v>54.400000000000006</v>
      </c>
    </row>
    <row r="1759" spans="1:4" x14ac:dyDescent="0.3">
      <c r="A1759" s="75" t="s">
        <v>26</v>
      </c>
      <c r="B1759" s="75"/>
      <c r="C1759" s="16">
        <v>46235</v>
      </c>
      <c r="D1759">
        <v>2207.8200000000002</v>
      </c>
    </row>
    <row r="1760" spans="1:4" x14ac:dyDescent="0.3">
      <c r="A1760" s="75" t="s">
        <v>27</v>
      </c>
      <c r="B1760" s="75"/>
      <c r="C1760" s="16">
        <v>46235</v>
      </c>
      <c r="D1760">
        <v>1454589.72</v>
      </c>
    </row>
    <row r="1761" spans="1:4" x14ac:dyDescent="0.3">
      <c r="A1761" s="75" t="s">
        <v>28</v>
      </c>
      <c r="B1761" s="75"/>
      <c r="C1761" s="16">
        <v>46235</v>
      </c>
      <c r="D1761">
        <v>1968.99</v>
      </c>
    </row>
    <row r="1762" spans="1:4" x14ac:dyDescent="0.3">
      <c r="A1762" s="75" t="s">
        <v>29</v>
      </c>
      <c r="B1762" s="75"/>
      <c r="C1762" s="16">
        <v>46235</v>
      </c>
      <c r="D1762">
        <v>901.34</v>
      </c>
    </row>
    <row r="1763" spans="1:4" x14ac:dyDescent="0.3">
      <c r="A1763" s="75" t="s">
        <v>30</v>
      </c>
      <c r="B1763" s="75"/>
      <c r="C1763" s="16">
        <v>46235</v>
      </c>
      <c r="D1763">
        <v>1412.08</v>
      </c>
    </row>
    <row r="1764" spans="1:4" x14ac:dyDescent="0.3">
      <c r="A1764" s="75" t="s">
        <v>31</v>
      </c>
      <c r="B1764" s="75"/>
      <c r="C1764" s="16">
        <v>46235</v>
      </c>
      <c r="D1764">
        <v>22347.56999999996</v>
      </c>
    </row>
    <row r="1765" spans="1:4" x14ac:dyDescent="0.3">
      <c r="A1765" s="75" t="s">
        <v>32</v>
      </c>
      <c r="B1765" s="75"/>
      <c r="C1765" s="16">
        <v>46235</v>
      </c>
      <c r="D1765">
        <v>18522.800000000003</v>
      </c>
    </row>
    <row r="1766" spans="1:4" x14ac:dyDescent="0.3">
      <c r="A1766" s="75" t="s">
        <v>33</v>
      </c>
      <c r="B1766" s="75"/>
      <c r="C1766" s="16">
        <v>46235</v>
      </c>
      <c r="D1766">
        <v>24085.559999999998</v>
      </c>
    </row>
    <row r="1767" spans="1:4" x14ac:dyDescent="0.3">
      <c r="A1767" s="75" t="s">
        <v>34</v>
      </c>
      <c r="B1767" s="75"/>
      <c r="C1767" s="16">
        <v>46235</v>
      </c>
      <c r="D1767">
        <v>345</v>
      </c>
    </row>
    <row r="1768" spans="1:4" x14ac:dyDescent="0.3">
      <c r="A1768" s="75" t="s">
        <v>35</v>
      </c>
      <c r="B1768" s="75"/>
      <c r="C1768" s="16">
        <v>46235</v>
      </c>
      <c r="D1768">
        <v>11634.930000000004</v>
      </c>
    </row>
    <row r="1769" spans="1:4" x14ac:dyDescent="0.3">
      <c r="A1769" s="75" t="s">
        <v>17</v>
      </c>
      <c r="B1769" s="75"/>
      <c r="C1769" s="16">
        <v>46236</v>
      </c>
      <c r="D1769">
        <v>2468032.08</v>
      </c>
    </row>
    <row r="1770" spans="1:4" x14ac:dyDescent="0.3">
      <c r="A1770" s="75" t="s">
        <v>18</v>
      </c>
      <c r="B1770" s="75"/>
      <c r="C1770" s="16">
        <v>46236</v>
      </c>
      <c r="D1770">
        <v>83211.250000000175</v>
      </c>
    </row>
    <row r="1771" spans="1:4" x14ac:dyDescent="0.3">
      <c r="A1771" s="75" t="s">
        <v>19</v>
      </c>
      <c r="B1771" s="75"/>
      <c r="C1771" s="16">
        <v>46236</v>
      </c>
      <c r="D1771">
        <v>1669.89</v>
      </c>
    </row>
    <row r="1772" spans="1:4" x14ac:dyDescent="0.3">
      <c r="A1772" s="75" t="s">
        <v>20</v>
      </c>
      <c r="B1772" s="75"/>
      <c r="C1772" s="16">
        <v>46236</v>
      </c>
      <c r="D1772">
        <v>1458426.0399999998</v>
      </c>
    </row>
    <row r="1773" spans="1:4" x14ac:dyDescent="0.3">
      <c r="A1773" s="75" t="s">
        <v>21</v>
      </c>
      <c r="B1773" s="75"/>
      <c r="C1773" s="16">
        <v>46236</v>
      </c>
      <c r="D1773">
        <v>1514477.1199999996</v>
      </c>
    </row>
    <row r="1774" spans="1:4" x14ac:dyDescent="0.3">
      <c r="A1774" s="75" t="s">
        <v>22</v>
      </c>
      <c r="B1774" s="75"/>
      <c r="C1774" s="16">
        <v>46236</v>
      </c>
      <c r="D1774">
        <v>190496.38</v>
      </c>
    </row>
    <row r="1775" spans="1:4" x14ac:dyDescent="0.3">
      <c r="A1775" s="75" t="s">
        <v>23</v>
      </c>
      <c r="B1775" s="75"/>
      <c r="C1775" s="16">
        <v>46236</v>
      </c>
      <c r="D1775">
        <v>88090.37</v>
      </c>
    </row>
    <row r="1776" spans="1:4" x14ac:dyDescent="0.3">
      <c r="A1776" s="75" t="s">
        <v>24</v>
      </c>
      <c r="B1776" s="75"/>
      <c r="C1776" s="16">
        <v>46236</v>
      </c>
      <c r="D1776">
        <v>14580.45</v>
      </c>
    </row>
    <row r="1777" spans="1:4" x14ac:dyDescent="0.3">
      <c r="A1777" s="75" t="s">
        <v>25</v>
      </c>
      <c r="B1777" s="75"/>
      <c r="C1777" s="16">
        <v>46236</v>
      </c>
      <c r="D1777">
        <v>54.400000000000006</v>
      </c>
    </row>
    <row r="1778" spans="1:4" x14ac:dyDescent="0.3">
      <c r="A1778" s="75" t="s">
        <v>26</v>
      </c>
      <c r="B1778" s="75"/>
      <c r="C1778" s="16">
        <v>46236</v>
      </c>
      <c r="D1778">
        <v>2207.8200000000002</v>
      </c>
    </row>
    <row r="1779" spans="1:4" x14ac:dyDescent="0.3">
      <c r="A1779" s="75" t="s">
        <v>27</v>
      </c>
      <c r="B1779" s="75"/>
      <c r="C1779" s="16">
        <v>46236</v>
      </c>
      <c r="D1779">
        <v>1454589.72</v>
      </c>
    </row>
    <row r="1780" spans="1:4" x14ac:dyDescent="0.3">
      <c r="A1780" s="75" t="s">
        <v>28</v>
      </c>
      <c r="B1780" s="75"/>
      <c r="C1780" s="16">
        <v>46236</v>
      </c>
      <c r="D1780">
        <v>1968.99</v>
      </c>
    </row>
    <row r="1781" spans="1:4" x14ac:dyDescent="0.3">
      <c r="A1781" s="75" t="s">
        <v>29</v>
      </c>
      <c r="B1781" s="75"/>
      <c r="C1781" s="16">
        <v>46236</v>
      </c>
      <c r="D1781">
        <v>901.34</v>
      </c>
    </row>
    <row r="1782" spans="1:4" x14ac:dyDescent="0.3">
      <c r="A1782" s="75" t="s">
        <v>30</v>
      </c>
      <c r="B1782" s="75"/>
      <c r="C1782" s="16">
        <v>46236</v>
      </c>
      <c r="D1782">
        <v>1412.08</v>
      </c>
    </row>
    <row r="1783" spans="1:4" x14ac:dyDescent="0.3">
      <c r="A1783" s="75" t="s">
        <v>31</v>
      </c>
      <c r="B1783" s="75"/>
      <c r="C1783" s="16">
        <v>46236</v>
      </c>
      <c r="D1783">
        <v>22347.56999999996</v>
      </c>
    </row>
    <row r="1784" spans="1:4" x14ac:dyDescent="0.3">
      <c r="A1784" s="75" t="s">
        <v>32</v>
      </c>
      <c r="B1784" s="75"/>
      <c r="C1784" s="16">
        <v>46236</v>
      </c>
      <c r="D1784">
        <v>18522.800000000003</v>
      </c>
    </row>
    <row r="1785" spans="1:4" x14ac:dyDescent="0.3">
      <c r="A1785" s="75" t="s">
        <v>33</v>
      </c>
      <c r="B1785" s="75"/>
      <c r="C1785" s="16">
        <v>46236</v>
      </c>
      <c r="D1785">
        <v>24085.559999999998</v>
      </c>
    </row>
    <row r="1786" spans="1:4" x14ac:dyDescent="0.3">
      <c r="A1786" s="75" t="s">
        <v>34</v>
      </c>
      <c r="B1786" s="75"/>
      <c r="C1786" s="16">
        <v>46236</v>
      </c>
      <c r="D1786">
        <v>345</v>
      </c>
    </row>
    <row r="1787" spans="1:4" x14ac:dyDescent="0.3">
      <c r="A1787" s="75" t="s">
        <v>35</v>
      </c>
      <c r="B1787" s="75"/>
      <c r="C1787" s="16">
        <v>46236</v>
      </c>
      <c r="D1787">
        <v>11634.930000000004</v>
      </c>
    </row>
    <row r="1788" spans="1:4" x14ac:dyDescent="0.3">
      <c r="A1788" s="75" t="s">
        <v>17</v>
      </c>
      <c r="B1788" s="75"/>
      <c r="C1788" s="16">
        <v>46237</v>
      </c>
      <c r="D1788">
        <v>2468032.08</v>
      </c>
    </row>
    <row r="1789" spans="1:4" x14ac:dyDescent="0.3">
      <c r="A1789" s="75" t="s">
        <v>18</v>
      </c>
      <c r="B1789" s="75"/>
      <c r="C1789" s="16">
        <v>46237</v>
      </c>
      <c r="D1789">
        <v>83211.250000000175</v>
      </c>
    </row>
    <row r="1790" spans="1:4" x14ac:dyDescent="0.3">
      <c r="A1790" s="75" t="s">
        <v>19</v>
      </c>
      <c r="B1790" s="75"/>
      <c r="C1790" s="16">
        <v>46237</v>
      </c>
      <c r="D1790">
        <v>1669.89</v>
      </c>
    </row>
    <row r="1791" spans="1:4" x14ac:dyDescent="0.3">
      <c r="A1791" s="75" t="s">
        <v>20</v>
      </c>
      <c r="B1791" s="75"/>
      <c r="C1791" s="16">
        <v>46237</v>
      </c>
      <c r="D1791">
        <v>1458426.0399999998</v>
      </c>
    </row>
    <row r="1792" spans="1:4" x14ac:dyDescent="0.3">
      <c r="A1792" s="75" t="s">
        <v>21</v>
      </c>
      <c r="B1792" s="75"/>
      <c r="C1792" s="16">
        <v>46237</v>
      </c>
      <c r="D1792">
        <v>1514477.1199999996</v>
      </c>
    </row>
    <row r="1793" spans="1:4" x14ac:dyDescent="0.3">
      <c r="A1793" s="75" t="s">
        <v>22</v>
      </c>
      <c r="B1793" s="75"/>
      <c r="C1793" s="16">
        <v>46237</v>
      </c>
      <c r="D1793">
        <v>190496.38</v>
      </c>
    </row>
    <row r="1794" spans="1:4" x14ac:dyDescent="0.3">
      <c r="A1794" s="75" t="s">
        <v>23</v>
      </c>
      <c r="B1794" s="75"/>
      <c r="C1794" s="16">
        <v>46237</v>
      </c>
      <c r="D1794">
        <v>88090.37</v>
      </c>
    </row>
    <row r="1795" spans="1:4" x14ac:dyDescent="0.3">
      <c r="A1795" s="75" t="s">
        <v>24</v>
      </c>
      <c r="B1795" s="75"/>
      <c r="C1795" s="16">
        <v>46237</v>
      </c>
      <c r="D1795">
        <v>14580.45</v>
      </c>
    </row>
    <row r="1796" spans="1:4" x14ac:dyDescent="0.3">
      <c r="A1796" s="75" t="s">
        <v>25</v>
      </c>
      <c r="B1796" s="75"/>
      <c r="C1796" s="16">
        <v>46237</v>
      </c>
      <c r="D1796">
        <v>24.450000000000003</v>
      </c>
    </row>
    <row r="1797" spans="1:4" x14ac:dyDescent="0.3">
      <c r="A1797" s="75" t="s">
        <v>26</v>
      </c>
      <c r="B1797" s="75"/>
      <c r="C1797" s="16">
        <v>46237</v>
      </c>
      <c r="D1797">
        <v>2177.87</v>
      </c>
    </row>
    <row r="1798" spans="1:4" x14ac:dyDescent="0.3">
      <c r="A1798" s="75" t="s">
        <v>27</v>
      </c>
      <c r="B1798" s="75"/>
      <c r="C1798" s="16">
        <v>46237</v>
      </c>
      <c r="D1798">
        <v>1454589.72</v>
      </c>
    </row>
    <row r="1799" spans="1:4" x14ac:dyDescent="0.3">
      <c r="A1799" s="75" t="s">
        <v>28</v>
      </c>
      <c r="B1799" s="75"/>
      <c r="C1799" s="16">
        <v>46237</v>
      </c>
      <c r="D1799">
        <v>1968.99</v>
      </c>
    </row>
    <row r="1800" spans="1:4" x14ac:dyDescent="0.3">
      <c r="A1800" s="75" t="s">
        <v>29</v>
      </c>
      <c r="B1800" s="75"/>
      <c r="C1800" s="16">
        <v>46237</v>
      </c>
      <c r="D1800">
        <v>901.34</v>
      </c>
    </row>
    <row r="1801" spans="1:4" x14ac:dyDescent="0.3">
      <c r="A1801" s="75" t="s">
        <v>30</v>
      </c>
      <c r="B1801" s="75"/>
      <c r="C1801" s="16">
        <v>46237</v>
      </c>
      <c r="D1801">
        <v>1396.08</v>
      </c>
    </row>
    <row r="1802" spans="1:4" x14ac:dyDescent="0.3">
      <c r="A1802" s="75" t="s">
        <v>31</v>
      </c>
      <c r="B1802" s="75"/>
      <c r="C1802" s="16">
        <v>46237</v>
      </c>
      <c r="D1802">
        <v>13804.239999999962</v>
      </c>
    </row>
    <row r="1803" spans="1:4" x14ac:dyDescent="0.3">
      <c r="A1803" s="75" t="s">
        <v>32</v>
      </c>
      <c r="B1803" s="75"/>
      <c r="C1803" s="16">
        <v>46237</v>
      </c>
      <c r="D1803">
        <v>8724.1700000000037</v>
      </c>
    </row>
    <row r="1804" spans="1:4" x14ac:dyDescent="0.3">
      <c r="A1804" s="75" t="s">
        <v>33</v>
      </c>
      <c r="B1804" s="75"/>
      <c r="C1804" s="16">
        <v>46237</v>
      </c>
      <c r="D1804">
        <v>10706.099999999997</v>
      </c>
    </row>
    <row r="1805" spans="1:4" x14ac:dyDescent="0.3">
      <c r="A1805" s="75" t="s">
        <v>34</v>
      </c>
      <c r="B1805" s="75"/>
      <c r="C1805" s="16">
        <v>46237</v>
      </c>
      <c r="D1805">
        <v>345</v>
      </c>
    </row>
    <row r="1806" spans="1:4" x14ac:dyDescent="0.3">
      <c r="A1806" s="75" t="s">
        <v>35</v>
      </c>
      <c r="B1806" s="75"/>
      <c r="C1806" s="16">
        <v>46237</v>
      </c>
      <c r="D1806">
        <v>8270.3500000000022</v>
      </c>
    </row>
    <row r="1807" spans="1:4" x14ac:dyDescent="0.3">
      <c r="A1807" s="75" t="s">
        <v>17</v>
      </c>
      <c r="B1807" s="75"/>
      <c r="C1807" s="16">
        <v>46238</v>
      </c>
      <c r="D1807">
        <v>2468032.08</v>
      </c>
    </row>
    <row r="1808" spans="1:4" x14ac:dyDescent="0.3">
      <c r="A1808" s="75" t="s">
        <v>18</v>
      </c>
      <c r="B1808" s="75"/>
      <c r="C1808" s="16">
        <v>46238</v>
      </c>
      <c r="D1808">
        <v>83211.250000000175</v>
      </c>
    </row>
    <row r="1809" spans="1:4" x14ac:dyDescent="0.3">
      <c r="A1809" s="75" t="s">
        <v>19</v>
      </c>
      <c r="B1809" s="75"/>
      <c r="C1809" s="16">
        <v>46238</v>
      </c>
      <c r="D1809">
        <v>1669.89</v>
      </c>
    </row>
    <row r="1810" spans="1:4" x14ac:dyDescent="0.3">
      <c r="A1810" s="75" t="s">
        <v>20</v>
      </c>
      <c r="B1810" s="75"/>
      <c r="C1810" s="16">
        <v>46238</v>
      </c>
      <c r="D1810">
        <v>1458426.0399999998</v>
      </c>
    </row>
    <row r="1811" spans="1:4" x14ac:dyDescent="0.3">
      <c r="A1811" s="75" t="s">
        <v>21</v>
      </c>
      <c r="B1811" s="75"/>
      <c r="C1811" s="16">
        <v>46238</v>
      </c>
      <c r="D1811">
        <v>1513867.4199999995</v>
      </c>
    </row>
    <row r="1812" spans="1:4" x14ac:dyDescent="0.3">
      <c r="A1812" s="75" t="s">
        <v>22</v>
      </c>
      <c r="B1812" s="75"/>
      <c r="C1812" s="16">
        <v>46238</v>
      </c>
      <c r="D1812">
        <v>184496.38</v>
      </c>
    </row>
    <row r="1813" spans="1:4" x14ac:dyDescent="0.3">
      <c r="A1813" s="75" t="s">
        <v>23</v>
      </c>
      <c r="B1813" s="75"/>
      <c r="C1813" s="16">
        <v>46238</v>
      </c>
      <c r="D1813">
        <v>88090.37</v>
      </c>
    </row>
    <row r="1814" spans="1:4" x14ac:dyDescent="0.3">
      <c r="A1814" s="75" t="s">
        <v>24</v>
      </c>
      <c r="B1814" s="75"/>
      <c r="C1814" s="16">
        <v>46238</v>
      </c>
      <c r="D1814">
        <v>14580.45</v>
      </c>
    </row>
    <row r="1815" spans="1:4" x14ac:dyDescent="0.3">
      <c r="A1815" s="75" t="s">
        <v>25</v>
      </c>
      <c r="B1815" s="75"/>
      <c r="C1815" s="16">
        <v>46238</v>
      </c>
      <c r="D1815">
        <v>24.450000000000003</v>
      </c>
    </row>
    <row r="1816" spans="1:4" x14ac:dyDescent="0.3">
      <c r="A1816" s="75" t="s">
        <v>26</v>
      </c>
      <c r="B1816" s="75"/>
      <c r="C1816" s="16">
        <v>46238</v>
      </c>
      <c r="D1816">
        <v>2177.87</v>
      </c>
    </row>
    <row r="1817" spans="1:4" x14ac:dyDescent="0.3">
      <c r="A1817" s="75" t="s">
        <v>27</v>
      </c>
      <c r="B1817" s="75"/>
      <c r="C1817" s="16">
        <v>46238</v>
      </c>
      <c r="D1817">
        <v>1454589.72</v>
      </c>
    </row>
    <row r="1818" spans="1:4" x14ac:dyDescent="0.3">
      <c r="A1818" s="75" t="s">
        <v>28</v>
      </c>
      <c r="B1818" s="75"/>
      <c r="C1818" s="16">
        <v>46238</v>
      </c>
      <c r="D1818">
        <v>1968.99</v>
      </c>
    </row>
    <row r="1819" spans="1:4" x14ac:dyDescent="0.3">
      <c r="A1819" s="75" t="s">
        <v>29</v>
      </c>
      <c r="B1819" s="75"/>
      <c r="C1819" s="16">
        <v>46238</v>
      </c>
      <c r="D1819">
        <v>901.34</v>
      </c>
    </row>
    <row r="1820" spans="1:4" x14ac:dyDescent="0.3">
      <c r="A1820" s="75" t="s">
        <v>30</v>
      </c>
      <c r="B1820" s="75"/>
      <c r="C1820" s="16">
        <v>46238</v>
      </c>
      <c r="D1820">
        <v>1396.08</v>
      </c>
    </row>
    <row r="1821" spans="1:4" x14ac:dyDescent="0.3">
      <c r="A1821" s="75" t="s">
        <v>31</v>
      </c>
      <c r="B1821" s="75"/>
      <c r="C1821" s="16">
        <v>46238</v>
      </c>
      <c r="D1821">
        <v>13804.239999999962</v>
      </c>
    </row>
    <row r="1822" spans="1:4" x14ac:dyDescent="0.3">
      <c r="A1822" s="75" t="s">
        <v>32</v>
      </c>
      <c r="B1822" s="75"/>
      <c r="C1822" s="16">
        <v>46238</v>
      </c>
      <c r="D1822">
        <v>8724.1700000000037</v>
      </c>
    </row>
    <row r="1823" spans="1:4" x14ac:dyDescent="0.3">
      <c r="A1823" s="75" t="s">
        <v>33</v>
      </c>
      <c r="B1823" s="75"/>
      <c r="C1823" s="16">
        <v>46238</v>
      </c>
      <c r="D1823">
        <v>10706.099999999997</v>
      </c>
    </row>
    <row r="1824" spans="1:4" x14ac:dyDescent="0.3">
      <c r="A1824" s="75" t="s">
        <v>34</v>
      </c>
      <c r="B1824" s="75"/>
      <c r="C1824" s="16">
        <v>46238</v>
      </c>
      <c r="D1824">
        <v>345</v>
      </c>
    </row>
    <row r="1825" spans="1:4" x14ac:dyDescent="0.3">
      <c r="A1825" s="75" t="s">
        <v>35</v>
      </c>
      <c r="B1825" s="75"/>
      <c r="C1825" s="16">
        <v>46238</v>
      </c>
      <c r="D1825">
        <v>7879.4200000000019</v>
      </c>
    </row>
    <row r="1826" spans="1:4" x14ac:dyDescent="0.3">
      <c r="A1826" s="75" t="s">
        <v>17</v>
      </c>
      <c r="B1826" s="75"/>
      <c r="C1826" s="16">
        <v>46239</v>
      </c>
      <c r="D1826">
        <v>2468032.08</v>
      </c>
    </row>
    <row r="1827" spans="1:4" x14ac:dyDescent="0.3">
      <c r="A1827" s="75" t="s">
        <v>18</v>
      </c>
      <c r="B1827" s="75"/>
      <c r="C1827" s="16">
        <v>46239</v>
      </c>
      <c r="D1827">
        <v>83211.250000000175</v>
      </c>
    </row>
    <row r="1828" spans="1:4" x14ac:dyDescent="0.3">
      <c r="A1828" s="75" t="s">
        <v>19</v>
      </c>
      <c r="B1828" s="75"/>
      <c r="C1828" s="16">
        <v>46239</v>
      </c>
      <c r="D1828">
        <v>1669.89</v>
      </c>
    </row>
    <row r="1829" spans="1:4" x14ac:dyDescent="0.3">
      <c r="A1829" s="75" t="s">
        <v>20</v>
      </c>
      <c r="B1829" s="75"/>
      <c r="C1829" s="16">
        <v>46239</v>
      </c>
      <c r="D1829">
        <v>1452426.0399999998</v>
      </c>
    </row>
    <row r="1830" spans="1:4" x14ac:dyDescent="0.3">
      <c r="A1830" s="75" t="s">
        <v>21</v>
      </c>
      <c r="B1830" s="75"/>
      <c r="C1830" s="16">
        <v>46239</v>
      </c>
      <c r="D1830">
        <v>1512187.6399999997</v>
      </c>
    </row>
    <row r="1831" spans="1:4" x14ac:dyDescent="0.3">
      <c r="A1831" s="75" t="s">
        <v>22</v>
      </c>
      <c r="B1831" s="75"/>
      <c r="C1831" s="16">
        <v>46239</v>
      </c>
      <c r="D1831">
        <v>184496.38</v>
      </c>
    </row>
    <row r="1832" spans="1:4" x14ac:dyDescent="0.3">
      <c r="A1832" s="75" t="s">
        <v>23</v>
      </c>
      <c r="B1832" s="75"/>
      <c r="C1832" s="16">
        <v>46239</v>
      </c>
      <c r="D1832">
        <v>88090.37</v>
      </c>
    </row>
    <row r="1833" spans="1:4" x14ac:dyDescent="0.3">
      <c r="A1833" s="75" t="s">
        <v>24</v>
      </c>
      <c r="B1833" s="75"/>
      <c r="C1833" s="16">
        <v>46239</v>
      </c>
      <c r="D1833">
        <v>14580.45</v>
      </c>
    </row>
    <row r="1834" spans="1:4" x14ac:dyDescent="0.3">
      <c r="A1834" s="75" t="s">
        <v>25</v>
      </c>
      <c r="B1834" s="75"/>
      <c r="C1834" s="16">
        <v>46239</v>
      </c>
      <c r="D1834">
        <v>24.450000000000003</v>
      </c>
    </row>
    <row r="1835" spans="1:4" x14ac:dyDescent="0.3">
      <c r="A1835" s="75" t="s">
        <v>26</v>
      </c>
      <c r="B1835" s="75"/>
      <c r="C1835" s="16">
        <v>46239</v>
      </c>
      <c r="D1835">
        <v>2177.87</v>
      </c>
    </row>
    <row r="1836" spans="1:4" x14ac:dyDescent="0.3">
      <c r="A1836" s="75" t="s">
        <v>27</v>
      </c>
      <c r="B1836" s="75"/>
      <c r="C1836" s="16">
        <v>46239</v>
      </c>
      <c r="D1836">
        <v>1454589.72</v>
      </c>
    </row>
    <row r="1837" spans="1:4" x14ac:dyDescent="0.3">
      <c r="A1837" s="75" t="s">
        <v>28</v>
      </c>
      <c r="B1837" s="75"/>
      <c r="C1837" s="16">
        <v>46239</v>
      </c>
      <c r="D1837">
        <v>1968.99</v>
      </c>
    </row>
    <row r="1838" spans="1:4" x14ac:dyDescent="0.3">
      <c r="A1838" s="75" t="s">
        <v>29</v>
      </c>
      <c r="B1838" s="75"/>
      <c r="C1838" s="16">
        <v>46239</v>
      </c>
      <c r="D1838">
        <v>901.34</v>
      </c>
    </row>
    <row r="1839" spans="1:4" x14ac:dyDescent="0.3">
      <c r="A1839" s="75" t="s">
        <v>30</v>
      </c>
      <c r="B1839" s="75"/>
      <c r="C1839" s="16">
        <v>46239</v>
      </c>
      <c r="D1839">
        <v>1396.08</v>
      </c>
    </row>
    <row r="1840" spans="1:4" x14ac:dyDescent="0.3">
      <c r="A1840" s="75" t="s">
        <v>31</v>
      </c>
      <c r="B1840" s="75"/>
      <c r="C1840" s="16">
        <v>46239</v>
      </c>
      <c r="D1840">
        <v>13804.239999999962</v>
      </c>
    </row>
    <row r="1841" spans="1:4" x14ac:dyDescent="0.3">
      <c r="A1841" s="75" t="s">
        <v>32</v>
      </c>
      <c r="B1841" s="75"/>
      <c r="C1841" s="16">
        <v>46239</v>
      </c>
      <c r="D1841">
        <v>8724.1700000000037</v>
      </c>
    </row>
    <row r="1842" spans="1:4" x14ac:dyDescent="0.3">
      <c r="A1842" s="75" t="s">
        <v>33</v>
      </c>
      <c r="B1842" s="75"/>
      <c r="C1842" s="16">
        <v>46239</v>
      </c>
      <c r="D1842">
        <v>10706.099999999997</v>
      </c>
    </row>
    <row r="1843" spans="1:4" x14ac:dyDescent="0.3">
      <c r="A1843" s="75" t="s">
        <v>34</v>
      </c>
      <c r="B1843" s="75"/>
      <c r="C1843" s="16">
        <v>46239</v>
      </c>
      <c r="D1843">
        <v>345</v>
      </c>
    </row>
    <row r="1844" spans="1:4" x14ac:dyDescent="0.3">
      <c r="A1844" s="75" t="s">
        <v>35</v>
      </c>
      <c r="B1844" s="75"/>
      <c r="C1844" s="16">
        <v>46239</v>
      </c>
      <c r="D1844">
        <v>7879.4200000000019</v>
      </c>
    </row>
    <row r="1845" spans="1:4" x14ac:dyDescent="0.3">
      <c r="A1845" s="75" t="s">
        <v>17</v>
      </c>
      <c r="B1845" s="75"/>
      <c r="C1845" s="16">
        <v>46240</v>
      </c>
      <c r="D1845">
        <v>1153390.4100000001</v>
      </c>
    </row>
    <row r="1846" spans="1:4" x14ac:dyDescent="0.3">
      <c r="A1846" s="75" t="s">
        <v>18</v>
      </c>
      <c r="B1846" s="75"/>
      <c r="C1846" s="16">
        <v>46240</v>
      </c>
      <c r="D1846">
        <v>83211.250000000175</v>
      </c>
    </row>
    <row r="1847" spans="1:4" x14ac:dyDescent="0.3">
      <c r="A1847" s="75" t="s">
        <v>19</v>
      </c>
      <c r="B1847" s="75"/>
      <c r="C1847" s="16">
        <v>46240</v>
      </c>
      <c r="D1847">
        <v>1669.89</v>
      </c>
    </row>
    <row r="1848" spans="1:4" x14ac:dyDescent="0.3">
      <c r="A1848" s="75" t="s">
        <v>20</v>
      </c>
      <c r="B1848" s="75"/>
      <c r="C1848" s="16">
        <v>46240</v>
      </c>
      <c r="D1848">
        <v>1349451.94</v>
      </c>
    </row>
    <row r="1849" spans="1:4" x14ac:dyDescent="0.3">
      <c r="A1849" s="75" t="s">
        <v>21</v>
      </c>
      <c r="B1849" s="75"/>
      <c r="C1849" s="16">
        <v>46240</v>
      </c>
      <c r="D1849">
        <v>2102073.7899999996</v>
      </c>
    </row>
    <row r="1850" spans="1:4" x14ac:dyDescent="0.3">
      <c r="A1850" s="75" t="s">
        <v>22</v>
      </c>
      <c r="B1850" s="75"/>
      <c r="C1850" s="16">
        <v>46240</v>
      </c>
      <c r="D1850">
        <v>171496.38</v>
      </c>
    </row>
    <row r="1851" spans="1:4" x14ac:dyDescent="0.3">
      <c r="A1851" s="75" t="s">
        <v>23</v>
      </c>
      <c r="B1851" s="75"/>
      <c r="C1851" s="16">
        <v>46240</v>
      </c>
      <c r="D1851">
        <v>88090.37</v>
      </c>
    </row>
    <row r="1852" spans="1:4" x14ac:dyDescent="0.3">
      <c r="A1852" s="75" t="s">
        <v>24</v>
      </c>
      <c r="B1852" s="75"/>
      <c r="C1852" s="16">
        <v>46240</v>
      </c>
      <c r="D1852">
        <v>14580.45</v>
      </c>
    </row>
    <row r="1853" spans="1:4" x14ac:dyDescent="0.3">
      <c r="A1853" s="75" t="s">
        <v>25</v>
      </c>
      <c r="B1853" s="75"/>
      <c r="C1853" s="16">
        <v>46240</v>
      </c>
      <c r="D1853">
        <v>24.450000000000003</v>
      </c>
    </row>
    <row r="1854" spans="1:4" x14ac:dyDescent="0.3">
      <c r="A1854" s="75" t="s">
        <v>26</v>
      </c>
      <c r="B1854" s="75"/>
      <c r="C1854" s="16">
        <v>46240</v>
      </c>
      <c r="D1854">
        <v>2177.87</v>
      </c>
    </row>
    <row r="1855" spans="1:4" x14ac:dyDescent="0.3">
      <c r="A1855" s="75" t="s">
        <v>27</v>
      </c>
      <c r="B1855" s="75"/>
      <c r="C1855" s="16">
        <v>46240</v>
      </c>
      <c r="D1855">
        <v>1454589.72</v>
      </c>
    </row>
    <row r="1856" spans="1:4" x14ac:dyDescent="0.3">
      <c r="A1856" s="75" t="s">
        <v>28</v>
      </c>
      <c r="B1856" s="75"/>
      <c r="C1856" s="16">
        <v>46240</v>
      </c>
      <c r="D1856">
        <v>1968.99</v>
      </c>
    </row>
    <row r="1857" spans="1:4" x14ac:dyDescent="0.3">
      <c r="A1857" s="75" t="s">
        <v>29</v>
      </c>
      <c r="B1857" s="75"/>
      <c r="C1857" s="16">
        <v>46240</v>
      </c>
      <c r="D1857">
        <v>901.34</v>
      </c>
    </row>
    <row r="1858" spans="1:4" x14ac:dyDescent="0.3">
      <c r="A1858" s="75" t="s">
        <v>30</v>
      </c>
      <c r="B1858" s="75"/>
      <c r="C1858" s="16">
        <v>46240</v>
      </c>
      <c r="D1858">
        <v>1396.08</v>
      </c>
    </row>
    <row r="1859" spans="1:4" x14ac:dyDescent="0.3">
      <c r="A1859" s="75" t="s">
        <v>31</v>
      </c>
      <c r="B1859" s="75"/>
      <c r="C1859" s="16">
        <v>46240</v>
      </c>
      <c r="D1859">
        <v>13804.239999999962</v>
      </c>
    </row>
    <row r="1860" spans="1:4" x14ac:dyDescent="0.3">
      <c r="A1860" s="75" t="s">
        <v>32</v>
      </c>
      <c r="B1860" s="75"/>
      <c r="C1860" s="16">
        <v>46240</v>
      </c>
      <c r="D1860">
        <v>8724.1700000000037</v>
      </c>
    </row>
    <row r="1861" spans="1:4" x14ac:dyDescent="0.3">
      <c r="A1861" s="75" t="s">
        <v>33</v>
      </c>
      <c r="B1861" s="75"/>
      <c r="C1861" s="16">
        <v>46240</v>
      </c>
      <c r="D1861">
        <v>10706.099999999997</v>
      </c>
    </row>
    <row r="1862" spans="1:4" x14ac:dyDescent="0.3">
      <c r="A1862" s="75" t="s">
        <v>34</v>
      </c>
      <c r="B1862" s="75"/>
      <c r="C1862" s="16">
        <v>46240</v>
      </c>
      <c r="D1862">
        <v>345</v>
      </c>
    </row>
    <row r="1863" spans="1:4" x14ac:dyDescent="0.3">
      <c r="A1863" s="75" t="s">
        <v>35</v>
      </c>
      <c r="B1863" s="75"/>
      <c r="C1863" s="16">
        <v>46240</v>
      </c>
      <c r="D1863">
        <v>12470.040000000003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2026-08-07T14:41:58Z</dcterms:modified>
  <dc:language>en-US</dc:language>
</cp:coreProperties>
</file>