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- FLUJOS DIARIOS Y SALDOS QUINCENALES/2026/Reporteria Bi/"/>
    </mc:Choice>
  </mc:AlternateContent>
  <xr:revisionPtr revIDLastSave="6445" documentId="8_{BBC9EA4E-7F3B-475F-B61B-890F681C3A1C}" xr6:coauthVersionLast="47" xr6:coauthVersionMax="47" xr10:uidLastSave="{DFF533A7-5D50-46E0-AC58-942530AC02AF}"/>
  <bookViews>
    <workbookView xWindow="11304" yWindow="0" windowWidth="11736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DatosExternos_1" localSheetId="6" hidden="1">'Lista diaria'!$A$1:$D$894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7" i="6" l="1"/>
  <c r="D47" i="6"/>
  <c r="E47" i="6"/>
  <c r="F47" i="6"/>
  <c r="G47" i="6"/>
  <c r="H47" i="6"/>
  <c r="I47" i="6"/>
  <c r="V47" i="6" s="1"/>
  <c r="J47" i="6"/>
  <c r="K47" i="6"/>
  <c r="L47" i="6"/>
  <c r="M47" i="6"/>
  <c r="N47" i="6"/>
  <c r="O47" i="6"/>
  <c r="P47" i="6"/>
  <c r="Q47" i="6"/>
  <c r="R47" i="6"/>
  <c r="S47" i="6"/>
  <c r="T47" i="6"/>
  <c r="U47" i="6"/>
  <c r="C48" i="6"/>
  <c r="D48" i="6"/>
  <c r="E48" i="6"/>
  <c r="F48" i="6"/>
  <c r="V48" i="6" s="1"/>
  <c r="G48" i="6"/>
  <c r="H48" i="6"/>
  <c r="I48" i="6"/>
  <c r="J48" i="6"/>
  <c r="K48" i="6"/>
  <c r="L48" i="6"/>
  <c r="M48" i="6"/>
  <c r="N48" i="6"/>
  <c r="O48" i="6"/>
  <c r="P48" i="6"/>
  <c r="Q48" i="6"/>
  <c r="R48" i="6"/>
  <c r="S48" i="6"/>
  <c r="T48" i="6"/>
  <c r="U48" i="6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M329" i="1" s="1"/>
  <c r="C330" i="1"/>
  <c r="M330" i="1" s="1"/>
  <c r="C331" i="1"/>
  <c r="C332" i="1"/>
  <c r="C333" i="1"/>
  <c r="C334" i="1"/>
  <c r="C335" i="1"/>
  <c r="N310" i="1"/>
  <c r="O310" i="1"/>
  <c r="P310" i="1" s="1"/>
  <c r="N311" i="1"/>
  <c r="O311" i="1"/>
  <c r="P311" i="1"/>
  <c r="N312" i="1"/>
  <c r="O312" i="1"/>
  <c r="P312" i="1" s="1"/>
  <c r="N313" i="1"/>
  <c r="O313" i="1"/>
  <c r="P313" i="1"/>
  <c r="N314" i="1"/>
  <c r="O314" i="1"/>
  <c r="P314" i="1" s="1"/>
  <c r="N315" i="1"/>
  <c r="O315" i="1"/>
  <c r="P315" i="1"/>
  <c r="N316" i="1"/>
  <c r="O316" i="1"/>
  <c r="P316" i="1"/>
  <c r="N317" i="1"/>
  <c r="O317" i="1"/>
  <c r="P317" i="1"/>
  <c r="N318" i="1"/>
  <c r="O318" i="1"/>
  <c r="P318" i="1"/>
  <c r="N319" i="1"/>
  <c r="O319" i="1"/>
  <c r="P319" i="1"/>
  <c r="N320" i="1"/>
  <c r="O320" i="1"/>
  <c r="P320" i="1" s="1"/>
  <c r="N321" i="1"/>
  <c r="O321" i="1"/>
  <c r="P321" i="1"/>
  <c r="N322" i="1"/>
  <c r="O322" i="1"/>
  <c r="P322" i="1" s="1"/>
  <c r="N323" i="1"/>
  <c r="O323" i="1"/>
  <c r="P323" i="1"/>
  <c r="N324" i="1"/>
  <c r="O324" i="1"/>
  <c r="P324" i="1"/>
  <c r="N325" i="1"/>
  <c r="O325" i="1"/>
  <c r="P325" i="1"/>
  <c r="N326" i="1"/>
  <c r="O326" i="1"/>
  <c r="P326" i="1"/>
  <c r="N327" i="1"/>
  <c r="O327" i="1"/>
  <c r="P327" i="1"/>
  <c r="N328" i="1"/>
  <c r="O328" i="1"/>
  <c r="P328" i="1" s="1"/>
  <c r="N329" i="1"/>
  <c r="O329" i="1"/>
  <c r="P329" i="1"/>
  <c r="N330" i="1"/>
  <c r="O330" i="1"/>
  <c r="P330" i="1" s="1"/>
  <c r="N331" i="1"/>
  <c r="O331" i="1"/>
  <c r="P331" i="1"/>
  <c r="N332" i="1"/>
  <c r="O332" i="1"/>
  <c r="P332" i="1"/>
  <c r="N333" i="1"/>
  <c r="O333" i="1"/>
  <c r="P333" i="1"/>
  <c r="N334" i="1"/>
  <c r="O334" i="1"/>
  <c r="P334" i="1"/>
  <c r="N335" i="1"/>
  <c r="O335" i="1"/>
  <c r="P335" i="1"/>
  <c r="N306" i="1"/>
  <c r="P306" i="1"/>
  <c r="O309" i="1"/>
  <c r="P309" i="1" s="1"/>
  <c r="N309" i="1"/>
  <c r="O308" i="1"/>
  <c r="P308" i="1" s="1"/>
  <c r="N308" i="1"/>
  <c r="O307" i="1"/>
  <c r="P307" i="1" s="1"/>
  <c r="N307" i="1"/>
  <c r="O306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N302" i="1"/>
  <c r="O302" i="1"/>
  <c r="P302" i="1" s="1"/>
  <c r="N303" i="1"/>
  <c r="P303" i="1" s="1"/>
  <c r="O303" i="1"/>
  <c r="N304" i="1"/>
  <c r="O304" i="1"/>
  <c r="P304" i="1" s="1"/>
  <c r="N305" i="1"/>
  <c r="P305" i="1" s="1"/>
  <c r="O305" i="1"/>
  <c r="N299" i="1"/>
  <c r="P299" i="1" s="1"/>
  <c r="O299" i="1"/>
  <c r="N300" i="1"/>
  <c r="O300" i="1"/>
  <c r="P300" i="1" s="1"/>
  <c r="N301" i="1"/>
  <c r="O301" i="1"/>
  <c r="P301" i="1" s="1"/>
  <c r="K302" i="1"/>
  <c r="K303" i="1"/>
  <c r="K304" i="1"/>
  <c r="K305" i="1"/>
  <c r="K299" i="1"/>
  <c r="K300" i="1"/>
  <c r="K301" i="1"/>
  <c r="H302" i="1"/>
  <c r="I302" i="1"/>
  <c r="H303" i="1"/>
  <c r="I303" i="1"/>
  <c r="H304" i="1"/>
  <c r="I304" i="1"/>
  <c r="H305" i="1"/>
  <c r="I305" i="1"/>
  <c r="H299" i="1"/>
  <c r="I299" i="1"/>
  <c r="H300" i="1"/>
  <c r="I300" i="1"/>
  <c r="H301" i="1"/>
  <c r="I301" i="1"/>
  <c r="E302" i="1"/>
  <c r="E303" i="1"/>
  <c r="E304" i="1"/>
  <c r="E305" i="1"/>
  <c r="E299" i="1"/>
  <c r="E300" i="1"/>
  <c r="E301" i="1"/>
  <c r="C302" i="1"/>
  <c r="C303" i="1"/>
  <c r="C304" i="1"/>
  <c r="C305" i="1"/>
  <c r="C299" i="1"/>
  <c r="C300" i="1"/>
  <c r="C301" i="1"/>
  <c r="M305" i="1" l="1"/>
  <c r="M334" i="1"/>
  <c r="M326" i="1"/>
  <c r="M335" i="1"/>
  <c r="M324" i="1"/>
  <c r="M328" i="1"/>
  <c r="M332" i="1"/>
  <c r="M309" i="1"/>
  <c r="M333" i="1"/>
  <c r="M331" i="1"/>
  <c r="M327" i="1"/>
  <c r="M325" i="1"/>
  <c r="M323" i="1"/>
  <c r="M321" i="1"/>
  <c r="M319" i="1"/>
  <c r="M317" i="1"/>
  <c r="M315" i="1"/>
  <c r="M313" i="1"/>
  <c r="M311" i="1"/>
  <c r="M307" i="1"/>
  <c r="R40" i="6"/>
  <c r="M310" i="1"/>
  <c r="M322" i="1"/>
  <c r="M320" i="1"/>
  <c r="M318" i="1"/>
  <c r="M316" i="1"/>
  <c r="M314" i="1"/>
  <c r="M312" i="1"/>
  <c r="M306" i="1"/>
  <c r="M308" i="1"/>
  <c r="D4" i="7"/>
  <c r="C42" i="6"/>
  <c r="M301" i="1"/>
  <c r="M302" i="1"/>
  <c r="M300" i="1"/>
  <c r="D45" i="6"/>
  <c r="K23" i="3"/>
  <c r="M303" i="1"/>
  <c r="D33" i="6"/>
  <c r="P38" i="6"/>
  <c r="K34" i="6"/>
  <c r="S37" i="6"/>
  <c r="O31" i="3"/>
  <c r="K40" i="6"/>
  <c r="C39" i="6"/>
  <c r="J42" i="6"/>
  <c r="J41" i="6"/>
  <c r="R38" i="6"/>
  <c r="S36" i="6"/>
  <c r="D42" i="6"/>
  <c r="H37" i="6"/>
  <c r="F40" i="6"/>
  <c r="D41" i="6"/>
  <c r="E33" i="6"/>
  <c r="K38" i="6"/>
  <c r="P14" i="3"/>
  <c r="U36" i="6"/>
  <c r="G34" i="6"/>
  <c r="C34" i="6"/>
  <c r="P36" i="6"/>
  <c r="R37" i="6"/>
  <c r="E37" i="6"/>
  <c r="F38" i="6"/>
  <c r="F34" i="6"/>
  <c r="O38" i="6"/>
  <c r="P34" i="6"/>
  <c r="J33" i="6"/>
  <c r="U38" i="6"/>
  <c r="P4" i="3"/>
  <c r="P10" i="3"/>
  <c r="J25" i="3"/>
  <c r="K33" i="3"/>
  <c r="R39" i="6"/>
  <c r="K16" i="3"/>
  <c r="K30" i="3"/>
  <c r="M35" i="6"/>
  <c r="J30" i="3"/>
  <c r="O30" i="3"/>
  <c r="O15" i="3"/>
  <c r="P23" i="3"/>
  <c r="K3" i="3"/>
  <c r="K24" i="3"/>
  <c r="O19" i="3"/>
  <c r="F43" i="6"/>
  <c r="J46" i="6"/>
  <c r="N45" i="6"/>
  <c r="U44" i="6"/>
  <c r="F44" i="6"/>
  <c r="J43" i="6"/>
  <c r="C43" i="6"/>
  <c r="G46" i="6"/>
  <c r="J44" i="6"/>
  <c r="L40" i="6"/>
  <c r="Q34" i="6"/>
  <c r="K42" i="6"/>
  <c r="S41" i="6"/>
  <c r="N41" i="6"/>
  <c r="O34" i="6"/>
  <c r="L42" i="6"/>
  <c r="H38" i="6"/>
  <c r="O40" i="6"/>
  <c r="E41" i="6"/>
  <c r="L36" i="6"/>
  <c r="G36" i="6"/>
  <c r="E40" i="6"/>
  <c r="D35" i="6"/>
  <c r="C33" i="6"/>
  <c r="J37" i="6"/>
  <c r="I36" i="6"/>
  <c r="S38" i="6"/>
  <c r="P39" i="6"/>
  <c r="S34" i="6"/>
  <c r="M37" i="6"/>
  <c r="D34" i="6"/>
  <c r="S39" i="6"/>
  <c r="J35" i="6"/>
  <c r="K27" i="3"/>
  <c r="J31" i="3"/>
  <c r="K9" i="3"/>
  <c r="O24" i="3"/>
  <c r="J9" i="3"/>
  <c r="J13" i="3"/>
  <c r="J19" i="3"/>
  <c r="J3" i="3"/>
  <c r="T38" i="6"/>
  <c r="K6" i="3"/>
  <c r="K29" i="3"/>
  <c r="O17" i="3"/>
  <c r="O22" i="3"/>
  <c r="P34" i="3"/>
  <c r="P21" i="3"/>
  <c r="P18" i="3"/>
  <c r="M299" i="1"/>
  <c r="N43" i="6"/>
  <c r="R46" i="6"/>
  <c r="C46" i="6"/>
  <c r="G45" i="6"/>
  <c r="N44" i="6"/>
  <c r="R43" i="6"/>
  <c r="K43" i="6"/>
  <c r="O46" i="6"/>
  <c r="P46" i="6"/>
  <c r="C40" i="6"/>
  <c r="K35" i="6"/>
  <c r="Q33" i="6"/>
  <c r="J14" i="3"/>
  <c r="P27" i="3"/>
  <c r="U40" i="6"/>
  <c r="F41" i="6"/>
  <c r="C36" i="6"/>
  <c r="R42" i="6"/>
  <c r="E42" i="6"/>
  <c r="L39" i="6"/>
  <c r="M42" i="6"/>
  <c r="J28" i="3"/>
  <c r="T33" i="6"/>
  <c r="I34" i="6"/>
  <c r="Q36" i="6"/>
  <c r="R33" i="6"/>
  <c r="N40" i="6"/>
  <c r="Q35" i="6"/>
  <c r="D38" i="6"/>
  <c r="F37" i="6"/>
  <c r="K33" i="6"/>
  <c r="G33" i="6"/>
  <c r="S33" i="6"/>
  <c r="G38" i="6"/>
  <c r="H34" i="6"/>
  <c r="K37" i="6"/>
  <c r="O33" i="3"/>
  <c r="F39" i="6"/>
  <c r="P13" i="3"/>
  <c r="J16" i="3"/>
  <c r="O8" i="3"/>
  <c r="J21" i="3"/>
  <c r="J5" i="3"/>
  <c r="O11" i="3"/>
  <c r="K28" i="3"/>
  <c r="K12" i="3"/>
  <c r="L35" i="6"/>
  <c r="K4" i="3"/>
  <c r="N37" i="6"/>
  <c r="P33" i="3"/>
  <c r="K5" i="3"/>
  <c r="K8" i="3"/>
  <c r="P20" i="3"/>
  <c r="O32" i="3"/>
  <c r="C44" i="6"/>
  <c r="G43" i="6"/>
  <c r="K46" i="6"/>
  <c r="O45" i="6"/>
  <c r="K45" i="6"/>
  <c r="G44" i="6"/>
  <c r="S43" i="6"/>
  <c r="D43" i="6"/>
  <c r="C45" i="6"/>
  <c r="U35" i="6"/>
  <c r="N33" i="6"/>
  <c r="T37" i="6"/>
  <c r="P6" i="3"/>
  <c r="K22" i="3"/>
  <c r="M40" i="6"/>
  <c r="T41" i="6"/>
  <c r="G41" i="6"/>
  <c r="Q37" i="6"/>
  <c r="S42" i="6"/>
  <c r="F42" i="6"/>
  <c r="T34" i="6"/>
  <c r="N42" i="6"/>
  <c r="D40" i="6"/>
  <c r="P37" i="6"/>
  <c r="M38" i="6"/>
  <c r="F33" i="6"/>
  <c r="S35" i="6"/>
  <c r="G40" i="6"/>
  <c r="E39" i="6"/>
  <c r="K21" i="3"/>
  <c r="F36" i="6"/>
  <c r="L38" i="6"/>
  <c r="N36" i="6"/>
  <c r="I39" i="6"/>
  <c r="O33" i="6"/>
  <c r="Q39" i="6"/>
  <c r="N39" i="6"/>
  <c r="K39" i="6"/>
  <c r="C35" i="6"/>
  <c r="J18" i="3"/>
  <c r="J32" i="3"/>
  <c r="K31" i="3"/>
  <c r="P26" i="3"/>
  <c r="P19" i="3"/>
  <c r="J7" i="3"/>
  <c r="P3" i="3"/>
  <c r="P2" i="3"/>
  <c r="K13" i="3"/>
  <c r="O16" i="3"/>
  <c r="O25" i="3"/>
  <c r="J34" i="3"/>
  <c r="O4" i="3"/>
  <c r="P30" i="3"/>
  <c r="P17" i="3"/>
  <c r="P22" i="3"/>
  <c r="K44" i="6"/>
  <c r="O43" i="6"/>
  <c r="S46" i="6"/>
  <c r="D46" i="6"/>
  <c r="H45" i="6"/>
  <c r="O44" i="6"/>
  <c r="H44" i="6"/>
  <c r="L43" i="6"/>
  <c r="U43" i="6"/>
  <c r="I33" i="6"/>
  <c r="U37" i="6"/>
  <c r="P5" i="3"/>
  <c r="O35" i="6"/>
  <c r="U41" i="6"/>
  <c r="H41" i="6"/>
  <c r="L41" i="6"/>
  <c r="K36" i="6"/>
  <c r="Q41" i="6"/>
  <c r="J23" i="3"/>
  <c r="G42" i="6"/>
  <c r="T42" i="6"/>
  <c r="R35" i="6"/>
  <c r="J34" i="6"/>
  <c r="M36" i="6"/>
  <c r="G39" i="6"/>
  <c r="F35" i="6"/>
  <c r="H33" i="6"/>
  <c r="K20" i="3"/>
  <c r="M39" i="6"/>
  <c r="J11" i="3"/>
  <c r="U39" i="6"/>
  <c r="K25" i="3"/>
  <c r="C37" i="6"/>
  <c r="O13" i="3"/>
  <c r="U34" i="6"/>
  <c r="P35" i="6"/>
  <c r="J38" i="6"/>
  <c r="K11" i="3"/>
  <c r="J29" i="3"/>
  <c r="O37" i="6"/>
  <c r="J20" i="3"/>
  <c r="K18" i="3"/>
  <c r="J6" i="3"/>
  <c r="K10" i="3"/>
  <c r="O34" i="3"/>
  <c r="J22" i="3"/>
  <c r="J2" i="3"/>
  <c r="J26" i="3"/>
  <c r="O12" i="3"/>
  <c r="K26" i="3"/>
  <c r="O29" i="3"/>
  <c r="P29" i="3"/>
  <c r="O5" i="3"/>
  <c r="L45" i="6"/>
  <c r="S44" i="6"/>
  <c r="D44" i="6"/>
  <c r="H43" i="6"/>
  <c r="L46" i="6"/>
  <c r="P45" i="6"/>
  <c r="I45" i="6"/>
  <c r="P44" i="6"/>
  <c r="T43" i="6"/>
  <c r="R44" i="6"/>
  <c r="J40" i="6"/>
  <c r="L33" i="6"/>
  <c r="I37" i="6"/>
  <c r="H35" i="6"/>
  <c r="J10" i="3"/>
  <c r="P40" i="6"/>
  <c r="N35" i="6"/>
  <c r="S40" i="6"/>
  <c r="O41" i="6"/>
  <c r="E36" i="6"/>
  <c r="R41" i="6"/>
  <c r="I40" i="6"/>
  <c r="H42" i="6"/>
  <c r="U42" i="6"/>
  <c r="H40" i="6"/>
  <c r="T35" i="6"/>
  <c r="T39" i="6"/>
  <c r="J36" i="6"/>
  <c r="M33" i="6"/>
  <c r="O36" i="6"/>
  <c r="K17" i="3"/>
  <c r="P33" i="6"/>
  <c r="O7" i="3"/>
  <c r="E34" i="6"/>
  <c r="P24" i="3"/>
  <c r="Q38" i="6"/>
  <c r="G35" i="6"/>
  <c r="I38" i="6"/>
  <c r="D39" i="6"/>
  <c r="E35" i="6"/>
  <c r="O26" i="3"/>
  <c r="K2" i="3"/>
  <c r="J39" i="6"/>
  <c r="O14" i="3"/>
  <c r="O9" i="3"/>
  <c r="J4" i="3"/>
  <c r="P9" i="3"/>
  <c r="O2" i="3"/>
  <c r="P11" i="3"/>
  <c r="O28" i="3"/>
  <c r="J24" i="3"/>
  <c r="K19" i="3"/>
  <c r="P16" i="3"/>
  <c r="R36" i="6"/>
  <c r="J33" i="3"/>
  <c r="T45" i="6"/>
  <c r="E45" i="6"/>
  <c r="L44" i="6"/>
  <c r="P43" i="6"/>
  <c r="T46" i="6"/>
  <c r="E46" i="6"/>
  <c r="Q45" i="6"/>
  <c r="H46" i="6"/>
  <c r="I44" i="6"/>
  <c r="M43" i="6"/>
  <c r="I41" i="6"/>
  <c r="K15" i="3"/>
  <c r="K34" i="3"/>
  <c r="Q40" i="6"/>
  <c r="D36" i="6"/>
  <c r="T40" i="6"/>
  <c r="P41" i="6"/>
  <c r="O27" i="3"/>
  <c r="I42" i="6"/>
  <c r="M41" i="6"/>
  <c r="Q42" i="6"/>
  <c r="O42" i="6"/>
  <c r="C41" i="6"/>
  <c r="O39" i="6"/>
  <c r="I35" i="6"/>
  <c r="H39" i="6"/>
  <c r="T36" i="6"/>
  <c r="C38" i="6"/>
  <c r="U33" i="6"/>
  <c r="D37" i="6"/>
  <c r="O6" i="3"/>
  <c r="L37" i="6"/>
  <c r="P15" i="3"/>
  <c r="M34" i="6"/>
  <c r="N38" i="6"/>
  <c r="N34" i="6"/>
  <c r="L34" i="6"/>
  <c r="J27" i="3"/>
  <c r="P7" i="3"/>
  <c r="O3" i="3"/>
  <c r="K14" i="3"/>
  <c r="J17" i="3"/>
  <c r="P32" i="3"/>
  <c r="J15" i="3"/>
  <c r="P8" i="3"/>
  <c r="O23" i="3"/>
  <c r="K7" i="3"/>
  <c r="O18" i="3"/>
  <c r="O21" i="3"/>
  <c r="O10" i="3"/>
  <c r="J8" i="3"/>
  <c r="E38" i="6"/>
  <c r="J12" i="3"/>
  <c r="M304" i="1"/>
  <c r="I46" i="6"/>
  <c r="M45" i="6"/>
  <c r="T44" i="6"/>
  <c r="E44" i="6"/>
  <c r="I43" i="6"/>
  <c r="M46" i="6"/>
  <c r="F46" i="6"/>
  <c r="J45" i="6"/>
  <c r="Q44" i="6"/>
  <c r="E43" i="6"/>
  <c r="K41" i="6"/>
  <c r="P42" i="6"/>
  <c r="H36" i="6"/>
  <c r="R34" i="6"/>
  <c r="G37" i="6"/>
  <c r="P31" i="3"/>
  <c r="O20" i="3"/>
  <c r="K32" i="3"/>
  <c r="P28" i="3"/>
  <c r="P25" i="3"/>
  <c r="P12" i="3"/>
  <c r="Q46" i="6"/>
  <c r="U45" i="6"/>
  <c r="F45" i="6"/>
  <c r="M44" i="6"/>
  <c r="Q43" i="6"/>
  <c r="U46" i="6"/>
  <c r="N46" i="6"/>
  <c r="R45" i="6"/>
  <c r="S45" i="6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46" i="6" l="1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<sst xmlns="http://schemas.openxmlformats.org/spreadsheetml/2006/main" count="4205" uniqueCount="175">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</sst>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7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2" fillId="0" borderId="0" xfId="0" applyNumberFormat="1" applyFont="1" applyAlignment="1">
      <alignment horizontal="center"/>
    </xf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2" fillId="0" borderId="0" xfId="0" applyNumberFormat="1" applyFont="1"/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1">
    <cellStyle name="Normal" xfId="0" builtinId="0"/>
  </cellStyles>
  <dxfs count="42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35" totalsRowShown="0">
  <autoFilter ref="A1:P335" xr:uid="{00000000-0009-0000-0100-000001000000}"/>
  <sortState xmlns:xlrd2="http://schemas.microsoft.com/office/spreadsheetml/2017/richdata2" ref="A2:P305">
    <sortCondition ref="B1:B305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894" tableType="queryTable" totalsRowShown="0">
  <autoFilter ref="A1:D894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2" activePane="bottomLeft" state="frozen"/>
      <selection pane="bottomLeft" activeCell="V7" sqref="V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/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14" activePane="bottomLeft" state="frozen"/>
      <selection pane="bottomLeft" activeCell="E27" sqref="E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35"/>
  <sheetViews>
    <sheetView topLeftCell="G1" zoomScale="70" zoomScaleNormal="70" workbookViewId="0">
      <pane ySplit="1" topLeftCell="A301" activePane="bottomLeft" state="frozen"/>
      <selection pane="bottomLeft" activeCell="D306" sqref="D306:D335"/>
    </sheetView>
  </sheetViews>
  <sheetFormatPr baseColWidth="10" defaultColWidth="8.6640625" defaultRowHeight="14.4" x14ac:dyDescent="0.3"/>
  <cols>
    <col min="1" max="1" width="6" style="3" customWidth="1"/>
    <col min="2" max="2" width="12" style="43" customWidth="1"/>
    <col min="3" max="3" width="24" style="4" customWidth="1"/>
    <col min="4" max="4" width="46.88671875" style="45" bestFit="1" customWidth="1"/>
    <col min="5" max="5" width="18.109375" style="4" customWidth="1"/>
    <col min="6" max="6" width="16" style="45" customWidth="1"/>
    <col min="7" max="7" width="53.77734375" style="45" bestFit="1" customWidth="1"/>
    <col min="8" max="8" width="18" style="4" customWidth="1"/>
    <col min="9" max="9" width="16.5546875" style="4" customWidth="1"/>
    <col min="10" max="10" width="14" style="47" customWidth="1"/>
    <col min="11" max="11" width="16" style="5" customWidth="1"/>
    <col min="12" max="12" width="10" style="15" customWidth="1"/>
    <col min="13" max="13" width="26.109375" style="48" customWidth="1"/>
    <col min="14" max="14" width="14.21875" style="28" bestFit="1" customWidth="1"/>
    <col min="15" max="15" width="13.77734375" style="28" bestFit="1" customWidth="1"/>
    <col min="16" max="16" width="16" style="31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9" t="s">
        <v>162</v>
      </c>
    </row>
    <row r="2" spans="1:16" x14ac:dyDescent="0.3">
      <c r="B2" s="42">
        <v>46143</v>
      </c>
      <c r="C2" s="4" t="s">
        <v>20</v>
      </c>
      <c r="D2" s="44" t="s">
        <v>100</v>
      </c>
      <c r="E2" s="4" t="s">
        <v>36</v>
      </c>
      <c r="F2" s="44" t="s">
        <v>9</v>
      </c>
      <c r="G2" s="44" t="s">
        <v>80</v>
      </c>
      <c r="H2" s="4" t="s">
        <v>88</v>
      </c>
      <c r="I2" s="4" t="s">
        <v>158</v>
      </c>
      <c r="J2" s="46">
        <v>400000</v>
      </c>
      <c r="K2" s="5">
        <v>400000</v>
      </c>
      <c r="L2" s="6" t="s">
        <v>93</v>
      </c>
      <c r="M2" s="48">
        <v>589990.30000000005</v>
      </c>
      <c r="N2" s="27">
        <v>400000</v>
      </c>
      <c r="O2" s="27" t="s">
        <v>174</v>
      </c>
      <c r="P2" s="30">
        <v>400000</v>
      </c>
    </row>
    <row r="3" spans="1:16" x14ac:dyDescent="0.3">
      <c r="B3" s="42">
        <v>46143</v>
      </c>
      <c r="C3" s="4" t="s">
        <v>20</v>
      </c>
      <c r="D3" s="44" t="s">
        <v>100</v>
      </c>
      <c r="E3" s="4" t="s">
        <v>36</v>
      </c>
      <c r="F3" s="44" t="s">
        <v>9</v>
      </c>
      <c r="G3" s="44" t="s">
        <v>68</v>
      </c>
      <c r="H3" s="4" t="s">
        <v>88</v>
      </c>
      <c r="I3" s="4" t="s">
        <v>158</v>
      </c>
      <c r="J3" s="46">
        <v>12901.71</v>
      </c>
      <c r="K3" s="5">
        <v>12901.71</v>
      </c>
      <c r="L3" s="6" t="s">
        <v>93</v>
      </c>
      <c r="M3" s="48">
        <v>589990.30000000005</v>
      </c>
      <c r="N3" s="28">
        <v>12901.71</v>
      </c>
      <c r="O3" s="28" t="s">
        <v>174</v>
      </c>
      <c r="P3" s="31">
        <v>12901.71</v>
      </c>
    </row>
    <row r="4" spans="1:16" x14ac:dyDescent="0.3">
      <c r="B4" s="42">
        <v>46143</v>
      </c>
      <c r="C4" s="4" t="s">
        <v>25</v>
      </c>
      <c r="D4" s="44" t="s">
        <v>114</v>
      </c>
      <c r="E4" s="4" t="s">
        <v>36</v>
      </c>
      <c r="F4" s="44" t="s">
        <v>10</v>
      </c>
      <c r="G4" s="44" t="s">
        <v>44</v>
      </c>
      <c r="H4" s="4" t="s">
        <v>88</v>
      </c>
      <c r="I4" s="4" t="s">
        <v>158</v>
      </c>
      <c r="J4" s="46">
        <v>29.95</v>
      </c>
      <c r="K4" s="5">
        <v>-29.95</v>
      </c>
      <c r="L4" s="6" t="s">
        <v>93</v>
      </c>
      <c r="M4" s="48">
        <v>114.3</v>
      </c>
      <c r="N4" s="28" t="s">
        <v>174</v>
      </c>
      <c r="O4" s="28">
        <v>29.95</v>
      </c>
      <c r="P4" s="31">
        <v>-29.95</v>
      </c>
    </row>
    <row r="5" spans="1:16" x14ac:dyDescent="0.3">
      <c r="B5" s="42">
        <v>46143</v>
      </c>
      <c r="C5" s="4" t="s">
        <v>26</v>
      </c>
      <c r="D5" s="44" t="s">
        <v>115</v>
      </c>
      <c r="E5" s="4" t="s">
        <v>36</v>
      </c>
      <c r="F5" s="44" t="s">
        <v>10</v>
      </c>
      <c r="G5" s="44" t="s">
        <v>44</v>
      </c>
      <c r="H5" s="4" t="s">
        <v>88</v>
      </c>
      <c r="I5" s="4" t="s">
        <v>158</v>
      </c>
      <c r="J5" s="46">
        <v>29.95</v>
      </c>
      <c r="K5" s="5">
        <v>-29.95</v>
      </c>
      <c r="L5" s="6" t="s">
        <v>93</v>
      </c>
      <c r="M5" s="48">
        <v>2267.7200000000003</v>
      </c>
      <c r="N5" s="28" t="s">
        <v>174</v>
      </c>
      <c r="O5" s="28">
        <v>29.95</v>
      </c>
      <c r="P5" s="31">
        <v>-29.95</v>
      </c>
    </row>
    <row r="6" spans="1:16" x14ac:dyDescent="0.3">
      <c r="B6" s="42">
        <v>46143</v>
      </c>
      <c r="C6" s="4" t="s">
        <v>30</v>
      </c>
      <c r="D6" s="44" t="s">
        <v>120</v>
      </c>
      <c r="E6" s="4" t="s">
        <v>36</v>
      </c>
      <c r="F6" s="44" t="s">
        <v>10</v>
      </c>
      <c r="G6" s="44" t="s">
        <v>44</v>
      </c>
      <c r="H6" s="4" t="s">
        <v>88</v>
      </c>
      <c r="I6" s="4" t="s">
        <v>158</v>
      </c>
      <c r="J6" s="46">
        <v>16</v>
      </c>
      <c r="K6" s="5">
        <v>-16</v>
      </c>
      <c r="L6" s="6" t="s">
        <v>93</v>
      </c>
      <c r="M6" s="48">
        <v>1444.08</v>
      </c>
      <c r="N6" s="28" t="s">
        <v>174</v>
      </c>
      <c r="O6" s="28">
        <v>16</v>
      </c>
      <c r="P6" s="31">
        <v>-16</v>
      </c>
    </row>
    <row r="7" spans="1:16" x14ac:dyDescent="0.3">
      <c r="B7" s="42">
        <v>46143</v>
      </c>
      <c r="C7" s="4" t="s">
        <v>31</v>
      </c>
      <c r="D7" s="44" t="s">
        <v>121</v>
      </c>
      <c r="E7" s="4" t="s">
        <v>36</v>
      </c>
      <c r="F7" s="44" t="s">
        <v>9</v>
      </c>
      <c r="G7" s="44" t="s">
        <v>81</v>
      </c>
      <c r="H7" s="4" t="s">
        <v>88</v>
      </c>
      <c r="I7" s="4" t="s">
        <v>158</v>
      </c>
      <c r="J7" s="46">
        <v>5250</v>
      </c>
      <c r="K7" s="5">
        <v>5250</v>
      </c>
      <c r="L7" s="6" t="s">
        <v>93</v>
      </c>
      <c r="M7" s="48">
        <v>22922.179999999964</v>
      </c>
      <c r="N7" s="28">
        <v>5250</v>
      </c>
      <c r="O7" s="28" t="s">
        <v>174</v>
      </c>
      <c r="P7" s="31">
        <v>5250</v>
      </c>
    </row>
    <row r="8" spans="1:16" x14ac:dyDescent="0.3">
      <c r="B8" s="42">
        <v>46143</v>
      </c>
      <c r="C8" s="4" t="s">
        <v>31</v>
      </c>
      <c r="D8" s="44" t="s">
        <v>121</v>
      </c>
      <c r="E8" s="4" t="s">
        <v>36</v>
      </c>
      <c r="F8" s="44" t="s">
        <v>10</v>
      </c>
      <c r="G8" s="44" t="s">
        <v>48</v>
      </c>
      <c r="H8" s="4" t="s">
        <v>89</v>
      </c>
      <c r="I8" s="4" t="s">
        <v>158</v>
      </c>
      <c r="J8" s="46">
        <v>8578.33</v>
      </c>
      <c r="K8" s="5">
        <v>-8578.33</v>
      </c>
      <c r="L8" s="6" t="s">
        <v>93</v>
      </c>
      <c r="M8" s="48">
        <v>22922.179999999964</v>
      </c>
      <c r="N8" s="28" t="s">
        <v>174</v>
      </c>
      <c r="O8" s="28">
        <v>8578.33</v>
      </c>
      <c r="P8" s="31">
        <v>-8578.33</v>
      </c>
    </row>
    <row r="9" spans="1:16" x14ac:dyDescent="0.3">
      <c r="B9" s="42">
        <v>46143</v>
      </c>
      <c r="C9" s="4" t="s">
        <v>31</v>
      </c>
      <c r="D9" s="44" t="s">
        <v>121</v>
      </c>
      <c r="E9" s="4" t="s">
        <v>36</v>
      </c>
      <c r="F9" s="44" t="s">
        <v>10</v>
      </c>
      <c r="G9" s="44" t="s">
        <v>44</v>
      </c>
      <c r="H9" s="4" t="s">
        <v>88</v>
      </c>
      <c r="I9" s="4" t="s">
        <v>158</v>
      </c>
      <c r="J9" s="46">
        <v>16</v>
      </c>
      <c r="K9" s="5">
        <v>-16</v>
      </c>
      <c r="L9" s="6" t="s">
        <v>93</v>
      </c>
      <c r="M9" s="48">
        <v>22922.179999999964</v>
      </c>
      <c r="N9" s="28" t="s">
        <v>174</v>
      </c>
      <c r="O9" s="28">
        <v>16</v>
      </c>
      <c r="P9" s="31">
        <v>-16</v>
      </c>
    </row>
    <row r="10" spans="1:16" x14ac:dyDescent="0.3">
      <c r="B10" s="42">
        <v>46143</v>
      </c>
      <c r="C10" s="4" t="s">
        <v>31</v>
      </c>
      <c r="D10" s="44" t="s">
        <v>122</v>
      </c>
      <c r="E10" s="4" t="s">
        <v>36</v>
      </c>
      <c r="F10" s="44" t="s">
        <v>10</v>
      </c>
      <c r="G10" s="44" t="s">
        <v>44</v>
      </c>
      <c r="H10" s="4" t="s">
        <v>88</v>
      </c>
      <c r="I10" s="4" t="s">
        <v>158</v>
      </c>
      <c r="J10" s="46">
        <v>10</v>
      </c>
      <c r="K10" s="5">
        <v>-10</v>
      </c>
      <c r="L10" s="6" t="s">
        <v>93</v>
      </c>
      <c r="M10" s="48">
        <v>340.42</v>
      </c>
      <c r="N10" s="28" t="s">
        <v>174</v>
      </c>
      <c r="O10" s="28">
        <v>10</v>
      </c>
      <c r="P10" s="31">
        <v>-10</v>
      </c>
    </row>
    <row r="11" spans="1:16" x14ac:dyDescent="0.3">
      <c r="B11" s="42">
        <v>46143</v>
      </c>
      <c r="C11" s="4" t="s">
        <v>32</v>
      </c>
      <c r="D11" s="44" t="s">
        <v>123</v>
      </c>
      <c r="E11" s="4" t="s">
        <v>36</v>
      </c>
      <c r="F11" s="44" t="s">
        <v>9</v>
      </c>
      <c r="G11" s="44" t="s">
        <v>81</v>
      </c>
      <c r="H11" s="4" t="s">
        <v>88</v>
      </c>
      <c r="I11" s="4" t="s">
        <v>158</v>
      </c>
      <c r="J11" s="46">
        <v>6750</v>
      </c>
      <c r="K11" s="5">
        <v>6750</v>
      </c>
      <c r="L11" s="6" t="s">
        <v>93</v>
      </c>
      <c r="M11" s="48">
        <v>6853.9100000000017</v>
      </c>
      <c r="N11" s="28">
        <v>6750</v>
      </c>
      <c r="O11" s="28" t="s">
        <v>174</v>
      </c>
      <c r="P11" s="31">
        <v>6750</v>
      </c>
    </row>
    <row r="12" spans="1:16" x14ac:dyDescent="0.3">
      <c r="B12" s="42">
        <v>46143</v>
      </c>
      <c r="C12" s="4" t="s">
        <v>32</v>
      </c>
      <c r="D12" s="44" t="s">
        <v>123</v>
      </c>
      <c r="E12" s="4" t="s">
        <v>36</v>
      </c>
      <c r="F12" s="44" t="s">
        <v>10</v>
      </c>
      <c r="G12" s="44" t="s">
        <v>48</v>
      </c>
      <c r="H12" s="4" t="s">
        <v>89</v>
      </c>
      <c r="I12" s="4" t="s">
        <v>158</v>
      </c>
      <c r="J12" s="46">
        <v>9798.6299999999992</v>
      </c>
      <c r="K12" s="5">
        <v>-9798.6299999999992</v>
      </c>
      <c r="L12" s="6" t="s">
        <v>93</v>
      </c>
      <c r="M12" s="48">
        <v>6853.9100000000017</v>
      </c>
      <c r="N12" s="28" t="s">
        <v>174</v>
      </c>
      <c r="O12" s="28">
        <v>9798.6299999999992</v>
      </c>
      <c r="P12" s="31">
        <v>-9798.6299999999992</v>
      </c>
    </row>
    <row r="13" spans="1:16" x14ac:dyDescent="0.3">
      <c r="B13" s="42">
        <v>46143</v>
      </c>
      <c r="C13" s="4" t="s">
        <v>33</v>
      </c>
      <c r="D13" s="44" t="s">
        <v>124</v>
      </c>
      <c r="E13" s="4" t="s">
        <v>36</v>
      </c>
      <c r="F13" s="44" t="s">
        <v>9</v>
      </c>
      <c r="G13" s="44" t="s">
        <v>81</v>
      </c>
      <c r="H13" s="4" t="s">
        <v>88</v>
      </c>
      <c r="I13" s="4" t="s">
        <v>158</v>
      </c>
      <c r="J13" s="46">
        <v>5050</v>
      </c>
      <c r="K13" s="5">
        <v>5050</v>
      </c>
      <c r="L13" s="6" t="s">
        <v>93</v>
      </c>
      <c r="M13" s="48">
        <v>21338.39</v>
      </c>
      <c r="N13" s="28">
        <v>5050</v>
      </c>
      <c r="O13" s="28" t="s">
        <v>174</v>
      </c>
      <c r="P13" s="31">
        <v>5050</v>
      </c>
    </row>
    <row r="14" spans="1:16" x14ac:dyDescent="0.3">
      <c r="B14" s="42">
        <v>46143</v>
      </c>
      <c r="C14" s="4" t="s">
        <v>33</v>
      </c>
      <c r="D14" s="44" t="s">
        <v>124</v>
      </c>
      <c r="E14" s="4" t="s">
        <v>36</v>
      </c>
      <c r="F14" s="44" t="s">
        <v>10</v>
      </c>
      <c r="G14" s="44" t="s">
        <v>48</v>
      </c>
      <c r="H14" s="4" t="s">
        <v>89</v>
      </c>
      <c r="I14" s="4" t="s">
        <v>158</v>
      </c>
      <c r="J14" s="46">
        <v>8773.0400000000009</v>
      </c>
      <c r="K14" s="5">
        <v>-8773.0400000000009</v>
      </c>
      <c r="L14" s="6" t="s">
        <v>93</v>
      </c>
      <c r="M14" s="48">
        <v>21338.39</v>
      </c>
      <c r="N14" s="28" t="s">
        <v>174</v>
      </c>
      <c r="O14" s="28">
        <v>8773.0400000000009</v>
      </c>
      <c r="P14" s="31">
        <v>-8773.0400000000009</v>
      </c>
    </row>
    <row r="15" spans="1:16" x14ac:dyDescent="0.3">
      <c r="B15" s="42">
        <v>46143</v>
      </c>
      <c r="C15" s="4" t="s">
        <v>18</v>
      </c>
      <c r="D15" s="44" t="s">
        <v>97</v>
      </c>
      <c r="E15" s="4" t="s">
        <v>37</v>
      </c>
      <c r="F15" s="44" t="s">
        <v>9</v>
      </c>
      <c r="G15" s="44" t="s">
        <v>68</v>
      </c>
      <c r="H15" s="4" t="s">
        <v>88</v>
      </c>
      <c r="I15" s="4" t="s">
        <v>158</v>
      </c>
      <c r="J15" s="46">
        <v>6748.49</v>
      </c>
      <c r="K15" s="5">
        <v>6748.49</v>
      </c>
      <c r="L15" s="6" t="s">
        <v>93</v>
      </c>
      <c r="M15" s="48">
        <v>46288.029999999948</v>
      </c>
      <c r="N15" s="28">
        <v>6748.49</v>
      </c>
      <c r="O15" s="28" t="s">
        <v>174</v>
      </c>
      <c r="P15" s="31">
        <v>6748.49</v>
      </c>
    </row>
    <row r="16" spans="1:16" x14ac:dyDescent="0.3">
      <c r="B16" s="42">
        <v>46143</v>
      </c>
      <c r="C16" s="4" t="s">
        <v>35</v>
      </c>
      <c r="D16" s="44" t="s">
        <v>126</v>
      </c>
      <c r="E16" s="4" t="s">
        <v>37</v>
      </c>
      <c r="F16" s="44" t="s">
        <v>10</v>
      </c>
      <c r="G16" s="44" t="s">
        <v>38</v>
      </c>
      <c r="H16" s="4" t="s">
        <v>88</v>
      </c>
      <c r="I16" s="4" t="s">
        <v>158</v>
      </c>
      <c r="J16" s="46">
        <v>165</v>
      </c>
      <c r="K16" s="5">
        <v>-165</v>
      </c>
      <c r="L16" s="6" t="s">
        <v>93</v>
      </c>
      <c r="M16" s="48">
        <v>13491.26</v>
      </c>
      <c r="N16" s="28" t="s">
        <v>174</v>
      </c>
      <c r="O16" s="28">
        <v>165</v>
      </c>
      <c r="P16" s="31">
        <v>-165</v>
      </c>
    </row>
    <row r="17" spans="2:16" x14ac:dyDescent="0.3">
      <c r="B17" s="42">
        <v>46146</v>
      </c>
      <c r="C17" s="4" t="s">
        <v>22</v>
      </c>
      <c r="D17" s="44" t="s">
        <v>110</v>
      </c>
      <c r="E17" s="4" t="s">
        <v>36</v>
      </c>
      <c r="F17" s="44" t="s">
        <v>10</v>
      </c>
      <c r="G17" s="44" t="s">
        <v>43</v>
      </c>
      <c r="H17" s="4" t="s">
        <v>88</v>
      </c>
      <c r="I17" s="4" t="s">
        <v>158</v>
      </c>
      <c r="J17" s="46">
        <v>6000</v>
      </c>
      <c r="K17" s="5">
        <v>-6000</v>
      </c>
      <c r="L17" s="6" t="s">
        <v>93</v>
      </c>
      <c r="M17" s="48">
        <v>7221.8899999999994</v>
      </c>
      <c r="N17" s="28" t="s">
        <v>174</v>
      </c>
      <c r="O17" s="28">
        <v>6000</v>
      </c>
      <c r="P17" s="31">
        <v>-6000</v>
      </c>
    </row>
    <row r="18" spans="2:16" x14ac:dyDescent="0.3">
      <c r="B18" s="42">
        <v>46146</v>
      </c>
      <c r="C18" s="4" t="s">
        <v>31</v>
      </c>
      <c r="D18" s="44" t="s">
        <v>121</v>
      </c>
      <c r="E18" s="4" t="s">
        <v>36</v>
      </c>
      <c r="F18" s="44" t="s">
        <v>10</v>
      </c>
      <c r="G18" s="44" t="s">
        <v>44</v>
      </c>
      <c r="H18" s="4" t="s">
        <v>88</v>
      </c>
      <c r="I18" s="4" t="s">
        <v>158</v>
      </c>
      <c r="J18" s="46">
        <v>15</v>
      </c>
      <c r="K18" s="5">
        <v>-15</v>
      </c>
      <c r="L18" s="6" t="s">
        <v>93</v>
      </c>
      <c r="M18" s="48">
        <v>22907.179999999964</v>
      </c>
      <c r="N18" s="28" t="s">
        <v>174</v>
      </c>
      <c r="O18" s="28">
        <v>15</v>
      </c>
      <c r="P18" s="31">
        <v>-15</v>
      </c>
    </row>
    <row r="19" spans="2:16" x14ac:dyDescent="0.3">
      <c r="B19" s="42">
        <v>46146</v>
      </c>
      <c r="C19" s="4" t="s">
        <v>35</v>
      </c>
      <c r="D19" s="44" t="s">
        <v>126</v>
      </c>
      <c r="E19" s="4" t="s">
        <v>37</v>
      </c>
      <c r="F19" s="44" t="s">
        <v>10</v>
      </c>
      <c r="G19" s="44" t="s">
        <v>38</v>
      </c>
      <c r="H19" s="4" t="s">
        <v>88</v>
      </c>
      <c r="I19" s="4" t="s">
        <v>158</v>
      </c>
      <c r="J19" s="46">
        <v>1020</v>
      </c>
      <c r="K19" s="5">
        <v>-1020</v>
      </c>
      <c r="L19" s="6" t="s">
        <v>93</v>
      </c>
      <c r="M19" s="48">
        <v>8782.25</v>
      </c>
      <c r="N19" s="28" t="s">
        <v>174</v>
      </c>
      <c r="O19" s="28">
        <v>1020</v>
      </c>
      <c r="P19" s="31">
        <v>-1020</v>
      </c>
    </row>
    <row r="20" spans="2:16" x14ac:dyDescent="0.3">
      <c r="B20" s="42">
        <v>46146</v>
      </c>
      <c r="C20" s="4" t="s">
        <v>21</v>
      </c>
      <c r="D20" s="44" t="s">
        <v>104</v>
      </c>
      <c r="E20" s="4" t="s">
        <v>37</v>
      </c>
      <c r="F20" s="44" t="s">
        <v>9</v>
      </c>
      <c r="G20" s="44" t="s">
        <v>76</v>
      </c>
      <c r="H20" s="4" t="s">
        <v>89</v>
      </c>
      <c r="I20" s="4" t="s">
        <v>158</v>
      </c>
      <c r="J20" s="46">
        <v>800000</v>
      </c>
      <c r="K20" s="5">
        <v>800000</v>
      </c>
      <c r="L20" s="6" t="s">
        <v>93</v>
      </c>
      <c r="M20" s="48">
        <v>1019857.8199999994</v>
      </c>
      <c r="N20" s="28">
        <v>800000</v>
      </c>
      <c r="O20" s="28" t="s">
        <v>174</v>
      </c>
      <c r="P20" s="31">
        <v>800000</v>
      </c>
    </row>
    <row r="21" spans="2:16" x14ac:dyDescent="0.3">
      <c r="B21" s="42">
        <v>46146</v>
      </c>
      <c r="C21" s="4" t="s">
        <v>35</v>
      </c>
      <c r="D21" s="44" t="s">
        <v>126</v>
      </c>
      <c r="E21" s="4" t="s">
        <v>37</v>
      </c>
      <c r="F21" s="44" t="s">
        <v>10</v>
      </c>
      <c r="G21" s="44" t="s">
        <v>38</v>
      </c>
      <c r="H21" s="4" t="s">
        <v>88</v>
      </c>
      <c r="I21" s="4" t="s">
        <v>158</v>
      </c>
      <c r="J21" s="46">
        <v>3689.01</v>
      </c>
      <c r="K21" s="5">
        <v>-3689.01</v>
      </c>
      <c r="L21" s="6" t="s">
        <v>93</v>
      </c>
      <c r="M21" s="48">
        <v>8782.25</v>
      </c>
      <c r="N21" s="28" t="s">
        <v>174</v>
      </c>
      <c r="O21" s="28">
        <v>3689.01</v>
      </c>
      <c r="P21" s="31">
        <v>-3689.01</v>
      </c>
    </row>
    <row r="22" spans="2:16" x14ac:dyDescent="0.3">
      <c r="B22" s="42">
        <v>46147</v>
      </c>
      <c r="C22" s="4" t="s">
        <v>21</v>
      </c>
      <c r="D22" s="44" t="s">
        <v>101</v>
      </c>
      <c r="E22" s="4" t="s">
        <v>36</v>
      </c>
      <c r="F22" s="44" t="s">
        <v>10</v>
      </c>
      <c r="G22" s="44" t="s">
        <v>38</v>
      </c>
      <c r="H22" s="4" t="s">
        <v>88</v>
      </c>
      <c r="I22" s="4" t="s">
        <v>158</v>
      </c>
      <c r="J22" s="46">
        <v>695.29</v>
      </c>
      <c r="K22" s="5">
        <v>-695.29</v>
      </c>
      <c r="L22" s="6" t="s">
        <v>93</v>
      </c>
      <c r="M22" s="48">
        <v>11683.89</v>
      </c>
      <c r="N22" s="28" t="s">
        <v>174</v>
      </c>
      <c r="O22" s="28">
        <v>695.29</v>
      </c>
      <c r="P22" s="31">
        <v>-695.29</v>
      </c>
    </row>
    <row r="23" spans="2:16" x14ac:dyDescent="0.3">
      <c r="B23" s="42">
        <v>46147</v>
      </c>
      <c r="C23" s="4" t="s">
        <v>20</v>
      </c>
      <c r="D23" s="44" t="s">
        <v>100</v>
      </c>
      <c r="E23" s="4" t="s">
        <v>36</v>
      </c>
      <c r="F23" s="44" t="s">
        <v>9</v>
      </c>
      <c r="G23" s="44" t="s">
        <v>71</v>
      </c>
      <c r="H23" s="4" t="s">
        <v>88</v>
      </c>
      <c r="I23" s="4" t="s">
        <v>159</v>
      </c>
      <c r="J23" s="46">
        <v>700000</v>
      </c>
      <c r="K23" s="5">
        <v>700000</v>
      </c>
      <c r="L23" s="6" t="s">
        <v>93</v>
      </c>
      <c r="M23" s="48">
        <v>989990.29999999993</v>
      </c>
      <c r="N23" s="28">
        <v>700000</v>
      </c>
      <c r="O23" s="28" t="s">
        <v>174</v>
      </c>
      <c r="P23" s="31">
        <v>700000</v>
      </c>
    </row>
    <row r="24" spans="2:16" x14ac:dyDescent="0.3">
      <c r="B24" s="42">
        <v>46147</v>
      </c>
      <c r="C24" s="4" t="s">
        <v>20</v>
      </c>
      <c r="D24" s="44" t="s">
        <v>100</v>
      </c>
      <c r="E24" s="4" t="s">
        <v>36</v>
      </c>
      <c r="F24" s="44" t="s">
        <v>9</v>
      </c>
      <c r="G24" s="44" t="s">
        <v>70</v>
      </c>
      <c r="H24" s="4" t="s">
        <v>88</v>
      </c>
      <c r="I24" s="4" t="s">
        <v>158</v>
      </c>
      <c r="J24" s="46">
        <v>500000</v>
      </c>
      <c r="K24" s="5">
        <v>500000</v>
      </c>
      <c r="L24" s="6" t="s">
        <v>93</v>
      </c>
      <c r="M24" s="48">
        <v>989990.29999999993</v>
      </c>
      <c r="N24" s="28">
        <v>500000</v>
      </c>
      <c r="O24" s="28" t="s">
        <v>174</v>
      </c>
      <c r="P24" s="31">
        <v>500000</v>
      </c>
    </row>
    <row r="25" spans="2:16" x14ac:dyDescent="0.3">
      <c r="B25" s="43">
        <v>46147</v>
      </c>
      <c r="C25" s="4" t="s">
        <v>20</v>
      </c>
      <c r="D25" s="44" t="s">
        <v>100</v>
      </c>
      <c r="E25" s="4" t="s">
        <v>36</v>
      </c>
      <c r="F25" s="45" t="s">
        <v>10</v>
      </c>
      <c r="G25" s="44" t="s">
        <v>59</v>
      </c>
      <c r="H25" s="4" t="s">
        <v>90</v>
      </c>
      <c r="I25" s="4" t="s">
        <v>158</v>
      </c>
      <c r="J25" s="47">
        <v>800000</v>
      </c>
      <c r="K25" s="5">
        <v>-800000</v>
      </c>
      <c r="L25" s="6" t="s">
        <v>93</v>
      </c>
      <c r="M25" s="48">
        <v>989990.29999999993</v>
      </c>
      <c r="N25" s="28" t="s">
        <v>174</v>
      </c>
      <c r="O25" s="28">
        <v>800000</v>
      </c>
      <c r="P25" s="31">
        <v>-800000</v>
      </c>
    </row>
    <row r="26" spans="2:16" x14ac:dyDescent="0.3">
      <c r="B26" s="43">
        <v>46147</v>
      </c>
      <c r="C26" s="4" t="s">
        <v>17</v>
      </c>
      <c r="D26" s="44" t="s">
        <v>94</v>
      </c>
      <c r="E26" s="4" t="s">
        <v>36</v>
      </c>
      <c r="F26" s="45" t="s">
        <v>10</v>
      </c>
      <c r="G26" s="44" t="s">
        <v>64</v>
      </c>
      <c r="H26" s="4" t="s">
        <v>88</v>
      </c>
      <c r="I26" s="4" t="s">
        <v>159</v>
      </c>
      <c r="J26" s="47">
        <v>110000</v>
      </c>
      <c r="K26" s="5">
        <v>-110000</v>
      </c>
      <c r="L26" s="6" t="s">
        <v>93</v>
      </c>
      <c r="M26" s="48">
        <v>22689.049999999988</v>
      </c>
      <c r="N26" s="28" t="s">
        <v>174</v>
      </c>
      <c r="O26" s="28">
        <v>110000</v>
      </c>
      <c r="P26" s="31">
        <v>-110000</v>
      </c>
    </row>
    <row r="27" spans="2:16" x14ac:dyDescent="0.3">
      <c r="B27" s="43">
        <v>46147</v>
      </c>
      <c r="C27" s="4" t="s">
        <v>17</v>
      </c>
      <c r="D27" s="44" t="s">
        <v>95</v>
      </c>
      <c r="E27" s="4" t="s">
        <v>37</v>
      </c>
      <c r="F27" s="45" t="s">
        <v>9</v>
      </c>
      <c r="G27" s="44" t="s">
        <v>85</v>
      </c>
      <c r="H27" s="4" t="s">
        <v>88</v>
      </c>
      <c r="I27" s="4" t="s">
        <v>159</v>
      </c>
      <c r="J27" s="47">
        <v>110000</v>
      </c>
      <c r="K27" s="5">
        <v>110000</v>
      </c>
      <c r="L27" s="6" t="s">
        <v>93</v>
      </c>
      <c r="M27" s="48">
        <v>169799.53000000026</v>
      </c>
      <c r="N27" s="28">
        <v>110000</v>
      </c>
      <c r="O27" s="28" t="s">
        <v>174</v>
      </c>
      <c r="P27" s="31">
        <v>110000</v>
      </c>
    </row>
    <row r="28" spans="2:16" x14ac:dyDescent="0.3">
      <c r="B28" s="43">
        <v>46147</v>
      </c>
      <c r="C28" s="4" t="s">
        <v>17</v>
      </c>
      <c r="D28" s="44" t="s">
        <v>95</v>
      </c>
      <c r="E28" s="4" t="s">
        <v>37</v>
      </c>
      <c r="F28" s="45" t="s">
        <v>10</v>
      </c>
      <c r="G28" s="44" t="s">
        <v>62</v>
      </c>
      <c r="H28" s="4" t="s">
        <v>88</v>
      </c>
      <c r="I28" s="4" t="s">
        <v>159</v>
      </c>
      <c r="J28" s="47">
        <v>3000</v>
      </c>
      <c r="K28" s="5">
        <v>-3000</v>
      </c>
      <c r="L28" s="6" t="s">
        <v>93</v>
      </c>
      <c r="M28" s="48">
        <v>169799.53000000026</v>
      </c>
      <c r="N28" s="28" t="s">
        <v>174</v>
      </c>
      <c r="O28" s="28">
        <v>3000</v>
      </c>
      <c r="P28" s="31">
        <v>-3000</v>
      </c>
    </row>
    <row r="29" spans="2:16" x14ac:dyDescent="0.3">
      <c r="B29" s="43">
        <v>46147</v>
      </c>
      <c r="C29" s="4" t="s">
        <v>22</v>
      </c>
      <c r="D29" s="44" t="s">
        <v>111</v>
      </c>
      <c r="E29" s="4" t="s">
        <v>37</v>
      </c>
      <c r="F29" s="45" t="s">
        <v>10</v>
      </c>
      <c r="G29" s="44" t="s">
        <v>65</v>
      </c>
      <c r="H29" s="4" t="s">
        <v>88</v>
      </c>
      <c r="I29" s="4" t="s">
        <v>158</v>
      </c>
      <c r="J29" s="47">
        <v>15000</v>
      </c>
      <c r="K29" s="5">
        <v>-15000</v>
      </c>
      <c r="L29" s="6" t="s">
        <v>93</v>
      </c>
      <c r="M29" s="48">
        <v>50717.600000000006</v>
      </c>
      <c r="N29" s="28" t="s">
        <v>174</v>
      </c>
      <c r="O29" s="28">
        <v>15000</v>
      </c>
      <c r="P29" s="31">
        <v>-15000</v>
      </c>
    </row>
    <row r="30" spans="2:16" x14ac:dyDescent="0.3">
      <c r="B30" s="43">
        <v>46147</v>
      </c>
      <c r="C30" s="4" t="s">
        <v>21</v>
      </c>
      <c r="D30" s="44" t="s">
        <v>104</v>
      </c>
      <c r="E30" s="4" t="s">
        <v>37</v>
      </c>
      <c r="F30" s="45" t="s">
        <v>10</v>
      </c>
      <c r="G30" s="44" t="s">
        <v>38</v>
      </c>
      <c r="H30" s="4" t="s">
        <v>88</v>
      </c>
      <c r="I30" s="4" t="s">
        <v>158</v>
      </c>
      <c r="J30" s="47">
        <v>800</v>
      </c>
      <c r="K30" s="5">
        <v>-800</v>
      </c>
      <c r="L30" s="6" t="s">
        <v>93</v>
      </c>
      <c r="M30" s="48">
        <v>319057.81999999937</v>
      </c>
      <c r="N30" s="28" t="s">
        <v>174</v>
      </c>
      <c r="O30" s="28">
        <v>800</v>
      </c>
      <c r="P30" s="31">
        <v>-800</v>
      </c>
    </row>
    <row r="31" spans="2:16" x14ac:dyDescent="0.3">
      <c r="B31" s="43">
        <v>46147</v>
      </c>
      <c r="C31" s="4" t="s">
        <v>21</v>
      </c>
      <c r="D31" s="44" t="s">
        <v>104</v>
      </c>
      <c r="E31" s="4" t="s">
        <v>37</v>
      </c>
      <c r="F31" s="45" t="s">
        <v>10</v>
      </c>
      <c r="G31" s="44" t="s">
        <v>50</v>
      </c>
      <c r="H31" s="4" t="s">
        <v>89</v>
      </c>
      <c r="I31" s="4" t="s">
        <v>158</v>
      </c>
      <c r="J31" s="47">
        <v>700000</v>
      </c>
      <c r="K31" s="5">
        <v>-700000</v>
      </c>
      <c r="L31" s="6" t="s">
        <v>93</v>
      </c>
      <c r="M31" s="48">
        <v>319057.81999999937</v>
      </c>
      <c r="N31" s="28" t="s">
        <v>174</v>
      </c>
      <c r="O31" s="28">
        <v>700000</v>
      </c>
      <c r="P31" s="31">
        <v>-700000</v>
      </c>
    </row>
    <row r="32" spans="2:16" x14ac:dyDescent="0.3">
      <c r="B32" s="43">
        <v>46147</v>
      </c>
      <c r="C32" s="4" t="s">
        <v>23</v>
      </c>
      <c r="D32" s="44" t="s">
        <v>112</v>
      </c>
      <c r="E32" s="4" t="s">
        <v>36</v>
      </c>
      <c r="F32" s="45" t="s">
        <v>9</v>
      </c>
      <c r="G32" s="44"/>
      <c r="H32" s="4">
        <v>0</v>
      </c>
      <c r="I32" s="4">
        <v>0</v>
      </c>
      <c r="J32" s="47">
        <v>800000</v>
      </c>
      <c r="K32" s="5">
        <v>800000</v>
      </c>
      <c r="L32" s="6" t="s">
        <v>93</v>
      </c>
      <c r="M32" s="48">
        <v>813088.59</v>
      </c>
      <c r="N32" s="28">
        <v>800000</v>
      </c>
      <c r="O32" s="28" t="s">
        <v>174</v>
      </c>
      <c r="P32" s="31">
        <v>800000</v>
      </c>
    </row>
    <row r="33" spans="2:16" x14ac:dyDescent="0.3">
      <c r="B33" s="43">
        <v>46147</v>
      </c>
      <c r="C33" s="4" t="s">
        <v>24</v>
      </c>
      <c r="D33" s="44" t="s">
        <v>113</v>
      </c>
      <c r="E33" s="4" t="s">
        <v>154</v>
      </c>
      <c r="F33" s="45" t="s">
        <v>9</v>
      </c>
      <c r="G33" s="44"/>
      <c r="H33" s="4">
        <v>0</v>
      </c>
      <c r="I33" s="4">
        <v>0</v>
      </c>
      <c r="J33" s="47">
        <v>3000</v>
      </c>
      <c r="K33" s="5">
        <v>3000</v>
      </c>
      <c r="L33" s="6" t="s">
        <v>93</v>
      </c>
      <c r="M33" s="48">
        <v>3768.83</v>
      </c>
      <c r="N33" s="28">
        <v>3000</v>
      </c>
      <c r="O33" s="28" t="s">
        <v>174</v>
      </c>
      <c r="P33" s="31">
        <v>3000</v>
      </c>
    </row>
    <row r="34" spans="2:16" x14ac:dyDescent="0.3">
      <c r="B34" s="43">
        <v>46147</v>
      </c>
      <c r="C34" s="4" t="s">
        <v>24</v>
      </c>
      <c r="D34" s="44" t="s">
        <v>113</v>
      </c>
      <c r="E34" s="4" t="s">
        <v>154</v>
      </c>
      <c r="F34" s="45" t="s">
        <v>10</v>
      </c>
      <c r="G34" s="44"/>
      <c r="H34" s="4">
        <v>0</v>
      </c>
      <c r="I34" s="4">
        <v>0</v>
      </c>
      <c r="J34" s="47">
        <v>40</v>
      </c>
      <c r="K34" s="5">
        <v>-40</v>
      </c>
      <c r="L34" s="6" t="s">
        <v>93</v>
      </c>
      <c r="M34" s="48">
        <v>3768.83</v>
      </c>
      <c r="N34" s="28" t="s">
        <v>174</v>
      </c>
      <c r="O34" s="28">
        <v>40</v>
      </c>
      <c r="P34" s="31">
        <v>-40</v>
      </c>
    </row>
    <row r="35" spans="2:16" x14ac:dyDescent="0.3">
      <c r="B35" s="43">
        <v>46148</v>
      </c>
      <c r="C35" s="4" t="s">
        <v>21</v>
      </c>
      <c r="D35" s="44" t="s">
        <v>101</v>
      </c>
      <c r="E35" s="4" t="s">
        <v>36</v>
      </c>
      <c r="F35" s="45" t="s">
        <v>10</v>
      </c>
      <c r="G35" s="44" t="s">
        <v>41</v>
      </c>
      <c r="H35" s="4" t="s">
        <v>88</v>
      </c>
      <c r="I35" s="4" t="s">
        <v>158</v>
      </c>
      <c r="J35" s="47">
        <v>7679.78</v>
      </c>
      <c r="K35" s="5">
        <v>-7679.78</v>
      </c>
      <c r="L35" s="6" t="s">
        <v>93</v>
      </c>
      <c r="M35" s="48">
        <v>4004.1100000000006</v>
      </c>
      <c r="N35" s="28" t="s">
        <v>174</v>
      </c>
      <c r="O35" s="28">
        <v>7679.78</v>
      </c>
      <c r="P35" s="31">
        <v>-7679.78</v>
      </c>
    </row>
    <row r="36" spans="2:16" x14ac:dyDescent="0.3">
      <c r="B36" s="43">
        <v>46148</v>
      </c>
      <c r="C36" s="4" t="s">
        <v>32</v>
      </c>
      <c r="D36" s="44" t="s">
        <v>123</v>
      </c>
      <c r="E36" s="4" t="s">
        <v>36</v>
      </c>
      <c r="F36" s="45" t="s">
        <v>10</v>
      </c>
      <c r="G36" s="44" t="s">
        <v>38</v>
      </c>
      <c r="H36" s="4" t="s">
        <v>88</v>
      </c>
      <c r="I36" s="4" t="s">
        <v>158</v>
      </c>
      <c r="J36" s="47">
        <v>1718.85</v>
      </c>
      <c r="K36" s="5">
        <v>-1718.85</v>
      </c>
      <c r="L36" s="6" t="s">
        <v>93</v>
      </c>
      <c r="M36" s="48">
        <v>5135.0600000000013</v>
      </c>
      <c r="N36" s="28" t="s">
        <v>174</v>
      </c>
      <c r="O36" s="28">
        <v>1718.85</v>
      </c>
      <c r="P36" s="31">
        <v>-1718.85</v>
      </c>
    </row>
    <row r="37" spans="2:16" x14ac:dyDescent="0.3">
      <c r="B37" s="43">
        <v>46148</v>
      </c>
      <c r="C37" s="4" t="s">
        <v>18</v>
      </c>
      <c r="D37" s="44" t="s">
        <v>97</v>
      </c>
      <c r="E37" s="4" t="s">
        <v>37</v>
      </c>
      <c r="F37" s="45" t="s">
        <v>9</v>
      </c>
      <c r="G37" s="44" t="s">
        <v>70</v>
      </c>
      <c r="H37" s="4" t="s">
        <v>88</v>
      </c>
      <c r="I37" s="4" t="s">
        <v>158</v>
      </c>
      <c r="J37" s="47">
        <v>575000</v>
      </c>
      <c r="K37" s="5">
        <v>575000</v>
      </c>
      <c r="L37" s="6" t="s">
        <v>93</v>
      </c>
      <c r="M37" s="48">
        <v>621288.02999999991</v>
      </c>
      <c r="N37" s="28">
        <v>575000</v>
      </c>
      <c r="O37" s="28" t="s">
        <v>174</v>
      </c>
      <c r="P37" s="31">
        <v>575000</v>
      </c>
    </row>
    <row r="38" spans="2:16" x14ac:dyDescent="0.3">
      <c r="B38" s="43">
        <v>46148</v>
      </c>
      <c r="C38" s="4" t="s">
        <v>21</v>
      </c>
      <c r="D38" s="44" t="s">
        <v>104</v>
      </c>
      <c r="E38" s="4" t="s">
        <v>37</v>
      </c>
      <c r="F38" s="45" t="s">
        <v>10</v>
      </c>
      <c r="G38" s="44" t="s">
        <v>60</v>
      </c>
      <c r="H38" s="4" t="s">
        <v>90</v>
      </c>
      <c r="I38" s="4" t="s">
        <v>159</v>
      </c>
      <c r="J38" s="47">
        <v>120000</v>
      </c>
      <c r="K38" s="5">
        <v>-120000</v>
      </c>
      <c r="L38" s="6" t="s">
        <v>93</v>
      </c>
      <c r="M38" s="48">
        <v>199057.81999999937</v>
      </c>
      <c r="N38" s="28" t="s">
        <v>174</v>
      </c>
      <c r="O38" s="28">
        <v>120000</v>
      </c>
      <c r="P38" s="31">
        <v>-120000</v>
      </c>
    </row>
    <row r="39" spans="2:16" x14ac:dyDescent="0.3">
      <c r="B39" s="43">
        <v>46149</v>
      </c>
      <c r="C39" s="4" t="s">
        <v>21</v>
      </c>
      <c r="D39" s="44" t="s">
        <v>104</v>
      </c>
      <c r="E39" s="4" t="s">
        <v>37</v>
      </c>
      <c r="F39" s="45" t="s">
        <v>10</v>
      </c>
      <c r="G39" s="44" t="s">
        <v>56</v>
      </c>
      <c r="H39" s="4" t="s">
        <v>90</v>
      </c>
      <c r="I39" s="4" t="s">
        <v>158</v>
      </c>
      <c r="J39" s="47">
        <v>374.25</v>
      </c>
      <c r="K39" s="5">
        <v>-374.25</v>
      </c>
      <c r="L39" s="6" t="s">
        <v>93</v>
      </c>
      <c r="M39" s="48">
        <v>148736.90999999936</v>
      </c>
      <c r="N39" s="28" t="s">
        <v>174</v>
      </c>
      <c r="O39" s="28">
        <v>374.25</v>
      </c>
      <c r="P39" s="31">
        <v>-374.25</v>
      </c>
    </row>
    <row r="40" spans="2:16" x14ac:dyDescent="0.3">
      <c r="B40" s="43">
        <v>46149</v>
      </c>
      <c r="C40" s="4" t="s">
        <v>21</v>
      </c>
      <c r="D40" s="44" t="s">
        <v>101</v>
      </c>
      <c r="E40" s="4" t="s">
        <v>36</v>
      </c>
      <c r="F40" s="45" t="s">
        <v>9</v>
      </c>
      <c r="G40" s="44" t="s">
        <v>73</v>
      </c>
      <c r="H40" s="4" t="s">
        <v>88</v>
      </c>
      <c r="I40" s="4" t="s">
        <v>159</v>
      </c>
      <c r="J40" s="47">
        <v>15321.74</v>
      </c>
      <c r="K40" s="5">
        <v>15321.74</v>
      </c>
      <c r="L40" s="6" t="s">
        <v>93</v>
      </c>
      <c r="M40" s="48">
        <v>19325.849999999999</v>
      </c>
      <c r="N40" s="28">
        <v>15321.74</v>
      </c>
      <c r="O40" s="28" t="s">
        <v>174</v>
      </c>
      <c r="P40" s="31">
        <v>15321.74</v>
      </c>
    </row>
    <row r="41" spans="2:16" x14ac:dyDescent="0.3">
      <c r="B41" s="43">
        <v>46149</v>
      </c>
      <c r="C41" s="4" t="s">
        <v>20</v>
      </c>
      <c r="D41" s="44" t="s">
        <v>100</v>
      </c>
      <c r="E41" s="4" t="s">
        <v>36</v>
      </c>
      <c r="F41" s="45" t="s">
        <v>10</v>
      </c>
      <c r="G41" s="44" t="s">
        <v>51</v>
      </c>
      <c r="H41" s="4" t="s">
        <v>89</v>
      </c>
      <c r="I41" s="4" t="s">
        <v>158</v>
      </c>
      <c r="J41" s="47">
        <v>15321.74</v>
      </c>
      <c r="K41" s="5">
        <v>-15321.74</v>
      </c>
      <c r="L41" s="6" t="s">
        <v>93</v>
      </c>
      <c r="M41" s="48">
        <v>274668.55999999994</v>
      </c>
      <c r="N41" s="28" t="s">
        <v>174</v>
      </c>
      <c r="O41" s="28">
        <v>15321.74</v>
      </c>
      <c r="P41" s="31">
        <v>-15321.74</v>
      </c>
    </row>
    <row r="42" spans="2:16" x14ac:dyDescent="0.3">
      <c r="B42" s="43">
        <v>46149</v>
      </c>
      <c r="C42" s="4" t="s">
        <v>20</v>
      </c>
      <c r="D42" s="44" t="s">
        <v>100</v>
      </c>
      <c r="E42" s="4" t="s">
        <v>36</v>
      </c>
      <c r="F42" s="45" t="s">
        <v>10</v>
      </c>
      <c r="G42" s="44" t="s">
        <v>59</v>
      </c>
      <c r="H42" s="4" t="s">
        <v>90</v>
      </c>
      <c r="I42" s="4" t="s">
        <v>158</v>
      </c>
      <c r="J42" s="47">
        <v>700000</v>
      </c>
      <c r="K42" s="5">
        <v>-700000</v>
      </c>
      <c r="L42" s="6" t="s">
        <v>93</v>
      </c>
      <c r="M42" s="48">
        <v>274668.55999999994</v>
      </c>
      <c r="N42" s="28" t="s">
        <v>174</v>
      </c>
      <c r="O42" s="28">
        <v>700000</v>
      </c>
      <c r="P42" s="31">
        <v>-700000</v>
      </c>
    </row>
    <row r="43" spans="2:16" x14ac:dyDescent="0.3">
      <c r="B43" s="43">
        <v>46149</v>
      </c>
      <c r="C43" s="4" t="s">
        <v>17</v>
      </c>
      <c r="D43" s="44" t="s">
        <v>94</v>
      </c>
      <c r="E43" s="4" t="s">
        <v>36</v>
      </c>
      <c r="F43" s="45" t="s">
        <v>10</v>
      </c>
      <c r="G43" s="44" t="s">
        <v>50</v>
      </c>
      <c r="H43" s="4" t="s">
        <v>89</v>
      </c>
      <c r="I43" s="4" t="s">
        <v>158</v>
      </c>
      <c r="J43" s="47">
        <v>10000</v>
      </c>
      <c r="K43" s="5">
        <v>-10000</v>
      </c>
      <c r="L43" s="6" t="s">
        <v>93</v>
      </c>
      <c r="M43" s="48">
        <v>2689.0499999999884</v>
      </c>
      <c r="N43" s="28" t="s">
        <v>174</v>
      </c>
      <c r="O43" s="28">
        <v>10000</v>
      </c>
      <c r="P43" s="31">
        <v>-10000</v>
      </c>
    </row>
    <row r="44" spans="2:16" x14ac:dyDescent="0.3">
      <c r="B44" s="43">
        <v>46149</v>
      </c>
      <c r="C44" s="4" t="s">
        <v>17</v>
      </c>
      <c r="D44" s="44" t="s">
        <v>94</v>
      </c>
      <c r="E44" s="4" t="s">
        <v>36</v>
      </c>
      <c r="F44" s="45" t="s">
        <v>10</v>
      </c>
      <c r="G44" s="44" t="s">
        <v>50</v>
      </c>
      <c r="H44" s="4" t="s">
        <v>89</v>
      </c>
      <c r="I44" s="4" t="s">
        <v>158</v>
      </c>
      <c r="J44" s="47">
        <v>10000</v>
      </c>
      <c r="K44" s="5">
        <v>-10000</v>
      </c>
      <c r="L44" s="6" t="s">
        <v>93</v>
      </c>
      <c r="M44" s="48">
        <v>2689.0499999999884</v>
      </c>
      <c r="N44" s="28" t="s">
        <v>174</v>
      </c>
      <c r="O44" s="28">
        <v>10000</v>
      </c>
      <c r="P44" s="31">
        <v>-10000</v>
      </c>
    </row>
    <row r="45" spans="2:16" x14ac:dyDescent="0.3">
      <c r="B45" s="43">
        <v>46149</v>
      </c>
      <c r="C45" s="4" t="s">
        <v>32</v>
      </c>
      <c r="D45" s="44" t="s">
        <v>123</v>
      </c>
      <c r="E45" s="4" t="s">
        <v>36</v>
      </c>
      <c r="F45" s="45" t="s">
        <v>9</v>
      </c>
      <c r="G45" s="44" t="s">
        <v>71</v>
      </c>
      <c r="H45" s="4" t="s">
        <v>88</v>
      </c>
      <c r="I45" s="4" t="s">
        <v>159</v>
      </c>
      <c r="J45" s="47">
        <v>10000</v>
      </c>
      <c r="K45" s="5">
        <v>10000</v>
      </c>
      <c r="L45" s="6" t="s">
        <v>93</v>
      </c>
      <c r="M45" s="48">
        <v>15135.060000000001</v>
      </c>
      <c r="N45" s="28">
        <v>10000</v>
      </c>
      <c r="O45" s="28" t="s">
        <v>174</v>
      </c>
      <c r="P45" s="31">
        <v>10000</v>
      </c>
    </row>
    <row r="46" spans="2:16" x14ac:dyDescent="0.3">
      <c r="B46" s="43">
        <v>46149</v>
      </c>
      <c r="C46" s="4" t="s">
        <v>33</v>
      </c>
      <c r="D46" s="44" t="s">
        <v>124</v>
      </c>
      <c r="E46" s="4" t="s">
        <v>36</v>
      </c>
      <c r="F46" s="45" t="s">
        <v>9</v>
      </c>
      <c r="G46" s="44" t="s">
        <v>71</v>
      </c>
      <c r="H46" s="4" t="s">
        <v>88</v>
      </c>
      <c r="I46" s="4" t="s">
        <v>159</v>
      </c>
      <c r="J46" s="47">
        <v>10000</v>
      </c>
      <c r="K46" s="5">
        <v>10000</v>
      </c>
      <c r="L46" s="6" t="s">
        <v>93</v>
      </c>
      <c r="M46" s="48">
        <v>31338.39</v>
      </c>
      <c r="N46" s="28">
        <v>10000</v>
      </c>
      <c r="O46" s="28" t="s">
        <v>174</v>
      </c>
      <c r="P46" s="31">
        <v>10000</v>
      </c>
    </row>
    <row r="47" spans="2:16" x14ac:dyDescent="0.3">
      <c r="B47" s="43">
        <v>46149</v>
      </c>
      <c r="C47" s="4" t="s">
        <v>18</v>
      </c>
      <c r="D47" s="44" t="s">
        <v>97</v>
      </c>
      <c r="E47" s="4" t="s">
        <v>37</v>
      </c>
      <c r="F47" s="45" t="s">
        <v>10</v>
      </c>
      <c r="G47" s="44" t="s">
        <v>50</v>
      </c>
      <c r="H47" s="4" t="s">
        <v>89</v>
      </c>
      <c r="I47" s="4" t="s">
        <v>158</v>
      </c>
      <c r="J47" s="47">
        <v>570000</v>
      </c>
      <c r="K47" s="5">
        <v>-570000</v>
      </c>
      <c r="L47" s="6" t="s">
        <v>93</v>
      </c>
      <c r="M47" s="48">
        <v>51288.029999999941</v>
      </c>
      <c r="N47" s="28" t="s">
        <v>174</v>
      </c>
      <c r="O47" s="28">
        <v>570000</v>
      </c>
      <c r="P47" s="31">
        <v>-570000</v>
      </c>
    </row>
    <row r="48" spans="2:16" x14ac:dyDescent="0.3">
      <c r="B48" s="43">
        <v>46149</v>
      </c>
      <c r="C48" s="4" t="s">
        <v>17</v>
      </c>
      <c r="D48" s="44" t="s">
        <v>95</v>
      </c>
      <c r="E48" s="4" t="s">
        <v>37</v>
      </c>
      <c r="F48" s="45" t="s">
        <v>9</v>
      </c>
      <c r="G48" s="44" t="s">
        <v>71</v>
      </c>
      <c r="H48" s="4" t="s">
        <v>88</v>
      </c>
      <c r="I48" s="4" t="s">
        <v>159</v>
      </c>
      <c r="J48" s="47">
        <v>570000</v>
      </c>
      <c r="K48" s="5">
        <v>570000</v>
      </c>
      <c r="L48" s="6" t="s">
        <v>93</v>
      </c>
      <c r="M48" s="48">
        <v>439799.53000000026</v>
      </c>
      <c r="N48" s="28">
        <v>570000</v>
      </c>
      <c r="O48" s="28" t="s">
        <v>174</v>
      </c>
      <c r="P48" s="31">
        <v>570000</v>
      </c>
    </row>
    <row r="49" spans="2:16" x14ac:dyDescent="0.3">
      <c r="B49" s="43">
        <v>46149</v>
      </c>
      <c r="C49" s="4" t="s">
        <v>17</v>
      </c>
      <c r="D49" s="44" t="s">
        <v>95</v>
      </c>
      <c r="E49" s="4" t="s">
        <v>37</v>
      </c>
      <c r="F49" s="45" t="s">
        <v>10</v>
      </c>
      <c r="G49" s="44" t="s">
        <v>61</v>
      </c>
      <c r="H49" s="4" t="s">
        <v>88</v>
      </c>
      <c r="I49" s="4" t="s">
        <v>158</v>
      </c>
      <c r="J49" s="47">
        <v>30000</v>
      </c>
      <c r="K49" s="5">
        <v>-30000</v>
      </c>
      <c r="L49" s="6" t="s">
        <v>93</v>
      </c>
      <c r="M49" s="48">
        <v>439799.53000000026</v>
      </c>
      <c r="N49" s="28" t="s">
        <v>174</v>
      </c>
      <c r="O49" s="28">
        <v>30000</v>
      </c>
      <c r="P49" s="31">
        <v>-30000</v>
      </c>
    </row>
    <row r="50" spans="2:16" x14ac:dyDescent="0.3">
      <c r="B50" s="43">
        <v>46149</v>
      </c>
      <c r="C50" s="4" t="s">
        <v>17</v>
      </c>
      <c r="D50" s="44" t="s">
        <v>95</v>
      </c>
      <c r="E50" s="4" t="s">
        <v>37</v>
      </c>
      <c r="F50" s="45" t="s">
        <v>10</v>
      </c>
      <c r="G50" s="44" t="s">
        <v>61</v>
      </c>
      <c r="H50" s="4" t="s">
        <v>88</v>
      </c>
      <c r="I50" s="4" t="s">
        <v>158</v>
      </c>
      <c r="J50" s="47">
        <v>70000</v>
      </c>
      <c r="K50" s="5">
        <v>-70000</v>
      </c>
      <c r="L50" s="6" t="s">
        <v>93</v>
      </c>
      <c r="M50" s="48">
        <v>439799.53000000026</v>
      </c>
      <c r="N50" s="28" t="s">
        <v>174</v>
      </c>
      <c r="O50" s="28">
        <v>70000</v>
      </c>
      <c r="P50" s="31">
        <v>-70000</v>
      </c>
    </row>
    <row r="51" spans="2:16" x14ac:dyDescent="0.3">
      <c r="B51" s="43">
        <v>46149</v>
      </c>
      <c r="C51" s="4" t="s">
        <v>17</v>
      </c>
      <c r="D51" s="44" t="s">
        <v>95</v>
      </c>
      <c r="E51" s="4" t="s">
        <v>37</v>
      </c>
      <c r="F51" s="45" t="s">
        <v>10</v>
      </c>
      <c r="G51" s="44" t="s">
        <v>61</v>
      </c>
      <c r="H51" s="4" t="s">
        <v>88</v>
      </c>
      <c r="I51" s="4" t="s">
        <v>158</v>
      </c>
      <c r="J51" s="47">
        <v>100000</v>
      </c>
      <c r="K51" s="5">
        <v>-100000</v>
      </c>
      <c r="L51" s="6" t="s">
        <v>93</v>
      </c>
      <c r="M51" s="48">
        <v>439799.53000000026</v>
      </c>
      <c r="N51" s="28" t="s">
        <v>174</v>
      </c>
      <c r="O51" s="28">
        <v>100000</v>
      </c>
      <c r="P51" s="31">
        <v>-100000</v>
      </c>
    </row>
    <row r="52" spans="2:16" x14ac:dyDescent="0.3">
      <c r="B52" s="43">
        <v>46149</v>
      </c>
      <c r="C52" s="4" t="s">
        <v>17</v>
      </c>
      <c r="D52" s="44" t="s">
        <v>95</v>
      </c>
      <c r="E52" s="4" t="s">
        <v>37</v>
      </c>
      <c r="F52" s="45" t="s">
        <v>10</v>
      </c>
      <c r="G52" s="44" t="s">
        <v>61</v>
      </c>
      <c r="H52" s="4" t="s">
        <v>88</v>
      </c>
      <c r="I52" s="4" t="s">
        <v>158</v>
      </c>
      <c r="J52" s="47">
        <v>100000</v>
      </c>
      <c r="K52" s="5">
        <v>-100000</v>
      </c>
      <c r="L52" s="6" t="s">
        <v>93</v>
      </c>
      <c r="M52" s="48">
        <v>439799.53000000026</v>
      </c>
      <c r="N52" s="28" t="s">
        <v>174</v>
      </c>
      <c r="O52" s="28">
        <v>100000</v>
      </c>
      <c r="P52" s="31">
        <v>-100000</v>
      </c>
    </row>
    <row r="53" spans="2:16" x14ac:dyDescent="0.3">
      <c r="B53" s="43">
        <v>46149</v>
      </c>
      <c r="C53" s="4" t="s">
        <v>21</v>
      </c>
      <c r="D53" s="44" t="s">
        <v>104</v>
      </c>
      <c r="E53" s="4" t="s">
        <v>37</v>
      </c>
      <c r="F53" s="45" t="s">
        <v>10</v>
      </c>
      <c r="G53" s="44" t="s">
        <v>56</v>
      </c>
      <c r="H53" s="4" t="s">
        <v>90</v>
      </c>
      <c r="I53" s="4" t="s">
        <v>158</v>
      </c>
      <c r="J53" s="47">
        <v>13706.66</v>
      </c>
      <c r="K53" s="5">
        <v>-13706.66</v>
      </c>
      <c r="L53" s="6" t="s">
        <v>93</v>
      </c>
      <c r="M53" s="48">
        <v>148736.90999999936</v>
      </c>
      <c r="N53" s="28" t="s">
        <v>174</v>
      </c>
      <c r="O53" s="28">
        <v>13706.66</v>
      </c>
      <c r="P53" s="31">
        <v>-13706.66</v>
      </c>
    </row>
    <row r="54" spans="2:16" x14ac:dyDescent="0.3">
      <c r="B54" s="43">
        <v>46149</v>
      </c>
      <c r="C54" s="4" t="s">
        <v>21</v>
      </c>
      <c r="D54" s="44" t="s">
        <v>104</v>
      </c>
      <c r="E54" s="4" t="s">
        <v>37</v>
      </c>
      <c r="F54" s="45" t="s">
        <v>10</v>
      </c>
      <c r="G54" s="44" t="s">
        <v>56</v>
      </c>
      <c r="H54" s="4" t="s">
        <v>90</v>
      </c>
      <c r="I54" s="4" t="s">
        <v>158</v>
      </c>
      <c r="J54" s="47">
        <v>36240</v>
      </c>
      <c r="K54" s="5">
        <v>-36240</v>
      </c>
      <c r="L54" s="6" t="s">
        <v>93</v>
      </c>
      <c r="M54" s="48">
        <v>148736.90999999936</v>
      </c>
      <c r="N54" s="28" t="s">
        <v>174</v>
      </c>
      <c r="O54" s="28">
        <v>36240</v>
      </c>
      <c r="P54" s="31">
        <v>-36240</v>
      </c>
    </row>
    <row r="55" spans="2:16" x14ac:dyDescent="0.3">
      <c r="B55" s="43">
        <v>46149</v>
      </c>
      <c r="C55" s="4" t="s">
        <v>23</v>
      </c>
      <c r="D55" s="44" t="s">
        <v>112</v>
      </c>
      <c r="E55" s="4" t="s">
        <v>36</v>
      </c>
      <c r="F55" s="45" t="s">
        <v>9</v>
      </c>
      <c r="G55" s="44"/>
      <c r="H55" s="4">
        <v>0</v>
      </c>
      <c r="I55" s="4">
        <v>0</v>
      </c>
      <c r="J55" s="47">
        <v>700000</v>
      </c>
      <c r="K55" s="5">
        <v>700000</v>
      </c>
      <c r="L55" s="6" t="s">
        <v>93</v>
      </c>
      <c r="M55" s="48">
        <v>1513088.59</v>
      </c>
      <c r="N55" s="28">
        <v>700000</v>
      </c>
      <c r="O55" s="28" t="s">
        <v>174</v>
      </c>
      <c r="P55" s="31">
        <v>700000</v>
      </c>
    </row>
    <row r="56" spans="2:16" x14ac:dyDescent="0.3">
      <c r="B56" s="43">
        <v>46150</v>
      </c>
      <c r="C56" s="4" t="s">
        <v>21</v>
      </c>
      <c r="D56" s="44" t="s">
        <v>104</v>
      </c>
      <c r="E56" s="4" t="s">
        <v>37</v>
      </c>
      <c r="F56" s="45" t="s">
        <v>10</v>
      </c>
      <c r="G56" s="44" t="s">
        <v>44</v>
      </c>
      <c r="H56" s="4" t="s">
        <v>88</v>
      </c>
      <c r="I56" s="4" t="s">
        <v>158</v>
      </c>
      <c r="J56" s="47">
        <v>2382.7199999999998</v>
      </c>
      <c r="K56" s="5">
        <v>-2382.7199999999998</v>
      </c>
      <c r="L56" s="6" t="s">
        <v>93</v>
      </c>
      <c r="M56" s="48">
        <v>146354.18999999936</v>
      </c>
      <c r="N56" s="28" t="s">
        <v>174</v>
      </c>
      <c r="O56" s="28">
        <v>2382.7199999999998</v>
      </c>
      <c r="P56" s="31">
        <v>-2382.7199999999998</v>
      </c>
    </row>
    <row r="57" spans="2:16" x14ac:dyDescent="0.3">
      <c r="B57" s="43">
        <v>46150</v>
      </c>
      <c r="C57" s="4" t="s">
        <v>20</v>
      </c>
      <c r="D57" s="44" t="s">
        <v>100</v>
      </c>
      <c r="E57" s="4" t="s">
        <v>36</v>
      </c>
      <c r="F57" s="45" t="s">
        <v>9</v>
      </c>
      <c r="G57" s="44" t="s">
        <v>70</v>
      </c>
      <c r="H57" s="4" t="s">
        <v>88</v>
      </c>
      <c r="I57" s="4" t="s">
        <v>158</v>
      </c>
      <c r="J57" s="47">
        <v>500000</v>
      </c>
      <c r="K57" s="5">
        <v>500000</v>
      </c>
      <c r="L57" s="6" t="s">
        <v>93</v>
      </c>
      <c r="M57" s="48">
        <v>792366.49999999988</v>
      </c>
      <c r="N57" s="28">
        <v>500000</v>
      </c>
      <c r="O57" s="28" t="s">
        <v>174</v>
      </c>
      <c r="P57" s="31">
        <v>500000</v>
      </c>
    </row>
    <row r="58" spans="2:16" x14ac:dyDescent="0.3">
      <c r="B58" s="43">
        <v>46150</v>
      </c>
      <c r="C58" s="4" t="s">
        <v>20</v>
      </c>
      <c r="D58" s="44" t="s">
        <v>100</v>
      </c>
      <c r="E58" s="4" t="s">
        <v>36</v>
      </c>
      <c r="F58" s="45" t="s">
        <v>9</v>
      </c>
      <c r="G58" s="44" t="s">
        <v>68</v>
      </c>
      <c r="H58" s="4" t="s">
        <v>88</v>
      </c>
      <c r="I58" s="4" t="s">
        <v>158</v>
      </c>
      <c r="J58" s="47">
        <v>17697.939999999999</v>
      </c>
      <c r="K58" s="5">
        <v>17697.939999999999</v>
      </c>
      <c r="L58" s="6" t="s">
        <v>93</v>
      </c>
      <c r="M58" s="48">
        <v>792366.49999999988</v>
      </c>
      <c r="N58" s="28">
        <v>17697.939999999999</v>
      </c>
      <c r="O58" s="28" t="s">
        <v>174</v>
      </c>
      <c r="P58" s="31">
        <v>17697.939999999999</v>
      </c>
    </row>
    <row r="59" spans="2:16" x14ac:dyDescent="0.3">
      <c r="B59" s="43">
        <v>46150</v>
      </c>
      <c r="C59" s="4" t="s">
        <v>17</v>
      </c>
      <c r="D59" s="44" t="s">
        <v>94</v>
      </c>
      <c r="E59" s="4" t="s">
        <v>36</v>
      </c>
      <c r="F59" s="45" t="s">
        <v>9</v>
      </c>
      <c r="G59" s="44" t="s">
        <v>68</v>
      </c>
      <c r="H59" s="4" t="s">
        <v>88</v>
      </c>
      <c r="I59" s="4" t="s">
        <v>158</v>
      </c>
      <c r="J59" s="47">
        <v>65164.32</v>
      </c>
      <c r="K59" s="5">
        <v>65164.32</v>
      </c>
      <c r="L59" s="6" t="s">
        <v>93</v>
      </c>
      <c r="M59" s="48">
        <v>67853.37</v>
      </c>
      <c r="N59" s="28">
        <v>65164.32</v>
      </c>
      <c r="O59" s="28" t="s">
        <v>174</v>
      </c>
      <c r="P59" s="31">
        <v>65164.32</v>
      </c>
    </row>
    <row r="60" spans="2:16" x14ac:dyDescent="0.3">
      <c r="B60" s="43">
        <v>46150</v>
      </c>
      <c r="C60" s="4" t="s">
        <v>31</v>
      </c>
      <c r="D60" s="44" t="s">
        <v>121</v>
      </c>
      <c r="E60" s="4" t="s">
        <v>36</v>
      </c>
      <c r="F60" s="45" t="s">
        <v>10</v>
      </c>
      <c r="G60" s="44" t="s">
        <v>38</v>
      </c>
      <c r="H60" s="4" t="s">
        <v>88</v>
      </c>
      <c r="I60" s="4" t="s">
        <v>158</v>
      </c>
      <c r="J60" s="47">
        <v>2625</v>
      </c>
      <c r="K60" s="5">
        <v>-2625</v>
      </c>
      <c r="L60" s="6" t="s">
        <v>93</v>
      </c>
      <c r="M60" s="48">
        <v>20252.179999999964</v>
      </c>
      <c r="N60" s="28" t="s">
        <v>174</v>
      </c>
      <c r="O60" s="28">
        <v>2625</v>
      </c>
      <c r="P60" s="31">
        <v>-2625</v>
      </c>
    </row>
    <row r="61" spans="2:16" x14ac:dyDescent="0.3">
      <c r="B61" s="43">
        <v>46150</v>
      </c>
      <c r="C61" s="4" t="s">
        <v>31</v>
      </c>
      <c r="D61" s="44" t="s">
        <v>121</v>
      </c>
      <c r="E61" s="4" t="s">
        <v>36</v>
      </c>
      <c r="F61" s="45" t="s">
        <v>10</v>
      </c>
      <c r="G61" s="44" t="s">
        <v>44</v>
      </c>
      <c r="H61" s="4" t="s">
        <v>88</v>
      </c>
      <c r="I61" s="4" t="s">
        <v>158</v>
      </c>
      <c r="J61" s="47">
        <v>30</v>
      </c>
      <c r="K61" s="5">
        <v>-30</v>
      </c>
      <c r="L61" s="6" t="s">
        <v>93</v>
      </c>
      <c r="M61" s="48">
        <v>20252.179999999964</v>
      </c>
      <c r="N61" s="28" t="s">
        <v>174</v>
      </c>
      <c r="O61" s="28">
        <v>30</v>
      </c>
      <c r="P61" s="31">
        <v>-30</v>
      </c>
    </row>
    <row r="62" spans="2:16" x14ac:dyDescent="0.3">
      <c r="B62" s="43">
        <v>46150</v>
      </c>
      <c r="C62" s="4" t="s">
        <v>32</v>
      </c>
      <c r="D62" s="44" t="s">
        <v>123</v>
      </c>
      <c r="E62" s="4" t="s">
        <v>36</v>
      </c>
      <c r="F62" s="45" t="s">
        <v>10</v>
      </c>
      <c r="G62" s="44" t="s">
        <v>44</v>
      </c>
      <c r="H62" s="4" t="s">
        <v>88</v>
      </c>
      <c r="I62" s="4" t="s">
        <v>158</v>
      </c>
      <c r="J62" s="47">
        <v>15</v>
      </c>
      <c r="K62" s="5">
        <v>-15</v>
      </c>
      <c r="L62" s="6" t="s">
        <v>93</v>
      </c>
      <c r="M62" s="48">
        <v>15120.060000000001</v>
      </c>
      <c r="N62" s="28" t="s">
        <v>174</v>
      </c>
      <c r="O62" s="28">
        <v>15</v>
      </c>
      <c r="P62" s="31">
        <v>-15</v>
      </c>
    </row>
    <row r="63" spans="2:16" x14ac:dyDescent="0.3">
      <c r="B63" s="43">
        <v>46150</v>
      </c>
      <c r="C63" s="4" t="s">
        <v>33</v>
      </c>
      <c r="D63" s="44" t="s">
        <v>124</v>
      </c>
      <c r="E63" s="4" t="s">
        <v>36</v>
      </c>
      <c r="F63" s="45" t="s">
        <v>10</v>
      </c>
      <c r="G63" s="44" t="s">
        <v>44</v>
      </c>
      <c r="H63" s="4" t="s">
        <v>88</v>
      </c>
      <c r="I63" s="4" t="s">
        <v>158</v>
      </c>
      <c r="J63" s="47">
        <v>15</v>
      </c>
      <c r="K63" s="5">
        <v>-15</v>
      </c>
      <c r="L63" s="6" t="s">
        <v>93</v>
      </c>
      <c r="M63" s="48">
        <v>31323.39</v>
      </c>
      <c r="N63" s="28" t="s">
        <v>174</v>
      </c>
      <c r="O63" s="28">
        <v>15</v>
      </c>
      <c r="P63" s="31">
        <v>-15</v>
      </c>
    </row>
    <row r="64" spans="2:16" x14ac:dyDescent="0.3">
      <c r="B64" s="43">
        <v>46150</v>
      </c>
      <c r="C64" s="4" t="s">
        <v>18</v>
      </c>
      <c r="D64" s="44" t="s">
        <v>97</v>
      </c>
      <c r="E64" s="4" t="s">
        <v>37</v>
      </c>
      <c r="F64" s="45" t="s">
        <v>9</v>
      </c>
      <c r="G64" s="44" t="s">
        <v>68</v>
      </c>
      <c r="H64" s="4" t="s">
        <v>88</v>
      </c>
      <c r="I64" s="4" t="s">
        <v>158</v>
      </c>
      <c r="J64" s="47">
        <v>2552.06</v>
      </c>
      <c r="K64" s="5">
        <v>2552.06</v>
      </c>
      <c r="L64" s="6" t="s">
        <v>93</v>
      </c>
      <c r="M64" s="48">
        <v>53840.089999999938</v>
      </c>
      <c r="N64" s="28">
        <v>2552.06</v>
      </c>
      <c r="O64" s="28" t="s">
        <v>174</v>
      </c>
      <c r="P64" s="31">
        <v>2552.06</v>
      </c>
    </row>
    <row r="65" spans="2:16" x14ac:dyDescent="0.3">
      <c r="B65" s="43">
        <v>46150</v>
      </c>
      <c r="C65" s="4" t="s">
        <v>35</v>
      </c>
      <c r="D65" s="44" t="s">
        <v>126</v>
      </c>
      <c r="E65" s="4" t="s">
        <v>37</v>
      </c>
      <c r="F65" s="45" t="s">
        <v>9</v>
      </c>
      <c r="G65" s="44" t="s">
        <v>77</v>
      </c>
      <c r="H65" s="4" t="s">
        <v>90</v>
      </c>
      <c r="I65" s="4" t="s">
        <v>159</v>
      </c>
      <c r="J65" s="47">
        <v>15000</v>
      </c>
      <c r="K65" s="5">
        <v>15000</v>
      </c>
      <c r="L65" s="6" t="s">
        <v>93</v>
      </c>
      <c r="M65" s="48">
        <v>23782.25</v>
      </c>
      <c r="N65" s="28">
        <v>15000</v>
      </c>
      <c r="O65" s="28" t="s">
        <v>174</v>
      </c>
      <c r="P65" s="31">
        <v>15000</v>
      </c>
    </row>
    <row r="66" spans="2:16" x14ac:dyDescent="0.3">
      <c r="B66" s="43">
        <v>46150</v>
      </c>
      <c r="C66" s="4" t="s">
        <v>23</v>
      </c>
      <c r="D66" s="44" t="s">
        <v>112</v>
      </c>
      <c r="E66" s="4" t="s">
        <v>36</v>
      </c>
      <c r="F66" s="45" t="s">
        <v>10</v>
      </c>
      <c r="G66" s="44"/>
      <c r="H66" s="4">
        <v>0</v>
      </c>
      <c r="I66" s="4">
        <v>0</v>
      </c>
      <c r="J66" s="47">
        <v>1500000</v>
      </c>
      <c r="K66" s="5">
        <v>-1500000</v>
      </c>
      <c r="L66" s="6" t="s">
        <v>93</v>
      </c>
      <c r="M66" s="48">
        <v>13088.589999999997</v>
      </c>
      <c r="N66" s="28" t="s">
        <v>174</v>
      </c>
      <c r="O66" s="28">
        <v>1500000</v>
      </c>
      <c r="P66" s="31">
        <v>-1500000</v>
      </c>
    </row>
    <row r="67" spans="2:16" x14ac:dyDescent="0.3">
      <c r="B67" s="43">
        <v>46150</v>
      </c>
      <c r="C67" s="4" t="s">
        <v>27</v>
      </c>
      <c r="D67" s="44" t="s">
        <v>116</v>
      </c>
      <c r="E67" s="4" t="s">
        <v>155</v>
      </c>
      <c r="F67" s="45" t="s">
        <v>10</v>
      </c>
      <c r="G67" s="44"/>
      <c r="H67" s="4">
        <v>0</v>
      </c>
      <c r="I67" s="4">
        <v>0</v>
      </c>
      <c r="J67" s="47">
        <v>15</v>
      </c>
      <c r="K67" s="5">
        <v>-15</v>
      </c>
      <c r="L67" s="6" t="s">
        <v>93</v>
      </c>
      <c r="M67" s="48">
        <v>3349.94</v>
      </c>
      <c r="N67" s="28" t="s">
        <v>174</v>
      </c>
      <c r="O67" s="28">
        <v>15</v>
      </c>
      <c r="P67" s="31">
        <v>-15</v>
      </c>
    </row>
    <row r="68" spans="2:16" x14ac:dyDescent="0.3">
      <c r="B68" s="43">
        <v>46153</v>
      </c>
      <c r="C68" s="4" t="s">
        <v>35</v>
      </c>
      <c r="D68" s="44" t="s">
        <v>126</v>
      </c>
      <c r="E68" s="4" t="s">
        <v>37</v>
      </c>
      <c r="F68" s="45" t="s">
        <v>10</v>
      </c>
      <c r="G68" s="44" t="s">
        <v>38</v>
      </c>
      <c r="H68" s="4" t="s">
        <v>88</v>
      </c>
      <c r="I68" s="4" t="s">
        <v>158</v>
      </c>
      <c r="J68" s="47">
        <v>20</v>
      </c>
      <c r="K68" s="5">
        <v>-20</v>
      </c>
      <c r="L68" s="6" t="s">
        <v>93</v>
      </c>
      <c r="M68" s="48">
        <v>16956.59</v>
      </c>
      <c r="N68" s="28" t="s">
        <v>174</v>
      </c>
      <c r="O68" s="28">
        <v>20</v>
      </c>
      <c r="P68" s="31">
        <v>-20</v>
      </c>
    </row>
    <row r="69" spans="2:16" x14ac:dyDescent="0.3">
      <c r="B69" s="43">
        <v>46153</v>
      </c>
      <c r="C69" s="4" t="s">
        <v>20</v>
      </c>
      <c r="D69" s="44" t="s">
        <v>100</v>
      </c>
      <c r="E69" s="4" t="s">
        <v>36</v>
      </c>
      <c r="F69" s="45" t="s">
        <v>9</v>
      </c>
      <c r="G69" s="44" t="s">
        <v>70</v>
      </c>
      <c r="H69" s="4" t="s">
        <v>88</v>
      </c>
      <c r="I69" s="4" t="s">
        <v>158</v>
      </c>
      <c r="J69" s="47">
        <v>576000</v>
      </c>
      <c r="K69" s="5">
        <v>576000</v>
      </c>
      <c r="L69" s="6" t="s">
        <v>93</v>
      </c>
      <c r="M69" s="48">
        <v>1368366.5</v>
      </c>
      <c r="N69" s="28">
        <v>576000</v>
      </c>
      <c r="O69" s="28" t="s">
        <v>174</v>
      </c>
      <c r="P69" s="31">
        <v>576000</v>
      </c>
    </row>
    <row r="70" spans="2:16" x14ac:dyDescent="0.3">
      <c r="B70" s="43">
        <v>46153</v>
      </c>
      <c r="C70" s="4" t="s">
        <v>31</v>
      </c>
      <c r="D70" s="44" t="s">
        <v>121</v>
      </c>
      <c r="E70" s="4" t="s">
        <v>36</v>
      </c>
      <c r="F70" s="45" t="s">
        <v>10</v>
      </c>
      <c r="G70" s="44" t="s">
        <v>38</v>
      </c>
      <c r="H70" s="4" t="s">
        <v>88</v>
      </c>
      <c r="I70" s="4" t="s">
        <v>158</v>
      </c>
      <c r="J70" s="47">
        <v>1500</v>
      </c>
      <c r="K70" s="5">
        <v>-1500</v>
      </c>
      <c r="L70" s="6" t="s">
        <v>93</v>
      </c>
      <c r="M70" s="48">
        <v>18752.179999999964</v>
      </c>
      <c r="N70" s="28" t="s">
        <v>174</v>
      </c>
      <c r="O70" s="28">
        <v>1500</v>
      </c>
      <c r="P70" s="31">
        <v>-1500</v>
      </c>
    </row>
    <row r="71" spans="2:16" x14ac:dyDescent="0.3">
      <c r="B71" s="43">
        <v>46153</v>
      </c>
      <c r="C71" s="4" t="s">
        <v>21</v>
      </c>
      <c r="D71" s="44" t="s">
        <v>101</v>
      </c>
      <c r="E71" s="4" t="s">
        <v>36</v>
      </c>
      <c r="F71" s="45" t="s">
        <v>10</v>
      </c>
      <c r="G71" s="44" t="s">
        <v>38</v>
      </c>
      <c r="H71" s="4" t="s">
        <v>88</v>
      </c>
      <c r="I71" s="4" t="s">
        <v>158</v>
      </c>
      <c r="J71" s="47">
        <v>1291.6500000000001</v>
      </c>
      <c r="K71" s="5">
        <v>-1291.6500000000001</v>
      </c>
      <c r="L71" s="6" t="s">
        <v>93</v>
      </c>
      <c r="M71" s="48">
        <v>18034.2</v>
      </c>
      <c r="N71" s="28" t="s">
        <v>174</v>
      </c>
      <c r="O71" s="28">
        <v>1291.6500000000001</v>
      </c>
      <c r="P71" s="31">
        <v>-1291.6500000000001</v>
      </c>
    </row>
    <row r="72" spans="2:16" x14ac:dyDescent="0.3">
      <c r="B72" s="43">
        <v>46153</v>
      </c>
      <c r="C72" s="4" t="s">
        <v>35</v>
      </c>
      <c r="D72" s="44" t="s">
        <v>126</v>
      </c>
      <c r="E72" s="4" t="s">
        <v>37</v>
      </c>
      <c r="F72" s="45" t="s">
        <v>10</v>
      </c>
      <c r="G72" s="44" t="s">
        <v>38</v>
      </c>
      <c r="H72" s="4" t="s">
        <v>88</v>
      </c>
      <c r="I72" s="4" t="s">
        <v>158</v>
      </c>
      <c r="J72" s="47">
        <v>65.86</v>
      </c>
      <c r="K72" s="5">
        <v>-65.86</v>
      </c>
      <c r="L72" s="6" t="s">
        <v>93</v>
      </c>
      <c r="M72" s="48">
        <v>16956.59</v>
      </c>
      <c r="N72" s="28" t="s">
        <v>174</v>
      </c>
      <c r="O72" s="28">
        <v>65.86</v>
      </c>
      <c r="P72" s="31">
        <v>-65.86</v>
      </c>
    </row>
    <row r="73" spans="2:16" x14ac:dyDescent="0.3">
      <c r="B73" s="43">
        <v>46153</v>
      </c>
      <c r="C73" s="4" t="s">
        <v>35</v>
      </c>
      <c r="D73" s="44" t="s">
        <v>126</v>
      </c>
      <c r="E73" s="4" t="s">
        <v>37</v>
      </c>
      <c r="F73" s="45" t="s">
        <v>10</v>
      </c>
      <c r="G73" s="44" t="s">
        <v>38</v>
      </c>
      <c r="H73" s="4" t="s">
        <v>88</v>
      </c>
      <c r="I73" s="4" t="s">
        <v>158</v>
      </c>
      <c r="J73" s="47">
        <v>163</v>
      </c>
      <c r="K73" s="5">
        <v>-163</v>
      </c>
      <c r="L73" s="6" t="s">
        <v>93</v>
      </c>
      <c r="M73" s="48">
        <v>16956.59</v>
      </c>
      <c r="N73" s="28" t="s">
        <v>174</v>
      </c>
      <c r="O73" s="28">
        <v>163</v>
      </c>
      <c r="P73" s="31">
        <v>-163</v>
      </c>
    </row>
    <row r="74" spans="2:16" x14ac:dyDescent="0.3">
      <c r="B74" s="43">
        <v>46153</v>
      </c>
      <c r="C74" s="4" t="s">
        <v>35</v>
      </c>
      <c r="D74" s="44" t="s">
        <v>126</v>
      </c>
      <c r="E74" s="4" t="s">
        <v>37</v>
      </c>
      <c r="F74" s="45" t="s">
        <v>10</v>
      </c>
      <c r="G74" s="44" t="s">
        <v>38</v>
      </c>
      <c r="H74" s="4" t="s">
        <v>88</v>
      </c>
      <c r="I74" s="4" t="s">
        <v>158</v>
      </c>
      <c r="J74" s="47">
        <v>576.79999999999995</v>
      </c>
      <c r="K74" s="5">
        <v>-576.79999999999995</v>
      </c>
      <c r="L74" s="6" t="s">
        <v>93</v>
      </c>
      <c r="M74" s="48">
        <v>16956.59</v>
      </c>
      <c r="N74" s="28" t="s">
        <v>174</v>
      </c>
      <c r="O74" s="28">
        <v>576.79999999999995</v>
      </c>
      <c r="P74" s="31">
        <v>-576.79999999999995</v>
      </c>
    </row>
    <row r="75" spans="2:16" x14ac:dyDescent="0.3">
      <c r="B75" s="43">
        <v>46153</v>
      </c>
      <c r="C75" s="4" t="s">
        <v>21</v>
      </c>
      <c r="D75" s="44" t="s">
        <v>104</v>
      </c>
      <c r="E75" s="4" t="s">
        <v>37</v>
      </c>
      <c r="F75" s="45" t="s">
        <v>9</v>
      </c>
      <c r="G75" s="44" t="s">
        <v>66</v>
      </c>
      <c r="H75" s="4" t="s">
        <v>90</v>
      </c>
      <c r="I75" s="4" t="s">
        <v>158</v>
      </c>
      <c r="J75" s="47">
        <v>239975</v>
      </c>
      <c r="K75" s="5">
        <v>239975</v>
      </c>
      <c r="L75" s="6" t="s">
        <v>93</v>
      </c>
      <c r="M75" s="48">
        <v>386329.18999999936</v>
      </c>
      <c r="N75" s="28">
        <v>239975</v>
      </c>
      <c r="O75" s="28" t="s">
        <v>174</v>
      </c>
      <c r="P75" s="31">
        <v>239975</v>
      </c>
    </row>
    <row r="76" spans="2:16" x14ac:dyDescent="0.3">
      <c r="B76" s="43">
        <v>46153</v>
      </c>
      <c r="C76" s="4" t="s">
        <v>35</v>
      </c>
      <c r="D76" s="44" t="s">
        <v>126</v>
      </c>
      <c r="E76" s="4" t="s">
        <v>37</v>
      </c>
      <c r="F76" s="45" t="s">
        <v>10</v>
      </c>
      <c r="G76" s="44" t="s">
        <v>38</v>
      </c>
      <c r="H76" s="4" t="s">
        <v>88</v>
      </c>
      <c r="I76" s="4" t="s">
        <v>158</v>
      </c>
      <c r="J76" s="47">
        <v>6000</v>
      </c>
      <c r="K76" s="5">
        <v>-6000</v>
      </c>
      <c r="L76" s="6" t="s">
        <v>93</v>
      </c>
      <c r="M76" s="48">
        <v>16956.59</v>
      </c>
      <c r="N76" s="28" t="s">
        <v>174</v>
      </c>
      <c r="O76" s="28">
        <v>6000</v>
      </c>
      <c r="P76" s="31">
        <v>-6000</v>
      </c>
    </row>
    <row r="77" spans="2:16" x14ac:dyDescent="0.3">
      <c r="B77" s="43">
        <v>46154</v>
      </c>
      <c r="C77" s="4" t="s">
        <v>20</v>
      </c>
      <c r="D77" s="44" t="s">
        <v>100</v>
      </c>
      <c r="E77" s="4" t="s">
        <v>36</v>
      </c>
      <c r="F77" s="45" t="s">
        <v>10</v>
      </c>
      <c r="G77" s="44" t="s">
        <v>61</v>
      </c>
      <c r="H77" s="4" t="s">
        <v>88</v>
      </c>
      <c r="I77" s="4" t="s">
        <v>158</v>
      </c>
      <c r="J77" s="47">
        <v>60000</v>
      </c>
      <c r="K77" s="5">
        <v>-60000</v>
      </c>
      <c r="L77" s="6" t="s">
        <v>93</v>
      </c>
      <c r="M77" s="48">
        <v>1226185.8999999999</v>
      </c>
      <c r="N77" s="28" t="s">
        <v>174</v>
      </c>
      <c r="O77" s="28">
        <v>60000</v>
      </c>
      <c r="P77" s="31">
        <v>-60000</v>
      </c>
    </row>
    <row r="78" spans="2:16" x14ac:dyDescent="0.3">
      <c r="B78" s="43">
        <v>46154</v>
      </c>
      <c r="C78" s="4" t="s">
        <v>20</v>
      </c>
      <c r="D78" s="44" t="s">
        <v>100</v>
      </c>
      <c r="E78" s="4" t="s">
        <v>36</v>
      </c>
      <c r="F78" s="45" t="s">
        <v>10</v>
      </c>
      <c r="G78" s="44" t="s">
        <v>51</v>
      </c>
      <c r="H78" s="4" t="s">
        <v>89</v>
      </c>
      <c r="I78" s="4" t="s">
        <v>158</v>
      </c>
      <c r="J78" s="47">
        <v>82180.600000000006</v>
      </c>
      <c r="K78" s="5">
        <v>-82180.600000000006</v>
      </c>
      <c r="L78" s="6" t="s">
        <v>93</v>
      </c>
      <c r="M78" s="48">
        <v>1226185.8999999999</v>
      </c>
      <c r="N78" s="28" t="s">
        <v>174</v>
      </c>
      <c r="O78" s="28">
        <v>82180.600000000006</v>
      </c>
      <c r="P78" s="31">
        <v>-82180.600000000006</v>
      </c>
    </row>
    <row r="79" spans="2:16" x14ac:dyDescent="0.3">
      <c r="B79" s="43">
        <v>46154</v>
      </c>
      <c r="C79" s="4" t="s">
        <v>17</v>
      </c>
      <c r="D79" s="44" t="s">
        <v>94</v>
      </c>
      <c r="E79" s="4" t="s">
        <v>36</v>
      </c>
      <c r="F79" s="45" t="s">
        <v>9</v>
      </c>
      <c r="G79" s="44" t="s">
        <v>68</v>
      </c>
      <c r="H79" s="4" t="s">
        <v>88</v>
      </c>
      <c r="I79" s="4" t="s">
        <v>158</v>
      </c>
      <c r="J79" s="47">
        <v>93805.54</v>
      </c>
      <c r="K79" s="5">
        <v>93805.54</v>
      </c>
      <c r="L79" s="6" t="s">
        <v>93</v>
      </c>
      <c r="M79" s="48">
        <v>161658.90999999997</v>
      </c>
      <c r="N79" s="28">
        <v>93805.54</v>
      </c>
      <c r="O79" s="28" t="s">
        <v>174</v>
      </c>
      <c r="P79" s="31">
        <v>93805.54</v>
      </c>
    </row>
    <row r="80" spans="2:16" x14ac:dyDescent="0.3">
      <c r="B80" s="43">
        <v>46154</v>
      </c>
      <c r="C80" s="4" t="s">
        <v>35</v>
      </c>
      <c r="D80" s="44" t="s">
        <v>126</v>
      </c>
      <c r="E80" s="4" t="s">
        <v>37</v>
      </c>
      <c r="F80" s="45" t="s">
        <v>10</v>
      </c>
      <c r="G80" s="44" t="s">
        <v>38</v>
      </c>
      <c r="H80" s="4" t="s">
        <v>88</v>
      </c>
      <c r="I80" s="4" t="s">
        <v>158</v>
      </c>
      <c r="J80" s="47">
        <v>215</v>
      </c>
      <c r="K80" s="5">
        <v>-215</v>
      </c>
      <c r="L80" s="6" t="s">
        <v>93</v>
      </c>
      <c r="M80" s="48">
        <v>16741.59</v>
      </c>
      <c r="N80" s="28" t="s">
        <v>174</v>
      </c>
      <c r="O80" s="28">
        <v>215</v>
      </c>
      <c r="P80" s="31">
        <v>-215</v>
      </c>
    </row>
    <row r="81" spans="2:16" x14ac:dyDescent="0.3">
      <c r="B81" s="43">
        <v>46154</v>
      </c>
      <c r="C81" s="4" t="s">
        <v>17</v>
      </c>
      <c r="D81" s="44" t="s">
        <v>96</v>
      </c>
      <c r="E81" s="4" t="s">
        <v>152</v>
      </c>
      <c r="F81" s="45" t="s">
        <v>10</v>
      </c>
      <c r="G81" s="44"/>
      <c r="H81" s="4">
        <v>0</v>
      </c>
      <c r="I81" s="4">
        <v>0</v>
      </c>
      <c r="J81" s="47">
        <v>18.82</v>
      </c>
      <c r="K81" s="5">
        <v>-18.82</v>
      </c>
      <c r="L81" s="6" t="s">
        <v>93</v>
      </c>
      <c r="M81" s="48">
        <v>5256.0300000000007</v>
      </c>
      <c r="N81" s="28" t="s">
        <v>174</v>
      </c>
      <c r="O81" s="28">
        <v>18.82</v>
      </c>
      <c r="P81" s="31">
        <v>-18.82</v>
      </c>
    </row>
    <row r="82" spans="2:16" x14ac:dyDescent="0.3">
      <c r="B82" s="43">
        <v>46154</v>
      </c>
      <c r="C82" s="4" t="s">
        <v>21</v>
      </c>
      <c r="D82" s="44" t="s">
        <v>105</v>
      </c>
      <c r="E82" s="4" t="s">
        <v>152</v>
      </c>
      <c r="F82" s="45" t="s">
        <v>10</v>
      </c>
      <c r="G82" s="44"/>
      <c r="H82" s="4">
        <v>0</v>
      </c>
      <c r="I82" s="4">
        <v>0</v>
      </c>
      <c r="J82" s="47">
        <v>108.91</v>
      </c>
      <c r="K82" s="5">
        <v>-108.91</v>
      </c>
      <c r="L82" s="6" t="s">
        <v>93</v>
      </c>
      <c r="M82" s="48">
        <v>4761.2</v>
      </c>
      <c r="N82" s="28" t="s">
        <v>174</v>
      </c>
      <c r="O82" s="28">
        <v>108.91</v>
      </c>
      <c r="P82" s="31">
        <v>-108.91</v>
      </c>
    </row>
    <row r="83" spans="2:16" x14ac:dyDescent="0.3">
      <c r="B83" s="43">
        <v>46155</v>
      </c>
      <c r="C83" s="4" t="s">
        <v>20</v>
      </c>
      <c r="D83" s="44" t="s">
        <v>100</v>
      </c>
      <c r="E83" s="4" t="s">
        <v>36</v>
      </c>
      <c r="F83" s="45" t="s">
        <v>9</v>
      </c>
      <c r="G83" s="44" t="s">
        <v>68</v>
      </c>
      <c r="H83" s="4" t="s">
        <v>88</v>
      </c>
      <c r="I83" s="4" t="s">
        <v>158</v>
      </c>
      <c r="J83" s="47">
        <v>16493.77</v>
      </c>
      <c r="K83" s="5">
        <v>16493.77</v>
      </c>
      <c r="L83" s="6" t="s">
        <v>93</v>
      </c>
      <c r="M83" s="48">
        <v>1242679.67</v>
      </c>
      <c r="N83" s="28">
        <v>16493.77</v>
      </c>
      <c r="O83" s="28" t="s">
        <v>174</v>
      </c>
      <c r="P83" s="31">
        <v>16493.77</v>
      </c>
    </row>
    <row r="84" spans="2:16" x14ac:dyDescent="0.3">
      <c r="B84" s="43">
        <v>46155</v>
      </c>
      <c r="C84" s="4" t="s">
        <v>31</v>
      </c>
      <c r="D84" s="44" t="s">
        <v>121</v>
      </c>
      <c r="E84" s="4" t="s">
        <v>36</v>
      </c>
      <c r="F84" s="45" t="s">
        <v>10</v>
      </c>
      <c r="G84" s="44" t="s">
        <v>38</v>
      </c>
      <c r="H84" s="4" t="s">
        <v>88</v>
      </c>
      <c r="I84" s="4" t="s">
        <v>158</v>
      </c>
      <c r="J84" s="47">
        <v>850</v>
      </c>
      <c r="K84" s="5">
        <v>-850</v>
      </c>
      <c r="L84" s="6" t="s">
        <v>93</v>
      </c>
      <c r="M84" s="48">
        <v>17902.179999999964</v>
      </c>
      <c r="N84" s="28" t="s">
        <v>174</v>
      </c>
      <c r="O84" s="28">
        <v>850</v>
      </c>
      <c r="P84" s="31">
        <v>-850</v>
      </c>
    </row>
    <row r="85" spans="2:16" x14ac:dyDescent="0.3">
      <c r="B85" s="43">
        <v>46155</v>
      </c>
      <c r="C85" s="4" t="s">
        <v>23</v>
      </c>
      <c r="D85" s="44" t="s">
        <v>112</v>
      </c>
      <c r="E85" s="4" t="s">
        <v>36</v>
      </c>
      <c r="F85" s="45" t="s">
        <v>9</v>
      </c>
      <c r="G85" s="44"/>
      <c r="H85" s="4">
        <v>0</v>
      </c>
      <c r="I85" s="4">
        <v>0</v>
      </c>
      <c r="J85" s="47">
        <v>1.78</v>
      </c>
      <c r="K85" s="5">
        <v>1.78</v>
      </c>
      <c r="L85" s="6" t="s">
        <v>93</v>
      </c>
      <c r="M85" s="48">
        <v>13090.369999999997</v>
      </c>
      <c r="N85" s="28">
        <v>1.78</v>
      </c>
      <c r="O85" s="28" t="s">
        <v>174</v>
      </c>
      <c r="P85" s="31">
        <v>1.78</v>
      </c>
    </row>
    <row r="86" spans="2:16" x14ac:dyDescent="0.3">
      <c r="B86" s="43">
        <v>46155</v>
      </c>
      <c r="C86" s="4" t="s">
        <v>24</v>
      </c>
      <c r="D86" s="44" t="s">
        <v>113</v>
      </c>
      <c r="E86" s="4" t="s">
        <v>154</v>
      </c>
      <c r="F86" s="45" t="s">
        <v>10</v>
      </c>
      <c r="G86" s="44"/>
      <c r="H86" s="4">
        <v>0</v>
      </c>
      <c r="I86" s="4">
        <v>0</v>
      </c>
      <c r="J86" s="47">
        <v>1270.43</v>
      </c>
      <c r="K86" s="5">
        <v>-1270.43</v>
      </c>
      <c r="L86" s="6" t="s">
        <v>93</v>
      </c>
      <c r="M86" s="48">
        <v>2498.3999999999996</v>
      </c>
      <c r="N86" s="28" t="s">
        <v>174</v>
      </c>
      <c r="O86" s="28">
        <v>1270.43</v>
      </c>
      <c r="P86" s="31">
        <v>-1270.43</v>
      </c>
    </row>
    <row r="87" spans="2:16" x14ac:dyDescent="0.3">
      <c r="B87" s="43">
        <v>46156</v>
      </c>
      <c r="C87" s="4" t="s">
        <v>35</v>
      </c>
      <c r="D87" s="44" t="s">
        <v>126</v>
      </c>
      <c r="E87" s="4" t="s">
        <v>37</v>
      </c>
      <c r="F87" s="45" t="s">
        <v>10</v>
      </c>
      <c r="G87" s="44" t="s">
        <v>44</v>
      </c>
      <c r="H87" s="4" t="s">
        <v>88</v>
      </c>
      <c r="I87" s="4" t="s">
        <v>158</v>
      </c>
      <c r="J87" s="47">
        <v>15</v>
      </c>
      <c r="K87" s="5">
        <v>-15</v>
      </c>
      <c r="L87" s="6" t="s">
        <v>93</v>
      </c>
      <c r="M87" s="48">
        <v>14226.59</v>
      </c>
      <c r="N87" s="28" t="s">
        <v>174</v>
      </c>
      <c r="O87" s="28">
        <v>15</v>
      </c>
      <c r="P87" s="31">
        <v>-15</v>
      </c>
    </row>
    <row r="88" spans="2:16" x14ac:dyDescent="0.3">
      <c r="B88" s="43">
        <v>46156</v>
      </c>
      <c r="C88" s="4" t="s">
        <v>21</v>
      </c>
      <c r="D88" s="44" t="s">
        <v>104</v>
      </c>
      <c r="E88" s="4" t="s">
        <v>37</v>
      </c>
      <c r="F88" s="45" t="s">
        <v>10</v>
      </c>
      <c r="G88" s="44" t="s">
        <v>38</v>
      </c>
      <c r="H88" s="4" t="s">
        <v>88</v>
      </c>
      <c r="I88" s="4" t="s">
        <v>158</v>
      </c>
      <c r="J88" s="47">
        <v>295</v>
      </c>
      <c r="K88" s="5">
        <v>-295</v>
      </c>
      <c r="L88" s="6" t="s">
        <v>93</v>
      </c>
      <c r="M88" s="48">
        <v>176117.51999999938</v>
      </c>
      <c r="N88" s="28" t="s">
        <v>174</v>
      </c>
      <c r="O88" s="28">
        <v>295</v>
      </c>
      <c r="P88" s="31">
        <v>-295</v>
      </c>
    </row>
    <row r="89" spans="2:16" x14ac:dyDescent="0.3">
      <c r="B89" s="43">
        <v>46156</v>
      </c>
      <c r="C89" s="4" t="s">
        <v>21</v>
      </c>
      <c r="D89" s="44" t="s">
        <v>104</v>
      </c>
      <c r="E89" s="4" t="s">
        <v>37</v>
      </c>
      <c r="F89" s="45" t="s">
        <v>10</v>
      </c>
      <c r="G89" s="44" t="s">
        <v>46</v>
      </c>
      <c r="H89" s="4" t="s">
        <v>89</v>
      </c>
      <c r="I89" s="4" t="s">
        <v>158</v>
      </c>
      <c r="J89" s="47">
        <v>7083.33</v>
      </c>
      <c r="K89" s="5">
        <v>-7083.33</v>
      </c>
      <c r="L89" s="6" t="s">
        <v>93</v>
      </c>
      <c r="M89" s="48">
        <v>176117.51999999938</v>
      </c>
      <c r="N89" s="28" t="s">
        <v>174</v>
      </c>
      <c r="O89" s="28">
        <v>7083.33</v>
      </c>
      <c r="P89" s="31">
        <v>-7083.33</v>
      </c>
    </row>
    <row r="90" spans="2:16" x14ac:dyDescent="0.3">
      <c r="B90" s="43">
        <v>46156</v>
      </c>
      <c r="C90" s="4" t="s">
        <v>20</v>
      </c>
      <c r="D90" s="44" t="s">
        <v>100</v>
      </c>
      <c r="E90" s="4" t="s">
        <v>36</v>
      </c>
      <c r="F90" s="45" t="s">
        <v>10</v>
      </c>
      <c r="G90" s="44" t="s">
        <v>61</v>
      </c>
      <c r="H90" s="4" t="s">
        <v>88</v>
      </c>
      <c r="I90" s="4" t="s">
        <v>158</v>
      </c>
      <c r="J90" s="47">
        <v>200000</v>
      </c>
      <c r="K90" s="5">
        <v>-200000</v>
      </c>
      <c r="L90" s="6" t="s">
        <v>93</v>
      </c>
      <c r="M90" s="48">
        <v>832679.66999999981</v>
      </c>
      <c r="N90" s="28" t="s">
        <v>174</v>
      </c>
      <c r="O90" s="28">
        <v>200000</v>
      </c>
      <c r="P90" s="31">
        <v>-200000</v>
      </c>
    </row>
    <row r="91" spans="2:16" x14ac:dyDescent="0.3">
      <c r="B91" s="43">
        <v>46156</v>
      </c>
      <c r="C91" s="4" t="s">
        <v>20</v>
      </c>
      <c r="D91" s="44" t="s">
        <v>100</v>
      </c>
      <c r="E91" s="4" t="s">
        <v>36</v>
      </c>
      <c r="F91" s="45" t="s">
        <v>10</v>
      </c>
      <c r="G91" s="44" t="s">
        <v>61</v>
      </c>
      <c r="H91" s="4" t="s">
        <v>88</v>
      </c>
      <c r="I91" s="4" t="s">
        <v>158</v>
      </c>
      <c r="J91" s="47">
        <v>60000</v>
      </c>
      <c r="K91" s="5">
        <v>-60000</v>
      </c>
      <c r="L91" s="6" t="s">
        <v>93</v>
      </c>
      <c r="M91" s="48">
        <v>832679.66999999981</v>
      </c>
      <c r="N91" s="28" t="s">
        <v>174</v>
      </c>
      <c r="O91" s="28">
        <v>60000</v>
      </c>
      <c r="P91" s="31">
        <v>-60000</v>
      </c>
    </row>
    <row r="92" spans="2:16" x14ac:dyDescent="0.3">
      <c r="B92" s="43">
        <v>46156</v>
      </c>
      <c r="C92" s="4" t="s">
        <v>20</v>
      </c>
      <c r="D92" s="44" t="s">
        <v>100</v>
      </c>
      <c r="E92" s="4" t="s">
        <v>36</v>
      </c>
      <c r="F92" s="45" t="s">
        <v>10</v>
      </c>
      <c r="G92" s="44" t="s">
        <v>61</v>
      </c>
      <c r="H92" s="4" t="s">
        <v>88</v>
      </c>
      <c r="I92" s="4" t="s">
        <v>158</v>
      </c>
      <c r="J92" s="47">
        <v>150000</v>
      </c>
      <c r="K92" s="5">
        <v>-150000</v>
      </c>
      <c r="L92" s="6" t="s">
        <v>93</v>
      </c>
      <c r="M92" s="48">
        <v>832679.66999999981</v>
      </c>
      <c r="N92" s="28" t="s">
        <v>174</v>
      </c>
      <c r="O92" s="28">
        <v>150000</v>
      </c>
      <c r="P92" s="31">
        <v>-150000</v>
      </c>
    </row>
    <row r="93" spans="2:16" x14ac:dyDescent="0.3">
      <c r="B93" s="43">
        <v>46156</v>
      </c>
      <c r="C93" s="4" t="s">
        <v>17</v>
      </c>
      <c r="D93" s="44" t="s">
        <v>94</v>
      </c>
      <c r="E93" s="4" t="s">
        <v>36</v>
      </c>
      <c r="F93" s="45" t="s">
        <v>10</v>
      </c>
      <c r="G93" s="44" t="s">
        <v>61</v>
      </c>
      <c r="H93" s="4" t="s">
        <v>88</v>
      </c>
      <c r="I93" s="4" t="s">
        <v>158</v>
      </c>
      <c r="J93" s="47">
        <v>100000</v>
      </c>
      <c r="K93" s="5">
        <v>-100000</v>
      </c>
      <c r="L93" s="6" t="s">
        <v>93</v>
      </c>
      <c r="M93" s="48">
        <v>11613.909999999974</v>
      </c>
      <c r="N93" s="28" t="s">
        <v>174</v>
      </c>
      <c r="O93" s="28">
        <v>100000</v>
      </c>
      <c r="P93" s="31">
        <v>-100000</v>
      </c>
    </row>
    <row r="94" spans="2:16" x14ac:dyDescent="0.3">
      <c r="B94" s="43">
        <v>46156</v>
      </c>
      <c r="C94" s="4" t="s">
        <v>17</v>
      </c>
      <c r="D94" s="44" t="s">
        <v>94</v>
      </c>
      <c r="E94" s="4" t="s">
        <v>36</v>
      </c>
      <c r="F94" s="45" t="s">
        <v>10</v>
      </c>
      <c r="G94" s="44" t="s">
        <v>64</v>
      </c>
      <c r="H94" s="4" t="s">
        <v>88</v>
      </c>
      <c r="I94" s="4" t="s">
        <v>159</v>
      </c>
      <c r="J94" s="47">
        <v>50000</v>
      </c>
      <c r="K94" s="5">
        <v>-50000</v>
      </c>
      <c r="L94" s="6" t="s">
        <v>93</v>
      </c>
      <c r="M94" s="48">
        <v>11613.909999999974</v>
      </c>
      <c r="N94" s="28" t="s">
        <v>174</v>
      </c>
      <c r="O94" s="28">
        <v>50000</v>
      </c>
      <c r="P94" s="31">
        <v>-50000</v>
      </c>
    </row>
    <row r="95" spans="2:16" x14ac:dyDescent="0.3">
      <c r="B95" s="43">
        <v>46156</v>
      </c>
      <c r="C95" s="4" t="s">
        <v>17</v>
      </c>
      <c r="D95" s="44" t="s">
        <v>94</v>
      </c>
      <c r="E95" s="4" t="s">
        <v>36</v>
      </c>
      <c r="F95" s="45" t="s">
        <v>10</v>
      </c>
      <c r="G95" s="44" t="s">
        <v>44</v>
      </c>
      <c r="H95" s="4" t="s">
        <v>88</v>
      </c>
      <c r="I95" s="4" t="s">
        <v>158</v>
      </c>
      <c r="J95" s="47">
        <v>45</v>
      </c>
      <c r="K95" s="5">
        <v>-45</v>
      </c>
      <c r="L95" s="6" t="s">
        <v>93</v>
      </c>
      <c r="M95" s="48">
        <v>11613.909999999974</v>
      </c>
      <c r="N95" s="28" t="s">
        <v>174</v>
      </c>
      <c r="O95" s="28">
        <v>45</v>
      </c>
      <c r="P95" s="31">
        <v>-45</v>
      </c>
    </row>
    <row r="96" spans="2:16" x14ac:dyDescent="0.3">
      <c r="B96" s="43">
        <v>46156</v>
      </c>
      <c r="C96" s="4" t="s">
        <v>18</v>
      </c>
      <c r="D96" s="44" t="s">
        <v>97</v>
      </c>
      <c r="E96" s="4" t="s">
        <v>37</v>
      </c>
      <c r="F96" s="45" t="s">
        <v>9</v>
      </c>
      <c r="G96" s="44" t="s">
        <v>68</v>
      </c>
      <c r="H96" s="4" t="s">
        <v>88</v>
      </c>
      <c r="I96" s="4" t="s">
        <v>158</v>
      </c>
      <c r="J96" s="47">
        <v>920.07</v>
      </c>
      <c r="K96" s="5">
        <v>920.07</v>
      </c>
      <c r="L96" s="6" t="s">
        <v>93</v>
      </c>
      <c r="M96" s="48">
        <v>54760.159999999938</v>
      </c>
      <c r="N96" s="28">
        <v>920.07</v>
      </c>
      <c r="O96" s="28" t="s">
        <v>174</v>
      </c>
      <c r="P96" s="31">
        <v>920.07</v>
      </c>
    </row>
    <row r="97" spans="2:16" x14ac:dyDescent="0.3">
      <c r="B97" s="43">
        <v>46156</v>
      </c>
      <c r="C97" s="4" t="s">
        <v>17</v>
      </c>
      <c r="D97" s="44" t="s">
        <v>95</v>
      </c>
      <c r="E97" s="4" t="s">
        <v>37</v>
      </c>
      <c r="F97" s="45" t="s">
        <v>9</v>
      </c>
      <c r="G97" s="44" t="s">
        <v>85</v>
      </c>
      <c r="H97" s="4" t="s">
        <v>88</v>
      </c>
      <c r="I97" s="4" t="s">
        <v>159</v>
      </c>
      <c r="J97" s="47">
        <v>50000</v>
      </c>
      <c r="K97" s="5">
        <v>50000</v>
      </c>
      <c r="L97" s="6" t="s">
        <v>93</v>
      </c>
      <c r="M97" s="48">
        <v>148882.87000000023</v>
      </c>
      <c r="N97" s="28">
        <v>50000</v>
      </c>
      <c r="O97" s="28" t="s">
        <v>174</v>
      </c>
      <c r="P97" s="31">
        <v>50000</v>
      </c>
    </row>
    <row r="98" spans="2:16" x14ac:dyDescent="0.3">
      <c r="B98" s="43">
        <v>46156</v>
      </c>
      <c r="C98" s="4" t="s">
        <v>17</v>
      </c>
      <c r="D98" s="44" t="s">
        <v>95</v>
      </c>
      <c r="E98" s="4" t="s">
        <v>37</v>
      </c>
      <c r="F98" s="45" t="s">
        <v>10</v>
      </c>
      <c r="G98" s="44" t="s">
        <v>46</v>
      </c>
      <c r="H98" s="4" t="s">
        <v>89</v>
      </c>
      <c r="I98" s="4" t="s">
        <v>158</v>
      </c>
      <c r="J98" s="47">
        <v>5000</v>
      </c>
      <c r="K98" s="5">
        <v>-5000</v>
      </c>
      <c r="L98" s="6" t="s">
        <v>93</v>
      </c>
      <c r="M98" s="48">
        <v>148882.87000000023</v>
      </c>
      <c r="N98" s="28" t="s">
        <v>174</v>
      </c>
      <c r="O98" s="28">
        <v>5000</v>
      </c>
      <c r="P98" s="31">
        <v>-5000</v>
      </c>
    </row>
    <row r="99" spans="2:16" x14ac:dyDescent="0.3">
      <c r="B99" s="43">
        <v>46156</v>
      </c>
      <c r="C99" s="4" t="s">
        <v>17</v>
      </c>
      <c r="D99" s="44" t="s">
        <v>95</v>
      </c>
      <c r="E99" s="4" t="s">
        <v>37</v>
      </c>
      <c r="F99" s="45" t="s">
        <v>10</v>
      </c>
      <c r="G99" s="44" t="s">
        <v>46</v>
      </c>
      <c r="H99" s="4" t="s">
        <v>89</v>
      </c>
      <c r="I99" s="4" t="s">
        <v>158</v>
      </c>
      <c r="J99" s="47">
        <v>27083.33</v>
      </c>
      <c r="K99" s="5">
        <v>-27083.33</v>
      </c>
      <c r="L99" s="6" t="s">
        <v>93</v>
      </c>
      <c r="M99" s="48">
        <v>148882.87000000023</v>
      </c>
      <c r="N99" s="28" t="s">
        <v>174</v>
      </c>
      <c r="O99" s="28">
        <v>27083.33</v>
      </c>
      <c r="P99" s="31">
        <v>-27083.33</v>
      </c>
    </row>
    <row r="100" spans="2:16" x14ac:dyDescent="0.3">
      <c r="B100" s="43">
        <v>46156</v>
      </c>
      <c r="C100" s="4" t="s">
        <v>17</v>
      </c>
      <c r="D100" s="44" t="s">
        <v>95</v>
      </c>
      <c r="E100" s="4" t="s">
        <v>37</v>
      </c>
      <c r="F100" s="45" t="s">
        <v>10</v>
      </c>
      <c r="G100" s="44" t="s">
        <v>61</v>
      </c>
      <c r="H100" s="4" t="s">
        <v>88</v>
      </c>
      <c r="I100" s="4" t="s">
        <v>158</v>
      </c>
      <c r="J100" s="47">
        <v>40000</v>
      </c>
      <c r="K100" s="5">
        <v>-40000</v>
      </c>
      <c r="L100" s="6" t="s">
        <v>93</v>
      </c>
      <c r="M100" s="48">
        <v>148882.87000000023</v>
      </c>
      <c r="N100" s="28" t="s">
        <v>174</v>
      </c>
      <c r="O100" s="28">
        <v>40000</v>
      </c>
      <c r="P100" s="31">
        <v>-40000</v>
      </c>
    </row>
    <row r="101" spans="2:16" x14ac:dyDescent="0.3">
      <c r="B101" s="43">
        <v>46156</v>
      </c>
      <c r="C101" s="4" t="s">
        <v>17</v>
      </c>
      <c r="D101" s="44" t="s">
        <v>95</v>
      </c>
      <c r="E101" s="4" t="s">
        <v>37</v>
      </c>
      <c r="F101" s="45" t="s">
        <v>10</v>
      </c>
      <c r="G101" s="44" t="s">
        <v>46</v>
      </c>
      <c r="H101" s="4" t="s">
        <v>89</v>
      </c>
      <c r="I101" s="4" t="s">
        <v>158</v>
      </c>
      <c r="J101" s="47">
        <v>56000</v>
      </c>
      <c r="K101" s="5">
        <v>-56000</v>
      </c>
      <c r="L101" s="6" t="s">
        <v>93</v>
      </c>
      <c r="M101" s="48">
        <v>148882.87000000023</v>
      </c>
      <c r="N101" s="28" t="s">
        <v>174</v>
      </c>
      <c r="O101" s="28">
        <v>56000</v>
      </c>
      <c r="P101" s="31">
        <v>-56000</v>
      </c>
    </row>
    <row r="102" spans="2:16" x14ac:dyDescent="0.3">
      <c r="B102" s="43">
        <v>46156</v>
      </c>
      <c r="C102" s="4" t="s">
        <v>17</v>
      </c>
      <c r="D102" s="44" t="s">
        <v>95</v>
      </c>
      <c r="E102" s="4" t="s">
        <v>37</v>
      </c>
      <c r="F102" s="45" t="s">
        <v>10</v>
      </c>
      <c r="G102" s="44" t="s">
        <v>61</v>
      </c>
      <c r="H102" s="4" t="s">
        <v>88</v>
      </c>
      <c r="I102" s="4" t="s">
        <v>158</v>
      </c>
      <c r="J102" s="47">
        <v>60000</v>
      </c>
      <c r="K102" s="5">
        <v>-60000</v>
      </c>
      <c r="L102" s="6" t="s">
        <v>93</v>
      </c>
      <c r="M102" s="48">
        <v>148882.87000000023</v>
      </c>
      <c r="N102" s="28" t="s">
        <v>174</v>
      </c>
      <c r="O102" s="28">
        <v>60000</v>
      </c>
      <c r="P102" s="31">
        <v>-60000</v>
      </c>
    </row>
    <row r="103" spans="2:16" x14ac:dyDescent="0.3">
      <c r="B103" s="43">
        <v>46156</v>
      </c>
      <c r="C103" s="4" t="s">
        <v>17</v>
      </c>
      <c r="D103" s="44" t="s">
        <v>95</v>
      </c>
      <c r="E103" s="4" t="s">
        <v>37</v>
      </c>
      <c r="F103" s="45" t="s">
        <v>10</v>
      </c>
      <c r="G103" s="44" t="s">
        <v>46</v>
      </c>
      <c r="H103" s="4" t="s">
        <v>89</v>
      </c>
      <c r="I103" s="4" t="s">
        <v>158</v>
      </c>
      <c r="J103" s="47">
        <v>70000</v>
      </c>
      <c r="K103" s="5">
        <v>-70000</v>
      </c>
      <c r="L103" s="6" t="s">
        <v>93</v>
      </c>
      <c r="M103" s="48">
        <v>148882.87000000023</v>
      </c>
      <c r="N103" s="28" t="s">
        <v>174</v>
      </c>
      <c r="O103" s="28">
        <v>70000</v>
      </c>
      <c r="P103" s="31">
        <v>-70000</v>
      </c>
    </row>
    <row r="104" spans="2:16" x14ac:dyDescent="0.3">
      <c r="B104" s="43">
        <v>46156</v>
      </c>
      <c r="C104" s="4" t="s">
        <v>17</v>
      </c>
      <c r="D104" s="44" t="s">
        <v>95</v>
      </c>
      <c r="E104" s="4" t="s">
        <v>37</v>
      </c>
      <c r="F104" s="45" t="s">
        <v>10</v>
      </c>
      <c r="G104" s="44" t="s">
        <v>46</v>
      </c>
      <c r="H104" s="4" t="s">
        <v>89</v>
      </c>
      <c r="I104" s="4" t="s">
        <v>158</v>
      </c>
      <c r="J104" s="47">
        <v>82833.33</v>
      </c>
      <c r="K104" s="5">
        <v>-82833.33</v>
      </c>
      <c r="L104" s="6" t="s">
        <v>93</v>
      </c>
      <c r="M104" s="48">
        <v>148882.87000000023</v>
      </c>
      <c r="N104" s="28" t="s">
        <v>174</v>
      </c>
      <c r="O104" s="28">
        <v>82833.33</v>
      </c>
      <c r="P104" s="31">
        <v>-82833.33</v>
      </c>
    </row>
    <row r="105" spans="2:16" x14ac:dyDescent="0.3">
      <c r="B105" s="43">
        <v>46156</v>
      </c>
      <c r="C105" s="4" t="s">
        <v>21</v>
      </c>
      <c r="D105" s="44" t="s">
        <v>104</v>
      </c>
      <c r="E105" s="4" t="s">
        <v>37</v>
      </c>
      <c r="F105" s="45" t="s">
        <v>10</v>
      </c>
      <c r="G105" s="44" t="s">
        <v>60</v>
      </c>
      <c r="H105" s="4" t="s">
        <v>90</v>
      </c>
      <c r="I105" s="4" t="s">
        <v>159</v>
      </c>
      <c r="J105" s="47">
        <v>50000</v>
      </c>
      <c r="K105" s="5">
        <v>-50000</v>
      </c>
      <c r="L105" s="6" t="s">
        <v>93</v>
      </c>
      <c r="M105" s="48">
        <v>176117.51999999938</v>
      </c>
      <c r="N105" s="28" t="s">
        <v>174</v>
      </c>
      <c r="O105" s="28">
        <v>50000</v>
      </c>
      <c r="P105" s="31">
        <v>-50000</v>
      </c>
    </row>
    <row r="106" spans="2:16" x14ac:dyDescent="0.3">
      <c r="B106" s="43">
        <v>46156</v>
      </c>
      <c r="C106" s="4" t="s">
        <v>21</v>
      </c>
      <c r="D106" s="44" t="s">
        <v>104</v>
      </c>
      <c r="E106" s="4" t="s">
        <v>37</v>
      </c>
      <c r="F106" s="45" t="s">
        <v>10</v>
      </c>
      <c r="G106" s="44" t="s">
        <v>46</v>
      </c>
      <c r="H106" s="4" t="s">
        <v>89</v>
      </c>
      <c r="I106" s="4" t="s">
        <v>158</v>
      </c>
      <c r="J106" s="47">
        <v>53666.67</v>
      </c>
      <c r="K106" s="5">
        <v>-53666.67</v>
      </c>
      <c r="L106" s="6" t="s">
        <v>93</v>
      </c>
      <c r="M106" s="48">
        <v>176117.51999999938</v>
      </c>
      <c r="N106" s="28" t="s">
        <v>174</v>
      </c>
      <c r="O106" s="28">
        <v>53666.67</v>
      </c>
      <c r="P106" s="31">
        <v>-53666.67</v>
      </c>
    </row>
    <row r="107" spans="2:16" x14ac:dyDescent="0.3">
      <c r="B107" s="43">
        <v>46156</v>
      </c>
      <c r="C107" s="4" t="s">
        <v>21</v>
      </c>
      <c r="D107" s="44" t="s">
        <v>104</v>
      </c>
      <c r="E107" s="4" t="s">
        <v>37</v>
      </c>
      <c r="F107" s="45" t="s">
        <v>10</v>
      </c>
      <c r="G107" s="44" t="s">
        <v>46</v>
      </c>
      <c r="H107" s="4" t="s">
        <v>89</v>
      </c>
      <c r="I107" s="4" t="s">
        <v>158</v>
      </c>
      <c r="J107" s="47">
        <v>99166.67</v>
      </c>
      <c r="K107" s="5">
        <v>-99166.67</v>
      </c>
      <c r="L107" s="6" t="s">
        <v>93</v>
      </c>
      <c r="M107" s="48">
        <v>176117.51999999938</v>
      </c>
      <c r="N107" s="28" t="s">
        <v>174</v>
      </c>
      <c r="O107" s="28">
        <v>99166.67</v>
      </c>
      <c r="P107" s="31">
        <v>-99166.67</v>
      </c>
    </row>
    <row r="108" spans="2:16" x14ac:dyDescent="0.3">
      <c r="B108" s="43">
        <v>46156</v>
      </c>
      <c r="C108" s="4" t="s">
        <v>35</v>
      </c>
      <c r="D108" s="44" t="s">
        <v>126</v>
      </c>
      <c r="E108" s="4" t="s">
        <v>37</v>
      </c>
      <c r="F108" s="45" t="s">
        <v>10</v>
      </c>
      <c r="G108" s="44" t="s">
        <v>38</v>
      </c>
      <c r="H108" s="4" t="s">
        <v>88</v>
      </c>
      <c r="I108" s="4" t="s">
        <v>158</v>
      </c>
      <c r="J108" s="47">
        <v>2500</v>
      </c>
      <c r="K108" s="5">
        <v>-2500</v>
      </c>
      <c r="L108" s="6" t="s">
        <v>93</v>
      </c>
      <c r="M108" s="48">
        <v>14226.59</v>
      </c>
      <c r="N108" s="28" t="s">
        <v>174</v>
      </c>
      <c r="O108" s="28">
        <v>2500</v>
      </c>
      <c r="P108" s="31">
        <v>-2500</v>
      </c>
    </row>
    <row r="109" spans="2:16" x14ac:dyDescent="0.3">
      <c r="B109" s="43">
        <v>46157</v>
      </c>
      <c r="C109" s="4" t="s">
        <v>35</v>
      </c>
      <c r="D109" s="44" t="s">
        <v>126</v>
      </c>
      <c r="E109" s="4" t="s">
        <v>37</v>
      </c>
      <c r="F109" s="45" t="s">
        <v>10</v>
      </c>
      <c r="G109" s="44" t="s">
        <v>38</v>
      </c>
      <c r="H109" s="4" t="s">
        <v>88</v>
      </c>
      <c r="I109" s="4" t="s">
        <v>158</v>
      </c>
      <c r="J109" s="47">
        <v>50</v>
      </c>
      <c r="K109" s="5">
        <v>-50</v>
      </c>
      <c r="L109" s="6" t="s">
        <v>93</v>
      </c>
      <c r="M109" s="48">
        <v>14176.59</v>
      </c>
      <c r="N109" s="28" t="s">
        <v>174</v>
      </c>
      <c r="O109" s="28">
        <v>50</v>
      </c>
      <c r="P109" s="31">
        <v>-50</v>
      </c>
    </row>
    <row r="110" spans="2:16" x14ac:dyDescent="0.3">
      <c r="B110" s="43">
        <v>46157</v>
      </c>
      <c r="C110" s="4" t="s">
        <v>33</v>
      </c>
      <c r="D110" s="44" t="s">
        <v>124</v>
      </c>
      <c r="E110" s="4" t="s">
        <v>36</v>
      </c>
      <c r="F110" s="45" t="s">
        <v>10</v>
      </c>
      <c r="G110" s="44" t="s">
        <v>38</v>
      </c>
      <c r="H110" s="4" t="s">
        <v>88</v>
      </c>
      <c r="I110" s="4" t="s">
        <v>158</v>
      </c>
      <c r="J110" s="47">
        <v>1650</v>
      </c>
      <c r="K110" s="5">
        <v>-1650</v>
      </c>
      <c r="L110" s="6" t="s">
        <v>93</v>
      </c>
      <c r="M110" s="48">
        <v>27011.27</v>
      </c>
      <c r="N110" s="28" t="s">
        <v>174</v>
      </c>
      <c r="O110" s="28">
        <v>1650</v>
      </c>
      <c r="P110" s="31">
        <v>-1650</v>
      </c>
    </row>
    <row r="111" spans="2:16" x14ac:dyDescent="0.3">
      <c r="B111" s="43">
        <v>46157</v>
      </c>
      <c r="C111" s="4" t="s">
        <v>33</v>
      </c>
      <c r="D111" s="44" t="s">
        <v>124</v>
      </c>
      <c r="E111" s="4" t="s">
        <v>36</v>
      </c>
      <c r="F111" s="45" t="s">
        <v>10</v>
      </c>
      <c r="G111" s="44" t="s">
        <v>38</v>
      </c>
      <c r="H111" s="4" t="s">
        <v>88</v>
      </c>
      <c r="I111" s="4" t="s">
        <v>158</v>
      </c>
      <c r="J111" s="47">
        <v>2200</v>
      </c>
      <c r="K111" s="5">
        <v>-2200</v>
      </c>
      <c r="L111" s="6" t="s">
        <v>93</v>
      </c>
      <c r="M111" s="48">
        <v>27011.27</v>
      </c>
      <c r="N111" s="28" t="s">
        <v>174</v>
      </c>
      <c r="O111" s="28">
        <v>2200</v>
      </c>
      <c r="P111" s="31">
        <v>-2200</v>
      </c>
    </row>
    <row r="112" spans="2:16" x14ac:dyDescent="0.3">
      <c r="B112" s="43">
        <v>46157</v>
      </c>
      <c r="C112" s="4" t="s">
        <v>33</v>
      </c>
      <c r="D112" s="44" t="s">
        <v>124</v>
      </c>
      <c r="E112" s="4" t="s">
        <v>36</v>
      </c>
      <c r="F112" s="45" t="s">
        <v>10</v>
      </c>
      <c r="G112" s="44" t="s">
        <v>38</v>
      </c>
      <c r="H112" s="4" t="s">
        <v>88</v>
      </c>
      <c r="I112" s="4" t="s">
        <v>158</v>
      </c>
      <c r="J112" s="47">
        <v>160</v>
      </c>
      <c r="K112" s="5">
        <v>-160</v>
      </c>
      <c r="L112" s="6" t="s">
        <v>93</v>
      </c>
      <c r="M112" s="48">
        <v>27011.27</v>
      </c>
      <c r="N112" s="28" t="s">
        <v>174</v>
      </c>
      <c r="O112" s="28">
        <v>160</v>
      </c>
      <c r="P112" s="31">
        <v>-160</v>
      </c>
    </row>
    <row r="113" spans="2:16" x14ac:dyDescent="0.3">
      <c r="B113" s="43">
        <v>46157</v>
      </c>
      <c r="C113" s="4" t="s">
        <v>33</v>
      </c>
      <c r="D113" s="44" t="s">
        <v>124</v>
      </c>
      <c r="E113" s="4" t="s">
        <v>36</v>
      </c>
      <c r="F113" s="45" t="s">
        <v>10</v>
      </c>
      <c r="G113" s="44" t="s">
        <v>38</v>
      </c>
      <c r="H113" s="4" t="s">
        <v>88</v>
      </c>
      <c r="I113" s="4" t="s">
        <v>158</v>
      </c>
      <c r="J113" s="47">
        <v>100</v>
      </c>
      <c r="K113" s="5">
        <v>-100</v>
      </c>
      <c r="L113" s="6" t="s">
        <v>93</v>
      </c>
      <c r="M113" s="48">
        <v>27011.27</v>
      </c>
      <c r="N113" s="28" t="s">
        <v>174</v>
      </c>
      <c r="O113" s="28">
        <v>100</v>
      </c>
      <c r="P113" s="31">
        <v>-100</v>
      </c>
    </row>
    <row r="114" spans="2:16" x14ac:dyDescent="0.3">
      <c r="B114" s="43">
        <v>46157</v>
      </c>
      <c r="C114" s="4" t="s">
        <v>33</v>
      </c>
      <c r="D114" s="44" t="s">
        <v>124</v>
      </c>
      <c r="E114" s="4" t="s">
        <v>36</v>
      </c>
      <c r="F114" s="45" t="s">
        <v>10</v>
      </c>
      <c r="G114" s="44" t="s">
        <v>38</v>
      </c>
      <c r="H114" s="4" t="s">
        <v>88</v>
      </c>
      <c r="I114" s="4" t="s">
        <v>158</v>
      </c>
      <c r="J114" s="47">
        <v>200</v>
      </c>
      <c r="K114" s="5">
        <v>-200</v>
      </c>
      <c r="L114" s="6" t="s">
        <v>93</v>
      </c>
      <c r="M114" s="48">
        <v>27011.27</v>
      </c>
      <c r="N114" s="28" t="s">
        <v>174</v>
      </c>
      <c r="O114" s="28">
        <v>200</v>
      </c>
      <c r="P114" s="31">
        <v>-200</v>
      </c>
    </row>
    <row r="115" spans="2:16" x14ac:dyDescent="0.3">
      <c r="B115" s="43">
        <v>46157</v>
      </c>
      <c r="C115" s="4" t="s">
        <v>33</v>
      </c>
      <c r="D115" s="44" t="s">
        <v>124</v>
      </c>
      <c r="E115" s="4" t="s">
        <v>36</v>
      </c>
      <c r="F115" s="45" t="s">
        <v>10</v>
      </c>
      <c r="G115" s="44" t="s">
        <v>38</v>
      </c>
      <c r="H115" s="4" t="s">
        <v>88</v>
      </c>
      <c r="I115" s="4" t="s">
        <v>158</v>
      </c>
      <c r="J115" s="47">
        <v>2.12</v>
      </c>
      <c r="K115" s="5">
        <v>-2.12</v>
      </c>
      <c r="L115" s="6" t="s">
        <v>93</v>
      </c>
      <c r="M115" s="48">
        <v>27011.27</v>
      </c>
      <c r="N115" s="28" t="s">
        <v>174</v>
      </c>
      <c r="O115" s="28">
        <v>2.12</v>
      </c>
      <c r="P115" s="31">
        <v>-2.12</v>
      </c>
    </row>
    <row r="116" spans="2:16" x14ac:dyDescent="0.3">
      <c r="B116" s="43">
        <v>46157</v>
      </c>
      <c r="C116" s="4" t="s">
        <v>20</v>
      </c>
      <c r="D116" s="44" t="s">
        <v>100</v>
      </c>
      <c r="E116" s="4" t="s">
        <v>36</v>
      </c>
      <c r="F116" s="45" t="s">
        <v>10</v>
      </c>
      <c r="G116" s="44" t="s">
        <v>44</v>
      </c>
      <c r="H116" s="4" t="s">
        <v>88</v>
      </c>
      <c r="I116" s="4" t="s">
        <v>158</v>
      </c>
      <c r="J116" s="47">
        <v>603.46</v>
      </c>
      <c r="K116" s="5">
        <v>-603.46</v>
      </c>
      <c r="L116" s="6" t="s">
        <v>93</v>
      </c>
      <c r="M116" s="48">
        <v>832076.20999999985</v>
      </c>
      <c r="N116" s="28" t="s">
        <v>174</v>
      </c>
      <c r="O116" s="28">
        <v>603.46</v>
      </c>
      <c r="P116" s="31">
        <v>-603.46</v>
      </c>
    </row>
    <row r="117" spans="2:16" x14ac:dyDescent="0.3">
      <c r="B117" s="43">
        <v>46157</v>
      </c>
      <c r="C117" s="4" t="s">
        <v>21</v>
      </c>
      <c r="D117" s="44" t="s">
        <v>102</v>
      </c>
      <c r="E117" s="4" t="s">
        <v>36</v>
      </c>
      <c r="F117" s="45" t="s">
        <v>10</v>
      </c>
      <c r="G117" s="44" t="s">
        <v>44</v>
      </c>
      <c r="H117" s="4" t="s">
        <v>88</v>
      </c>
      <c r="I117" s="4" t="s">
        <v>158</v>
      </c>
      <c r="J117" s="47">
        <v>29.41</v>
      </c>
      <c r="K117" s="5">
        <v>-29.41</v>
      </c>
      <c r="L117" s="6" t="s">
        <v>93</v>
      </c>
      <c r="M117" s="48">
        <v>729.66000000000008</v>
      </c>
      <c r="N117" s="28" t="s">
        <v>174</v>
      </c>
      <c r="O117" s="28">
        <v>29.41</v>
      </c>
      <c r="P117" s="31">
        <v>-29.41</v>
      </c>
    </row>
    <row r="118" spans="2:16" x14ac:dyDescent="0.3">
      <c r="B118" s="43">
        <v>46160</v>
      </c>
      <c r="C118" s="4" t="s">
        <v>21</v>
      </c>
      <c r="D118" s="44" t="s">
        <v>104</v>
      </c>
      <c r="E118" s="4" t="s">
        <v>37</v>
      </c>
      <c r="F118" s="45" t="s">
        <v>10</v>
      </c>
      <c r="G118" s="44" t="s">
        <v>39</v>
      </c>
      <c r="H118" s="4" t="s">
        <v>88</v>
      </c>
      <c r="I118" s="4" t="s">
        <v>158</v>
      </c>
      <c r="J118" s="47">
        <v>20960.11</v>
      </c>
      <c r="K118" s="5">
        <v>-20960.11</v>
      </c>
      <c r="L118" s="6" t="s">
        <v>93</v>
      </c>
      <c r="M118" s="48">
        <v>155157.40999999939</v>
      </c>
      <c r="N118" s="28" t="s">
        <v>174</v>
      </c>
      <c r="O118" s="28">
        <v>20960.11</v>
      </c>
      <c r="P118" s="31">
        <v>-20960.11</v>
      </c>
    </row>
    <row r="119" spans="2:16" x14ac:dyDescent="0.3">
      <c r="B119" s="43">
        <v>46160</v>
      </c>
      <c r="C119" s="4" t="s">
        <v>35</v>
      </c>
      <c r="D119" s="44" t="s">
        <v>126</v>
      </c>
      <c r="E119" s="4" t="s">
        <v>37</v>
      </c>
      <c r="F119" s="45" t="s">
        <v>10</v>
      </c>
      <c r="G119" s="44" t="s">
        <v>38</v>
      </c>
      <c r="H119" s="4" t="s">
        <v>88</v>
      </c>
      <c r="I119" s="4" t="s">
        <v>158</v>
      </c>
      <c r="J119" s="47">
        <v>235.38</v>
      </c>
      <c r="K119" s="5">
        <v>-235.38</v>
      </c>
      <c r="L119" s="6" t="s">
        <v>93</v>
      </c>
      <c r="M119" s="48">
        <v>13941.210000000001</v>
      </c>
      <c r="N119" s="28" t="s">
        <v>174</v>
      </c>
      <c r="O119" s="28">
        <v>235.38</v>
      </c>
      <c r="P119" s="31">
        <v>-235.38</v>
      </c>
    </row>
    <row r="120" spans="2:16" x14ac:dyDescent="0.3">
      <c r="B120" s="43">
        <v>46160</v>
      </c>
      <c r="C120" s="4" t="s">
        <v>21</v>
      </c>
      <c r="D120" s="44" t="s">
        <v>101</v>
      </c>
      <c r="E120" s="4" t="s">
        <v>36</v>
      </c>
      <c r="F120" s="45" t="s">
        <v>10</v>
      </c>
      <c r="G120" s="44" t="s">
        <v>38</v>
      </c>
      <c r="H120" s="4" t="s">
        <v>88</v>
      </c>
      <c r="I120" s="4" t="s">
        <v>158</v>
      </c>
      <c r="J120" s="47">
        <v>2490.36</v>
      </c>
      <c r="K120" s="5">
        <v>-2490.36</v>
      </c>
      <c r="L120" s="6" t="s">
        <v>93</v>
      </c>
      <c r="M120" s="48">
        <v>15543.84</v>
      </c>
      <c r="N120" s="28" t="s">
        <v>174</v>
      </c>
      <c r="O120" s="28">
        <v>2490.36</v>
      </c>
      <c r="P120" s="31">
        <v>-2490.36</v>
      </c>
    </row>
    <row r="121" spans="2:16" x14ac:dyDescent="0.3">
      <c r="B121" s="43">
        <v>46160</v>
      </c>
      <c r="C121" s="4" t="s">
        <v>31</v>
      </c>
      <c r="D121" s="44" t="s">
        <v>121</v>
      </c>
      <c r="E121" s="4" t="s">
        <v>36</v>
      </c>
      <c r="F121" s="45" t="s">
        <v>10</v>
      </c>
      <c r="G121" s="44" t="s">
        <v>38</v>
      </c>
      <c r="H121" s="4" t="s">
        <v>88</v>
      </c>
      <c r="I121" s="4" t="s">
        <v>158</v>
      </c>
      <c r="J121" s="47">
        <v>2779</v>
      </c>
      <c r="K121" s="5">
        <v>-2779</v>
      </c>
      <c r="L121" s="6" t="s">
        <v>93</v>
      </c>
      <c r="M121" s="48">
        <v>15123.179999999962</v>
      </c>
      <c r="N121" s="28" t="s">
        <v>174</v>
      </c>
      <c r="O121" s="28">
        <v>2779</v>
      </c>
      <c r="P121" s="31">
        <v>-2779</v>
      </c>
    </row>
    <row r="122" spans="2:16" x14ac:dyDescent="0.3">
      <c r="B122" s="43">
        <v>46160</v>
      </c>
      <c r="C122" s="4" t="s">
        <v>33</v>
      </c>
      <c r="D122" s="44" t="s">
        <v>124</v>
      </c>
      <c r="E122" s="4" t="s">
        <v>36</v>
      </c>
      <c r="F122" s="45" t="s">
        <v>10</v>
      </c>
      <c r="G122" s="44" t="s">
        <v>44</v>
      </c>
      <c r="H122" s="4" t="s">
        <v>88</v>
      </c>
      <c r="I122" s="4" t="s">
        <v>158</v>
      </c>
      <c r="J122" s="47">
        <v>5</v>
      </c>
      <c r="K122" s="5">
        <v>-5</v>
      </c>
      <c r="L122" s="6" t="s">
        <v>93</v>
      </c>
      <c r="M122" s="48">
        <v>27006.27</v>
      </c>
      <c r="N122" s="28" t="s">
        <v>174</v>
      </c>
      <c r="O122" s="28">
        <v>5</v>
      </c>
      <c r="P122" s="31">
        <v>-5</v>
      </c>
    </row>
    <row r="123" spans="2:16" x14ac:dyDescent="0.3">
      <c r="B123" s="43">
        <v>46161</v>
      </c>
      <c r="C123" s="4" t="s">
        <v>21</v>
      </c>
      <c r="D123" s="44" t="s">
        <v>101</v>
      </c>
      <c r="E123" s="4" t="s">
        <v>36</v>
      </c>
      <c r="F123" s="45" t="s">
        <v>10</v>
      </c>
      <c r="G123" s="44" t="s">
        <v>38</v>
      </c>
      <c r="H123" s="4" t="s">
        <v>88</v>
      </c>
      <c r="I123" s="4" t="s">
        <v>158</v>
      </c>
      <c r="J123" s="47">
        <v>2383.4899999999998</v>
      </c>
      <c r="K123" s="5">
        <v>-2383.4899999999998</v>
      </c>
      <c r="L123" s="6" t="s">
        <v>93</v>
      </c>
      <c r="M123" s="48">
        <v>12423.310000000001</v>
      </c>
      <c r="N123" s="28" t="s">
        <v>174</v>
      </c>
      <c r="O123" s="28">
        <v>2383.4899999999998</v>
      </c>
      <c r="P123" s="31">
        <v>-2383.4899999999998</v>
      </c>
    </row>
    <row r="124" spans="2:16" x14ac:dyDescent="0.3">
      <c r="B124" s="43">
        <v>46161</v>
      </c>
      <c r="C124" s="4" t="s">
        <v>21</v>
      </c>
      <c r="D124" s="44" t="s">
        <v>101</v>
      </c>
      <c r="E124" s="4" t="s">
        <v>36</v>
      </c>
      <c r="F124" s="45" t="s">
        <v>10</v>
      </c>
      <c r="G124" s="44" t="s">
        <v>38</v>
      </c>
      <c r="H124" s="4" t="s">
        <v>88</v>
      </c>
      <c r="I124" s="4" t="s">
        <v>158</v>
      </c>
      <c r="J124" s="47">
        <v>737.04</v>
      </c>
      <c r="K124" s="5">
        <v>-737.04</v>
      </c>
      <c r="L124" s="6" t="s">
        <v>93</v>
      </c>
      <c r="M124" s="48">
        <v>12423.310000000001</v>
      </c>
      <c r="N124" s="28" t="s">
        <v>174</v>
      </c>
      <c r="O124" s="28">
        <v>737.04</v>
      </c>
      <c r="P124" s="31">
        <v>-737.04</v>
      </c>
    </row>
    <row r="125" spans="2:16" x14ac:dyDescent="0.3">
      <c r="B125" s="43">
        <v>46161</v>
      </c>
      <c r="C125" s="4" t="s">
        <v>17</v>
      </c>
      <c r="D125" s="44" t="s">
        <v>94</v>
      </c>
      <c r="E125" s="4" t="s">
        <v>36</v>
      </c>
      <c r="F125" s="45" t="s">
        <v>9</v>
      </c>
      <c r="G125" s="44" t="s">
        <v>70</v>
      </c>
      <c r="H125" s="4" t="s">
        <v>88</v>
      </c>
      <c r="I125" s="4" t="s">
        <v>158</v>
      </c>
      <c r="J125" s="47">
        <v>650000</v>
      </c>
      <c r="K125" s="5">
        <v>650000</v>
      </c>
      <c r="L125" s="6" t="s">
        <v>93</v>
      </c>
      <c r="M125" s="48">
        <v>661613.90999999992</v>
      </c>
      <c r="N125" s="28">
        <v>650000</v>
      </c>
      <c r="O125" s="28" t="s">
        <v>174</v>
      </c>
      <c r="P125" s="31">
        <v>650000</v>
      </c>
    </row>
    <row r="126" spans="2:16" x14ac:dyDescent="0.3">
      <c r="B126" s="43">
        <v>46161</v>
      </c>
      <c r="C126" s="4" t="s">
        <v>22</v>
      </c>
      <c r="D126" s="44" t="s">
        <v>111</v>
      </c>
      <c r="E126" s="4" t="s">
        <v>37</v>
      </c>
      <c r="F126" s="45" t="s">
        <v>10</v>
      </c>
      <c r="G126" s="44" t="s">
        <v>53</v>
      </c>
      <c r="H126" s="4" t="s">
        <v>90</v>
      </c>
      <c r="I126" s="4" t="s">
        <v>159</v>
      </c>
      <c r="J126" s="47">
        <v>30000</v>
      </c>
      <c r="K126" s="5">
        <v>-30000</v>
      </c>
      <c r="L126" s="6" t="s">
        <v>93</v>
      </c>
      <c r="M126" s="48">
        <v>20717.600000000006</v>
      </c>
      <c r="N126" s="28" t="s">
        <v>174</v>
      </c>
      <c r="O126" s="28">
        <v>30000</v>
      </c>
      <c r="P126" s="31">
        <v>-30000</v>
      </c>
    </row>
    <row r="127" spans="2:16" x14ac:dyDescent="0.3">
      <c r="B127" s="43">
        <v>46161</v>
      </c>
      <c r="C127" s="4" t="s">
        <v>35</v>
      </c>
      <c r="D127" s="44" t="s">
        <v>126</v>
      </c>
      <c r="E127" s="4" t="s">
        <v>37</v>
      </c>
      <c r="F127" s="45" t="s">
        <v>10</v>
      </c>
      <c r="G127" s="44" t="s">
        <v>38</v>
      </c>
      <c r="H127" s="4" t="s">
        <v>88</v>
      </c>
      <c r="I127" s="4" t="s">
        <v>158</v>
      </c>
      <c r="J127" s="47">
        <v>25000</v>
      </c>
      <c r="K127" s="5">
        <v>-25000</v>
      </c>
      <c r="L127" s="6" t="s">
        <v>93</v>
      </c>
      <c r="M127" s="48">
        <v>18941.21</v>
      </c>
      <c r="N127" s="28" t="s">
        <v>174</v>
      </c>
      <c r="O127" s="28">
        <v>25000</v>
      </c>
      <c r="P127" s="31">
        <v>-25000</v>
      </c>
    </row>
    <row r="128" spans="2:16" x14ac:dyDescent="0.3">
      <c r="B128" s="43">
        <v>46161</v>
      </c>
      <c r="C128" s="4" t="s">
        <v>35</v>
      </c>
      <c r="D128" s="44" t="s">
        <v>126</v>
      </c>
      <c r="E128" s="4" t="s">
        <v>37</v>
      </c>
      <c r="F128" s="45" t="s">
        <v>9</v>
      </c>
      <c r="G128" s="44" t="s">
        <v>77</v>
      </c>
      <c r="H128" s="4" t="s">
        <v>90</v>
      </c>
      <c r="I128" s="4" t="s">
        <v>159</v>
      </c>
      <c r="J128" s="47">
        <v>30000</v>
      </c>
      <c r="K128" s="5">
        <v>30000</v>
      </c>
      <c r="L128" s="6" t="s">
        <v>93</v>
      </c>
      <c r="M128" s="48">
        <v>18941.21</v>
      </c>
      <c r="N128" s="28">
        <v>30000</v>
      </c>
      <c r="O128" s="28" t="s">
        <v>174</v>
      </c>
      <c r="P128" s="31">
        <v>30000</v>
      </c>
    </row>
    <row r="129" spans="2:16" x14ac:dyDescent="0.3">
      <c r="B129" s="43">
        <v>46162</v>
      </c>
      <c r="C129" s="4" t="s">
        <v>35</v>
      </c>
      <c r="D129" s="44" t="s">
        <v>126</v>
      </c>
      <c r="E129" s="4" t="s">
        <v>37</v>
      </c>
      <c r="F129" s="45" t="s">
        <v>10</v>
      </c>
      <c r="G129" s="44" t="s">
        <v>44</v>
      </c>
      <c r="H129" s="4" t="s">
        <v>88</v>
      </c>
      <c r="I129" s="4" t="s">
        <v>158</v>
      </c>
      <c r="J129" s="47">
        <v>15</v>
      </c>
      <c r="K129" s="5">
        <v>-15</v>
      </c>
      <c r="L129" s="6" t="s">
        <v>93</v>
      </c>
      <c r="M129" s="48">
        <v>8168.0700000000006</v>
      </c>
      <c r="N129" s="28" t="s">
        <v>174</v>
      </c>
      <c r="O129" s="28">
        <v>15</v>
      </c>
      <c r="P129" s="31">
        <v>-15</v>
      </c>
    </row>
    <row r="130" spans="2:16" x14ac:dyDescent="0.3">
      <c r="B130" s="43">
        <v>46162</v>
      </c>
      <c r="C130" s="4" t="s">
        <v>35</v>
      </c>
      <c r="D130" s="44" t="s">
        <v>126</v>
      </c>
      <c r="E130" s="4" t="s">
        <v>37</v>
      </c>
      <c r="F130" s="45" t="s">
        <v>10</v>
      </c>
      <c r="G130" s="44" t="s">
        <v>44</v>
      </c>
      <c r="H130" s="4" t="s">
        <v>88</v>
      </c>
      <c r="I130" s="4" t="s">
        <v>158</v>
      </c>
      <c r="J130" s="47">
        <v>15</v>
      </c>
      <c r="K130" s="5">
        <v>-15</v>
      </c>
      <c r="L130" s="6" t="s">
        <v>93</v>
      </c>
      <c r="M130" s="48">
        <v>8168.0700000000006</v>
      </c>
      <c r="N130" s="28" t="s">
        <v>174</v>
      </c>
      <c r="O130" s="28">
        <v>15</v>
      </c>
      <c r="P130" s="31">
        <v>-15</v>
      </c>
    </row>
    <row r="131" spans="2:16" x14ac:dyDescent="0.3">
      <c r="B131" s="43">
        <v>46162</v>
      </c>
      <c r="C131" s="4" t="s">
        <v>21</v>
      </c>
      <c r="D131" s="44" t="s">
        <v>104</v>
      </c>
      <c r="E131" s="4" t="s">
        <v>37</v>
      </c>
      <c r="F131" s="45" t="s">
        <v>10</v>
      </c>
      <c r="G131" s="44" t="s">
        <v>46</v>
      </c>
      <c r="H131" s="4" t="s">
        <v>89</v>
      </c>
      <c r="I131" s="4" t="s">
        <v>158</v>
      </c>
      <c r="J131" s="47">
        <v>2472.2199999999998</v>
      </c>
      <c r="K131" s="5">
        <v>-2472.2199999999998</v>
      </c>
      <c r="L131" s="6" t="s">
        <v>93</v>
      </c>
      <c r="M131" s="48">
        <v>211018.51999999938</v>
      </c>
      <c r="N131" s="28" t="s">
        <v>174</v>
      </c>
      <c r="O131" s="28">
        <v>2472.2199999999998</v>
      </c>
      <c r="P131" s="31">
        <v>-2472.2199999999998</v>
      </c>
    </row>
    <row r="132" spans="2:16" x14ac:dyDescent="0.3">
      <c r="B132" s="43">
        <v>46162</v>
      </c>
      <c r="C132" s="4" t="s">
        <v>21</v>
      </c>
      <c r="D132" s="44" t="s">
        <v>104</v>
      </c>
      <c r="E132" s="4" t="s">
        <v>37</v>
      </c>
      <c r="F132" s="45" t="s">
        <v>10</v>
      </c>
      <c r="G132" s="44" t="s">
        <v>65</v>
      </c>
      <c r="H132" s="4" t="s">
        <v>88</v>
      </c>
      <c r="I132" s="4" t="s">
        <v>158</v>
      </c>
      <c r="J132" s="47">
        <v>20000</v>
      </c>
      <c r="K132" s="5">
        <v>-20000</v>
      </c>
      <c r="L132" s="6" t="s">
        <v>93</v>
      </c>
      <c r="M132" s="48">
        <v>211018.51999999938</v>
      </c>
      <c r="N132" s="28" t="s">
        <v>174</v>
      </c>
      <c r="O132" s="28">
        <v>20000</v>
      </c>
      <c r="P132" s="31">
        <v>-20000</v>
      </c>
    </row>
    <row r="133" spans="2:16" x14ac:dyDescent="0.3">
      <c r="B133" s="43">
        <v>46162</v>
      </c>
      <c r="C133" s="4" t="s">
        <v>35</v>
      </c>
      <c r="D133" s="44" t="s">
        <v>126</v>
      </c>
      <c r="E133" s="4" t="s">
        <v>37</v>
      </c>
      <c r="F133" s="45" t="s">
        <v>10</v>
      </c>
      <c r="G133" s="44" t="s">
        <v>38</v>
      </c>
      <c r="H133" s="4" t="s">
        <v>88</v>
      </c>
      <c r="I133" s="4" t="s">
        <v>158</v>
      </c>
      <c r="J133" s="47">
        <v>45</v>
      </c>
      <c r="K133" s="5">
        <v>-45</v>
      </c>
      <c r="L133" s="6" t="s">
        <v>93</v>
      </c>
      <c r="M133" s="48">
        <v>8168.0700000000006</v>
      </c>
      <c r="N133" s="28" t="s">
        <v>174</v>
      </c>
      <c r="O133" s="28">
        <v>45</v>
      </c>
      <c r="P133" s="31">
        <v>-45</v>
      </c>
    </row>
    <row r="134" spans="2:16" x14ac:dyDescent="0.3">
      <c r="B134" s="43">
        <v>46162</v>
      </c>
      <c r="C134" s="4" t="s">
        <v>35</v>
      </c>
      <c r="D134" s="44" t="s">
        <v>126</v>
      </c>
      <c r="E134" s="4" t="s">
        <v>37</v>
      </c>
      <c r="F134" s="45" t="s">
        <v>10</v>
      </c>
      <c r="G134" s="44" t="s">
        <v>38</v>
      </c>
      <c r="H134" s="4" t="s">
        <v>88</v>
      </c>
      <c r="I134" s="4" t="s">
        <v>158</v>
      </c>
      <c r="J134" s="47">
        <v>49</v>
      </c>
      <c r="K134" s="5">
        <v>-49</v>
      </c>
      <c r="L134" s="6" t="s">
        <v>93</v>
      </c>
      <c r="M134" s="48">
        <v>8168.0700000000006</v>
      </c>
      <c r="N134" s="28" t="s">
        <v>174</v>
      </c>
      <c r="O134" s="28">
        <v>49</v>
      </c>
      <c r="P134" s="31">
        <v>-49</v>
      </c>
    </row>
    <row r="135" spans="2:16" x14ac:dyDescent="0.3">
      <c r="B135" s="43">
        <v>46162</v>
      </c>
      <c r="C135" s="4" t="s">
        <v>21</v>
      </c>
      <c r="D135" s="44" t="s">
        <v>104</v>
      </c>
      <c r="E135" s="4" t="s">
        <v>37</v>
      </c>
      <c r="F135" s="45" t="s">
        <v>10</v>
      </c>
      <c r="G135" s="44" t="s">
        <v>46</v>
      </c>
      <c r="H135" s="4" t="s">
        <v>89</v>
      </c>
      <c r="I135" s="4" t="s">
        <v>158</v>
      </c>
      <c r="J135" s="47">
        <v>26250</v>
      </c>
      <c r="K135" s="5">
        <v>-26250</v>
      </c>
      <c r="L135" s="6" t="s">
        <v>93</v>
      </c>
      <c r="M135" s="48">
        <v>211018.51999999938</v>
      </c>
      <c r="N135" s="28" t="s">
        <v>174</v>
      </c>
      <c r="O135" s="28">
        <v>26250</v>
      </c>
      <c r="P135" s="31">
        <v>-26250</v>
      </c>
    </row>
    <row r="136" spans="2:16" x14ac:dyDescent="0.3">
      <c r="B136" s="43">
        <v>46162</v>
      </c>
      <c r="C136" s="4" t="s">
        <v>21</v>
      </c>
      <c r="D136" s="44" t="s">
        <v>104</v>
      </c>
      <c r="E136" s="4" t="s">
        <v>37</v>
      </c>
      <c r="F136" s="45" t="s">
        <v>10</v>
      </c>
      <c r="G136" s="44" t="s">
        <v>46</v>
      </c>
      <c r="H136" s="4" t="s">
        <v>89</v>
      </c>
      <c r="I136" s="4" t="s">
        <v>158</v>
      </c>
      <c r="J136" s="47">
        <v>45833.33</v>
      </c>
      <c r="K136" s="5">
        <v>-45833.33</v>
      </c>
      <c r="L136" s="6" t="s">
        <v>93</v>
      </c>
      <c r="M136" s="48">
        <v>211018.51999999938</v>
      </c>
      <c r="N136" s="28" t="s">
        <v>174</v>
      </c>
      <c r="O136" s="28">
        <v>45833.33</v>
      </c>
      <c r="P136" s="31">
        <v>-45833.33</v>
      </c>
    </row>
    <row r="137" spans="2:16" x14ac:dyDescent="0.3">
      <c r="B137" s="43">
        <v>46162</v>
      </c>
      <c r="C137" s="4" t="s">
        <v>21</v>
      </c>
      <c r="D137" s="44" t="s">
        <v>104</v>
      </c>
      <c r="E137" s="4" t="s">
        <v>37</v>
      </c>
      <c r="F137" s="45" t="s">
        <v>10</v>
      </c>
      <c r="G137" s="44" t="s">
        <v>46</v>
      </c>
      <c r="H137" s="4" t="s">
        <v>89</v>
      </c>
      <c r="I137" s="4" t="s">
        <v>158</v>
      </c>
      <c r="J137" s="47">
        <v>49583.34</v>
      </c>
      <c r="K137" s="5">
        <v>-49583.34</v>
      </c>
      <c r="L137" s="6" t="s">
        <v>93</v>
      </c>
      <c r="M137" s="48">
        <v>211018.51999999938</v>
      </c>
      <c r="N137" s="28" t="s">
        <v>174</v>
      </c>
      <c r="O137" s="28">
        <v>49583.34</v>
      </c>
      <c r="P137" s="31">
        <v>-49583.34</v>
      </c>
    </row>
    <row r="138" spans="2:16" x14ac:dyDescent="0.3">
      <c r="B138" s="43">
        <v>46162</v>
      </c>
      <c r="C138" s="4" t="s">
        <v>21</v>
      </c>
      <c r="D138" s="44" t="s">
        <v>101</v>
      </c>
      <c r="E138" s="4" t="s">
        <v>36</v>
      </c>
      <c r="F138" s="45" t="s">
        <v>10</v>
      </c>
      <c r="G138" s="44" t="s">
        <v>38</v>
      </c>
      <c r="H138" s="4" t="s">
        <v>88</v>
      </c>
      <c r="I138" s="4" t="s">
        <v>158</v>
      </c>
      <c r="J138" s="47">
        <v>6.35</v>
      </c>
      <c r="K138" s="5">
        <v>-6.35</v>
      </c>
      <c r="L138" s="6" t="s">
        <v>93</v>
      </c>
      <c r="M138" s="48">
        <v>12325.960000000001</v>
      </c>
      <c r="N138" s="28" t="s">
        <v>174</v>
      </c>
      <c r="O138" s="28">
        <v>6.35</v>
      </c>
      <c r="P138" s="31">
        <v>-6.35</v>
      </c>
    </row>
    <row r="139" spans="2:16" x14ac:dyDescent="0.3">
      <c r="B139" s="43">
        <v>46162</v>
      </c>
      <c r="C139" s="4" t="s">
        <v>21</v>
      </c>
      <c r="D139" s="44" t="s">
        <v>101</v>
      </c>
      <c r="E139" s="4" t="s">
        <v>36</v>
      </c>
      <c r="F139" s="45" t="s">
        <v>10</v>
      </c>
      <c r="G139" s="44" t="s">
        <v>41</v>
      </c>
      <c r="H139" s="4" t="s">
        <v>88</v>
      </c>
      <c r="I139" s="4" t="s">
        <v>158</v>
      </c>
      <c r="J139" s="47">
        <v>91</v>
      </c>
      <c r="K139" s="5">
        <v>-91</v>
      </c>
      <c r="L139" s="6" t="s">
        <v>93</v>
      </c>
      <c r="M139" s="48">
        <v>12325.960000000001</v>
      </c>
      <c r="N139" s="28" t="s">
        <v>174</v>
      </c>
      <c r="O139" s="28">
        <v>91</v>
      </c>
      <c r="P139" s="31">
        <v>-91</v>
      </c>
    </row>
    <row r="140" spans="2:16" x14ac:dyDescent="0.3">
      <c r="B140" s="43">
        <v>46162</v>
      </c>
      <c r="C140" s="4" t="s">
        <v>21</v>
      </c>
      <c r="D140" s="44" t="s">
        <v>102</v>
      </c>
      <c r="E140" s="4" t="s">
        <v>36</v>
      </c>
      <c r="F140" s="45" t="s">
        <v>10</v>
      </c>
      <c r="G140" s="44" t="s">
        <v>38</v>
      </c>
      <c r="H140" s="4" t="s">
        <v>88</v>
      </c>
      <c r="I140" s="4" t="s">
        <v>158</v>
      </c>
      <c r="J140" s="47">
        <v>166.66</v>
      </c>
      <c r="K140" s="5">
        <v>-166.66</v>
      </c>
      <c r="L140" s="6" t="s">
        <v>93</v>
      </c>
      <c r="M140" s="48">
        <v>563</v>
      </c>
      <c r="N140" s="28" t="s">
        <v>174</v>
      </c>
      <c r="O140" s="28">
        <v>166.66</v>
      </c>
      <c r="P140" s="31">
        <v>-166.66</v>
      </c>
    </row>
    <row r="141" spans="2:16" x14ac:dyDescent="0.3">
      <c r="B141" s="43">
        <v>46162</v>
      </c>
      <c r="C141" s="4" t="s">
        <v>17</v>
      </c>
      <c r="D141" s="44" t="s">
        <v>94</v>
      </c>
      <c r="E141" s="4" t="s">
        <v>36</v>
      </c>
      <c r="F141" s="45" t="s">
        <v>10</v>
      </c>
      <c r="G141" s="44" t="s">
        <v>64</v>
      </c>
      <c r="H141" s="4" t="s">
        <v>88</v>
      </c>
      <c r="I141" s="4" t="s">
        <v>159</v>
      </c>
      <c r="J141" s="47">
        <v>650000</v>
      </c>
      <c r="K141" s="5">
        <v>-650000</v>
      </c>
      <c r="L141" s="6" t="s">
        <v>93</v>
      </c>
      <c r="M141" s="48">
        <v>11583.909999999974</v>
      </c>
      <c r="N141" s="28" t="s">
        <v>174</v>
      </c>
      <c r="O141" s="28">
        <v>650000</v>
      </c>
      <c r="P141" s="31">
        <v>-650000</v>
      </c>
    </row>
    <row r="142" spans="2:16" x14ac:dyDescent="0.3">
      <c r="B142" s="43">
        <v>46162</v>
      </c>
      <c r="C142" s="4" t="s">
        <v>17</v>
      </c>
      <c r="D142" s="44" t="s">
        <v>94</v>
      </c>
      <c r="E142" s="4" t="s">
        <v>36</v>
      </c>
      <c r="F142" s="45" t="s">
        <v>10</v>
      </c>
      <c r="G142" s="44" t="s">
        <v>44</v>
      </c>
      <c r="H142" s="4" t="s">
        <v>88</v>
      </c>
      <c r="I142" s="4" t="s">
        <v>158</v>
      </c>
      <c r="J142" s="47">
        <v>30</v>
      </c>
      <c r="K142" s="5">
        <v>-30</v>
      </c>
      <c r="L142" s="6" t="s">
        <v>93</v>
      </c>
      <c r="M142" s="48">
        <v>11583.909999999974</v>
      </c>
      <c r="N142" s="28" t="s">
        <v>174</v>
      </c>
      <c r="O142" s="28">
        <v>30</v>
      </c>
      <c r="P142" s="31">
        <v>-30</v>
      </c>
    </row>
    <row r="143" spans="2:16" x14ac:dyDescent="0.3">
      <c r="B143" s="43">
        <v>46162</v>
      </c>
      <c r="C143" s="4" t="s">
        <v>22</v>
      </c>
      <c r="D143" s="44" t="s">
        <v>110</v>
      </c>
      <c r="E143" s="4" t="s">
        <v>36</v>
      </c>
      <c r="F143" s="45" t="s">
        <v>9</v>
      </c>
      <c r="G143" s="44" t="s">
        <v>79</v>
      </c>
      <c r="H143" s="4" t="s">
        <v>90</v>
      </c>
      <c r="I143" s="4" t="s">
        <v>158</v>
      </c>
      <c r="J143" s="47">
        <v>50000</v>
      </c>
      <c r="K143" s="5">
        <v>50000</v>
      </c>
      <c r="L143" s="6" t="s">
        <v>93</v>
      </c>
      <c r="M143" s="48">
        <v>57206.89</v>
      </c>
      <c r="N143" s="28">
        <v>50000</v>
      </c>
      <c r="O143" s="28" t="s">
        <v>174</v>
      </c>
      <c r="P143" s="31">
        <v>50000</v>
      </c>
    </row>
    <row r="144" spans="2:16" x14ac:dyDescent="0.3">
      <c r="B144" s="43">
        <v>46162</v>
      </c>
      <c r="C144" s="4" t="s">
        <v>22</v>
      </c>
      <c r="D144" s="44" t="s">
        <v>110</v>
      </c>
      <c r="E144" s="4" t="s">
        <v>36</v>
      </c>
      <c r="F144" s="45" t="s">
        <v>10</v>
      </c>
      <c r="G144" s="44" t="s">
        <v>44</v>
      </c>
      <c r="H144" s="4" t="s">
        <v>88</v>
      </c>
      <c r="I144" s="4" t="s">
        <v>158</v>
      </c>
      <c r="J144" s="47">
        <v>15</v>
      </c>
      <c r="K144" s="5">
        <v>-15</v>
      </c>
      <c r="L144" s="6" t="s">
        <v>93</v>
      </c>
      <c r="M144" s="48">
        <v>57206.89</v>
      </c>
      <c r="N144" s="28" t="s">
        <v>174</v>
      </c>
      <c r="O144" s="28">
        <v>15</v>
      </c>
      <c r="P144" s="31">
        <v>-15</v>
      </c>
    </row>
    <row r="145" spans="2:16" x14ac:dyDescent="0.3">
      <c r="B145" s="43">
        <v>46162</v>
      </c>
      <c r="C145" s="4" t="s">
        <v>33</v>
      </c>
      <c r="D145" s="44" t="s">
        <v>124</v>
      </c>
      <c r="E145" s="4" t="s">
        <v>36</v>
      </c>
      <c r="F145" s="45" t="s">
        <v>9</v>
      </c>
      <c r="G145" s="44" t="s">
        <v>82</v>
      </c>
      <c r="H145" s="4" t="s">
        <v>88</v>
      </c>
      <c r="I145" s="4" t="s">
        <v>158</v>
      </c>
      <c r="J145" s="47">
        <v>2200</v>
      </c>
      <c r="K145" s="5">
        <v>2200</v>
      </c>
      <c r="L145" s="6" t="s">
        <v>93</v>
      </c>
      <c r="M145" s="48">
        <v>29206.27</v>
      </c>
      <c r="N145" s="28">
        <v>2200</v>
      </c>
      <c r="O145" s="28" t="s">
        <v>174</v>
      </c>
      <c r="P145" s="31">
        <v>2200</v>
      </c>
    </row>
    <row r="146" spans="2:16" x14ac:dyDescent="0.3">
      <c r="B146" s="43">
        <v>46162</v>
      </c>
      <c r="C146" s="4" t="s">
        <v>17</v>
      </c>
      <c r="D146" s="44" t="s">
        <v>95</v>
      </c>
      <c r="E146" s="4" t="s">
        <v>37</v>
      </c>
      <c r="F146" s="45" t="s">
        <v>9</v>
      </c>
      <c r="G146" s="44" t="s">
        <v>86</v>
      </c>
      <c r="H146" s="4" t="s">
        <v>90</v>
      </c>
      <c r="I146" s="4" t="s">
        <v>158</v>
      </c>
      <c r="J146" s="47">
        <v>25274</v>
      </c>
      <c r="K146" s="5">
        <v>25274</v>
      </c>
      <c r="L146" s="6" t="s">
        <v>93</v>
      </c>
      <c r="M146" s="48">
        <v>125481.8600000001</v>
      </c>
      <c r="N146" s="28">
        <v>25274</v>
      </c>
      <c r="O146" s="28" t="s">
        <v>174</v>
      </c>
      <c r="P146" s="31">
        <v>25274</v>
      </c>
    </row>
    <row r="147" spans="2:16" x14ac:dyDescent="0.3">
      <c r="B147" s="43">
        <v>46162</v>
      </c>
      <c r="C147" s="4" t="s">
        <v>17</v>
      </c>
      <c r="D147" s="44" t="s">
        <v>95</v>
      </c>
      <c r="E147" s="4" t="s">
        <v>37</v>
      </c>
      <c r="F147" s="45" t="s">
        <v>9</v>
      </c>
      <c r="G147" s="44" t="s">
        <v>85</v>
      </c>
      <c r="H147" s="4" t="s">
        <v>88</v>
      </c>
      <c r="I147" s="4" t="s">
        <v>159</v>
      </c>
      <c r="J147" s="47">
        <v>650000</v>
      </c>
      <c r="K147" s="5">
        <v>650000</v>
      </c>
      <c r="L147" s="6" t="s">
        <v>93</v>
      </c>
      <c r="M147" s="48">
        <v>125481.8600000001</v>
      </c>
      <c r="N147" s="28">
        <v>650000</v>
      </c>
      <c r="O147" s="28" t="s">
        <v>174</v>
      </c>
      <c r="P147" s="31">
        <v>650000</v>
      </c>
    </row>
    <row r="148" spans="2:16" x14ac:dyDescent="0.3">
      <c r="B148" s="43">
        <v>46162</v>
      </c>
      <c r="C148" s="4" t="s">
        <v>17</v>
      </c>
      <c r="D148" s="44" t="s">
        <v>95</v>
      </c>
      <c r="E148" s="4" t="s">
        <v>37</v>
      </c>
      <c r="F148" s="45" t="s">
        <v>10</v>
      </c>
      <c r="G148" s="44" t="s">
        <v>46</v>
      </c>
      <c r="H148" s="4" t="s">
        <v>89</v>
      </c>
      <c r="I148" s="4" t="s">
        <v>158</v>
      </c>
      <c r="J148" s="47">
        <v>2366.67</v>
      </c>
      <c r="K148" s="5">
        <v>-2366.67</v>
      </c>
      <c r="L148" s="6" t="s">
        <v>93</v>
      </c>
      <c r="M148" s="48">
        <v>125481.8600000001</v>
      </c>
      <c r="N148" s="28" t="s">
        <v>174</v>
      </c>
      <c r="O148" s="28">
        <v>2366.67</v>
      </c>
      <c r="P148" s="31">
        <v>-2366.67</v>
      </c>
    </row>
    <row r="149" spans="2:16" x14ac:dyDescent="0.3">
      <c r="B149" s="43">
        <v>46162</v>
      </c>
      <c r="C149" s="4" t="s">
        <v>17</v>
      </c>
      <c r="D149" s="44" t="s">
        <v>95</v>
      </c>
      <c r="E149" s="4" t="s">
        <v>37</v>
      </c>
      <c r="F149" s="45" t="s">
        <v>10</v>
      </c>
      <c r="G149" s="44" t="s">
        <v>46</v>
      </c>
      <c r="H149" s="4" t="s">
        <v>89</v>
      </c>
      <c r="I149" s="4" t="s">
        <v>158</v>
      </c>
      <c r="J149" s="47">
        <v>2916.67</v>
      </c>
      <c r="K149" s="5">
        <v>-2916.67</v>
      </c>
      <c r="L149" s="6" t="s">
        <v>93</v>
      </c>
      <c r="M149" s="48">
        <v>125481.8600000001</v>
      </c>
      <c r="N149" s="28" t="s">
        <v>174</v>
      </c>
      <c r="O149" s="28">
        <v>2916.67</v>
      </c>
      <c r="P149" s="31">
        <v>-2916.67</v>
      </c>
    </row>
    <row r="150" spans="2:16" x14ac:dyDescent="0.3">
      <c r="B150" s="43">
        <v>46162</v>
      </c>
      <c r="C150" s="4" t="s">
        <v>17</v>
      </c>
      <c r="D150" s="44" t="s">
        <v>95</v>
      </c>
      <c r="E150" s="4" t="s">
        <v>37</v>
      </c>
      <c r="F150" s="45" t="s">
        <v>10</v>
      </c>
      <c r="G150" s="44" t="s">
        <v>46</v>
      </c>
      <c r="H150" s="4" t="s">
        <v>89</v>
      </c>
      <c r="I150" s="4" t="s">
        <v>158</v>
      </c>
      <c r="J150" s="47">
        <v>3500</v>
      </c>
      <c r="K150" s="5">
        <v>-3500</v>
      </c>
      <c r="L150" s="6" t="s">
        <v>93</v>
      </c>
      <c r="M150" s="48">
        <v>125481.8600000001</v>
      </c>
      <c r="N150" s="28" t="s">
        <v>174</v>
      </c>
      <c r="O150" s="28">
        <v>3500</v>
      </c>
      <c r="P150" s="31">
        <v>-3500</v>
      </c>
    </row>
    <row r="151" spans="2:16" x14ac:dyDescent="0.3">
      <c r="B151" s="43">
        <v>46162</v>
      </c>
      <c r="C151" s="4" t="s">
        <v>17</v>
      </c>
      <c r="D151" s="44" t="s">
        <v>95</v>
      </c>
      <c r="E151" s="4" t="s">
        <v>37</v>
      </c>
      <c r="F151" s="45" t="s">
        <v>10</v>
      </c>
      <c r="G151" s="44" t="s">
        <v>46</v>
      </c>
      <c r="H151" s="4" t="s">
        <v>89</v>
      </c>
      <c r="I151" s="4" t="s">
        <v>158</v>
      </c>
      <c r="J151" s="47">
        <v>3708.33</v>
      </c>
      <c r="K151" s="5">
        <v>-3708.33</v>
      </c>
      <c r="L151" s="6" t="s">
        <v>93</v>
      </c>
      <c r="M151" s="48">
        <v>125481.8600000001</v>
      </c>
      <c r="N151" s="28" t="s">
        <v>174</v>
      </c>
      <c r="O151" s="28">
        <v>3708.33</v>
      </c>
      <c r="P151" s="31">
        <v>-3708.33</v>
      </c>
    </row>
    <row r="152" spans="2:16" x14ac:dyDescent="0.3">
      <c r="B152" s="43">
        <v>46162</v>
      </c>
      <c r="C152" s="4" t="s">
        <v>17</v>
      </c>
      <c r="D152" s="44" t="s">
        <v>95</v>
      </c>
      <c r="E152" s="4" t="s">
        <v>37</v>
      </c>
      <c r="F152" s="45" t="s">
        <v>10</v>
      </c>
      <c r="G152" s="44" t="s">
        <v>46</v>
      </c>
      <c r="H152" s="4" t="s">
        <v>89</v>
      </c>
      <c r="I152" s="4" t="s">
        <v>158</v>
      </c>
      <c r="J152" s="47">
        <v>10266.67</v>
      </c>
      <c r="K152" s="5">
        <v>-10266.67</v>
      </c>
      <c r="L152" s="6" t="s">
        <v>93</v>
      </c>
      <c r="M152" s="48">
        <v>125481.8600000001</v>
      </c>
      <c r="N152" s="28" t="s">
        <v>174</v>
      </c>
      <c r="O152" s="28">
        <v>10266.67</v>
      </c>
      <c r="P152" s="31">
        <v>-10266.67</v>
      </c>
    </row>
    <row r="153" spans="2:16" x14ac:dyDescent="0.3">
      <c r="B153" s="43">
        <v>46162</v>
      </c>
      <c r="C153" s="4" t="s">
        <v>17</v>
      </c>
      <c r="D153" s="44" t="s">
        <v>95</v>
      </c>
      <c r="E153" s="4" t="s">
        <v>37</v>
      </c>
      <c r="F153" s="45" t="s">
        <v>10</v>
      </c>
      <c r="G153" s="44" t="s">
        <v>46</v>
      </c>
      <c r="H153" s="4" t="s">
        <v>89</v>
      </c>
      <c r="I153" s="4" t="s">
        <v>158</v>
      </c>
      <c r="J153" s="47">
        <v>11666.67</v>
      </c>
      <c r="K153" s="5">
        <v>-11666.67</v>
      </c>
      <c r="L153" s="6" t="s">
        <v>93</v>
      </c>
      <c r="M153" s="48">
        <v>125481.8600000001</v>
      </c>
      <c r="N153" s="28" t="s">
        <v>174</v>
      </c>
      <c r="O153" s="28">
        <v>11666.67</v>
      </c>
      <c r="P153" s="31">
        <v>-11666.67</v>
      </c>
    </row>
    <row r="154" spans="2:16" x14ac:dyDescent="0.3">
      <c r="B154" s="43">
        <v>46162</v>
      </c>
      <c r="C154" s="4" t="s">
        <v>17</v>
      </c>
      <c r="D154" s="44" t="s">
        <v>95</v>
      </c>
      <c r="E154" s="4" t="s">
        <v>37</v>
      </c>
      <c r="F154" s="45" t="s">
        <v>10</v>
      </c>
      <c r="G154" s="44" t="s">
        <v>46</v>
      </c>
      <c r="H154" s="4" t="s">
        <v>89</v>
      </c>
      <c r="I154" s="4" t="s">
        <v>158</v>
      </c>
      <c r="J154" s="47">
        <v>22166.67</v>
      </c>
      <c r="K154" s="5">
        <v>-22166.67</v>
      </c>
      <c r="L154" s="6" t="s">
        <v>93</v>
      </c>
      <c r="M154" s="48">
        <v>125481.8600000001</v>
      </c>
      <c r="N154" s="28" t="s">
        <v>174</v>
      </c>
      <c r="O154" s="28">
        <v>22166.67</v>
      </c>
      <c r="P154" s="31">
        <v>-22166.67</v>
      </c>
    </row>
    <row r="155" spans="2:16" x14ac:dyDescent="0.3">
      <c r="B155" s="43">
        <v>46162</v>
      </c>
      <c r="C155" s="4" t="s">
        <v>17</v>
      </c>
      <c r="D155" s="44" t="s">
        <v>95</v>
      </c>
      <c r="E155" s="4" t="s">
        <v>37</v>
      </c>
      <c r="F155" s="45" t="s">
        <v>10</v>
      </c>
      <c r="G155" s="44" t="s">
        <v>46</v>
      </c>
      <c r="H155" s="4" t="s">
        <v>89</v>
      </c>
      <c r="I155" s="4" t="s">
        <v>158</v>
      </c>
      <c r="J155" s="47">
        <v>23333.33</v>
      </c>
      <c r="K155" s="5">
        <v>-23333.33</v>
      </c>
      <c r="L155" s="6" t="s">
        <v>93</v>
      </c>
      <c r="M155" s="48">
        <v>125481.8600000001</v>
      </c>
      <c r="N155" s="28" t="s">
        <v>174</v>
      </c>
      <c r="O155" s="28">
        <v>23333.33</v>
      </c>
      <c r="P155" s="31">
        <v>-23333.33</v>
      </c>
    </row>
    <row r="156" spans="2:16" x14ac:dyDescent="0.3">
      <c r="B156" s="43">
        <v>46162</v>
      </c>
      <c r="C156" s="4" t="s">
        <v>17</v>
      </c>
      <c r="D156" s="44" t="s">
        <v>95</v>
      </c>
      <c r="E156" s="4" t="s">
        <v>37</v>
      </c>
      <c r="F156" s="45" t="s">
        <v>10</v>
      </c>
      <c r="G156" s="44" t="s">
        <v>61</v>
      </c>
      <c r="H156" s="4" t="s">
        <v>88</v>
      </c>
      <c r="I156" s="4" t="s">
        <v>158</v>
      </c>
      <c r="J156" s="47">
        <v>35000</v>
      </c>
      <c r="K156" s="5">
        <v>-35000</v>
      </c>
      <c r="L156" s="6" t="s">
        <v>93</v>
      </c>
      <c r="M156" s="48">
        <v>125481.8600000001</v>
      </c>
      <c r="N156" s="28" t="s">
        <v>174</v>
      </c>
      <c r="O156" s="28">
        <v>35000</v>
      </c>
      <c r="P156" s="31">
        <v>-35000</v>
      </c>
    </row>
    <row r="157" spans="2:16" x14ac:dyDescent="0.3">
      <c r="B157" s="43">
        <v>46162</v>
      </c>
      <c r="C157" s="4" t="s">
        <v>17</v>
      </c>
      <c r="D157" s="44" t="s">
        <v>95</v>
      </c>
      <c r="E157" s="4" t="s">
        <v>37</v>
      </c>
      <c r="F157" s="45" t="s">
        <v>10</v>
      </c>
      <c r="G157" s="44" t="s">
        <v>61</v>
      </c>
      <c r="H157" s="4" t="s">
        <v>88</v>
      </c>
      <c r="I157" s="4" t="s">
        <v>158</v>
      </c>
      <c r="J157" s="47">
        <v>65000</v>
      </c>
      <c r="K157" s="5">
        <v>-65000</v>
      </c>
      <c r="L157" s="6" t="s">
        <v>93</v>
      </c>
      <c r="M157" s="48">
        <v>125481.8600000001</v>
      </c>
      <c r="N157" s="28" t="s">
        <v>174</v>
      </c>
      <c r="O157" s="28">
        <v>65000</v>
      </c>
      <c r="P157" s="31">
        <v>-65000</v>
      </c>
    </row>
    <row r="158" spans="2:16" x14ac:dyDescent="0.3">
      <c r="B158" s="43">
        <v>46162</v>
      </c>
      <c r="C158" s="4" t="s">
        <v>17</v>
      </c>
      <c r="D158" s="44" t="s">
        <v>95</v>
      </c>
      <c r="E158" s="4" t="s">
        <v>37</v>
      </c>
      <c r="F158" s="45" t="s">
        <v>10</v>
      </c>
      <c r="G158" s="44" t="s">
        <v>46</v>
      </c>
      <c r="H158" s="4" t="s">
        <v>89</v>
      </c>
      <c r="I158" s="4" t="s">
        <v>158</v>
      </c>
      <c r="J158" s="47">
        <v>68750</v>
      </c>
      <c r="K158" s="5">
        <v>-68750</v>
      </c>
      <c r="L158" s="6" t="s">
        <v>93</v>
      </c>
      <c r="M158" s="48">
        <v>125481.8600000001</v>
      </c>
      <c r="N158" s="28" t="s">
        <v>174</v>
      </c>
      <c r="O158" s="28">
        <v>68750</v>
      </c>
      <c r="P158" s="31">
        <v>-68750</v>
      </c>
    </row>
    <row r="159" spans="2:16" x14ac:dyDescent="0.3">
      <c r="B159" s="43">
        <v>46162</v>
      </c>
      <c r="C159" s="4" t="s">
        <v>17</v>
      </c>
      <c r="D159" s="44" t="s">
        <v>95</v>
      </c>
      <c r="E159" s="4" t="s">
        <v>37</v>
      </c>
      <c r="F159" s="45" t="s">
        <v>10</v>
      </c>
      <c r="G159" s="44" t="s">
        <v>61</v>
      </c>
      <c r="H159" s="4" t="s">
        <v>88</v>
      </c>
      <c r="I159" s="4" t="s">
        <v>158</v>
      </c>
      <c r="J159" s="47">
        <v>100000</v>
      </c>
      <c r="K159" s="5">
        <v>-100000</v>
      </c>
      <c r="L159" s="6" t="s">
        <v>93</v>
      </c>
      <c r="M159" s="48">
        <v>125481.8600000001</v>
      </c>
      <c r="N159" s="28" t="s">
        <v>174</v>
      </c>
      <c r="O159" s="28">
        <v>100000</v>
      </c>
      <c r="P159" s="31">
        <v>-100000</v>
      </c>
    </row>
    <row r="160" spans="2:16" x14ac:dyDescent="0.3">
      <c r="B160" s="43">
        <v>46162</v>
      </c>
      <c r="C160" s="4" t="s">
        <v>17</v>
      </c>
      <c r="D160" s="44" t="s">
        <v>95</v>
      </c>
      <c r="E160" s="4" t="s">
        <v>37</v>
      </c>
      <c r="F160" s="45" t="s">
        <v>10</v>
      </c>
      <c r="G160" s="44" t="s">
        <v>62</v>
      </c>
      <c r="H160" s="4" t="s">
        <v>88</v>
      </c>
      <c r="I160" s="4" t="s">
        <v>159</v>
      </c>
      <c r="J160" s="47">
        <v>350000</v>
      </c>
      <c r="K160" s="5">
        <v>-350000</v>
      </c>
      <c r="L160" s="6" t="s">
        <v>93</v>
      </c>
      <c r="M160" s="48">
        <v>125481.8600000001</v>
      </c>
      <c r="N160" s="28" t="s">
        <v>174</v>
      </c>
      <c r="O160" s="28">
        <v>350000</v>
      </c>
      <c r="P160" s="31">
        <v>-350000</v>
      </c>
    </row>
    <row r="161" spans="2:16" x14ac:dyDescent="0.3">
      <c r="B161" s="43">
        <v>46162</v>
      </c>
      <c r="C161" s="4" t="s">
        <v>21</v>
      </c>
      <c r="D161" s="44" t="s">
        <v>104</v>
      </c>
      <c r="E161" s="4" t="s">
        <v>37</v>
      </c>
      <c r="F161" s="45" t="s">
        <v>10</v>
      </c>
      <c r="G161" s="44" t="s">
        <v>60</v>
      </c>
      <c r="H161" s="4" t="s">
        <v>90</v>
      </c>
      <c r="I161" s="4" t="s">
        <v>159</v>
      </c>
      <c r="J161" s="47">
        <v>50000</v>
      </c>
      <c r="K161" s="5">
        <v>-50000</v>
      </c>
      <c r="L161" s="6" t="s">
        <v>93</v>
      </c>
      <c r="M161" s="48">
        <v>211018.51999999938</v>
      </c>
      <c r="N161" s="28" t="s">
        <v>174</v>
      </c>
      <c r="O161" s="28">
        <v>50000</v>
      </c>
      <c r="P161" s="31">
        <v>-50000</v>
      </c>
    </row>
    <row r="162" spans="2:16" x14ac:dyDescent="0.3">
      <c r="B162" s="43">
        <v>46162</v>
      </c>
      <c r="C162" s="4" t="s">
        <v>21</v>
      </c>
      <c r="D162" s="45" t="s">
        <v>104</v>
      </c>
      <c r="E162" s="4" t="s">
        <v>37</v>
      </c>
      <c r="F162" s="45" t="s">
        <v>10</v>
      </c>
      <c r="G162" s="45" t="s">
        <v>60</v>
      </c>
      <c r="H162" s="4" t="s">
        <v>90</v>
      </c>
      <c r="I162" s="4" t="s">
        <v>159</v>
      </c>
      <c r="J162" s="47">
        <v>100000</v>
      </c>
      <c r="K162" s="5">
        <v>-100000</v>
      </c>
      <c r="L162" s="6" t="s">
        <v>93</v>
      </c>
      <c r="M162" s="48">
        <v>211018.51999999938</v>
      </c>
      <c r="N162" s="28" t="s">
        <v>174</v>
      </c>
      <c r="O162" s="28">
        <v>100000</v>
      </c>
      <c r="P162" s="31">
        <v>-100000</v>
      </c>
    </row>
    <row r="163" spans="2:16" x14ac:dyDescent="0.3">
      <c r="B163" s="43">
        <v>46162</v>
      </c>
      <c r="C163" s="4" t="s">
        <v>21</v>
      </c>
      <c r="D163" s="45" t="s">
        <v>104</v>
      </c>
      <c r="E163" s="4" t="s">
        <v>37</v>
      </c>
      <c r="F163" s="45" t="s">
        <v>9</v>
      </c>
      <c r="G163" s="45" t="s">
        <v>75</v>
      </c>
      <c r="H163" s="4" t="s">
        <v>89</v>
      </c>
      <c r="I163" s="4" t="s">
        <v>159</v>
      </c>
      <c r="J163" s="47">
        <v>350000</v>
      </c>
      <c r="K163" s="5">
        <v>350000</v>
      </c>
      <c r="L163" s="6" t="s">
        <v>93</v>
      </c>
      <c r="M163" s="48">
        <v>211018.51999999938</v>
      </c>
      <c r="N163" s="28">
        <v>350000</v>
      </c>
      <c r="O163" s="28" t="s">
        <v>174</v>
      </c>
      <c r="P163" s="31">
        <v>350000</v>
      </c>
    </row>
    <row r="164" spans="2:16" x14ac:dyDescent="0.3">
      <c r="B164" s="43">
        <v>46162</v>
      </c>
      <c r="C164" s="4" t="s">
        <v>35</v>
      </c>
      <c r="D164" s="45" t="s">
        <v>126</v>
      </c>
      <c r="E164" s="4" t="s">
        <v>37</v>
      </c>
      <c r="F164" s="45" t="s">
        <v>10</v>
      </c>
      <c r="G164" s="45" t="s">
        <v>38</v>
      </c>
      <c r="H164" s="4" t="s">
        <v>88</v>
      </c>
      <c r="I164" s="4" t="s">
        <v>158</v>
      </c>
      <c r="J164" s="47">
        <v>5199.1400000000003</v>
      </c>
      <c r="K164" s="5">
        <v>-5199.1400000000003</v>
      </c>
      <c r="L164" s="6" t="s">
        <v>93</v>
      </c>
      <c r="M164" s="48">
        <v>8168.0700000000006</v>
      </c>
      <c r="N164" s="28" t="s">
        <v>174</v>
      </c>
      <c r="O164" s="28">
        <v>5199.1400000000003</v>
      </c>
      <c r="P164" s="31">
        <v>-5199.1400000000003</v>
      </c>
    </row>
    <row r="165" spans="2:16" x14ac:dyDescent="0.3">
      <c r="B165" s="43">
        <v>46162</v>
      </c>
      <c r="C165" s="4" t="s">
        <v>35</v>
      </c>
      <c r="D165" s="45" t="s">
        <v>126</v>
      </c>
      <c r="E165" s="4" t="s">
        <v>37</v>
      </c>
      <c r="F165" s="45" t="s">
        <v>10</v>
      </c>
      <c r="G165" s="45" t="s">
        <v>38</v>
      </c>
      <c r="H165" s="4" t="s">
        <v>88</v>
      </c>
      <c r="I165" s="4" t="s">
        <v>158</v>
      </c>
      <c r="J165" s="47">
        <v>5450</v>
      </c>
      <c r="K165" s="5">
        <v>-5450</v>
      </c>
      <c r="L165" s="6" t="s">
        <v>93</v>
      </c>
      <c r="M165" s="48">
        <v>8168.0700000000006</v>
      </c>
      <c r="N165" s="28" t="s">
        <v>174</v>
      </c>
      <c r="O165" s="28">
        <v>5450</v>
      </c>
      <c r="P165" s="31">
        <v>-5450</v>
      </c>
    </row>
    <row r="166" spans="2:16" x14ac:dyDescent="0.3">
      <c r="B166" s="43">
        <v>46163</v>
      </c>
      <c r="C166" s="4" t="s">
        <v>20</v>
      </c>
      <c r="D166" s="45" t="s">
        <v>100</v>
      </c>
      <c r="E166" s="4" t="s">
        <v>36</v>
      </c>
      <c r="F166" s="45" t="s">
        <v>10</v>
      </c>
      <c r="G166" s="45" t="s">
        <v>61</v>
      </c>
      <c r="H166" s="4" t="s">
        <v>88</v>
      </c>
      <c r="I166" s="4" t="s">
        <v>158</v>
      </c>
      <c r="J166" s="47">
        <v>60000</v>
      </c>
      <c r="K166" s="5">
        <v>-60000</v>
      </c>
      <c r="L166" s="6" t="s">
        <v>93</v>
      </c>
      <c r="M166" s="48">
        <v>497076.20999999985</v>
      </c>
      <c r="N166" s="28" t="s">
        <v>174</v>
      </c>
      <c r="O166" s="28">
        <v>60000</v>
      </c>
      <c r="P166" s="31">
        <v>-60000</v>
      </c>
    </row>
    <row r="167" spans="2:16" x14ac:dyDescent="0.3">
      <c r="B167" s="43">
        <v>46163</v>
      </c>
      <c r="C167" s="4" t="s">
        <v>20</v>
      </c>
      <c r="D167" s="45" t="s">
        <v>100</v>
      </c>
      <c r="E167" s="4" t="s">
        <v>36</v>
      </c>
      <c r="F167" s="45" t="s">
        <v>10</v>
      </c>
      <c r="G167" s="45" t="s">
        <v>60</v>
      </c>
      <c r="H167" s="4" t="s">
        <v>90</v>
      </c>
      <c r="I167" s="4" t="s">
        <v>159</v>
      </c>
      <c r="J167" s="47">
        <v>75000</v>
      </c>
      <c r="K167" s="5">
        <v>-75000</v>
      </c>
      <c r="L167" s="6" t="s">
        <v>93</v>
      </c>
      <c r="M167" s="48">
        <v>497076.20999999985</v>
      </c>
      <c r="N167" s="28" t="s">
        <v>174</v>
      </c>
      <c r="O167" s="28">
        <v>75000</v>
      </c>
      <c r="P167" s="31">
        <v>-75000</v>
      </c>
    </row>
    <row r="168" spans="2:16" x14ac:dyDescent="0.3">
      <c r="B168" s="43">
        <v>46163</v>
      </c>
      <c r="C168" s="4" t="s">
        <v>20</v>
      </c>
      <c r="D168" s="45" t="s">
        <v>100</v>
      </c>
      <c r="E168" s="4" t="s">
        <v>36</v>
      </c>
      <c r="F168" s="45" t="s">
        <v>10</v>
      </c>
      <c r="G168" s="45" t="s">
        <v>61</v>
      </c>
      <c r="H168" s="4" t="s">
        <v>88</v>
      </c>
      <c r="I168" s="4" t="s">
        <v>158</v>
      </c>
      <c r="J168" s="47">
        <v>100000</v>
      </c>
      <c r="K168" s="5">
        <v>-100000</v>
      </c>
      <c r="L168" s="6" t="s">
        <v>93</v>
      </c>
      <c r="M168" s="48">
        <v>497076.20999999985</v>
      </c>
      <c r="N168" s="28" t="s">
        <v>174</v>
      </c>
      <c r="O168" s="28">
        <v>100000</v>
      </c>
      <c r="P168" s="31">
        <v>-100000</v>
      </c>
    </row>
    <row r="169" spans="2:16" x14ac:dyDescent="0.3">
      <c r="B169" s="43">
        <v>46163</v>
      </c>
      <c r="C169" s="4" t="s">
        <v>20</v>
      </c>
      <c r="D169" s="45" t="s">
        <v>100</v>
      </c>
      <c r="E169" s="4" t="s">
        <v>36</v>
      </c>
      <c r="F169" s="45" t="s">
        <v>10</v>
      </c>
      <c r="G169" s="45" t="s">
        <v>61</v>
      </c>
      <c r="H169" s="4" t="s">
        <v>88</v>
      </c>
      <c r="I169" s="4" t="s">
        <v>158</v>
      </c>
      <c r="J169" s="47">
        <v>100000</v>
      </c>
      <c r="K169" s="5">
        <v>-100000</v>
      </c>
      <c r="L169" s="6" t="s">
        <v>93</v>
      </c>
      <c r="M169" s="48">
        <v>497076.20999999985</v>
      </c>
      <c r="N169" s="28" t="s">
        <v>174</v>
      </c>
      <c r="O169" s="28">
        <v>100000</v>
      </c>
      <c r="P169" s="31">
        <v>-100000</v>
      </c>
    </row>
    <row r="170" spans="2:16" x14ac:dyDescent="0.3">
      <c r="B170" s="43">
        <v>46163</v>
      </c>
      <c r="C170" s="4" t="s">
        <v>18</v>
      </c>
      <c r="D170" s="45" t="s">
        <v>97</v>
      </c>
      <c r="E170" s="4" t="s">
        <v>37</v>
      </c>
      <c r="F170" s="45" t="s">
        <v>9</v>
      </c>
      <c r="G170" s="45" t="s">
        <v>87</v>
      </c>
      <c r="H170" s="4" t="s">
        <v>88</v>
      </c>
      <c r="I170" s="4" t="s">
        <v>158</v>
      </c>
      <c r="J170" s="47">
        <v>600000</v>
      </c>
      <c r="K170" s="5">
        <v>600000</v>
      </c>
      <c r="L170" s="6" t="s">
        <v>93</v>
      </c>
      <c r="M170" s="48">
        <v>654760.15999999992</v>
      </c>
      <c r="N170" s="28">
        <v>600000</v>
      </c>
      <c r="O170" s="28" t="s">
        <v>174</v>
      </c>
      <c r="P170" s="31">
        <v>600000</v>
      </c>
    </row>
    <row r="171" spans="2:16" x14ac:dyDescent="0.3">
      <c r="B171" s="43">
        <v>46163</v>
      </c>
      <c r="C171" s="4" t="s">
        <v>23</v>
      </c>
      <c r="D171" s="45" t="s">
        <v>112</v>
      </c>
      <c r="E171" s="4" t="s">
        <v>36</v>
      </c>
      <c r="F171" s="45" t="s">
        <v>9</v>
      </c>
      <c r="H171" s="4">
        <v>0</v>
      </c>
      <c r="I171" s="4">
        <v>0</v>
      </c>
      <c r="J171" s="47">
        <v>75000</v>
      </c>
      <c r="K171" s="5">
        <v>75000</v>
      </c>
      <c r="L171" s="6" t="s">
        <v>93</v>
      </c>
      <c r="M171" s="48">
        <v>88090.37</v>
      </c>
      <c r="N171" s="28">
        <v>75000</v>
      </c>
      <c r="O171" s="28" t="s">
        <v>174</v>
      </c>
      <c r="P171" s="31">
        <v>75000</v>
      </c>
    </row>
    <row r="172" spans="2:16" x14ac:dyDescent="0.3">
      <c r="B172" s="43">
        <v>46164</v>
      </c>
      <c r="C172" s="4" t="s">
        <v>21</v>
      </c>
      <c r="D172" s="45" t="s">
        <v>101</v>
      </c>
      <c r="E172" s="4" t="s">
        <v>36</v>
      </c>
      <c r="F172" s="45" t="s">
        <v>10</v>
      </c>
      <c r="G172" s="45" t="s">
        <v>38</v>
      </c>
      <c r="H172" s="4" t="s">
        <v>88</v>
      </c>
      <c r="I172" s="4" t="s">
        <v>158</v>
      </c>
      <c r="J172" s="47">
        <v>762.99</v>
      </c>
      <c r="K172" s="5">
        <v>-762.99</v>
      </c>
      <c r="L172" s="6" t="s">
        <v>93</v>
      </c>
      <c r="M172" s="48">
        <v>11562.970000000001</v>
      </c>
      <c r="N172" s="28" t="s">
        <v>174</v>
      </c>
      <c r="O172" s="28">
        <v>762.99</v>
      </c>
      <c r="P172" s="31">
        <v>-762.99</v>
      </c>
    </row>
    <row r="173" spans="2:16" x14ac:dyDescent="0.3">
      <c r="B173" s="43">
        <v>46168</v>
      </c>
      <c r="C173" s="4" t="s">
        <v>17</v>
      </c>
      <c r="D173" s="45" t="s">
        <v>94</v>
      </c>
      <c r="E173" s="4" t="s">
        <v>36</v>
      </c>
      <c r="F173" s="45" t="s">
        <v>9</v>
      </c>
      <c r="G173" s="45" t="s">
        <v>68</v>
      </c>
      <c r="H173" s="4" t="s">
        <v>88</v>
      </c>
      <c r="I173" s="4" t="s">
        <v>158</v>
      </c>
      <c r="J173" s="47">
        <v>110832.53</v>
      </c>
      <c r="K173" s="5">
        <v>110832.53</v>
      </c>
      <c r="L173" s="6" t="s">
        <v>93</v>
      </c>
      <c r="M173" s="48">
        <v>122416.43999999997</v>
      </c>
      <c r="N173" s="28">
        <v>110832.53</v>
      </c>
      <c r="O173" s="28" t="s">
        <v>174</v>
      </c>
      <c r="P173" s="31">
        <v>110832.53</v>
      </c>
    </row>
    <row r="174" spans="2:16" x14ac:dyDescent="0.3">
      <c r="B174" s="43">
        <v>46168</v>
      </c>
      <c r="C174" s="4" t="s">
        <v>18</v>
      </c>
      <c r="D174" s="45" t="s">
        <v>97</v>
      </c>
      <c r="E174" s="4" t="s">
        <v>37</v>
      </c>
      <c r="F174" s="45" t="s">
        <v>9</v>
      </c>
      <c r="G174" s="45" t="s">
        <v>87</v>
      </c>
      <c r="H174" s="4" t="s">
        <v>88</v>
      </c>
      <c r="I174" s="4" t="s">
        <v>158</v>
      </c>
      <c r="J174" s="47">
        <v>600000</v>
      </c>
      <c r="K174" s="5">
        <v>600000</v>
      </c>
      <c r="L174" s="6" t="s">
        <v>93</v>
      </c>
      <c r="M174" s="48">
        <v>1254760.1600000001</v>
      </c>
      <c r="N174" s="28">
        <v>600000</v>
      </c>
      <c r="O174" s="28" t="s">
        <v>174</v>
      </c>
      <c r="P174" s="31">
        <v>600000</v>
      </c>
    </row>
    <row r="175" spans="2:16" x14ac:dyDescent="0.3">
      <c r="B175" s="43">
        <v>46169</v>
      </c>
      <c r="C175" s="4" t="s">
        <v>20</v>
      </c>
      <c r="D175" s="45" t="s">
        <v>100</v>
      </c>
      <c r="E175" s="4" t="s">
        <v>36</v>
      </c>
      <c r="F175" s="45" t="s">
        <v>9</v>
      </c>
      <c r="G175" s="45" t="s">
        <v>68</v>
      </c>
      <c r="H175" s="4" t="s">
        <v>88</v>
      </c>
      <c r="I175" s="4" t="s">
        <v>158</v>
      </c>
      <c r="J175" s="47">
        <v>17540.53</v>
      </c>
      <c r="K175" s="5">
        <v>17540.53</v>
      </c>
      <c r="L175" s="6" t="s">
        <v>93</v>
      </c>
      <c r="M175" s="48">
        <v>514616.73999999987</v>
      </c>
      <c r="N175" s="28">
        <v>17540.53</v>
      </c>
      <c r="O175" s="28" t="s">
        <v>174</v>
      </c>
      <c r="P175" s="31">
        <v>17540.53</v>
      </c>
    </row>
    <row r="176" spans="2:16" x14ac:dyDescent="0.3">
      <c r="B176" s="43">
        <v>46169</v>
      </c>
      <c r="C176" s="4" t="s">
        <v>17</v>
      </c>
      <c r="D176" s="45" t="s">
        <v>94</v>
      </c>
      <c r="E176" s="4" t="s">
        <v>36</v>
      </c>
      <c r="F176" s="45" t="s">
        <v>9</v>
      </c>
      <c r="G176" s="45" t="s">
        <v>68</v>
      </c>
      <c r="H176" s="4" t="s">
        <v>88</v>
      </c>
      <c r="I176" s="4" t="s">
        <v>158</v>
      </c>
      <c r="J176" s="47">
        <v>6217.37</v>
      </c>
      <c r="K176" s="5">
        <v>6217.37</v>
      </c>
      <c r="L176" s="6" t="s">
        <v>93</v>
      </c>
      <c r="M176" s="48">
        <v>128633.80999999997</v>
      </c>
      <c r="N176" s="28">
        <v>6217.37</v>
      </c>
      <c r="O176" s="28" t="s">
        <v>174</v>
      </c>
      <c r="P176" s="31">
        <v>6217.37</v>
      </c>
    </row>
    <row r="177" spans="2:16" x14ac:dyDescent="0.3">
      <c r="B177" s="43">
        <v>46169</v>
      </c>
      <c r="C177" s="4" t="s">
        <v>33</v>
      </c>
      <c r="D177" s="45" t="s">
        <v>124</v>
      </c>
      <c r="E177" s="4" t="s">
        <v>36</v>
      </c>
      <c r="F177" s="45" t="s">
        <v>9</v>
      </c>
      <c r="G177" s="45" t="s">
        <v>81</v>
      </c>
      <c r="H177" s="4" t="s">
        <v>88</v>
      </c>
      <c r="I177" s="4" t="s">
        <v>158</v>
      </c>
      <c r="J177" s="47">
        <v>4400</v>
      </c>
      <c r="K177" s="5">
        <v>4400</v>
      </c>
      <c r="L177" s="6" t="s">
        <v>93</v>
      </c>
      <c r="M177" s="48">
        <v>33606.270000000004</v>
      </c>
      <c r="N177" s="28">
        <v>4400</v>
      </c>
      <c r="O177" s="28" t="s">
        <v>174</v>
      </c>
      <c r="P177" s="31">
        <v>4400</v>
      </c>
    </row>
    <row r="178" spans="2:16" x14ac:dyDescent="0.3">
      <c r="B178" s="43">
        <v>46169</v>
      </c>
      <c r="C178" s="4" t="s">
        <v>22</v>
      </c>
      <c r="D178" s="45" t="s">
        <v>111</v>
      </c>
      <c r="E178" s="4" t="s">
        <v>37</v>
      </c>
      <c r="F178" s="45" t="s">
        <v>10</v>
      </c>
      <c r="G178" s="45" t="s">
        <v>53</v>
      </c>
      <c r="H178" s="4" t="s">
        <v>90</v>
      </c>
      <c r="I178" s="4" t="s">
        <v>159</v>
      </c>
      <c r="J178" s="47">
        <v>10000</v>
      </c>
      <c r="K178" s="5">
        <v>-10000</v>
      </c>
      <c r="L178" s="6" t="s">
        <v>93</v>
      </c>
      <c r="M178" s="48">
        <v>10717.600000000006</v>
      </c>
      <c r="N178" s="28" t="s">
        <v>174</v>
      </c>
      <c r="O178" s="28">
        <v>10000</v>
      </c>
      <c r="P178" s="31">
        <v>-10000</v>
      </c>
    </row>
    <row r="179" spans="2:16" x14ac:dyDescent="0.3">
      <c r="B179" s="43">
        <v>46169</v>
      </c>
      <c r="C179" s="4" t="s">
        <v>34</v>
      </c>
      <c r="D179" s="45" t="s">
        <v>125</v>
      </c>
      <c r="E179" s="4" t="s">
        <v>37</v>
      </c>
      <c r="F179" s="45" t="s">
        <v>9</v>
      </c>
      <c r="G179" s="45" t="s">
        <v>77</v>
      </c>
      <c r="H179" s="4" t="s">
        <v>90</v>
      </c>
      <c r="I179" s="4" t="s">
        <v>159</v>
      </c>
      <c r="J179" s="47">
        <v>10000</v>
      </c>
      <c r="K179" s="5">
        <v>10000</v>
      </c>
      <c r="L179" s="6" t="s">
        <v>93</v>
      </c>
      <c r="M179" s="48">
        <v>345</v>
      </c>
      <c r="N179" s="28">
        <v>10000</v>
      </c>
      <c r="O179" s="28" t="s">
        <v>174</v>
      </c>
      <c r="P179" s="31">
        <v>10000</v>
      </c>
    </row>
    <row r="180" spans="2:16" x14ac:dyDescent="0.3">
      <c r="B180" s="43">
        <v>46169</v>
      </c>
      <c r="C180" s="4" t="s">
        <v>34</v>
      </c>
      <c r="D180" s="45" t="s">
        <v>125</v>
      </c>
      <c r="E180" s="4" t="s">
        <v>37</v>
      </c>
      <c r="F180" s="45" t="s">
        <v>10</v>
      </c>
      <c r="G180" s="45" t="s">
        <v>53</v>
      </c>
      <c r="H180" s="4" t="s">
        <v>90</v>
      </c>
      <c r="I180" s="4" t="s">
        <v>159</v>
      </c>
      <c r="J180" s="47">
        <v>10000</v>
      </c>
      <c r="K180" s="5">
        <v>-10000</v>
      </c>
      <c r="L180" s="6" t="s">
        <v>93</v>
      </c>
      <c r="M180" s="48">
        <v>345</v>
      </c>
      <c r="N180" s="28" t="s">
        <v>174</v>
      </c>
      <c r="O180" s="28">
        <v>10000</v>
      </c>
      <c r="P180" s="31">
        <v>-10000</v>
      </c>
    </row>
    <row r="181" spans="2:16" x14ac:dyDescent="0.3">
      <c r="B181" s="43">
        <v>46169</v>
      </c>
      <c r="C181" s="4" t="s">
        <v>35</v>
      </c>
      <c r="D181" s="45" t="s">
        <v>126</v>
      </c>
      <c r="E181" s="4" t="s">
        <v>37</v>
      </c>
      <c r="F181" s="45" t="s">
        <v>10</v>
      </c>
      <c r="G181" s="45" t="s">
        <v>38</v>
      </c>
      <c r="H181" s="4" t="s">
        <v>88</v>
      </c>
      <c r="I181" s="4" t="s">
        <v>158</v>
      </c>
      <c r="J181" s="47">
        <v>51.35</v>
      </c>
      <c r="K181" s="5">
        <v>-51.35</v>
      </c>
      <c r="L181" s="6" t="s">
        <v>93</v>
      </c>
      <c r="M181" s="48">
        <v>17588.03</v>
      </c>
      <c r="N181" s="28" t="s">
        <v>174</v>
      </c>
      <c r="O181" s="28">
        <v>51.35</v>
      </c>
      <c r="P181" s="31">
        <v>-51.35</v>
      </c>
    </row>
    <row r="182" spans="2:16" x14ac:dyDescent="0.3">
      <c r="B182" s="43">
        <v>46169</v>
      </c>
      <c r="C182" s="4" t="s">
        <v>35</v>
      </c>
      <c r="D182" s="45" t="s">
        <v>126</v>
      </c>
      <c r="E182" s="4" t="s">
        <v>37</v>
      </c>
      <c r="F182" s="45" t="s">
        <v>10</v>
      </c>
      <c r="G182" s="45" t="s">
        <v>38</v>
      </c>
      <c r="H182" s="4" t="s">
        <v>88</v>
      </c>
      <c r="I182" s="4" t="s">
        <v>158</v>
      </c>
      <c r="J182" s="47">
        <v>528.69000000000005</v>
      </c>
      <c r="K182" s="5">
        <v>-528.69000000000005</v>
      </c>
      <c r="L182" s="6" t="s">
        <v>93</v>
      </c>
      <c r="M182" s="48">
        <v>17588.03</v>
      </c>
      <c r="N182" s="28" t="s">
        <v>174</v>
      </c>
      <c r="O182" s="28">
        <v>528.69000000000005</v>
      </c>
      <c r="P182" s="31">
        <v>-528.69000000000005</v>
      </c>
    </row>
    <row r="183" spans="2:16" x14ac:dyDescent="0.3">
      <c r="B183" s="43">
        <v>46169</v>
      </c>
      <c r="C183" s="4" t="s">
        <v>35</v>
      </c>
      <c r="D183" s="45" t="s">
        <v>126</v>
      </c>
      <c r="E183" s="4" t="s">
        <v>37</v>
      </c>
      <c r="F183" s="45" t="s">
        <v>9</v>
      </c>
      <c r="G183" s="45" t="s">
        <v>77</v>
      </c>
      <c r="H183" s="4" t="s">
        <v>90</v>
      </c>
      <c r="I183" s="4" t="s">
        <v>159</v>
      </c>
      <c r="J183" s="47">
        <v>10000</v>
      </c>
      <c r="K183" s="5">
        <v>10000</v>
      </c>
      <c r="L183" s="6" t="s">
        <v>93</v>
      </c>
      <c r="M183" s="48">
        <v>17588.03</v>
      </c>
      <c r="N183" s="28">
        <v>10000</v>
      </c>
      <c r="O183" s="28" t="s">
        <v>174</v>
      </c>
      <c r="P183" s="31">
        <v>10000</v>
      </c>
    </row>
    <row r="184" spans="2:16" x14ac:dyDescent="0.3">
      <c r="B184" s="43">
        <v>46170</v>
      </c>
      <c r="C184" s="4" t="s">
        <v>21</v>
      </c>
      <c r="D184" s="45" t="s">
        <v>101</v>
      </c>
      <c r="E184" s="4" t="s">
        <v>36</v>
      </c>
      <c r="F184" s="45" t="s">
        <v>10</v>
      </c>
      <c r="G184" s="45" t="s">
        <v>38</v>
      </c>
      <c r="H184" s="4" t="s">
        <v>88</v>
      </c>
      <c r="I184" s="4" t="s">
        <v>158</v>
      </c>
      <c r="J184" s="47">
        <v>526.75</v>
      </c>
      <c r="K184" s="5">
        <v>-526.75</v>
      </c>
      <c r="L184" s="6" t="s">
        <v>93</v>
      </c>
      <c r="M184" s="48">
        <v>11036.220000000001</v>
      </c>
      <c r="N184" s="28" t="s">
        <v>174</v>
      </c>
      <c r="O184" s="28">
        <v>526.75</v>
      </c>
      <c r="P184" s="31">
        <v>-526.75</v>
      </c>
    </row>
    <row r="185" spans="2:16" x14ac:dyDescent="0.3">
      <c r="B185" s="43">
        <v>46170</v>
      </c>
      <c r="C185" s="4" t="s">
        <v>20</v>
      </c>
      <c r="D185" s="45" t="s">
        <v>100</v>
      </c>
      <c r="E185" s="4" t="s">
        <v>36</v>
      </c>
      <c r="F185" s="45" t="s">
        <v>9</v>
      </c>
      <c r="G185" s="45" t="s">
        <v>68</v>
      </c>
      <c r="H185" s="4" t="s">
        <v>88</v>
      </c>
      <c r="I185" s="4" t="s">
        <v>158</v>
      </c>
      <c r="J185" s="47">
        <v>21979.11</v>
      </c>
      <c r="K185" s="5">
        <v>21979.11</v>
      </c>
      <c r="L185" s="6" t="s">
        <v>93</v>
      </c>
      <c r="M185" s="48">
        <v>376595.84999999986</v>
      </c>
      <c r="N185" s="28">
        <v>21979.11</v>
      </c>
      <c r="O185" s="28" t="s">
        <v>174</v>
      </c>
      <c r="P185" s="31">
        <v>21979.11</v>
      </c>
    </row>
    <row r="186" spans="2:16" x14ac:dyDescent="0.3">
      <c r="B186" s="43">
        <v>46170</v>
      </c>
      <c r="C186" s="4" t="s">
        <v>20</v>
      </c>
      <c r="D186" s="45" t="s">
        <v>100</v>
      </c>
      <c r="E186" s="4" t="s">
        <v>36</v>
      </c>
      <c r="F186" s="45" t="s">
        <v>10</v>
      </c>
      <c r="G186" s="45" t="s">
        <v>61</v>
      </c>
      <c r="H186" s="4" t="s">
        <v>88</v>
      </c>
      <c r="I186" s="4" t="s">
        <v>158</v>
      </c>
      <c r="J186" s="47">
        <v>60000</v>
      </c>
      <c r="K186" s="5">
        <v>-60000</v>
      </c>
      <c r="L186" s="6" t="s">
        <v>93</v>
      </c>
      <c r="M186" s="48">
        <v>376595.84999999986</v>
      </c>
      <c r="N186" s="28" t="s">
        <v>174</v>
      </c>
      <c r="O186" s="28">
        <v>60000</v>
      </c>
      <c r="P186" s="31">
        <v>-60000</v>
      </c>
    </row>
    <row r="187" spans="2:16" x14ac:dyDescent="0.3">
      <c r="B187" s="43">
        <v>46170</v>
      </c>
      <c r="C187" s="4" t="s">
        <v>20</v>
      </c>
      <c r="D187" s="45" t="s">
        <v>100</v>
      </c>
      <c r="E187" s="4" t="s">
        <v>36</v>
      </c>
      <c r="F187" s="45" t="s">
        <v>10</v>
      </c>
      <c r="G187" s="45" t="s">
        <v>61</v>
      </c>
      <c r="H187" s="4" t="s">
        <v>88</v>
      </c>
      <c r="I187" s="4" t="s">
        <v>158</v>
      </c>
      <c r="J187" s="47">
        <v>100000</v>
      </c>
      <c r="K187" s="5">
        <v>-100000</v>
      </c>
      <c r="L187" s="6" t="s">
        <v>93</v>
      </c>
      <c r="M187" s="48">
        <v>376595.84999999986</v>
      </c>
      <c r="N187" s="28" t="s">
        <v>174</v>
      </c>
      <c r="O187" s="28">
        <v>100000</v>
      </c>
      <c r="P187" s="31">
        <v>-100000</v>
      </c>
    </row>
    <row r="188" spans="2:16" x14ac:dyDescent="0.3">
      <c r="B188" s="43">
        <v>46170</v>
      </c>
      <c r="C188" s="4" t="s">
        <v>17</v>
      </c>
      <c r="D188" s="45" t="s">
        <v>94</v>
      </c>
      <c r="E188" s="4" t="s">
        <v>36</v>
      </c>
      <c r="F188" s="45" t="s">
        <v>9</v>
      </c>
      <c r="G188" s="45" t="s">
        <v>68</v>
      </c>
      <c r="H188" s="4" t="s">
        <v>88</v>
      </c>
      <c r="I188" s="4" t="s">
        <v>158</v>
      </c>
      <c r="J188" s="47">
        <v>68444.820000000007</v>
      </c>
      <c r="K188" s="5">
        <v>68444.820000000007</v>
      </c>
      <c r="L188" s="6" t="s">
        <v>93</v>
      </c>
      <c r="M188" s="48">
        <v>197078.62999999998</v>
      </c>
      <c r="N188" s="28">
        <v>68444.820000000007</v>
      </c>
      <c r="O188" s="28" t="s">
        <v>174</v>
      </c>
      <c r="P188" s="31">
        <v>68444.820000000007</v>
      </c>
    </row>
    <row r="189" spans="2:16" x14ac:dyDescent="0.3">
      <c r="B189" s="43">
        <v>46170</v>
      </c>
      <c r="C189" s="4" t="s">
        <v>31</v>
      </c>
      <c r="D189" s="45" t="s">
        <v>121</v>
      </c>
      <c r="E189" s="4" t="s">
        <v>36</v>
      </c>
      <c r="F189" s="45" t="s">
        <v>9</v>
      </c>
      <c r="G189" s="45" t="s">
        <v>71</v>
      </c>
      <c r="H189" s="4" t="s">
        <v>88</v>
      </c>
      <c r="I189" s="4" t="s">
        <v>159</v>
      </c>
      <c r="J189" s="47">
        <v>20000</v>
      </c>
      <c r="K189" s="5">
        <v>20000</v>
      </c>
      <c r="L189" s="6" t="s">
        <v>93</v>
      </c>
      <c r="M189" s="48">
        <v>35123.179999999964</v>
      </c>
      <c r="N189" s="28">
        <v>20000</v>
      </c>
      <c r="O189" s="28" t="s">
        <v>174</v>
      </c>
      <c r="P189" s="31">
        <v>20000</v>
      </c>
    </row>
    <row r="190" spans="2:16" x14ac:dyDescent="0.3">
      <c r="B190" s="43">
        <v>46170</v>
      </c>
      <c r="C190" s="4" t="s">
        <v>18</v>
      </c>
      <c r="D190" s="45" t="s">
        <v>97</v>
      </c>
      <c r="E190" s="4" t="s">
        <v>37</v>
      </c>
      <c r="F190" s="45" t="s">
        <v>9</v>
      </c>
      <c r="G190" s="45" t="s">
        <v>68</v>
      </c>
      <c r="H190" s="4" t="s">
        <v>88</v>
      </c>
      <c r="I190" s="4" t="s">
        <v>158</v>
      </c>
      <c r="J190" s="47">
        <v>2637.12</v>
      </c>
      <c r="K190" s="5">
        <v>2637.12</v>
      </c>
      <c r="L190" s="6" t="s">
        <v>93</v>
      </c>
      <c r="M190" s="48">
        <v>57397.280000000173</v>
      </c>
      <c r="N190" s="28">
        <v>2637.12</v>
      </c>
      <c r="O190" s="28" t="s">
        <v>174</v>
      </c>
      <c r="P190" s="31">
        <v>2637.12</v>
      </c>
    </row>
    <row r="191" spans="2:16" x14ac:dyDescent="0.3">
      <c r="B191" s="43">
        <v>46170</v>
      </c>
      <c r="C191" s="4" t="s">
        <v>18</v>
      </c>
      <c r="D191" s="45" t="s">
        <v>97</v>
      </c>
      <c r="E191" s="4" t="s">
        <v>37</v>
      </c>
      <c r="F191" s="45" t="s">
        <v>10</v>
      </c>
      <c r="G191" s="45" t="s">
        <v>65</v>
      </c>
      <c r="H191" s="4" t="s">
        <v>88</v>
      </c>
      <c r="I191" s="4" t="s">
        <v>159</v>
      </c>
      <c r="J191" s="47">
        <v>1200000</v>
      </c>
      <c r="K191" s="5">
        <v>-1200000</v>
      </c>
      <c r="L191" s="6" t="s">
        <v>93</v>
      </c>
      <c r="M191" s="48">
        <v>57397.280000000173</v>
      </c>
      <c r="N191" s="28" t="s">
        <v>174</v>
      </c>
      <c r="O191" s="28">
        <v>1200000</v>
      </c>
      <c r="P191" s="31">
        <v>-1200000</v>
      </c>
    </row>
    <row r="192" spans="2:16" x14ac:dyDescent="0.3">
      <c r="B192" s="43">
        <v>46170</v>
      </c>
      <c r="C192" s="4" t="s">
        <v>17</v>
      </c>
      <c r="D192" s="45" t="s">
        <v>95</v>
      </c>
      <c r="E192" s="4" t="s">
        <v>37</v>
      </c>
      <c r="F192" s="45" t="s">
        <v>9</v>
      </c>
      <c r="G192" s="45" t="s">
        <v>70</v>
      </c>
      <c r="H192" s="4" t="s">
        <v>88</v>
      </c>
      <c r="I192" s="4" t="s">
        <v>159</v>
      </c>
      <c r="J192" s="47">
        <v>1200000</v>
      </c>
      <c r="K192" s="5">
        <v>1200000</v>
      </c>
      <c r="L192" s="6" t="s">
        <v>93</v>
      </c>
      <c r="M192" s="48">
        <v>784648.53</v>
      </c>
      <c r="N192" s="28">
        <v>1200000</v>
      </c>
      <c r="O192" s="28" t="s">
        <v>174</v>
      </c>
      <c r="P192" s="31">
        <v>1200000</v>
      </c>
    </row>
    <row r="193" spans="2:16" x14ac:dyDescent="0.3">
      <c r="B193" s="43">
        <v>46170</v>
      </c>
      <c r="C193" s="4" t="s">
        <v>17</v>
      </c>
      <c r="D193" s="45" t="s">
        <v>95</v>
      </c>
      <c r="E193" s="4" t="s">
        <v>37</v>
      </c>
      <c r="F193" s="45" t="s">
        <v>10</v>
      </c>
      <c r="G193" s="45" t="s">
        <v>46</v>
      </c>
      <c r="H193" s="4" t="s">
        <v>89</v>
      </c>
      <c r="I193" s="4" t="s">
        <v>158</v>
      </c>
      <c r="J193" s="47">
        <v>10000</v>
      </c>
      <c r="K193" s="5">
        <v>-10000</v>
      </c>
      <c r="L193" s="6" t="s">
        <v>93</v>
      </c>
      <c r="M193" s="48">
        <v>784648.53</v>
      </c>
      <c r="N193" s="28" t="s">
        <v>174</v>
      </c>
      <c r="O193" s="28">
        <v>10000</v>
      </c>
      <c r="P193" s="31">
        <v>-10000</v>
      </c>
    </row>
    <row r="194" spans="2:16" x14ac:dyDescent="0.3">
      <c r="B194" s="43">
        <v>46170</v>
      </c>
      <c r="C194" s="4" t="s">
        <v>17</v>
      </c>
      <c r="D194" s="45" t="s">
        <v>95</v>
      </c>
      <c r="E194" s="4" t="s">
        <v>37</v>
      </c>
      <c r="F194" s="45" t="s">
        <v>10</v>
      </c>
      <c r="G194" s="45" t="s">
        <v>46</v>
      </c>
      <c r="H194" s="4" t="s">
        <v>89</v>
      </c>
      <c r="I194" s="4" t="s">
        <v>158</v>
      </c>
      <c r="J194" s="47">
        <v>10833.33</v>
      </c>
      <c r="K194" s="5">
        <v>-10833.33</v>
      </c>
      <c r="L194" s="6" t="s">
        <v>93</v>
      </c>
      <c r="M194" s="48">
        <v>784648.53</v>
      </c>
      <c r="N194" s="28" t="s">
        <v>174</v>
      </c>
      <c r="O194" s="28">
        <v>10833.33</v>
      </c>
      <c r="P194" s="31">
        <v>-10833.33</v>
      </c>
    </row>
    <row r="195" spans="2:16" x14ac:dyDescent="0.3">
      <c r="B195" s="43">
        <v>46170</v>
      </c>
      <c r="C195" s="4" t="s">
        <v>17</v>
      </c>
      <c r="D195" s="45" t="s">
        <v>95</v>
      </c>
      <c r="E195" s="4" t="s">
        <v>37</v>
      </c>
      <c r="F195" s="45" t="s">
        <v>10</v>
      </c>
      <c r="G195" s="45" t="s">
        <v>50</v>
      </c>
      <c r="H195" s="4" t="s">
        <v>89</v>
      </c>
      <c r="I195" s="4" t="s">
        <v>158</v>
      </c>
      <c r="J195" s="47">
        <v>20000</v>
      </c>
      <c r="K195" s="5">
        <v>-20000</v>
      </c>
      <c r="L195" s="6" t="s">
        <v>93</v>
      </c>
      <c r="M195" s="48">
        <v>784648.53</v>
      </c>
      <c r="N195" s="28" t="s">
        <v>174</v>
      </c>
      <c r="O195" s="28">
        <v>20000</v>
      </c>
      <c r="P195" s="31">
        <v>-20000</v>
      </c>
    </row>
    <row r="196" spans="2:16" x14ac:dyDescent="0.3">
      <c r="B196" s="43">
        <v>46170</v>
      </c>
      <c r="C196" s="4" t="s">
        <v>17</v>
      </c>
      <c r="D196" s="45" t="s">
        <v>95</v>
      </c>
      <c r="E196" s="4" t="s">
        <v>37</v>
      </c>
      <c r="F196" s="45" t="s">
        <v>10</v>
      </c>
      <c r="G196" s="45" t="s">
        <v>61</v>
      </c>
      <c r="H196" s="4" t="s">
        <v>88</v>
      </c>
      <c r="I196" s="4" t="s">
        <v>158</v>
      </c>
      <c r="J196" s="47">
        <v>40000</v>
      </c>
      <c r="K196" s="5">
        <v>-40000</v>
      </c>
      <c r="L196" s="6" t="s">
        <v>93</v>
      </c>
      <c r="M196" s="48">
        <v>784648.53</v>
      </c>
      <c r="N196" s="28" t="s">
        <v>174</v>
      </c>
      <c r="O196" s="28">
        <v>40000</v>
      </c>
      <c r="P196" s="31">
        <v>-40000</v>
      </c>
    </row>
    <row r="197" spans="2:16" x14ac:dyDescent="0.3">
      <c r="B197" s="43">
        <v>46170</v>
      </c>
      <c r="C197" s="4" t="s">
        <v>17</v>
      </c>
      <c r="D197" s="45" t="s">
        <v>95</v>
      </c>
      <c r="E197" s="4" t="s">
        <v>37</v>
      </c>
      <c r="F197" s="45" t="s">
        <v>10</v>
      </c>
      <c r="G197" s="45" t="s">
        <v>61</v>
      </c>
      <c r="H197" s="4" t="s">
        <v>88</v>
      </c>
      <c r="I197" s="4" t="s">
        <v>158</v>
      </c>
      <c r="J197" s="47">
        <v>60000</v>
      </c>
      <c r="K197" s="5">
        <v>-60000</v>
      </c>
      <c r="L197" s="6" t="s">
        <v>93</v>
      </c>
      <c r="M197" s="48">
        <v>784648.53</v>
      </c>
      <c r="N197" s="28" t="s">
        <v>174</v>
      </c>
      <c r="O197" s="28">
        <v>60000</v>
      </c>
      <c r="P197" s="31">
        <v>-60000</v>
      </c>
    </row>
    <row r="198" spans="2:16" x14ac:dyDescent="0.3">
      <c r="B198" s="43">
        <v>46170</v>
      </c>
      <c r="C198" s="4" t="s">
        <v>17</v>
      </c>
      <c r="D198" s="45" t="s">
        <v>95</v>
      </c>
      <c r="E198" s="4" t="s">
        <v>37</v>
      </c>
      <c r="F198" s="45" t="s">
        <v>10</v>
      </c>
      <c r="G198" s="45" t="s">
        <v>61</v>
      </c>
      <c r="H198" s="4" t="s">
        <v>88</v>
      </c>
      <c r="I198" s="4" t="s">
        <v>158</v>
      </c>
      <c r="J198" s="47">
        <v>100000</v>
      </c>
      <c r="K198" s="5">
        <v>-100000</v>
      </c>
      <c r="L198" s="6" t="s">
        <v>93</v>
      </c>
      <c r="M198" s="48">
        <v>784648.53</v>
      </c>
      <c r="N198" s="28" t="s">
        <v>174</v>
      </c>
      <c r="O198" s="28">
        <v>100000</v>
      </c>
      <c r="P198" s="31">
        <v>-100000</v>
      </c>
    </row>
    <row r="199" spans="2:16" x14ac:dyDescent="0.3">
      <c r="B199" s="43">
        <v>46170</v>
      </c>
      <c r="C199" s="4" t="s">
        <v>17</v>
      </c>
      <c r="D199" s="45" t="s">
        <v>95</v>
      </c>
      <c r="E199" s="4" t="s">
        <v>37</v>
      </c>
      <c r="F199" s="45" t="s">
        <v>10</v>
      </c>
      <c r="G199" s="45" t="s">
        <v>62</v>
      </c>
      <c r="H199" s="4" t="s">
        <v>88</v>
      </c>
      <c r="I199" s="4" t="s">
        <v>159</v>
      </c>
      <c r="J199" s="47">
        <v>300000</v>
      </c>
      <c r="K199" s="5">
        <v>-300000</v>
      </c>
      <c r="L199" s="6" t="s">
        <v>93</v>
      </c>
      <c r="M199" s="48">
        <v>784648.53</v>
      </c>
      <c r="N199" s="28" t="s">
        <v>174</v>
      </c>
      <c r="O199" s="28">
        <v>300000</v>
      </c>
      <c r="P199" s="31">
        <v>-300000</v>
      </c>
    </row>
    <row r="200" spans="2:16" x14ac:dyDescent="0.3">
      <c r="B200" s="43">
        <v>46170</v>
      </c>
      <c r="C200" s="4" t="s">
        <v>21</v>
      </c>
      <c r="D200" s="45" t="s">
        <v>104</v>
      </c>
      <c r="E200" s="4" t="s">
        <v>37</v>
      </c>
      <c r="F200" s="45" t="s">
        <v>9</v>
      </c>
      <c r="G200" s="45" t="s">
        <v>75</v>
      </c>
      <c r="H200" s="4" t="s">
        <v>89</v>
      </c>
      <c r="I200" s="4" t="s">
        <v>159</v>
      </c>
      <c r="J200" s="47">
        <v>300000</v>
      </c>
      <c r="K200" s="5">
        <v>300000</v>
      </c>
      <c r="L200" s="6" t="s">
        <v>93</v>
      </c>
      <c r="M200" s="48">
        <v>321514.8599999994</v>
      </c>
      <c r="N200" s="28">
        <v>300000</v>
      </c>
      <c r="O200" s="28" t="s">
        <v>174</v>
      </c>
      <c r="P200" s="31">
        <v>300000</v>
      </c>
    </row>
    <row r="201" spans="2:16" x14ac:dyDescent="0.3">
      <c r="B201" s="43">
        <v>46170</v>
      </c>
      <c r="C201" s="4" t="s">
        <v>21</v>
      </c>
      <c r="D201" s="45" t="s">
        <v>104</v>
      </c>
      <c r="E201" s="4" t="s">
        <v>37</v>
      </c>
      <c r="F201" s="45" t="s">
        <v>10</v>
      </c>
      <c r="G201" s="45" t="s">
        <v>38</v>
      </c>
      <c r="H201" s="4" t="s">
        <v>88</v>
      </c>
      <c r="I201" s="4" t="s">
        <v>158</v>
      </c>
      <c r="J201" s="47">
        <v>10753.2</v>
      </c>
      <c r="K201" s="5">
        <v>-10753.2</v>
      </c>
      <c r="L201" s="6" t="s">
        <v>93</v>
      </c>
      <c r="M201" s="48">
        <v>321514.8599999994</v>
      </c>
      <c r="N201" s="28" t="s">
        <v>174</v>
      </c>
      <c r="O201" s="28">
        <v>10753.2</v>
      </c>
      <c r="P201" s="31">
        <v>-10753.2</v>
      </c>
    </row>
    <row r="202" spans="2:16" x14ac:dyDescent="0.3">
      <c r="B202" s="43">
        <v>46170</v>
      </c>
      <c r="C202" s="4" t="s">
        <v>21</v>
      </c>
      <c r="D202" s="45" t="s">
        <v>104</v>
      </c>
      <c r="E202" s="4" t="s">
        <v>37</v>
      </c>
      <c r="F202" s="45" t="s">
        <v>10</v>
      </c>
      <c r="G202" s="45" t="s">
        <v>56</v>
      </c>
      <c r="H202" s="4" t="s">
        <v>90</v>
      </c>
      <c r="I202" s="4" t="s">
        <v>158</v>
      </c>
      <c r="J202" s="47">
        <v>16733.29</v>
      </c>
      <c r="K202" s="5">
        <v>-16733.29</v>
      </c>
      <c r="L202" s="6" t="s">
        <v>93</v>
      </c>
      <c r="M202" s="48">
        <v>321514.8599999994</v>
      </c>
      <c r="N202" s="28" t="s">
        <v>174</v>
      </c>
      <c r="O202" s="28">
        <v>16733.29</v>
      </c>
      <c r="P202" s="31">
        <v>-16733.29</v>
      </c>
    </row>
    <row r="203" spans="2:16" x14ac:dyDescent="0.3">
      <c r="B203" s="43">
        <v>46170</v>
      </c>
      <c r="C203" s="4" t="s">
        <v>21</v>
      </c>
      <c r="D203" s="45" t="s">
        <v>104</v>
      </c>
      <c r="E203" s="4" t="s">
        <v>37</v>
      </c>
      <c r="F203" s="45" t="s">
        <v>10</v>
      </c>
      <c r="G203" s="45" t="s">
        <v>40</v>
      </c>
      <c r="H203" s="4" t="s">
        <v>88</v>
      </c>
      <c r="I203" s="4" t="s">
        <v>158</v>
      </c>
      <c r="J203" s="47">
        <v>162017.17000000001</v>
      </c>
      <c r="K203" s="5">
        <v>-162017.17000000001</v>
      </c>
      <c r="L203" s="6" t="s">
        <v>93</v>
      </c>
      <c r="M203" s="48">
        <v>321514.8599999994</v>
      </c>
      <c r="N203" s="28" t="s">
        <v>174</v>
      </c>
      <c r="O203" s="28">
        <v>162017.17000000001</v>
      </c>
      <c r="P203" s="31">
        <v>-162017.17000000001</v>
      </c>
    </row>
    <row r="204" spans="2:16" x14ac:dyDescent="0.3">
      <c r="B204" s="43">
        <v>46170</v>
      </c>
      <c r="C204" s="4" t="s">
        <v>35</v>
      </c>
      <c r="D204" s="45" t="s">
        <v>126</v>
      </c>
      <c r="E204" s="4" t="s">
        <v>37</v>
      </c>
      <c r="F204" s="45" t="s">
        <v>10</v>
      </c>
      <c r="G204" s="45" t="s">
        <v>44</v>
      </c>
      <c r="H204" s="4" t="s">
        <v>88</v>
      </c>
      <c r="I204" s="4" t="s">
        <v>158</v>
      </c>
      <c r="J204" s="47">
        <v>15</v>
      </c>
      <c r="K204" s="5">
        <v>-15</v>
      </c>
      <c r="L204" s="6" t="s">
        <v>93</v>
      </c>
      <c r="M204" s="48">
        <v>9076.2400000000016</v>
      </c>
      <c r="N204" s="28" t="s">
        <v>174</v>
      </c>
      <c r="O204" s="28">
        <v>15</v>
      </c>
      <c r="P204" s="31">
        <v>-15</v>
      </c>
    </row>
    <row r="205" spans="2:16" x14ac:dyDescent="0.3">
      <c r="B205" s="43">
        <v>46170</v>
      </c>
      <c r="C205" s="4" t="s">
        <v>35</v>
      </c>
      <c r="D205" s="45" t="s">
        <v>126</v>
      </c>
      <c r="E205" s="4" t="s">
        <v>37</v>
      </c>
      <c r="F205" s="45" t="s">
        <v>10</v>
      </c>
      <c r="G205" s="45" t="s">
        <v>44</v>
      </c>
      <c r="H205" s="4" t="s">
        <v>88</v>
      </c>
      <c r="I205" s="4" t="s">
        <v>158</v>
      </c>
      <c r="J205" s="47">
        <v>15</v>
      </c>
      <c r="K205" s="5">
        <v>-15</v>
      </c>
      <c r="L205" s="6" t="s">
        <v>93</v>
      </c>
      <c r="M205" s="48">
        <v>9076.2400000000016</v>
      </c>
      <c r="N205" s="28" t="s">
        <v>174</v>
      </c>
      <c r="O205" s="28">
        <v>15</v>
      </c>
      <c r="P205" s="31">
        <v>-15</v>
      </c>
    </row>
    <row r="206" spans="2:16" x14ac:dyDescent="0.3">
      <c r="B206" s="43">
        <v>46170</v>
      </c>
      <c r="C206" s="4" t="s">
        <v>35</v>
      </c>
      <c r="D206" s="45" t="s">
        <v>126</v>
      </c>
      <c r="E206" s="4" t="s">
        <v>37</v>
      </c>
      <c r="F206" s="45" t="s">
        <v>10</v>
      </c>
      <c r="G206" s="45" t="s">
        <v>44</v>
      </c>
      <c r="H206" s="4" t="s">
        <v>88</v>
      </c>
      <c r="I206" s="4" t="s">
        <v>158</v>
      </c>
      <c r="J206" s="47">
        <v>15</v>
      </c>
      <c r="K206" s="5">
        <v>-15</v>
      </c>
      <c r="L206" s="6" t="s">
        <v>93</v>
      </c>
      <c r="M206" s="48">
        <v>9076.2400000000016</v>
      </c>
      <c r="N206" s="28" t="s">
        <v>174</v>
      </c>
      <c r="O206" s="28">
        <v>15</v>
      </c>
      <c r="P206" s="31">
        <v>-15</v>
      </c>
    </row>
    <row r="207" spans="2:16" x14ac:dyDescent="0.3">
      <c r="B207" s="43">
        <v>46170</v>
      </c>
      <c r="C207" s="4" t="s">
        <v>35</v>
      </c>
      <c r="D207" s="45" t="s">
        <v>126</v>
      </c>
      <c r="E207" s="4" t="s">
        <v>37</v>
      </c>
      <c r="F207" s="45" t="s">
        <v>10</v>
      </c>
      <c r="G207" s="45" t="s">
        <v>44</v>
      </c>
      <c r="H207" s="4" t="s">
        <v>88</v>
      </c>
      <c r="I207" s="4" t="s">
        <v>158</v>
      </c>
      <c r="J207" s="47">
        <v>15</v>
      </c>
      <c r="K207" s="5">
        <v>-15</v>
      </c>
      <c r="L207" s="6" t="s">
        <v>93</v>
      </c>
      <c r="M207" s="48">
        <v>9076.2400000000016</v>
      </c>
      <c r="N207" s="28" t="s">
        <v>174</v>
      </c>
      <c r="O207" s="28">
        <v>15</v>
      </c>
      <c r="P207" s="31">
        <v>-15</v>
      </c>
    </row>
    <row r="208" spans="2:16" x14ac:dyDescent="0.3">
      <c r="B208" s="43">
        <v>46170</v>
      </c>
      <c r="C208" s="4" t="s">
        <v>35</v>
      </c>
      <c r="D208" s="45" t="s">
        <v>126</v>
      </c>
      <c r="E208" s="4" t="s">
        <v>37</v>
      </c>
      <c r="F208" s="45" t="s">
        <v>10</v>
      </c>
      <c r="G208" s="45" t="s">
        <v>38</v>
      </c>
      <c r="H208" s="4" t="s">
        <v>88</v>
      </c>
      <c r="I208" s="4" t="s">
        <v>158</v>
      </c>
      <c r="J208" s="47">
        <v>951.3</v>
      </c>
      <c r="K208" s="5">
        <v>-951.3</v>
      </c>
      <c r="L208" s="6" t="s">
        <v>93</v>
      </c>
      <c r="M208" s="48">
        <v>9076.2400000000016</v>
      </c>
      <c r="N208" s="28" t="s">
        <v>174</v>
      </c>
      <c r="O208" s="28">
        <v>951.3</v>
      </c>
      <c r="P208" s="31">
        <v>-951.3</v>
      </c>
    </row>
    <row r="209" spans="2:16" x14ac:dyDescent="0.3">
      <c r="B209" s="43">
        <v>46170</v>
      </c>
      <c r="C209" s="4" t="s">
        <v>35</v>
      </c>
      <c r="D209" s="45" t="s">
        <v>126</v>
      </c>
      <c r="E209" s="4" t="s">
        <v>37</v>
      </c>
      <c r="F209" s="45" t="s">
        <v>10</v>
      </c>
      <c r="G209" s="45" t="s">
        <v>38</v>
      </c>
      <c r="H209" s="4" t="s">
        <v>88</v>
      </c>
      <c r="I209" s="4" t="s">
        <v>158</v>
      </c>
      <c r="J209" s="47">
        <v>1981.86</v>
      </c>
      <c r="K209" s="5">
        <v>-1981.86</v>
      </c>
      <c r="L209" s="6" t="s">
        <v>93</v>
      </c>
      <c r="M209" s="48">
        <v>9076.2400000000016</v>
      </c>
      <c r="N209" s="28" t="s">
        <v>174</v>
      </c>
      <c r="O209" s="28">
        <v>1981.86</v>
      </c>
      <c r="P209" s="31">
        <v>-1981.86</v>
      </c>
    </row>
    <row r="210" spans="2:16" x14ac:dyDescent="0.3">
      <c r="B210" s="43">
        <v>46170</v>
      </c>
      <c r="C210" s="4" t="s">
        <v>35</v>
      </c>
      <c r="D210" s="45" t="s">
        <v>126</v>
      </c>
      <c r="E210" s="4" t="s">
        <v>37</v>
      </c>
      <c r="F210" s="45" t="s">
        <v>10</v>
      </c>
      <c r="G210" s="45" t="s">
        <v>38</v>
      </c>
      <c r="H210" s="4" t="s">
        <v>88</v>
      </c>
      <c r="I210" s="4" t="s">
        <v>158</v>
      </c>
      <c r="J210" s="47">
        <v>2500</v>
      </c>
      <c r="K210" s="5">
        <v>-2500</v>
      </c>
      <c r="L210" s="6" t="s">
        <v>93</v>
      </c>
      <c r="M210" s="48">
        <v>9076.2400000000016</v>
      </c>
      <c r="N210" s="28" t="s">
        <v>174</v>
      </c>
      <c r="O210" s="28">
        <v>2500</v>
      </c>
      <c r="P210" s="31">
        <v>-2500</v>
      </c>
    </row>
    <row r="211" spans="2:16" x14ac:dyDescent="0.3">
      <c r="B211" s="43">
        <v>46170</v>
      </c>
      <c r="C211" s="4" t="s">
        <v>35</v>
      </c>
      <c r="D211" s="45" t="s">
        <v>126</v>
      </c>
      <c r="E211" s="4" t="s">
        <v>37</v>
      </c>
      <c r="F211" s="45" t="s">
        <v>10</v>
      </c>
      <c r="G211" s="45" t="s">
        <v>38</v>
      </c>
      <c r="H211" s="4" t="s">
        <v>88</v>
      </c>
      <c r="I211" s="4" t="s">
        <v>158</v>
      </c>
      <c r="J211" s="47">
        <v>3018.63</v>
      </c>
      <c r="K211" s="5">
        <v>-3018.63</v>
      </c>
      <c r="L211" s="6" t="s">
        <v>93</v>
      </c>
      <c r="M211" s="48">
        <v>9076.2400000000016</v>
      </c>
      <c r="N211" s="28" t="s">
        <v>174</v>
      </c>
      <c r="O211" s="28">
        <v>3018.63</v>
      </c>
      <c r="P211" s="31">
        <v>-3018.63</v>
      </c>
    </row>
    <row r="212" spans="2:16" x14ac:dyDescent="0.3">
      <c r="B212" s="43">
        <v>46171</v>
      </c>
      <c r="C212" s="4" t="s">
        <v>21</v>
      </c>
      <c r="D212" s="45" t="s">
        <v>101</v>
      </c>
      <c r="E212" s="4" t="s">
        <v>36</v>
      </c>
      <c r="F212" s="45" t="s">
        <v>10</v>
      </c>
      <c r="G212" s="45" t="s">
        <v>38</v>
      </c>
      <c r="H212" s="4" t="s">
        <v>88</v>
      </c>
      <c r="I212" s="4" t="s">
        <v>158</v>
      </c>
      <c r="J212" s="47">
        <v>193.01</v>
      </c>
      <c r="K212" s="5">
        <v>-193.01</v>
      </c>
      <c r="L212" s="6" t="s">
        <v>93</v>
      </c>
      <c r="M212" s="48">
        <v>10843.210000000001</v>
      </c>
      <c r="N212" s="28" t="s">
        <v>174</v>
      </c>
      <c r="O212" s="28">
        <v>193.01</v>
      </c>
      <c r="P212" s="31">
        <v>-193.01</v>
      </c>
    </row>
    <row r="213" spans="2:16" x14ac:dyDescent="0.3">
      <c r="B213" s="43">
        <v>46171</v>
      </c>
      <c r="C213" s="4" t="s">
        <v>20</v>
      </c>
      <c r="D213" s="45" t="s">
        <v>100</v>
      </c>
      <c r="E213" s="4" t="s">
        <v>36</v>
      </c>
      <c r="F213" s="45" t="s">
        <v>9</v>
      </c>
      <c r="G213" s="45" t="s">
        <v>80</v>
      </c>
      <c r="H213" s="4" t="s">
        <v>88</v>
      </c>
      <c r="I213" s="4" t="s">
        <v>158</v>
      </c>
      <c r="J213" s="47">
        <v>46804.94</v>
      </c>
      <c r="K213" s="5">
        <v>46804.94</v>
      </c>
      <c r="L213" s="6" t="s">
        <v>93</v>
      </c>
      <c r="M213" s="48">
        <v>424853.11999999988</v>
      </c>
      <c r="N213" s="28">
        <v>46804.94</v>
      </c>
      <c r="O213" s="28" t="s">
        <v>174</v>
      </c>
      <c r="P213" s="31">
        <v>46804.94</v>
      </c>
    </row>
    <row r="214" spans="2:16" x14ac:dyDescent="0.3">
      <c r="B214" s="43">
        <v>46171</v>
      </c>
      <c r="C214" s="4" t="s">
        <v>20</v>
      </c>
      <c r="D214" s="45" t="s">
        <v>100</v>
      </c>
      <c r="E214" s="4" t="s">
        <v>36</v>
      </c>
      <c r="F214" s="45" t="s">
        <v>9</v>
      </c>
      <c r="G214" s="45" t="s">
        <v>68</v>
      </c>
      <c r="H214" s="4" t="s">
        <v>88</v>
      </c>
      <c r="I214" s="4" t="s">
        <v>158</v>
      </c>
      <c r="J214" s="47">
        <v>1452.33</v>
      </c>
      <c r="K214" s="5">
        <v>1452.33</v>
      </c>
      <c r="L214" s="6" t="s">
        <v>93</v>
      </c>
      <c r="M214" s="48">
        <v>424853.11999999988</v>
      </c>
      <c r="N214" s="28">
        <v>1452.33</v>
      </c>
      <c r="O214" s="28" t="s">
        <v>174</v>
      </c>
      <c r="P214" s="31">
        <v>1452.33</v>
      </c>
    </row>
    <row r="215" spans="2:16" x14ac:dyDescent="0.3">
      <c r="B215" s="43">
        <v>46171</v>
      </c>
      <c r="C215" s="4" t="s">
        <v>17</v>
      </c>
      <c r="D215" s="45" t="s">
        <v>94</v>
      </c>
      <c r="E215" s="4" t="s">
        <v>36</v>
      </c>
      <c r="F215" s="45" t="s">
        <v>10</v>
      </c>
      <c r="G215" s="45" t="s">
        <v>40</v>
      </c>
      <c r="H215" s="4" t="s">
        <v>88</v>
      </c>
      <c r="I215" s="4" t="s">
        <v>158</v>
      </c>
      <c r="J215" s="47">
        <v>2977.95</v>
      </c>
      <c r="K215" s="5">
        <v>-2977.95</v>
      </c>
      <c r="L215" s="6" t="s">
        <v>93</v>
      </c>
      <c r="M215" s="48">
        <v>193489.58</v>
      </c>
      <c r="N215" s="28" t="s">
        <v>174</v>
      </c>
      <c r="O215" s="28">
        <v>2977.95</v>
      </c>
      <c r="P215" s="31">
        <v>-2977.95</v>
      </c>
    </row>
    <row r="216" spans="2:16" x14ac:dyDescent="0.3">
      <c r="B216" s="43">
        <v>46171</v>
      </c>
      <c r="C216" s="4" t="s">
        <v>17</v>
      </c>
      <c r="D216" s="45" t="s">
        <v>94</v>
      </c>
      <c r="E216" s="4" t="s">
        <v>36</v>
      </c>
      <c r="F216" s="45" t="s">
        <v>10</v>
      </c>
      <c r="G216" s="45" t="s">
        <v>42</v>
      </c>
      <c r="H216" s="4" t="s">
        <v>88</v>
      </c>
      <c r="I216" s="4" t="s">
        <v>158</v>
      </c>
      <c r="J216" s="47">
        <v>611.1</v>
      </c>
      <c r="K216" s="5">
        <v>-611.1</v>
      </c>
      <c r="L216" s="6" t="s">
        <v>93</v>
      </c>
      <c r="M216" s="48">
        <v>193489.58</v>
      </c>
      <c r="N216" s="28" t="s">
        <v>174</v>
      </c>
      <c r="O216" s="28">
        <v>611.1</v>
      </c>
      <c r="P216" s="31">
        <v>-611.1</v>
      </c>
    </row>
    <row r="217" spans="2:16" x14ac:dyDescent="0.3">
      <c r="B217" s="43">
        <v>46171</v>
      </c>
      <c r="C217" s="4" t="s">
        <v>31</v>
      </c>
      <c r="D217" s="45" t="s">
        <v>121</v>
      </c>
      <c r="E217" s="4" t="s">
        <v>36</v>
      </c>
      <c r="F217" s="45" t="s">
        <v>10</v>
      </c>
      <c r="G217" s="45" t="s">
        <v>44</v>
      </c>
      <c r="H217" s="4" t="s">
        <v>88</v>
      </c>
      <c r="I217" s="4" t="s">
        <v>158</v>
      </c>
      <c r="J217" s="47">
        <v>15</v>
      </c>
      <c r="K217" s="5">
        <v>-15</v>
      </c>
      <c r="L217" s="6" t="s">
        <v>93</v>
      </c>
      <c r="M217" s="48">
        <v>35108.179999999964</v>
      </c>
      <c r="N217" s="28" t="s">
        <v>174</v>
      </c>
      <c r="O217" s="28">
        <v>15</v>
      </c>
      <c r="P217" s="31">
        <v>-15</v>
      </c>
    </row>
    <row r="218" spans="2:16" x14ac:dyDescent="0.3">
      <c r="B218" s="43">
        <v>46171</v>
      </c>
      <c r="C218" s="4" t="s">
        <v>21</v>
      </c>
      <c r="D218" s="45" t="s">
        <v>106</v>
      </c>
      <c r="E218" s="4" t="s">
        <v>37</v>
      </c>
      <c r="F218" s="45" t="s">
        <v>9</v>
      </c>
      <c r="G218" s="45" t="s">
        <v>84</v>
      </c>
      <c r="H218" s="4" t="s">
        <v>88</v>
      </c>
      <c r="I218" s="4" t="s">
        <v>158</v>
      </c>
      <c r="J218" s="47">
        <v>2291.75</v>
      </c>
      <c r="K218" s="5">
        <v>2291.75</v>
      </c>
      <c r="L218" s="6" t="s">
        <v>93</v>
      </c>
      <c r="M218" s="48">
        <v>749812.95</v>
      </c>
      <c r="N218" s="28">
        <v>2291.75</v>
      </c>
      <c r="O218" s="28" t="s">
        <v>174</v>
      </c>
      <c r="P218" s="31">
        <v>2291.75</v>
      </c>
    </row>
    <row r="219" spans="2:16" x14ac:dyDescent="0.3">
      <c r="B219" s="43">
        <v>46171</v>
      </c>
      <c r="C219" s="4" t="s">
        <v>21</v>
      </c>
      <c r="D219" s="45" t="s">
        <v>104</v>
      </c>
      <c r="E219" s="4" t="s">
        <v>37</v>
      </c>
      <c r="F219" s="45" t="s">
        <v>10</v>
      </c>
      <c r="G219" s="45" t="s">
        <v>42</v>
      </c>
      <c r="H219" s="4" t="s">
        <v>88</v>
      </c>
      <c r="I219" s="4" t="s">
        <v>158</v>
      </c>
      <c r="J219" s="47">
        <v>76593.55</v>
      </c>
      <c r="K219" s="5">
        <v>-76593.55</v>
      </c>
      <c r="L219" s="6" t="s">
        <v>93</v>
      </c>
      <c r="M219" s="48">
        <v>244921.30999999936</v>
      </c>
      <c r="N219" s="28" t="s">
        <v>174</v>
      </c>
      <c r="O219" s="28">
        <v>76593.55</v>
      </c>
      <c r="P219" s="31">
        <v>-76593.55</v>
      </c>
    </row>
    <row r="220" spans="2:16" x14ac:dyDescent="0.3">
      <c r="B220" s="43">
        <v>46171</v>
      </c>
      <c r="C220" s="4" t="s">
        <v>24</v>
      </c>
      <c r="D220" s="45" t="s">
        <v>113</v>
      </c>
      <c r="E220" s="4" t="s">
        <v>154</v>
      </c>
      <c r="F220" s="45" t="s">
        <v>10</v>
      </c>
      <c r="H220" s="4">
        <v>0</v>
      </c>
      <c r="I220" s="4">
        <v>0</v>
      </c>
      <c r="J220" s="47">
        <v>1270.43</v>
      </c>
      <c r="K220" s="5">
        <v>-1270.43</v>
      </c>
      <c r="L220" s="6" t="s">
        <v>93</v>
      </c>
      <c r="M220" s="48">
        <v>1227.9699999999998</v>
      </c>
      <c r="N220" s="28" t="s">
        <v>174</v>
      </c>
      <c r="O220" s="28">
        <v>1270.43</v>
      </c>
      <c r="P220" s="31">
        <v>-1270.43</v>
      </c>
    </row>
    <row r="221" spans="2:16" x14ac:dyDescent="0.3">
      <c r="B221" s="43">
        <v>46174</v>
      </c>
      <c r="C221" s="4" t="s">
        <v>20</v>
      </c>
      <c r="D221" s="45" t="s">
        <v>100</v>
      </c>
      <c r="E221" s="4" t="s">
        <v>36</v>
      </c>
      <c r="F221" s="45" t="s">
        <v>9</v>
      </c>
      <c r="G221" s="45" t="s">
        <v>80</v>
      </c>
      <c r="H221" s="4" t="s">
        <v>88</v>
      </c>
      <c r="I221" s="4" t="s">
        <v>158</v>
      </c>
      <c r="J221" s="47">
        <v>380000</v>
      </c>
      <c r="K221" s="5">
        <v>380000</v>
      </c>
      <c r="L221" s="15" t="s">
        <v>128</v>
      </c>
      <c r="M221" s="48">
        <v>804853.11999999988</v>
      </c>
      <c r="N221" s="28">
        <v>380000</v>
      </c>
      <c r="O221" s="28" t="s">
        <v>174</v>
      </c>
      <c r="P221" s="31">
        <v>380000</v>
      </c>
    </row>
    <row r="222" spans="2:16" x14ac:dyDescent="0.3">
      <c r="B222" s="43">
        <v>46174</v>
      </c>
      <c r="C222" s="4" t="s">
        <v>25</v>
      </c>
      <c r="D222" s="45" t="s">
        <v>114</v>
      </c>
      <c r="E222" s="4" t="s">
        <v>36</v>
      </c>
      <c r="F222" s="45" t="s">
        <v>10</v>
      </c>
      <c r="G222" s="45" t="s">
        <v>44</v>
      </c>
      <c r="H222" s="4" t="s">
        <v>88</v>
      </c>
      <c r="I222" s="4" t="s">
        <v>158</v>
      </c>
      <c r="J222" s="47">
        <v>29.95</v>
      </c>
      <c r="K222" s="5">
        <v>-29.95</v>
      </c>
      <c r="L222" s="15" t="s">
        <v>128</v>
      </c>
      <c r="M222" s="48">
        <v>84.35</v>
      </c>
      <c r="N222" s="28" t="s">
        <v>174</v>
      </c>
      <c r="O222" s="28">
        <v>29.95</v>
      </c>
      <c r="P222" s="31">
        <v>-29.95</v>
      </c>
    </row>
    <row r="223" spans="2:16" x14ac:dyDescent="0.3">
      <c r="B223" s="43">
        <v>46174</v>
      </c>
      <c r="C223" s="4" t="s">
        <v>26</v>
      </c>
      <c r="D223" s="45" t="s">
        <v>115</v>
      </c>
      <c r="E223" s="4" t="s">
        <v>36</v>
      </c>
      <c r="F223" s="45" t="s">
        <v>10</v>
      </c>
      <c r="G223" s="45" t="s">
        <v>44</v>
      </c>
      <c r="H223" s="4" t="s">
        <v>88</v>
      </c>
      <c r="I223" s="4" t="s">
        <v>158</v>
      </c>
      <c r="J223" s="47">
        <v>29.95</v>
      </c>
      <c r="K223" s="5">
        <v>-29.95</v>
      </c>
      <c r="L223" s="15" t="s">
        <v>128</v>
      </c>
      <c r="M223" s="48">
        <v>2237.77</v>
      </c>
      <c r="N223" s="28" t="s">
        <v>174</v>
      </c>
      <c r="O223" s="28">
        <v>29.95</v>
      </c>
      <c r="P223" s="31">
        <v>-29.95</v>
      </c>
    </row>
    <row r="224" spans="2:16" x14ac:dyDescent="0.3">
      <c r="B224" s="43">
        <v>46174</v>
      </c>
      <c r="C224" s="4" t="s">
        <v>30</v>
      </c>
      <c r="D224" s="45" t="s">
        <v>120</v>
      </c>
      <c r="E224" s="4" t="s">
        <v>36</v>
      </c>
      <c r="F224" s="45" t="s">
        <v>10</v>
      </c>
      <c r="G224" s="45" t="s">
        <v>44</v>
      </c>
      <c r="H224" s="4" t="s">
        <v>88</v>
      </c>
      <c r="I224" s="4" t="s">
        <v>158</v>
      </c>
      <c r="J224" s="47">
        <v>16</v>
      </c>
      <c r="K224" s="5">
        <v>-16</v>
      </c>
      <c r="L224" s="15" t="s">
        <v>128</v>
      </c>
      <c r="M224" s="48">
        <v>1428.08</v>
      </c>
      <c r="N224" s="28" t="s">
        <v>174</v>
      </c>
      <c r="O224" s="28">
        <v>16</v>
      </c>
      <c r="P224" s="31">
        <v>-16</v>
      </c>
    </row>
    <row r="225" spans="2:16" x14ac:dyDescent="0.3">
      <c r="B225" s="43">
        <v>46174</v>
      </c>
      <c r="C225" s="4" t="s">
        <v>31</v>
      </c>
      <c r="D225" s="45" t="s">
        <v>121</v>
      </c>
      <c r="E225" s="4" t="s">
        <v>36</v>
      </c>
      <c r="F225" s="45" t="s">
        <v>10</v>
      </c>
      <c r="G225" s="45" t="s">
        <v>38</v>
      </c>
      <c r="H225" s="4" t="s">
        <v>88</v>
      </c>
      <c r="I225" s="4" t="s">
        <v>158</v>
      </c>
      <c r="J225" s="47">
        <v>489</v>
      </c>
      <c r="K225" s="5">
        <v>-489</v>
      </c>
      <c r="L225" s="15" t="s">
        <v>128</v>
      </c>
      <c r="M225" s="48">
        <v>26085.849999999962</v>
      </c>
      <c r="N225" s="28" t="s">
        <v>174</v>
      </c>
      <c r="O225" s="28">
        <v>489</v>
      </c>
      <c r="P225" s="31">
        <v>-489</v>
      </c>
    </row>
    <row r="226" spans="2:16" x14ac:dyDescent="0.3">
      <c r="B226" s="43">
        <v>46174</v>
      </c>
      <c r="C226" s="4" t="s">
        <v>31</v>
      </c>
      <c r="D226" s="45" t="s">
        <v>121</v>
      </c>
      <c r="E226" s="4" t="s">
        <v>36</v>
      </c>
      <c r="F226" s="45" t="s">
        <v>10</v>
      </c>
      <c r="G226" s="45" t="s">
        <v>65</v>
      </c>
      <c r="H226" s="4" t="s">
        <v>88</v>
      </c>
      <c r="I226" s="4" t="s">
        <v>158</v>
      </c>
      <c r="J226" s="47">
        <v>8533.33</v>
      </c>
      <c r="K226" s="5">
        <v>-8533.33</v>
      </c>
      <c r="L226" s="15" t="s">
        <v>128</v>
      </c>
      <c r="M226" s="48">
        <v>26085.849999999962</v>
      </c>
      <c r="N226" s="28" t="s">
        <v>174</v>
      </c>
      <c r="O226" s="28">
        <v>8533.33</v>
      </c>
      <c r="P226" s="31">
        <v>-8533.33</v>
      </c>
    </row>
    <row r="227" spans="2:16" x14ac:dyDescent="0.3">
      <c r="B227" s="43">
        <v>46174</v>
      </c>
      <c r="C227" s="4" t="s">
        <v>31</v>
      </c>
      <c r="D227" s="45" t="s">
        <v>122</v>
      </c>
      <c r="E227" s="4" t="s">
        <v>36</v>
      </c>
      <c r="F227" s="45" t="s">
        <v>10</v>
      </c>
      <c r="G227" s="45" t="s">
        <v>44</v>
      </c>
      <c r="H227" s="4" t="s">
        <v>88</v>
      </c>
      <c r="I227" s="4" t="s">
        <v>158</v>
      </c>
      <c r="J227" s="47">
        <v>10</v>
      </c>
      <c r="K227" s="5">
        <v>-10</v>
      </c>
      <c r="L227" s="15" t="s">
        <v>128</v>
      </c>
      <c r="M227" s="48">
        <v>330.42</v>
      </c>
      <c r="N227" s="28" t="s">
        <v>174</v>
      </c>
      <c r="O227" s="28">
        <v>10</v>
      </c>
      <c r="P227" s="31">
        <v>-10</v>
      </c>
    </row>
    <row r="228" spans="2:16" x14ac:dyDescent="0.3">
      <c r="B228" s="43">
        <v>46174</v>
      </c>
      <c r="C228" s="4" t="s">
        <v>32</v>
      </c>
      <c r="D228" s="45" t="s">
        <v>123</v>
      </c>
      <c r="E228" s="4" t="s">
        <v>36</v>
      </c>
      <c r="F228" s="45" t="s">
        <v>10</v>
      </c>
      <c r="G228" s="45" t="s">
        <v>48</v>
      </c>
      <c r="H228" s="4" t="s">
        <v>89</v>
      </c>
      <c r="I228" s="4" t="s">
        <v>158</v>
      </c>
      <c r="J228" s="47">
        <v>9798.6299999999992</v>
      </c>
      <c r="K228" s="5">
        <v>-9798.6299999999992</v>
      </c>
      <c r="L228" s="15" t="s">
        <v>128</v>
      </c>
      <c r="M228" s="48">
        <v>5321.4300000000021</v>
      </c>
      <c r="N228" s="28" t="s">
        <v>174</v>
      </c>
      <c r="O228" s="28">
        <v>9798.6299999999992</v>
      </c>
      <c r="P228" s="31">
        <v>-9798.6299999999992</v>
      </c>
    </row>
    <row r="229" spans="2:16" x14ac:dyDescent="0.3">
      <c r="B229" s="43">
        <v>46174</v>
      </c>
      <c r="C229" s="4" t="s">
        <v>33</v>
      </c>
      <c r="D229" s="45" t="s">
        <v>124</v>
      </c>
      <c r="E229" s="4" t="s">
        <v>36</v>
      </c>
      <c r="F229" s="45" t="s">
        <v>10</v>
      </c>
      <c r="G229" s="45" t="s">
        <v>48</v>
      </c>
      <c r="H229" s="4" t="s">
        <v>89</v>
      </c>
      <c r="I229" s="4" t="s">
        <v>158</v>
      </c>
      <c r="J229" s="47">
        <v>8773.0400000000009</v>
      </c>
      <c r="K229" s="5">
        <v>-8773.0400000000009</v>
      </c>
      <c r="L229" s="15" t="s">
        <v>128</v>
      </c>
      <c r="M229" s="48">
        <v>24833.23</v>
      </c>
      <c r="N229" s="28" t="s">
        <v>174</v>
      </c>
      <c r="O229" s="28">
        <v>8773.0400000000009</v>
      </c>
      <c r="P229" s="31">
        <v>-8773.0400000000009</v>
      </c>
    </row>
    <row r="230" spans="2:16" x14ac:dyDescent="0.3">
      <c r="B230" s="43">
        <v>46174</v>
      </c>
      <c r="C230" s="4" t="s">
        <v>18</v>
      </c>
      <c r="D230" s="45" t="s">
        <v>97</v>
      </c>
      <c r="E230" s="4" t="s">
        <v>37</v>
      </c>
      <c r="F230" s="45" t="s">
        <v>9</v>
      </c>
      <c r="G230" s="45" t="s">
        <v>68</v>
      </c>
      <c r="H230" s="4" t="s">
        <v>88</v>
      </c>
      <c r="I230" s="4" t="s">
        <v>158</v>
      </c>
      <c r="J230" s="47">
        <v>6979.11</v>
      </c>
      <c r="K230" s="5">
        <v>6979.11</v>
      </c>
      <c r="L230" s="15" t="s">
        <v>128</v>
      </c>
      <c r="M230" s="48">
        <v>64376.390000000174</v>
      </c>
      <c r="N230" s="28">
        <v>6979.11</v>
      </c>
      <c r="O230" s="28" t="s">
        <v>174</v>
      </c>
      <c r="P230" s="31">
        <v>6979.11</v>
      </c>
    </row>
    <row r="231" spans="2:16" x14ac:dyDescent="0.3">
      <c r="B231" s="43">
        <v>46174</v>
      </c>
      <c r="C231" s="4" t="s">
        <v>35</v>
      </c>
      <c r="D231" s="45" t="s">
        <v>126</v>
      </c>
      <c r="E231" s="4" t="s">
        <v>37</v>
      </c>
      <c r="F231" s="45" t="s">
        <v>10</v>
      </c>
      <c r="G231" s="45" t="s">
        <v>38</v>
      </c>
      <c r="H231" s="4" t="s">
        <v>88</v>
      </c>
      <c r="I231" s="4" t="s">
        <v>158</v>
      </c>
      <c r="J231" s="47">
        <v>1593.39</v>
      </c>
      <c r="K231" s="5">
        <v>-1593.39</v>
      </c>
      <c r="L231" s="15" t="s">
        <v>128</v>
      </c>
      <c r="M231" s="48">
        <v>6824.47</v>
      </c>
      <c r="N231" s="28" t="s">
        <v>174</v>
      </c>
      <c r="O231" s="28">
        <v>1593.39</v>
      </c>
      <c r="P231" s="31">
        <v>-1593.39</v>
      </c>
    </row>
    <row r="232" spans="2:16" x14ac:dyDescent="0.3">
      <c r="B232" s="43">
        <v>46174</v>
      </c>
      <c r="C232" s="4" t="s">
        <v>35</v>
      </c>
      <c r="D232" s="45" t="s">
        <v>126</v>
      </c>
      <c r="E232" s="4" t="s">
        <v>37</v>
      </c>
      <c r="F232" s="45" t="s">
        <v>10</v>
      </c>
      <c r="G232" s="45" t="s">
        <v>38</v>
      </c>
      <c r="H232" s="4" t="s">
        <v>88</v>
      </c>
      <c r="I232" s="4" t="s">
        <v>158</v>
      </c>
      <c r="J232" s="47">
        <v>493.38</v>
      </c>
      <c r="K232" s="5">
        <v>-493.38</v>
      </c>
      <c r="L232" s="15" t="s">
        <v>128</v>
      </c>
      <c r="M232" s="48">
        <v>6824.47</v>
      </c>
      <c r="N232" s="28" t="s">
        <v>174</v>
      </c>
      <c r="O232" s="28">
        <v>493.38</v>
      </c>
      <c r="P232" s="31">
        <v>-493.38</v>
      </c>
    </row>
    <row r="233" spans="2:16" x14ac:dyDescent="0.3">
      <c r="B233" s="43">
        <v>46174</v>
      </c>
      <c r="C233" s="4" t="s">
        <v>35</v>
      </c>
      <c r="D233" s="45" t="s">
        <v>126</v>
      </c>
      <c r="E233" s="4" t="s">
        <v>37</v>
      </c>
      <c r="F233" s="45" t="s">
        <v>10</v>
      </c>
      <c r="G233" s="45" t="s">
        <v>38</v>
      </c>
      <c r="H233" s="4" t="s">
        <v>88</v>
      </c>
      <c r="I233" s="4" t="s">
        <v>158</v>
      </c>
      <c r="J233" s="47">
        <v>165</v>
      </c>
      <c r="K233" s="5">
        <v>-165</v>
      </c>
      <c r="L233" s="15" t="s">
        <v>128</v>
      </c>
      <c r="M233" s="48">
        <v>6824.47</v>
      </c>
      <c r="N233" s="28" t="s">
        <v>174</v>
      </c>
      <c r="O233" s="28">
        <v>165</v>
      </c>
      <c r="P233" s="31">
        <v>-165</v>
      </c>
    </row>
    <row r="234" spans="2:16" x14ac:dyDescent="0.3">
      <c r="B234" s="43">
        <v>46175</v>
      </c>
      <c r="C234" s="4" t="s">
        <v>31</v>
      </c>
      <c r="D234" s="45" t="s">
        <v>121</v>
      </c>
      <c r="E234" s="4" t="s">
        <v>36</v>
      </c>
      <c r="F234" s="45" t="s">
        <v>10</v>
      </c>
      <c r="G234" s="45" t="s">
        <v>38</v>
      </c>
      <c r="H234" s="4" t="s">
        <v>88</v>
      </c>
      <c r="I234" s="4" t="s">
        <v>158</v>
      </c>
      <c r="J234" s="47">
        <v>626.29999999999995</v>
      </c>
      <c r="K234" s="5">
        <v>-626.29999999999995</v>
      </c>
      <c r="L234" s="15" t="s">
        <v>128</v>
      </c>
      <c r="M234" s="48">
        <v>25459.549999999963</v>
      </c>
      <c r="N234" s="28" t="s">
        <v>174</v>
      </c>
      <c r="O234" s="28">
        <v>626.29999999999995</v>
      </c>
      <c r="P234" s="31">
        <v>-626.29999999999995</v>
      </c>
    </row>
    <row r="235" spans="2:16" x14ac:dyDescent="0.3">
      <c r="B235" s="43">
        <v>46175</v>
      </c>
      <c r="C235" s="4" t="s">
        <v>35</v>
      </c>
      <c r="D235" s="45" t="s">
        <v>126</v>
      </c>
      <c r="E235" s="4" t="s">
        <v>37</v>
      </c>
      <c r="F235" s="45" t="s">
        <v>10</v>
      </c>
      <c r="G235" s="45" t="s">
        <v>38</v>
      </c>
      <c r="H235" s="4" t="s">
        <v>88</v>
      </c>
      <c r="I235" s="4" t="s">
        <v>158</v>
      </c>
      <c r="J235" s="47">
        <v>3309.58</v>
      </c>
      <c r="K235" s="5">
        <v>-3309.58</v>
      </c>
      <c r="L235" s="15" t="s">
        <v>128</v>
      </c>
      <c r="M235" s="48">
        <v>3514.8900000000012</v>
      </c>
      <c r="N235" s="28" t="s">
        <v>174</v>
      </c>
      <c r="O235" s="28">
        <v>3309.58</v>
      </c>
      <c r="P235" s="31">
        <v>-3309.58</v>
      </c>
    </row>
    <row r="236" spans="2:16" x14ac:dyDescent="0.3">
      <c r="B236" s="43">
        <v>46176</v>
      </c>
      <c r="C236" s="4" t="s">
        <v>21</v>
      </c>
      <c r="D236" s="45" t="s">
        <v>101</v>
      </c>
      <c r="E236" s="4" t="s">
        <v>36</v>
      </c>
      <c r="F236" s="45" t="s">
        <v>10</v>
      </c>
      <c r="G236" s="45" t="s">
        <v>38</v>
      </c>
      <c r="H236" s="4" t="s">
        <v>88</v>
      </c>
      <c r="I236" s="4" t="s">
        <v>158</v>
      </c>
      <c r="J236" s="47">
        <v>290.01</v>
      </c>
      <c r="K236" s="5">
        <v>-290.01</v>
      </c>
      <c r="L236" s="15" t="s">
        <v>128</v>
      </c>
      <c r="M236" s="48">
        <v>10553.2</v>
      </c>
      <c r="N236" s="28" t="s">
        <v>174</v>
      </c>
      <c r="O236" s="28">
        <v>290.01</v>
      </c>
      <c r="P236" s="31">
        <v>-290.01</v>
      </c>
    </row>
    <row r="237" spans="2:16" x14ac:dyDescent="0.3">
      <c r="B237" s="43">
        <v>46176</v>
      </c>
      <c r="C237" s="4" t="s">
        <v>22</v>
      </c>
      <c r="D237" s="45" t="s">
        <v>110</v>
      </c>
      <c r="E237" s="4" t="s">
        <v>36</v>
      </c>
      <c r="F237" s="45" t="s">
        <v>10</v>
      </c>
      <c r="G237" s="45" t="s">
        <v>38</v>
      </c>
      <c r="H237" s="4" t="s">
        <v>88</v>
      </c>
      <c r="I237" s="4" t="s">
        <v>158</v>
      </c>
      <c r="J237" s="47">
        <v>6000</v>
      </c>
      <c r="K237" s="5">
        <v>-6000</v>
      </c>
      <c r="L237" s="15" t="s">
        <v>128</v>
      </c>
      <c r="M237" s="48">
        <v>51206.89</v>
      </c>
      <c r="N237" s="28" t="s">
        <v>174</v>
      </c>
      <c r="O237" s="28">
        <v>6000</v>
      </c>
      <c r="P237" s="31">
        <v>-6000</v>
      </c>
    </row>
    <row r="238" spans="2:16" x14ac:dyDescent="0.3">
      <c r="B238" s="43">
        <v>46177</v>
      </c>
      <c r="C238" s="4" t="s">
        <v>21</v>
      </c>
      <c r="D238" s="45" t="s">
        <v>101</v>
      </c>
      <c r="E238" s="4" t="s">
        <v>36</v>
      </c>
      <c r="F238" s="45" t="s">
        <v>9</v>
      </c>
      <c r="G238" s="45" t="s">
        <v>68</v>
      </c>
      <c r="H238" s="4" t="s">
        <v>88</v>
      </c>
      <c r="I238" s="4" t="s">
        <v>158</v>
      </c>
      <c r="J238" s="47">
        <v>15307.88</v>
      </c>
      <c r="K238" s="5">
        <v>15307.88</v>
      </c>
      <c r="L238" s="15" t="s">
        <v>128</v>
      </c>
      <c r="M238" s="48">
        <v>25322.66</v>
      </c>
      <c r="N238" s="28">
        <v>15307.88</v>
      </c>
      <c r="O238" s="28" t="s">
        <v>174</v>
      </c>
      <c r="P238" s="31">
        <v>15307.88</v>
      </c>
    </row>
    <row r="239" spans="2:16" x14ac:dyDescent="0.3">
      <c r="B239" s="43">
        <v>46177</v>
      </c>
      <c r="C239" s="4" t="s">
        <v>21</v>
      </c>
      <c r="D239" s="45" t="s">
        <v>101</v>
      </c>
      <c r="E239" s="4" t="s">
        <v>36</v>
      </c>
      <c r="F239" s="45" t="s">
        <v>10</v>
      </c>
      <c r="G239" s="45" t="s">
        <v>38</v>
      </c>
      <c r="H239" s="4" t="s">
        <v>88</v>
      </c>
      <c r="I239" s="4" t="s">
        <v>158</v>
      </c>
      <c r="J239" s="47">
        <v>538.41999999999996</v>
      </c>
      <c r="K239" s="5">
        <v>-538.41999999999996</v>
      </c>
      <c r="L239" s="15" t="s">
        <v>128</v>
      </c>
      <c r="M239" s="48">
        <v>25322.66</v>
      </c>
      <c r="N239" s="28" t="s">
        <v>174</v>
      </c>
      <c r="O239" s="28">
        <v>538.41999999999996</v>
      </c>
      <c r="P239" s="31">
        <v>-538.41999999999996</v>
      </c>
    </row>
    <row r="240" spans="2:16" x14ac:dyDescent="0.3">
      <c r="B240" s="43">
        <v>46177</v>
      </c>
      <c r="C240" s="4" t="s">
        <v>20</v>
      </c>
      <c r="D240" s="45" t="s">
        <v>100</v>
      </c>
      <c r="E240" s="4" t="s">
        <v>36</v>
      </c>
      <c r="F240" s="45" t="s">
        <v>10</v>
      </c>
      <c r="G240" s="45" t="s">
        <v>61</v>
      </c>
      <c r="H240" s="4" t="s">
        <v>88</v>
      </c>
      <c r="I240" s="4" t="s">
        <v>158</v>
      </c>
      <c r="J240" s="47">
        <v>60000</v>
      </c>
      <c r="K240" s="5">
        <v>-60000</v>
      </c>
      <c r="L240" s="15" t="s">
        <v>128</v>
      </c>
      <c r="M240" s="48">
        <v>729545.23999999987</v>
      </c>
      <c r="N240" s="28" t="s">
        <v>174</v>
      </c>
      <c r="O240" s="28">
        <v>60000</v>
      </c>
      <c r="P240" s="31">
        <v>-60000</v>
      </c>
    </row>
    <row r="241" spans="2:16" x14ac:dyDescent="0.3">
      <c r="B241" s="43">
        <v>46177</v>
      </c>
      <c r="C241" s="4" t="s">
        <v>20</v>
      </c>
      <c r="D241" s="45" t="s">
        <v>100</v>
      </c>
      <c r="E241" s="4" t="s">
        <v>36</v>
      </c>
      <c r="F241" s="45" t="s">
        <v>10</v>
      </c>
      <c r="G241" s="45" t="s">
        <v>49</v>
      </c>
      <c r="H241" s="4" t="s">
        <v>89</v>
      </c>
      <c r="I241" s="4" t="s">
        <v>158</v>
      </c>
      <c r="J241" s="47">
        <v>15307.88</v>
      </c>
      <c r="K241" s="5">
        <v>-15307.88</v>
      </c>
      <c r="L241" s="15" t="s">
        <v>128</v>
      </c>
      <c r="M241" s="48">
        <v>729545.23999999987</v>
      </c>
      <c r="N241" s="28" t="s">
        <v>174</v>
      </c>
      <c r="O241" s="28">
        <v>15307.88</v>
      </c>
      <c r="P241" s="31">
        <v>-15307.88</v>
      </c>
    </row>
    <row r="242" spans="2:16" x14ac:dyDescent="0.3">
      <c r="B242" s="43">
        <v>46177</v>
      </c>
      <c r="C242" s="4" t="s">
        <v>17</v>
      </c>
      <c r="D242" s="45" t="s">
        <v>94</v>
      </c>
      <c r="E242" s="4" t="s">
        <v>36</v>
      </c>
      <c r="F242" s="45" t="s">
        <v>10</v>
      </c>
      <c r="G242" s="45" t="s">
        <v>64</v>
      </c>
      <c r="H242" s="4" t="s">
        <v>88</v>
      </c>
      <c r="I242" s="4" t="s">
        <v>159</v>
      </c>
      <c r="J242" s="47">
        <v>185000</v>
      </c>
      <c r="K242" s="5">
        <v>-185000</v>
      </c>
      <c r="L242" s="15" t="s">
        <v>128</v>
      </c>
      <c r="M242" s="48">
        <v>8489.5799999999872</v>
      </c>
      <c r="N242" s="28" t="s">
        <v>174</v>
      </c>
      <c r="O242" s="28">
        <v>185000</v>
      </c>
      <c r="P242" s="31">
        <v>-185000</v>
      </c>
    </row>
    <row r="243" spans="2:16" x14ac:dyDescent="0.3">
      <c r="B243" s="43">
        <v>46177</v>
      </c>
      <c r="C243" s="4" t="s">
        <v>17</v>
      </c>
      <c r="D243" s="45" t="s">
        <v>95</v>
      </c>
      <c r="E243" s="4" t="s">
        <v>37</v>
      </c>
      <c r="F243" s="45" t="s">
        <v>9</v>
      </c>
      <c r="G243" s="45" t="s">
        <v>85</v>
      </c>
      <c r="H243" s="4" t="s">
        <v>88</v>
      </c>
      <c r="I243" s="4" t="s">
        <v>159</v>
      </c>
      <c r="J243" s="47">
        <v>185000</v>
      </c>
      <c r="K243" s="5">
        <v>185000</v>
      </c>
      <c r="L243" s="15" t="s">
        <v>128</v>
      </c>
      <c r="M243" s="48">
        <v>719648.53</v>
      </c>
      <c r="N243" s="28">
        <v>185000</v>
      </c>
      <c r="O243" s="28" t="s">
        <v>174</v>
      </c>
      <c r="P243" s="31">
        <v>185000</v>
      </c>
    </row>
    <row r="244" spans="2:16" x14ac:dyDescent="0.3">
      <c r="B244" s="43">
        <v>46177</v>
      </c>
      <c r="C244" s="4" t="s">
        <v>17</v>
      </c>
      <c r="D244" s="45" t="s">
        <v>95</v>
      </c>
      <c r="E244" s="4" t="s">
        <v>37</v>
      </c>
      <c r="F244" s="45" t="s">
        <v>10</v>
      </c>
      <c r="G244" s="45" t="s">
        <v>61</v>
      </c>
      <c r="H244" s="4" t="s">
        <v>88</v>
      </c>
      <c r="I244" s="4" t="s">
        <v>158</v>
      </c>
      <c r="J244" s="47">
        <v>30000</v>
      </c>
      <c r="K244" s="5">
        <v>-30000</v>
      </c>
      <c r="L244" s="15" t="s">
        <v>128</v>
      </c>
      <c r="M244" s="48">
        <v>719648.53</v>
      </c>
      <c r="N244" s="28" t="s">
        <v>174</v>
      </c>
      <c r="O244" s="28">
        <v>30000</v>
      </c>
      <c r="P244" s="31">
        <v>-30000</v>
      </c>
    </row>
    <row r="245" spans="2:16" x14ac:dyDescent="0.3">
      <c r="B245" s="43">
        <v>46177</v>
      </c>
      <c r="C245" s="4" t="s">
        <v>17</v>
      </c>
      <c r="D245" s="45" t="s">
        <v>95</v>
      </c>
      <c r="E245" s="4" t="s">
        <v>37</v>
      </c>
      <c r="F245" s="45" t="s">
        <v>10</v>
      </c>
      <c r="G245" s="45" t="s">
        <v>61</v>
      </c>
      <c r="H245" s="4" t="s">
        <v>88</v>
      </c>
      <c r="I245" s="4" t="s">
        <v>158</v>
      </c>
      <c r="J245" s="47">
        <v>70000</v>
      </c>
      <c r="K245" s="5">
        <v>-70000</v>
      </c>
      <c r="L245" s="15" t="s">
        <v>128</v>
      </c>
      <c r="M245" s="48">
        <v>719648.53</v>
      </c>
      <c r="N245" s="28" t="s">
        <v>174</v>
      </c>
      <c r="O245" s="28">
        <v>70000</v>
      </c>
      <c r="P245" s="31">
        <v>-70000</v>
      </c>
    </row>
    <row r="246" spans="2:16" x14ac:dyDescent="0.3">
      <c r="B246" s="43">
        <v>46177</v>
      </c>
      <c r="C246" s="4" t="s">
        <v>17</v>
      </c>
      <c r="D246" s="45" t="s">
        <v>95</v>
      </c>
      <c r="E246" s="4" t="s">
        <v>37</v>
      </c>
      <c r="F246" s="45" t="s">
        <v>10</v>
      </c>
      <c r="G246" s="45" t="s">
        <v>50</v>
      </c>
      <c r="H246" s="4" t="s">
        <v>89</v>
      </c>
      <c r="I246" s="4" t="s">
        <v>158</v>
      </c>
      <c r="J246" s="47">
        <v>150000</v>
      </c>
      <c r="K246" s="5">
        <v>-150000</v>
      </c>
      <c r="L246" s="15" t="s">
        <v>128</v>
      </c>
      <c r="M246" s="48">
        <v>719648.53</v>
      </c>
      <c r="N246" s="28" t="s">
        <v>174</v>
      </c>
      <c r="O246" s="28">
        <v>150000</v>
      </c>
      <c r="P246" s="31">
        <v>-150000</v>
      </c>
    </row>
    <row r="247" spans="2:16" x14ac:dyDescent="0.3">
      <c r="B247" s="43">
        <v>46177</v>
      </c>
      <c r="C247" s="4" t="s">
        <v>29</v>
      </c>
      <c r="D247" s="45" t="s">
        <v>119</v>
      </c>
      <c r="E247" s="4" t="s">
        <v>37</v>
      </c>
      <c r="F247" s="45" t="s">
        <v>10</v>
      </c>
      <c r="G247" s="45" t="s">
        <v>38</v>
      </c>
      <c r="H247" s="4" t="s">
        <v>88</v>
      </c>
      <c r="I247" s="4" t="s">
        <v>158</v>
      </c>
      <c r="J247" s="47">
        <v>518.65</v>
      </c>
      <c r="K247" s="5">
        <v>-518.65</v>
      </c>
      <c r="L247" s="15" t="s">
        <v>128</v>
      </c>
      <c r="M247" s="48">
        <v>382.69000000000005</v>
      </c>
      <c r="N247" s="28" t="s">
        <v>174</v>
      </c>
      <c r="O247" s="28">
        <v>518.65</v>
      </c>
      <c r="P247" s="31">
        <v>-518.65</v>
      </c>
    </row>
    <row r="248" spans="2:16" x14ac:dyDescent="0.3">
      <c r="B248" s="43">
        <v>46177</v>
      </c>
      <c r="C248" s="4" t="s">
        <v>22</v>
      </c>
      <c r="D248" s="45" t="s">
        <v>111</v>
      </c>
      <c r="E248" s="4" t="s">
        <v>37</v>
      </c>
      <c r="F248" s="45" t="s">
        <v>10</v>
      </c>
      <c r="G248" s="45" t="s">
        <v>64</v>
      </c>
      <c r="H248" s="4" t="s">
        <v>88</v>
      </c>
      <c r="I248" s="4" t="s">
        <v>159</v>
      </c>
      <c r="J248" s="47">
        <v>9000</v>
      </c>
      <c r="K248" s="5">
        <v>-9000</v>
      </c>
      <c r="L248" s="15" t="s">
        <v>128</v>
      </c>
      <c r="M248" s="48">
        <v>1717.6000000000058</v>
      </c>
      <c r="N248" s="28" t="s">
        <v>174</v>
      </c>
      <c r="O248" s="28">
        <v>9000</v>
      </c>
      <c r="P248" s="31">
        <v>-9000</v>
      </c>
    </row>
    <row r="249" spans="2:16" x14ac:dyDescent="0.3">
      <c r="B249" s="43">
        <v>46177</v>
      </c>
      <c r="C249" s="4" t="s">
        <v>21</v>
      </c>
      <c r="D249" s="45" t="s">
        <v>104</v>
      </c>
      <c r="E249" s="4" t="s">
        <v>37</v>
      </c>
      <c r="F249" s="45" t="s">
        <v>9</v>
      </c>
      <c r="G249" s="45" t="s">
        <v>75</v>
      </c>
      <c r="H249" s="4" t="s">
        <v>89</v>
      </c>
      <c r="I249" s="4" t="s">
        <v>159</v>
      </c>
      <c r="J249" s="47">
        <v>150000</v>
      </c>
      <c r="K249" s="5">
        <v>150000</v>
      </c>
      <c r="L249" s="15" t="s">
        <v>128</v>
      </c>
      <c r="M249" s="48">
        <v>386254.63999999932</v>
      </c>
      <c r="N249" s="28">
        <v>150000</v>
      </c>
      <c r="O249" s="28" t="s">
        <v>174</v>
      </c>
      <c r="P249" s="31">
        <v>150000</v>
      </c>
    </row>
    <row r="250" spans="2:16" x14ac:dyDescent="0.3">
      <c r="B250" s="43">
        <v>46177</v>
      </c>
      <c r="C250" s="4" t="s">
        <v>21</v>
      </c>
      <c r="D250" s="45" t="s">
        <v>104</v>
      </c>
      <c r="E250" s="4" t="s">
        <v>37</v>
      </c>
      <c r="F250" s="45" t="s">
        <v>10</v>
      </c>
      <c r="G250" s="45" t="s">
        <v>46</v>
      </c>
      <c r="H250" s="4" t="s">
        <v>89</v>
      </c>
      <c r="I250" s="4" t="s">
        <v>158</v>
      </c>
      <c r="J250" s="47">
        <v>8666.67</v>
      </c>
      <c r="K250" s="5">
        <v>-8666.67</v>
      </c>
      <c r="L250" s="15" t="s">
        <v>128</v>
      </c>
      <c r="M250" s="48">
        <v>386254.63999999932</v>
      </c>
      <c r="N250" s="28" t="s">
        <v>174</v>
      </c>
      <c r="O250" s="28">
        <v>8666.67</v>
      </c>
      <c r="P250" s="31">
        <v>-8666.67</v>
      </c>
    </row>
    <row r="251" spans="2:16" x14ac:dyDescent="0.3">
      <c r="B251" s="43">
        <v>46177</v>
      </c>
      <c r="C251" s="4" t="s">
        <v>34</v>
      </c>
      <c r="D251" s="45" t="s">
        <v>125</v>
      </c>
      <c r="E251" s="4" t="s">
        <v>37</v>
      </c>
      <c r="F251" s="45" t="s">
        <v>9</v>
      </c>
      <c r="G251" s="45" t="s">
        <v>85</v>
      </c>
      <c r="H251" s="4" t="s">
        <v>88</v>
      </c>
      <c r="I251" s="4" t="s">
        <v>159</v>
      </c>
      <c r="J251" s="47">
        <v>9000</v>
      </c>
      <c r="K251" s="5">
        <v>9000</v>
      </c>
      <c r="L251" s="15" t="s">
        <v>128</v>
      </c>
      <c r="M251" s="48">
        <v>345</v>
      </c>
      <c r="N251" s="28">
        <v>9000</v>
      </c>
      <c r="O251" s="28" t="s">
        <v>174</v>
      </c>
      <c r="P251" s="31">
        <v>9000</v>
      </c>
    </row>
    <row r="252" spans="2:16" x14ac:dyDescent="0.3">
      <c r="B252" s="43">
        <v>46177</v>
      </c>
      <c r="C252" s="4" t="s">
        <v>34</v>
      </c>
      <c r="D252" s="45" t="s">
        <v>125</v>
      </c>
      <c r="E252" s="4" t="s">
        <v>37</v>
      </c>
      <c r="F252" s="45" t="s">
        <v>10</v>
      </c>
      <c r="G252" s="45" t="s">
        <v>64</v>
      </c>
      <c r="H252" s="4" t="s">
        <v>88</v>
      </c>
      <c r="I252" s="4" t="s">
        <v>159</v>
      </c>
      <c r="J252" s="47">
        <v>9000</v>
      </c>
      <c r="K252" s="5">
        <v>-9000</v>
      </c>
      <c r="L252" s="15" t="s">
        <v>128</v>
      </c>
      <c r="M252" s="48">
        <v>345</v>
      </c>
      <c r="N252" s="28" t="s">
        <v>174</v>
      </c>
      <c r="O252" s="28">
        <v>9000</v>
      </c>
      <c r="P252" s="31">
        <v>-9000</v>
      </c>
    </row>
    <row r="253" spans="2:16" x14ac:dyDescent="0.3">
      <c r="B253" s="43">
        <v>46177</v>
      </c>
      <c r="C253" s="4" t="s">
        <v>35</v>
      </c>
      <c r="D253" s="45" t="s">
        <v>126</v>
      </c>
      <c r="E253" s="4" t="s">
        <v>37</v>
      </c>
      <c r="F253" s="45" t="s">
        <v>9</v>
      </c>
      <c r="G253" s="45" t="s">
        <v>85</v>
      </c>
      <c r="H253" s="4" t="s">
        <v>88</v>
      </c>
      <c r="I253" s="4" t="s">
        <v>159</v>
      </c>
      <c r="J253" s="47">
        <v>9000</v>
      </c>
      <c r="K253" s="5">
        <v>9000</v>
      </c>
      <c r="L253" s="15" t="s">
        <v>128</v>
      </c>
      <c r="M253" s="48">
        <v>2422.7400000000016</v>
      </c>
      <c r="N253" s="28">
        <v>9000</v>
      </c>
      <c r="O253" s="28" t="s">
        <v>174</v>
      </c>
      <c r="P253" s="31">
        <v>9000</v>
      </c>
    </row>
    <row r="254" spans="2:16" x14ac:dyDescent="0.3">
      <c r="B254" s="43">
        <v>46177</v>
      </c>
      <c r="C254" s="4" t="s">
        <v>35</v>
      </c>
      <c r="D254" s="45" t="s">
        <v>126</v>
      </c>
      <c r="E254" s="4" t="s">
        <v>37</v>
      </c>
      <c r="F254" s="45" t="s">
        <v>10</v>
      </c>
      <c r="G254" s="45" t="s">
        <v>38</v>
      </c>
      <c r="H254" s="4" t="s">
        <v>88</v>
      </c>
      <c r="I254" s="4" t="s">
        <v>158</v>
      </c>
      <c r="J254" s="47">
        <v>250</v>
      </c>
      <c r="K254" s="5">
        <v>-250</v>
      </c>
      <c r="L254" s="15" t="s">
        <v>128</v>
      </c>
      <c r="M254" s="48">
        <v>2422.7400000000016</v>
      </c>
      <c r="N254" s="28" t="s">
        <v>174</v>
      </c>
      <c r="O254" s="28">
        <v>250</v>
      </c>
      <c r="P254" s="31">
        <v>-250</v>
      </c>
    </row>
    <row r="255" spans="2:16" x14ac:dyDescent="0.3">
      <c r="B255" s="43">
        <v>46177</v>
      </c>
      <c r="C255" s="4" t="s">
        <v>35</v>
      </c>
      <c r="D255" s="45" t="s">
        <v>126</v>
      </c>
      <c r="E255" s="4" t="s">
        <v>37</v>
      </c>
      <c r="F255" s="45" t="s">
        <v>10</v>
      </c>
      <c r="G255" s="45" t="s">
        <v>38</v>
      </c>
      <c r="H255" s="4" t="s">
        <v>88</v>
      </c>
      <c r="I255" s="4" t="s">
        <v>158</v>
      </c>
      <c r="J255" s="47">
        <v>2175</v>
      </c>
      <c r="K255" s="5">
        <v>-2175</v>
      </c>
      <c r="L255" s="15" t="s">
        <v>128</v>
      </c>
      <c r="M255" s="48">
        <v>2422.7400000000016</v>
      </c>
      <c r="N255" s="28" t="s">
        <v>174</v>
      </c>
      <c r="O255" s="28">
        <v>2175</v>
      </c>
      <c r="P255" s="31">
        <v>-2175</v>
      </c>
    </row>
    <row r="256" spans="2:16" x14ac:dyDescent="0.3">
      <c r="B256" s="43">
        <v>46177</v>
      </c>
      <c r="C256" s="4" t="s">
        <v>35</v>
      </c>
      <c r="D256" s="45" t="s">
        <v>126</v>
      </c>
      <c r="E256" s="4" t="s">
        <v>37</v>
      </c>
      <c r="F256" s="45" t="s">
        <v>10</v>
      </c>
      <c r="G256" s="45" t="s">
        <v>44</v>
      </c>
      <c r="H256" s="4" t="s">
        <v>88</v>
      </c>
      <c r="I256" s="4" t="s">
        <v>158</v>
      </c>
      <c r="J256" s="47">
        <v>15</v>
      </c>
      <c r="K256" s="5">
        <v>-15</v>
      </c>
      <c r="L256" s="15" t="s">
        <v>128</v>
      </c>
      <c r="M256" s="48">
        <v>2422.7400000000016</v>
      </c>
      <c r="N256" s="28" t="s">
        <v>174</v>
      </c>
      <c r="O256" s="28">
        <v>15</v>
      </c>
      <c r="P256" s="31">
        <v>-15</v>
      </c>
    </row>
    <row r="257" spans="2:16" x14ac:dyDescent="0.3">
      <c r="B257" s="43">
        <v>46177</v>
      </c>
      <c r="C257" s="4" t="s">
        <v>35</v>
      </c>
      <c r="D257" s="45" t="s">
        <v>126</v>
      </c>
      <c r="E257" s="4" t="s">
        <v>37</v>
      </c>
      <c r="F257" s="45" t="s">
        <v>10</v>
      </c>
      <c r="G257" s="45" t="s">
        <v>38</v>
      </c>
      <c r="H257" s="4" t="s">
        <v>88</v>
      </c>
      <c r="I257" s="4" t="s">
        <v>158</v>
      </c>
      <c r="J257" s="47">
        <v>3622.15</v>
      </c>
      <c r="K257" s="5">
        <v>-3622.15</v>
      </c>
      <c r="L257" s="15" t="s">
        <v>128</v>
      </c>
      <c r="M257" s="48">
        <v>2422.7400000000016</v>
      </c>
      <c r="N257" s="28" t="s">
        <v>174</v>
      </c>
      <c r="O257" s="28">
        <v>3622.15</v>
      </c>
      <c r="P257" s="31">
        <v>-3622.15</v>
      </c>
    </row>
    <row r="258" spans="2:16" x14ac:dyDescent="0.3">
      <c r="B258" s="43">
        <v>46177</v>
      </c>
      <c r="C258" s="4" t="s">
        <v>35</v>
      </c>
      <c r="D258" s="45" t="s">
        <v>126</v>
      </c>
      <c r="E258" s="4" t="s">
        <v>37</v>
      </c>
      <c r="F258" s="45" t="s">
        <v>10</v>
      </c>
      <c r="G258" s="45" t="s">
        <v>44</v>
      </c>
      <c r="H258" s="4" t="s">
        <v>88</v>
      </c>
      <c r="I258" s="4" t="s">
        <v>158</v>
      </c>
      <c r="J258" s="47">
        <v>15</v>
      </c>
      <c r="K258" s="5">
        <v>-15</v>
      </c>
      <c r="L258" s="15" t="s">
        <v>128</v>
      </c>
      <c r="M258" s="48">
        <v>2422.7400000000016</v>
      </c>
      <c r="N258" s="28" t="s">
        <v>174</v>
      </c>
      <c r="O258" s="28">
        <v>15</v>
      </c>
      <c r="P258" s="31">
        <v>-15</v>
      </c>
    </row>
    <row r="259" spans="2:16" x14ac:dyDescent="0.3">
      <c r="B259" s="43">
        <v>46177</v>
      </c>
      <c r="C259" s="4" t="s">
        <v>35</v>
      </c>
      <c r="D259" s="45" t="s">
        <v>126</v>
      </c>
      <c r="E259" s="4" t="s">
        <v>37</v>
      </c>
      <c r="F259" s="45" t="s">
        <v>10</v>
      </c>
      <c r="G259" s="45" t="s">
        <v>38</v>
      </c>
      <c r="H259" s="4" t="s">
        <v>88</v>
      </c>
      <c r="I259" s="4" t="s">
        <v>158</v>
      </c>
      <c r="J259" s="47">
        <v>4000</v>
      </c>
      <c r="K259" s="5">
        <v>-4000</v>
      </c>
      <c r="L259" s="15" t="s">
        <v>128</v>
      </c>
      <c r="M259" s="48">
        <v>2422.7400000000016</v>
      </c>
      <c r="N259" s="28" t="s">
        <v>174</v>
      </c>
      <c r="O259" s="28">
        <v>4000</v>
      </c>
      <c r="P259" s="31">
        <v>-4000</v>
      </c>
    </row>
    <row r="260" spans="2:16" x14ac:dyDescent="0.3">
      <c r="B260" s="43">
        <v>46177</v>
      </c>
      <c r="C260" s="4" t="s">
        <v>35</v>
      </c>
      <c r="D260" s="45" t="s">
        <v>126</v>
      </c>
      <c r="E260" s="4" t="s">
        <v>37</v>
      </c>
      <c r="F260" s="45" t="s">
        <v>10</v>
      </c>
      <c r="G260" s="45" t="s">
        <v>44</v>
      </c>
      <c r="H260" s="4" t="s">
        <v>88</v>
      </c>
      <c r="I260" s="4" t="s">
        <v>158</v>
      </c>
      <c r="J260" s="47">
        <v>15</v>
      </c>
      <c r="K260" s="5">
        <v>-15</v>
      </c>
      <c r="L260" s="15" t="s">
        <v>128</v>
      </c>
      <c r="M260" s="48">
        <v>2422.7400000000016</v>
      </c>
      <c r="N260" s="28" t="s">
        <v>174</v>
      </c>
      <c r="O260" s="28">
        <v>15</v>
      </c>
      <c r="P260" s="31">
        <v>-15</v>
      </c>
    </row>
    <row r="261" spans="2:16" x14ac:dyDescent="0.3">
      <c r="B261" s="43">
        <v>46178</v>
      </c>
      <c r="C261" s="4" t="s">
        <v>21</v>
      </c>
      <c r="D261" s="45" t="s">
        <v>101</v>
      </c>
      <c r="E261" s="4" t="s">
        <v>36</v>
      </c>
      <c r="F261" s="45" t="s">
        <v>10</v>
      </c>
      <c r="G261" s="45" t="s">
        <v>38</v>
      </c>
      <c r="H261" s="4" t="s">
        <v>88</v>
      </c>
      <c r="I261" s="4" t="s">
        <v>158</v>
      </c>
      <c r="J261" s="47">
        <v>6.35</v>
      </c>
      <c r="K261" s="5">
        <v>-6.35</v>
      </c>
      <c r="L261" s="15" t="s">
        <v>128</v>
      </c>
      <c r="M261" s="48">
        <v>17636.53</v>
      </c>
      <c r="N261" s="28" t="s">
        <v>174</v>
      </c>
      <c r="O261" s="28">
        <v>6.35</v>
      </c>
      <c r="P261" s="31">
        <v>-6.35</v>
      </c>
    </row>
    <row r="262" spans="2:16" x14ac:dyDescent="0.3">
      <c r="B262" s="43">
        <v>46178</v>
      </c>
      <c r="C262" s="4" t="s">
        <v>21</v>
      </c>
      <c r="D262" s="45" t="s">
        <v>101</v>
      </c>
      <c r="E262" s="4" t="s">
        <v>36</v>
      </c>
      <c r="F262" s="45" t="s">
        <v>10</v>
      </c>
      <c r="G262" s="45" t="s">
        <v>41</v>
      </c>
      <c r="H262" s="4" t="s">
        <v>88</v>
      </c>
      <c r="I262" s="4" t="s">
        <v>158</v>
      </c>
      <c r="J262" s="47">
        <v>7679.78</v>
      </c>
      <c r="K262" s="5">
        <v>-7679.78</v>
      </c>
      <c r="L262" s="15" t="s">
        <v>128</v>
      </c>
      <c r="M262" s="48">
        <v>17636.53</v>
      </c>
      <c r="N262" s="28" t="s">
        <v>174</v>
      </c>
      <c r="O262" s="28">
        <v>7679.78</v>
      </c>
      <c r="P262" s="31">
        <v>-7679.78</v>
      </c>
    </row>
    <row r="263" spans="2:16" x14ac:dyDescent="0.3">
      <c r="B263" s="43">
        <v>46181</v>
      </c>
      <c r="C263" s="4" t="s">
        <v>35</v>
      </c>
      <c r="D263" s="45" t="s">
        <v>126</v>
      </c>
      <c r="E263" s="4" t="s">
        <v>37</v>
      </c>
      <c r="F263" s="45" t="s">
        <v>10</v>
      </c>
      <c r="G263" s="45" t="s">
        <v>38</v>
      </c>
      <c r="H263" s="4" t="s">
        <v>88</v>
      </c>
      <c r="I263" s="4" t="s">
        <v>158</v>
      </c>
      <c r="J263" s="47">
        <v>739.52</v>
      </c>
      <c r="K263" s="5">
        <v>-739.52</v>
      </c>
      <c r="L263" s="15" t="s">
        <v>128</v>
      </c>
      <c r="M263" s="48">
        <v>1451.1500000000015</v>
      </c>
      <c r="N263" s="28" t="s">
        <v>174</v>
      </c>
      <c r="O263" s="28">
        <v>739.52</v>
      </c>
      <c r="P263" s="31">
        <v>-739.52</v>
      </c>
    </row>
    <row r="264" spans="2:16" x14ac:dyDescent="0.3">
      <c r="B264" s="43">
        <v>46181</v>
      </c>
      <c r="C264" s="4" t="s">
        <v>35</v>
      </c>
      <c r="D264" s="45" t="s">
        <v>126</v>
      </c>
      <c r="E264" s="4" t="s">
        <v>37</v>
      </c>
      <c r="F264" s="45" t="s">
        <v>10</v>
      </c>
      <c r="G264" s="45" t="s">
        <v>38</v>
      </c>
      <c r="H264" s="4" t="s">
        <v>88</v>
      </c>
      <c r="I264" s="4" t="s">
        <v>158</v>
      </c>
      <c r="J264" s="47">
        <v>0.01</v>
      </c>
      <c r="K264" s="5">
        <v>-0.01</v>
      </c>
      <c r="L264" s="15" t="s">
        <v>128</v>
      </c>
      <c r="M264" s="48">
        <v>1451.1500000000015</v>
      </c>
      <c r="N264" s="28" t="s">
        <v>174</v>
      </c>
      <c r="O264" s="28">
        <v>0.01</v>
      </c>
      <c r="P264" s="31">
        <v>-0.01</v>
      </c>
    </row>
    <row r="265" spans="2:16" x14ac:dyDescent="0.3">
      <c r="B265" s="43">
        <v>46181</v>
      </c>
      <c r="C265" s="4" t="s">
        <v>35</v>
      </c>
      <c r="D265" s="45" t="s">
        <v>126</v>
      </c>
      <c r="E265" s="4" t="s">
        <v>37</v>
      </c>
      <c r="F265" s="45" t="s">
        <v>10</v>
      </c>
      <c r="G265" s="45" t="s">
        <v>38</v>
      </c>
      <c r="H265" s="4" t="s">
        <v>88</v>
      </c>
      <c r="I265" s="4" t="s">
        <v>158</v>
      </c>
      <c r="J265" s="47">
        <v>232.06</v>
      </c>
      <c r="K265" s="5">
        <v>-232.06</v>
      </c>
      <c r="L265" s="15" t="s">
        <v>128</v>
      </c>
      <c r="M265" s="48">
        <v>1451.1500000000015</v>
      </c>
      <c r="N265" s="28" t="s">
        <v>174</v>
      </c>
      <c r="O265" s="28">
        <v>232.06</v>
      </c>
      <c r="P265" s="31">
        <v>-232.06</v>
      </c>
    </row>
    <row r="266" spans="2:16" x14ac:dyDescent="0.3">
      <c r="B266" s="43">
        <v>46182</v>
      </c>
      <c r="C266" s="4" t="s">
        <v>35</v>
      </c>
      <c r="D266" s="45" t="s">
        <v>126</v>
      </c>
      <c r="E266" s="4" t="s">
        <v>37</v>
      </c>
      <c r="F266" s="45" t="s">
        <v>10</v>
      </c>
      <c r="G266" s="45" t="s">
        <v>38</v>
      </c>
      <c r="H266" s="4" t="s">
        <v>88</v>
      </c>
      <c r="I266" s="4" t="s">
        <v>158</v>
      </c>
      <c r="J266" s="47">
        <v>114.66</v>
      </c>
      <c r="K266" s="5">
        <v>-114.66</v>
      </c>
      <c r="L266" s="15" t="s">
        <v>128</v>
      </c>
      <c r="M266" s="48">
        <v>1289.7300000000014</v>
      </c>
      <c r="N266" s="28" t="s">
        <v>174</v>
      </c>
      <c r="O266" s="28">
        <v>114.66</v>
      </c>
      <c r="P266" s="31">
        <v>-114.66</v>
      </c>
    </row>
    <row r="267" spans="2:16" x14ac:dyDescent="0.3">
      <c r="B267" s="43">
        <v>46182</v>
      </c>
      <c r="C267" s="4" t="s">
        <v>21</v>
      </c>
      <c r="D267" s="45" t="s">
        <v>104</v>
      </c>
      <c r="E267" s="4" t="s">
        <v>37</v>
      </c>
      <c r="F267" s="45" t="s">
        <v>10</v>
      </c>
      <c r="G267" s="45" t="s">
        <v>44</v>
      </c>
      <c r="H267" s="4" t="s">
        <v>88</v>
      </c>
      <c r="I267" s="4" t="s">
        <v>158</v>
      </c>
      <c r="J267" s="47">
        <v>2462.62</v>
      </c>
      <c r="K267" s="5">
        <v>-2462.62</v>
      </c>
      <c r="L267" s="15" t="s">
        <v>128</v>
      </c>
      <c r="M267" s="48">
        <v>383792.01999999932</v>
      </c>
      <c r="N267" s="28" t="s">
        <v>174</v>
      </c>
      <c r="O267" s="28">
        <v>2462.62</v>
      </c>
      <c r="P267" s="31">
        <v>-2462.62</v>
      </c>
    </row>
    <row r="268" spans="2:16" x14ac:dyDescent="0.3">
      <c r="B268" s="43">
        <v>46182</v>
      </c>
      <c r="C268" s="4" t="s">
        <v>35</v>
      </c>
      <c r="D268" s="45" t="s">
        <v>126</v>
      </c>
      <c r="E268" s="4" t="s">
        <v>37</v>
      </c>
      <c r="F268" s="45" t="s">
        <v>10</v>
      </c>
      <c r="G268" s="45" t="s">
        <v>38</v>
      </c>
      <c r="H268" s="4" t="s">
        <v>88</v>
      </c>
      <c r="I268" s="4" t="s">
        <v>158</v>
      </c>
      <c r="J268" s="47">
        <v>46.76</v>
      </c>
      <c r="K268" s="5">
        <v>-46.76</v>
      </c>
      <c r="L268" s="15" t="s">
        <v>128</v>
      </c>
      <c r="M268" s="48">
        <v>1289.7300000000014</v>
      </c>
      <c r="N268" s="28" t="s">
        <v>174</v>
      </c>
      <c r="O268" s="28">
        <v>46.76</v>
      </c>
      <c r="P268" s="31">
        <v>-46.76</v>
      </c>
    </row>
    <row r="269" spans="2:16" x14ac:dyDescent="0.3">
      <c r="B269" s="43">
        <v>46182</v>
      </c>
      <c r="C269" s="4" t="s">
        <v>21</v>
      </c>
      <c r="D269" s="45" t="s">
        <v>101</v>
      </c>
      <c r="E269" s="4" t="s">
        <v>36</v>
      </c>
      <c r="F269" s="45" t="s">
        <v>10</v>
      </c>
      <c r="G269" s="45" t="s">
        <v>38</v>
      </c>
      <c r="H269" s="4" t="s">
        <v>88</v>
      </c>
      <c r="I269" s="4" t="s">
        <v>158</v>
      </c>
      <c r="J269" s="47">
        <v>1291.6500000000001</v>
      </c>
      <c r="K269" s="5">
        <v>-1291.6500000000001</v>
      </c>
      <c r="L269" s="15" t="s">
        <v>128</v>
      </c>
      <c r="M269" s="48">
        <v>16344.88</v>
      </c>
      <c r="N269" s="28" t="s">
        <v>174</v>
      </c>
      <c r="O269" s="28">
        <v>1291.6500000000001</v>
      </c>
      <c r="P269" s="31">
        <v>-1291.6500000000001</v>
      </c>
    </row>
    <row r="270" spans="2:16" x14ac:dyDescent="0.3">
      <c r="B270" s="43">
        <v>46182</v>
      </c>
      <c r="C270" s="4" t="s">
        <v>17</v>
      </c>
      <c r="D270" s="45" t="s">
        <v>94</v>
      </c>
      <c r="E270" s="4" t="s">
        <v>36</v>
      </c>
      <c r="F270" s="45" t="s">
        <v>9</v>
      </c>
      <c r="G270" s="45" t="s">
        <v>72</v>
      </c>
      <c r="H270" s="4" t="s">
        <v>88</v>
      </c>
      <c r="I270" s="4" t="s">
        <v>158</v>
      </c>
      <c r="J270" s="47">
        <v>113987.15</v>
      </c>
      <c r="K270" s="5">
        <v>113987.15</v>
      </c>
      <c r="L270" s="15" t="s">
        <v>128</v>
      </c>
      <c r="M270" s="48">
        <v>122476.72999999998</v>
      </c>
      <c r="N270" s="28">
        <v>113987.15</v>
      </c>
      <c r="O270" s="28" t="s">
        <v>174</v>
      </c>
      <c r="P270" s="31">
        <v>113987.15</v>
      </c>
    </row>
    <row r="271" spans="2:16" x14ac:dyDescent="0.3">
      <c r="B271" s="43">
        <v>46183</v>
      </c>
      <c r="C271" s="4" t="s">
        <v>17</v>
      </c>
      <c r="D271" s="45" t="s">
        <v>95</v>
      </c>
      <c r="E271" s="4" t="s">
        <v>37</v>
      </c>
      <c r="F271" s="45" t="s">
        <v>9</v>
      </c>
      <c r="G271" s="45" t="s">
        <v>76</v>
      </c>
      <c r="H271" s="4" t="s">
        <v>89</v>
      </c>
      <c r="I271" s="4" t="s">
        <v>158</v>
      </c>
      <c r="J271" s="47">
        <v>255000</v>
      </c>
      <c r="K271" s="5">
        <v>255000</v>
      </c>
      <c r="L271" s="15" t="s">
        <v>128</v>
      </c>
      <c r="M271" s="48">
        <v>1974648.53</v>
      </c>
      <c r="N271" s="28">
        <v>255000</v>
      </c>
      <c r="O271" s="28" t="s">
        <v>174</v>
      </c>
      <c r="P271" s="31">
        <v>255000</v>
      </c>
    </row>
    <row r="272" spans="2:16" x14ac:dyDescent="0.3">
      <c r="B272" s="43">
        <v>46183</v>
      </c>
      <c r="C272" s="4" t="s">
        <v>17</v>
      </c>
      <c r="D272" s="45" t="s">
        <v>95</v>
      </c>
      <c r="E272" s="4" t="s">
        <v>37</v>
      </c>
      <c r="F272" s="45" t="s">
        <v>9</v>
      </c>
      <c r="G272" s="45" t="s">
        <v>76</v>
      </c>
      <c r="H272" s="4" t="s">
        <v>89</v>
      </c>
      <c r="I272" s="4" t="s">
        <v>158</v>
      </c>
      <c r="J272" s="47">
        <v>1000000</v>
      </c>
      <c r="K272" s="5">
        <v>1000000</v>
      </c>
      <c r="L272" s="15" t="s">
        <v>128</v>
      </c>
      <c r="M272" s="48">
        <v>1974648.53</v>
      </c>
      <c r="N272" s="28">
        <v>1000000</v>
      </c>
      <c r="O272" s="28" t="s">
        <v>174</v>
      </c>
      <c r="P272" s="31">
        <v>1000000</v>
      </c>
    </row>
    <row r="273" spans="2:16" x14ac:dyDescent="0.3">
      <c r="B273" s="43">
        <v>46183</v>
      </c>
      <c r="C273" s="4" t="s">
        <v>20</v>
      </c>
      <c r="D273" s="45" t="s">
        <v>100</v>
      </c>
      <c r="E273" s="4" t="s">
        <v>36</v>
      </c>
      <c r="F273" s="45" t="s">
        <v>9</v>
      </c>
      <c r="G273" s="45" t="s">
        <v>72</v>
      </c>
      <c r="H273" s="4" t="s">
        <v>88</v>
      </c>
      <c r="I273" s="4" t="s">
        <v>158</v>
      </c>
      <c r="J273" s="47">
        <v>14761.57</v>
      </c>
      <c r="K273" s="5">
        <v>14761.57</v>
      </c>
      <c r="L273" s="15" t="s">
        <v>128</v>
      </c>
      <c r="M273" s="48">
        <v>744306.80999999982</v>
      </c>
      <c r="N273" s="28">
        <v>14761.57</v>
      </c>
      <c r="O273" s="28" t="s">
        <v>174</v>
      </c>
      <c r="P273" s="31">
        <v>14761.57</v>
      </c>
    </row>
    <row r="274" spans="2:16" x14ac:dyDescent="0.3">
      <c r="B274" s="43">
        <v>46183</v>
      </c>
      <c r="C274" s="4" t="s">
        <v>17</v>
      </c>
      <c r="D274" s="45" t="s">
        <v>94</v>
      </c>
      <c r="E274" s="4" t="s">
        <v>36</v>
      </c>
      <c r="F274" s="45" t="s">
        <v>9</v>
      </c>
      <c r="G274" s="45" t="s">
        <v>72</v>
      </c>
      <c r="H274" s="4" t="s">
        <v>88</v>
      </c>
      <c r="I274" s="4" t="s">
        <v>158</v>
      </c>
      <c r="J274" s="47">
        <v>99279.52</v>
      </c>
      <c r="K274" s="5">
        <v>99279.52</v>
      </c>
      <c r="L274" s="15" t="s">
        <v>128</v>
      </c>
      <c r="M274" s="48">
        <v>308841.39</v>
      </c>
      <c r="N274" s="28">
        <v>99279.52</v>
      </c>
      <c r="O274" s="28" t="s">
        <v>174</v>
      </c>
      <c r="P274" s="31">
        <v>99279.52</v>
      </c>
    </row>
    <row r="275" spans="2:16" x14ac:dyDescent="0.3">
      <c r="B275" s="43">
        <v>46183</v>
      </c>
      <c r="C275" s="4" t="s">
        <v>17</v>
      </c>
      <c r="D275" s="45" t="s">
        <v>94</v>
      </c>
      <c r="E275" s="4" t="s">
        <v>36</v>
      </c>
      <c r="F275" s="45" t="s">
        <v>9</v>
      </c>
      <c r="G275" s="45" t="s">
        <v>72</v>
      </c>
      <c r="H275" s="4" t="s">
        <v>88</v>
      </c>
      <c r="I275" s="4" t="s">
        <v>158</v>
      </c>
      <c r="J275" s="47">
        <v>87085.14</v>
      </c>
      <c r="K275" s="5">
        <v>87085.14</v>
      </c>
      <c r="L275" s="15" t="s">
        <v>128</v>
      </c>
      <c r="M275" s="48">
        <v>308841.39</v>
      </c>
      <c r="N275" s="28">
        <v>87085.14</v>
      </c>
      <c r="O275" s="28" t="s">
        <v>174</v>
      </c>
      <c r="P275" s="31">
        <v>87085.14</v>
      </c>
    </row>
    <row r="276" spans="2:16" x14ac:dyDescent="0.3">
      <c r="B276" s="43">
        <v>46183</v>
      </c>
      <c r="C276" s="4" t="s">
        <v>33</v>
      </c>
      <c r="D276" s="45" t="s">
        <v>124</v>
      </c>
      <c r="E276" s="4" t="s">
        <v>36</v>
      </c>
      <c r="F276" s="45" t="s">
        <v>10</v>
      </c>
      <c r="G276" s="45" t="s">
        <v>38</v>
      </c>
      <c r="H276" s="4" t="s">
        <v>88</v>
      </c>
      <c r="I276" s="4" t="s">
        <v>158</v>
      </c>
      <c r="J276" s="47">
        <v>89.25</v>
      </c>
      <c r="K276" s="5">
        <v>-89.25</v>
      </c>
      <c r="L276" s="15" t="s">
        <v>128</v>
      </c>
      <c r="M276" s="48">
        <v>24743.98</v>
      </c>
      <c r="N276" s="28" t="s">
        <v>174</v>
      </c>
      <c r="O276" s="28">
        <v>89.25</v>
      </c>
      <c r="P276" s="31">
        <v>-89.25</v>
      </c>
    </row>
    <row r="277" spans="2:16" x14ac:dyDescent="0.3">
      <c r="B277" s="43">
        <v>46184</v>
      </c>
      <c r="C277" s="4" t="s">
        <v>20</v>
      </c>
      <c r="D277" s="45" t="s">
        <v>100</v>
      </c>
      <c r="E277" s="4" t="s">
        <v>36</v>
      </c>
      <c r="F277" s="45" t="s">
        <v>10</v>
      </c>
      <c r="G277" s="45" t="s">
        <v>61</v>
      </c>
      <c r="H277" s="4" t="s">
        <v>88</v>
      </c>
      <c r="I277" s="4" t="s">
        <v>158</v>
      </c>
      <c r="J277" s="47">
        <v>60000</v>
      </c>
      <c r="K277" s="5">
        <v>-60000</v>
      </c>
      <c r="L277" s="15" t="s">
        <v>128</v>
      </c>
      <c r="M277" s="48">
        <v>564626.20999999985</v>
      </c>
      <c r="N277" s="28" t="s">
        <v>174</v>
      </c>
      <c r="O277" s="28">
        <v>60000</v>
      </c>
      <c r="P277" s="31">
        <v>-60000</v>
      </c>
    </row>
    <row r="278" spans="2:16" x14ac:dyDescent="0.3">
      <c r="B278" s="43">
        <v>46184</v>
      </c>
      <c r="C278" s="4" t="s">
        <v>20</v>
      </c>
      <c r="D278" s="45" t="s">
        <v>100</v>
      </c>
      <c r="E278" s="4" t="s">
        <v>36</v>
      </c>
      <c r="F278" s="45" t="s">
        <v>10</v>
      </c>
      <c r="G278" s="45" t="s">
        <v>51</v>
      </c>
      <c r="H278" s="4" t="s">
        <v>89</v>
      </c>
      <c r="I278" s="4" t="s">
        <v>158</v>
      </c>
      <c r="J278" s="47">
        <v>119680.6</v>
      </c>
      <c r="K278" s="5">
        <v>-119680.6</v>
      </c>
      <c r="L278" s="15" t="s">
        <v>128</v>
      </c>
      <c r="M278" s="48">
        <v>564626.20999999985</v>
      </c>
      <c r="N278" s="28" t="s">
        <v>174</v>
      </c>
      <c r="O278" s="28">
        <v>119680.6</v>
      </c>
      <c r="P278" s="31">
        <v>-119680.6</v>
      </c>
    </row>
    <row r="279" spans="2:16" x14ac:dyDescent="0.3">
      <c r="B279" s="43">
        <v>46184</v>
      </c>
      <c r="C279" s="4" t="s">
        <v>17</v>
      </c>
      <c r="D279" s="45" t="s">
        <v>95</v>
      </c>
      <c r="E279" s="4" t="s">
        <v>37</v>
      </c>
      <c r="F279" s="45" t="s">
        <v>10</v>
      </c>
      <c r="G279" s="45" t="s">
        <v>46</v>
      </c>
      <c r="H279" s="4" t="s">
        <v>89</v>
      </c>
      <c r="I279" s="4" t="s">
        <v>158</v>
      </c>
      <c r="J279" s="47">
        <v>2916.67</v>
      </c>
      <c r="K279" s="5">
        <v>-2916.67</v>
      </c>
      <c r="L279" s="15" t="s">
        <v>128</v>
      </c>
      <c r="M279" s="48">
        <v>1523687.4200000002</v>
      </c>
      <c r="N279" s="28" t="s">
        <v>174</v>
      </c>
      <c r="O279" s="28">
        <v>2916.67</v>
      </c>
      <c r="P279" s="31">
        <v>-2916.67</v>
      </c>
    </row>
    <row r="280" spans="2:16" x14ac:dyDescent="0.3">
      <c r="B280" s="43">
        <v>46184</v>
      </c>
      <c r="C280" s="4" t="s">
        <v>17</v>
      </c>
      <c r="D280" s="45" t="s">
        <v>95</v>
      </c>
      <c r="E280" s="4" t="s">
        <v>37</v>
      </c>
      <c r="F280" s="45" t="s">
        <v>10</v>
      </c>
      <c r="G280" s="45" t="s">
        <v>46</v>
      </c>
      <c r="H280" s="4" t="s">
        <v>89</v>
      </c>
      <c r="I280" s="4" t="s">
        <v>158</v>
      </c>
      <c r="J280" s="47">
        <v>5166.67</v>
      </c>
      <c r="K280" s="5">
        <v>-5166.67</v>
      </c>
      <c r="L280" s="15" t="s">
        <v>128</v>
      </c>
      <c r="M280" s="48">
        <v>1523687.4200000002</v>
      </c>
      <c r="N280" s="28" t="s">
        <v>174</v>
      </c>
      <c r="O280" s="28">
        <v>5166.67</v>
      </c>
      <c r="P280" s="31">
        <v>-5166.67</v>
      </c>
    </row>
    <row r="281" spans="2:16" x14ac:dyDescent="0.3">
      <c r="B281" s="43">
        <v>46184</v>
      </c>
      <c r="C281" s="4" t="s">
        <v>17</v>
      </c>
      <c r="D281" s="45" t="s">
        <v>95</v>
      </c>
      <c r="E281" s="4" t="s">
        <v>37</v>
      </c>
      <c r="F281" s="45" t="s">
        <v>10</v>
      </c>
      <c r="G281" s="45" t="s">
        <v>46</v>
      </c>
      <c r="H281" s="4" t="s">
        <v>89</v>
      </c>
      <c r="I281" s="4" t="s">
        <v>158</v>
      </c>
      <c r="J281" s="47">
        <v>27083.33</v>
      </c>
      <c r="K281" s="5">
        <v>-27083.33</v>
      </c>
      <c r="L281" s="15" t="s">
        <v>128</v>
      </c>
      <c r="M281" s="48">
        <v>1523687.4200000002</v>
      </c>
      <c r="N281" s="28" t="s">
        <v>174</v>
      </c>
      <c r="O281" s="28">
        <v>27083.33</v>
      </c>
      <c r="P281" s="31">
        <v>-27083.33</v>
      </c>
    </row>
    <row r="282" spans="2:16" x14ac:dyDescent="0.3">
      <c r="B282" s="43">
        <v>46184</v>
      </c>
      <c r="C282" s="4" t="s">
        <v>17</v>
      </c>
      <c r="D282" s="45" t="s">
        <v>95</v>
      </c>
      <c r="E282" s="4" t="s">
        <v>37</v>
      </c>
      <c r="F282" s="45" t="s">
        <v>10</v>
      </c>
      <c r="G282" s="45" t="s">
        <v>61</v>
      </c>
      <c r="H282" s="4" t="s">
        <v>88</v>
      </c>
      <c r="I282" s="4" t="s">
        <v>158</v>
      </c>
      <c r="J282" s="47">
        <v>40000</v>
      </c>
      <c r="K282" s="5">
        <v>-40000</v>
      </c>
      <c r="L282" s="15" t="s">
        <v>128</v>
      </c>
      <c r="M282" s="48">
        <v>1523687.4200000002</v>
      </c>
      <c r="N282" s="28" t="s">
        <v>174</v>
      </c>
      <c r="O282" s="28">
        <v>40000</v>
      </c>
      <c r="P282" s="31">
        <v>-40000</v>
      </c>
    </row>
    <row r="283" spans="2:16" x14ac:dyDescent="0.3">
      <c r="B283" s="43">
        <v>46184</v>
      </c>
      <c r="C283" s="4" t="s">
        <v>17</v>
      </c>
      <c r="D283" s="45" t="s">
        <v>95</v>
      </c>
      <c r="E283" s="4" t="s">
        <v>37</v>
      </c>
      <c r="F283" s="45" t="s">
        <v>10</v>
      </c>
      <c r="G283" s="45" t="s">
        <v>46</v>
      </c>
      <c r="H283" s="4" t="s">
        <v>89</v>
      </c>
      <c r="I283" s="4" t="s">
        <v>158</v>
      </c>
      <c r="J283" s="47">
        <v>57866.67</v>
      </c>
      <c r="K283" s="5">
        <v>-57866.67</v>
      </c>
      <c r="L283" s="15" t="s">
        <v>128</v>
      </c>
      <c r="M283" s="48">
        <v>1523687.4200000002</v>
      </c>
      <c r="N283" s="28" t="s">
        <v>174</v>
      </c>
      <c r="O283" s="28">
        <v>57866.67</v>
      </c>
      <c r="P283" s="31">
        <v>-57866.67</v>
      </c>
    </row>
    <row r="284" spans="2:16" x14ac:dyDescent="0.3">
      <c r="B284" s="43">
        <v>46184</v>
      </c>
      <c r="C284" s="4" t="s">
        <v>17</v>
      </c>
      <c r="D284" s="45" t="s">
        <v>95</v>
      </c>
      <c r="E284" s="4" t="s">
        <v>37</v>
      </c>
      <c r="F284" s="45" t="s">
        <v>10</v>
      </c>
      <c r="G284" s="45" t="s">
        <v>61</v>
      </c>
      <c r="H284" s="4" t="s">
        <v>88</v>
      </c>
      <c r="I284" s="4" t="s">
        <v>158</v>
      </c>
      <c r="J284" s="47">
        <v>60000</v>
      </c>
      <c r="K284" s="5">
        <v>-60000</v>
      </c>
      <c r="L284" s="15" t="s">
        <v>128</v>
      </c>
      <c r="M284" s="48">
        <v>1523687.4200000002</v>
      </c>
      <c r="N284" s="28" t="s">
        <v>174</v>
      </c>
      <c r="O284" s="28">
        <v>60000</v>
      </c>
      <c r="P284" s="31">
        <v>-60000</v>
      </c>
    </row>
    <row r="285" spans="2:16" x14ac:dyDescent="0.3">
      <c r="B285" s="43">
        <v>46184</v>
      </c>
      <c r="C285" s="4" t="s">
        <v>17</v>
      </c>
      <c r="D285" s="45" t="s">
        <v>95</v>
      </c>
      <c r="E285" s="4" t="s">
        <v>37</v>
      </c>
      <c r="F285" s="45" t="s">
        <v>10</v>
      </c>
      <c r="G285" s="45" t="s">
        <v>46</v>
      </c>
      <c r="H285" s="4" t="s">
        <v>89</v>
      </c>
      <c r="I285" s="4" t="s">
        <v>158</v>
      </c>
      <c r="J285" s="47">
        <v>72333.33</v>
      </c>
      <c r="K285" s="5">
        <v>-72333.33</v>
      </c>
      <c r="L285" s="15" t="s">
        <v>128</v>
      </c>
      <c r="M285" s="48">
        <v>1523687.4200000002</v>
      </c>
      <c r="N285" s="28" t="s">
        <v>174</v>
      </c>
      <c r="O285" s="28">
        <v>72333.33</v>
      </c>
      <c r="P285" s="31">
        <v>-72333.33</v>
      </c>
    </row>
    <row r="286" spans="2:16" x14ac:dyDescent="0.3">
      <c r="B286" s="43">
        <v>46184</v>
      </c>
      <c r="C286" s="4" t="s">
        <v>17</v>
      </c>
      <c r="D286" s="45" t="s">
        <v>95</v>
      </c>
      <c r="E286" s="4" t="s">
        <v>37</v>
      </c>
      <c r="F286" s="45" t="s">
        <v>10</v>
      </c>
      <c r="G286" s="45" t="s">
        <v>46</v>
      </c>
      <c r="H286" s="4" t="s">
        <v>89</v>
      </c>
      <c r="I286" s="4" t="s">
        <v>158</v>
      </c>
      <c r="J286" s="47">
        <v>85594.44</v>
      </c>
      <c r="K286" s="5">
        <v>-85594.44</v>
      </c>
      <c r="L286" s="15" t="s">
        <v>128</v>
      </c>
      <c r="M286" s="48">
        <v>1523687.4200000002</v>
      </c>
      <c r="N286" s="28" t="s">
        <v>174</v>
      </c>
      <c r="O286" s="28">
        <v>85594.44</v>
      </c>
      <c r="P286" s="31">
        <v>-85594.44</v>
      </c>
    </row>
    <row r="287" spans="2:16" x14ac:dyDescent="0.3">
      <c r="B287" s="43">
        <v>46184</v>
      </c>
      <c r="C287" s="4" t="s">
        <v>17</v>
      </c>
      <c r="D287" s="45" t="s">
        <v>95</v>
      </c>
      <c r="E287" s="4" t="s">
        <v>37</v>
      </c>
      <c r="F287" s="45" t="s">
        <v>10</v>
      </c>
      <c r="G287" s="45" t="s">
        <v>61</v>
      </c>
      <c r="H287" s="4" t="s">
        <v>88</v>
      </c>
      <c r="I287" s="4" t="s">
        <v>158</v>
      </c>
      <c r="J287" s="47">
        <v>100000</v>
      </c>
      <c r="K287" s="5">
        <v>-100000</v>
      </c>
      <c r="L287" s="15" t="s">
        <v>128</v>
      </c>
      <c r="M287" s="48">
        <v>1523687.4200000002</v>
      </c>
      <c r="N287" s="28" t="s">
        <v>174</v>
      </c>
      <c r="O287" s="28">
        <v>100000</v>
      </c>
      <c r="P287" s="31">
        <v>-100000</v>
      </c>
    </row>
    <row r="288" spans="2:16" x14ac:dyDescent="0.3">
      <c r="B288" s="43">
        <v>46184</v>
      </c>
      <c r="C288" s="4" t="s">
        <v>22</v>
      </c>
      <c r="D288" s="45" t="s">
        <v>111</v>
      </c>
      <c r="E288" s="4" t="s">
        <v>37</v>
      </c>
      <c r="F288" s="45" t="s">
        <v>9</v>
      </c>
      <c r="G288" s="45" t="s">
        <v>75</v>
      </c>
      <c r="H288" s="4" t="s">
        <v>89</v>
      </c>
      <c r="I288" s="4" t="s">
        <v>159</v>
      </c>
      <c r="J288" s="47">
        <v>50000</v>
      </c>
      <c r="K288" s="5">
        <v>50000</v>
      </c>
      <c r="L288" s="15" t="s">
        <v>128</v>
      </c>
      <c r="M288" s="48">
        <v>1717.6000000000058</v>
      </c>
      <c r="N288" s="28">
        <v>50000</v>
      </c>
      <c r="O288" s="28" t="s">
        <v>174</v>
      </c>
      <c r="P288" s="31">
        <v>50000</v>
      </c>
    </row>
    <row r="289" spans="2:16" x14ac:dyDescent="0.3">
      <c r="B289" s="43">
        <v>46184</v>
      </c>
      <c r="C289" s="4" t="s">
        <v>22</v>
      </c>
      <c r="D289" s="45" t="s">
        <v>111</v>
      </c>
      <c r="E289" s="4" t="s">
        <v>37</v>
      </c>
      <c r="F289" s="45" t="s">
        <v>10</v>
      </c>
      <c r="G289" s="45" t="s">
        <v>64</v>
      </c>
      <c r="H289" s="4" t="s">
        <v>88</v>
      </c>
      <c r="I289" s="4" t="s">
        <v>159</v>
      </c>
      <c r="J289" s="47">
        <v>50000</v>
      </c>
      <c r="K289" s="5">
        <v>-50000</v>
      </c>
      <c r="L289" s="15" t="s">
        <v>128</v>
      </c>
      <c r="M289" s="48">
        <v>1717.6000000000058</v>
      </c>
      <c r="N289" s="28" t="s">
        <v>174</v>
      </c>
      <c r="O289" s="28">
        <v>50000</v>
      </c>
      <c r="P289" s="31">
        <v>-50000</v>
      </c>
    </row>
    <row r="290" spans="2:16" x14ac:dyDescent="0.3">
      <c r="B290" s="43">
        <v>46184</v>
      </c>
      <c r="C290" s="4" t="s">
        <v>21</v>
      </c>
      <c r="D290" s="45" t="s">
        <v>104</v>
      </c>
      <c r="E290" s="4" t="s">
        <v>37</v>
      </c>
      <c r="F290" s="45" t="s">
        <v>10</v>
      </c>
      <c r="G290" s="45" t="s">
        <v>38</v>
      </c>
      <c r="H290" s="4" t="s">
        <v>88</v>
      </c>
      <c r="I290" s="4" t="s">
        <v>158</v>
      </c>
      <c r="J290" s="47">
        <v>295</v>
      </c>
      <c r="K290" s="5">
        <v>-295</v>
      </c>
      <c r="L290" s="15" t="s">
        <v>128</v>
      </c>
      <c r="M290" s="48">
        <v>18249.799999999348</v>
      </c>
      <c r="N290" s="28" t="s">
        <v>174</v>
      </c>
      <c r="O290" s="28">
        <v>295</v>
      </c>
      <c r="P290" s="31">
        <v>-295</v>
      </c>
    </row>
    <row r="291" spans="2:16" x14ac:dyDescent="0.3">
      <c r="B291" s="43">
        <v>46184</v>
      </c>
      <c r="C291" s="4" t="s">
        <v>21</v>
      </c>
      <c r="D291" s="45" t="s">
        <v>104</v>
      </c>
      <c r="E291" s="4" t="s">
        <v>37</v>
      </c>
      <c r="F291" s="45" t="s">
        <v>10</v>
      </c>
      <c r="G291" s="45" t="s">
        <v>46</v>
      </c>
      <c r="H291" s="4" t="s">
        <v>89</v>
      </c>
      <c r="I291" s="4" t="s">
        <v>158</v>
      </c>
      <c r="J291" s="47">
        <v>7319.44</v>
      </c>
      <c r="K291" s="5">
        <v>-7319.44</v>
      </c>
      <c r="L291" s="15" t="s">
        <v>128</v>
      </c>
      <c r="M291" s="48">
        <v>18249.799999999348</v>
      </c>
      <c r="N291" s="28" t="s">
        <v>174</v>
      </c>
      <c r="O291" s="28">
        <v>7319.44</v>
      </c>
      <c r="P291" s="31">
        <v>-7319.44</v>
      </c>
    </row>
    <row r="292" spans="2:16" x14ac:dyDescent="0.3">
      <c r="B292" s="43">
        <v>46184</v>
      </c>
      <c r="C292" s="4" t="s">
        <v>21</v>
      </c>
      <c r="D292" s="45" t="s">
        <v>104</v>
      </c>
      <c r="E292" s="4" t="s">
        <v>37</v>
      </c>
      <c r="F292" s="45" t="s">
        <v>10</v>
      </c>
      <c r="G292" s="45" t="s">
        <v>48</v>
      </c>
      <c r="H292" s="4" t="s">
        <v>89</v>
      </c>
      <c r="I292" s="4" t="s">
        <v>158</v>
      </c>
      <c r="J292" s="47">
        <v>55455.56</v>
      </c>
      <c r="K292" s="5">
        <v>-55455.56</v>
      </c>
      <c r="L292" s="15" t="s">
        <v>128</v>
      </c>
      <c r="M292" s="48">
        <v>18249.799999999348</v>
      </c>
      <c r="N292" s="28" t="s">
        <v>174</v>
      </c>
      <c r="O292" s="28">
        <v>55455.56</v>
      </c>
      <c r="P292" s="31">
        <v>-55455.56</v>
      </c>
    </row>
    <row r="293" spans="2:16" x14ac:dyDescent="0.3">
      <c r="B293" s="43">
        <v>46184</v>
      </c>
      <c r="C293" s="4" t="s">
        <v>21</v>
      </c>
      <c r="D293" s="45" t="s">
        <v>104</v>
      </c>
      <c r="E293" s="4" t="s">
        <v>37</v>
      </c>
      <c r="F293" s="45" t="s">
        <v>10</v>
      </c>
      <c r="G293" s="45" t="s">
        <v>48</v>
      </c>
      <c r="H293" s="4" t="s">
        <v>89</v>
      </c>
      <c r="I293" s="4" t="s">
        <v>158</v>
      </c>
      <c r="J293" s="47">
        <v>102472.22</v>
      </c>
      <c r="K293" s="5">
        <v>-102472.22</v>
      </c>
      <c r="L293" s="15" t="s">
        <v>128</v>
      </c>
      <c r="M293" s="48">
        <v>18249.799999999348</v>
      </c>
      <c r="N293" s="28" t="s">
        <v>174</v>
      </c>
      <c r="O293" s="28">
        <v>102472.22</v>
      </c>
      <c r="P293" s="31">
        <v>-102472.22</v>
      </c>
    </row>
    <row r="294" spans="2:16" x14ac:dyDescent="0.3">
      <c r="B294" s="43">
        <v>46184</v>
      </c>
      <c r="C294" s="4" t="s">
        <v>21</v>
      </c>
      <c r="D294" s="45" t="s">
        <v>104</v>
      </c>
      <c r="E294" s="4" t="s">
        <v>37</v>
      </c>
      <c r="F294" s="45" t="s">
        <v>10</v>
      </c>
      <c r="G294" s="45" t="s">
        <v>64</v>
      </c>
      <c r="H294" s="4" t="s">
        <v>88</v>
      </c>
      <c r="I294" s="4" t="s">
        <v>159</v>
      </c>
      <c r="J294" s="47">
        <v>50000</v>
      </c>
      <c r="K294" s="5">
        <v>-50000</v>
      </c>
      <c r="L294" s="15" t="s">
        <v>128</v>
      </c>
      <c r="M294" s="48">
        <v>18249.799999999348</v>
      </c>
      <c r="N294" s="28" t="s">
        <v>174</v>
      </c>
      <c r="O294" s="28">
        <v>50000</v>
      </c>
      <c r="P294" s="31">
        <v>-50000</v>
      </c>
    </row>
    <row r="295" spans="2:16" x14ac:dyDescent="0.3">
      <c r="B295" s="43">
        <v>46184</v>
      </c>
      <c r="C295" s="4" t="s">
        <v>21</v>
      </c>
      <c r="D295" s="45" t="s">
        <v>104</v>
      </c>
      <c r="E295" s="4" t="s">
        <v>37</v>
      </c>
      <c r="F295" s="45" t="s">
        <v>10</v>
      </c>
      <c r="G295" s="45" t="s">
        <v>64</v>
      </c>
      <c r="H295" s="4" t="s">
        <v>88</v>
      </c>
      <c r="I295" s="4" t="s">
        <v>159</v>
      </c>
      <c r="J295" s="47">
        <v>50000</v>
      </c>
      <c r="K295" s="5">
        <v>-50000</v>
      </c>
      <c r="L295" s="15" t="s">
        <v>128</v>
      </c>
      <c r="M295" s="48">
        <v>18249.799999999348</v>
      </c>
      <c r="N295" s="28" t="s">
        <v>174</v>
      </c>
      <c r="O295" s="28">
        <v>50000</v>
      </c>
      <c r="P295" s="31">
        <v>-50000</v>
      </c>
    </row>
    <row r="296" spans="2:16" x14ac:dyDescent="0.3">
      <c r="B296" s="43">
        <v>46184</v>
      </c>
      <c r="C296" s="4" t="s">
        <v>21</v>
      </c>
      <c r="D296" s="45" t="s">
        <v>104</v>
      </c>
      <c r="E296" s="4" t="s">
        <v>37</v>
      </c>
      <c r="F296" s="45" t="s">
        <v>10</v>
      </c>
      <c r="G296" s="45" t="s">
        <v>52</v>
      </c>
      <c r="H296" s="4" t="s">
        <v>90</v>
      </c>
      <c r="I296" s="4" t="s">
        <v>158</v>
      </c>
      <c r="J296" s="47">
        <v>100000</v>
      </c>
      <c r="K296" s="5">
        <v>-100000</v>
      </c>
      <c r="L296" s="15" t="s">
        <v>128</v>
      </c>
      <c r="M296" s="48">
        <v>18249.799999999348</v>
      </c>
      <c r="N296" s="28" t="s">
        <v>174</v>
      </c>
      <c r="O296" s="28">
        <v>100000</v>
      </c>
      <c r="P296" s="31">
        <v>-100000</v>
      </c>
    </row>
    <row r="297" spans="2:16" x14ac:dyDescent="0.3">
      <c r="B297" s="43">
        <v>46184</v>
      </c>
      <c r="C297" s="4" t="s">
        <v>34</v>
      </c>
      <c r="D297" s="45" t="s">
        <v>125</v>
      </c>
      <c r="E297" s="4" t="s">
        <v>37</v>
      </c>
      <c r="F297" s="45" t="s">
        <v>9</v>
      </c>
      <c r="G297" s="45" t="s">
        <v>75</v>
      </c>
      <c r="H297" s="4" t="s">
        <v>89</v>
      </c>
      <c r="I297" s="4" t="s">
        <v>159</v>
      </c>
      <c r="J297" s="47">
        <v>50000</v>
      </c>
      <c r="K297" s="5">
        <v>50000</v>
      </c>
      <c r="L297" s="15" t="s">
        <v>128</v>
      </c>
      <c r="M297" s="48">
        <v>345</v>
      </c>
      <c r="N297" s="28">
        <v>50000</v>
      </c>
      <c r="O297" s="28" t="s">
        <v>174</v>
      </c>
      <c r="P297" s="31">
        <v>50000</v>
      </c>
    </row>
    <row r="298" spans="2:16" x14ac:dyDescent="0.3">
      <c r="B298" s="43">
        <v>46184</v>
      </c>
      <c r="C298" s="4" t="s">
        <v>34</v>
      </c>
      <c r="D298" s="45" t="s">
        <v>125</v>
      </c>
      <c r="E298" s="4" t="s">
        <v>37</v>
      </c>
      <c r="F298" s="45" t="s">
        <v>10</v>
      </c>
      <c r="G298" s="45" t="s">
        <v>64</v>
      </c>
      <c r="H298" s="4" t="s">
        <v>88</v>
      </c>
      <c r="I298" s="4" t="s">
        <v>159</v>
      </c>
      <c r="J298" s="47">
        <v>50000</v>
      </c>
      <c r="K298" s="5">
        <v>-50000</v>
      </c>
      <c r="L298" s="15" t="s">
        <v>128</v>
      </c>
      <c r="M298" s="48">
        <v>345</v>
      </c>
      <c r="N298" s="28" t="s">
        <v>174</v>
      </c>
      <c r="O298" s="28">
        <v>50000</v>
      </c>
      <c r="P298" s="31">
        <v>-50000</v>
      </c>
    </row>
    <row r="299" spans="2:16" x14ac:dyDescent="0.3">
      <c r="B299" s="43">
        <v>46184</v>
      </c>
      <c r="C299" s="4" t="str">
        <f>_xlfn.XLOOKUP(tblMovimientos[[#This Row],[Cuenta Bancaria]],Listas!$B:$B,Listas!$A:$A,"")</f>
        <v>Go Blue</v>
      </c>
      <c r="D299" s="45" t="s">
        <v>126</v>
      </c>
      <c r="E299" s="4" t="str">
        <f>_xlfn.XLOOKUP(tblMovimientos[[#This Row],[Cuenta Bancaria]],Listas!$B:$B,Listas!$C:$C,"")</f>
        <v xml:space="preserve">Amerant Bank </v>
      </c>
      <c r="F299" s="45" t="s">
        <v>9</v>
      </c>
      <c r="G299" s="45" t="s">
        <v>75</v>
      </c>
      <c r="H299" s="4" t="str">
        <f>IFERROR(_xlfn.XLOOKUP(G299,Listas!E:E,Listas!F:F,""),"")</f>
        <v>Financiamiento</v>
      </c>
      <c r="I299" s="4" t="str">
        <f>IFERROR(_xlfn.XLOOKUP(G299,Listas!E:E,Listas!G:G,""),"")</f>
        <v>Interno</v>
      </c>
      <c r="J299" s="47">
        <v>50000</v>
      </c>
      <c r="K299" s="5">
        <f t="shared" ref="K299:K335" si="0">IF(F299="Ingreso",J299,-J299)</f>
        <v>50000</v>
      </c>
      <c r="L299" s="15" t="s">
        <v>128</v>
      </c>
      <c r="M299" s="48">
        <f>SUMIFS('Saldos Iniciales'!$D$2:$D$38,'Saldos Iniciales'!$A$2:$A$38,C299,'Saldos Iniciales'!$B$2:$B$38,D299)+SUMIFS($K$1:$K$335,$C$1:$C$335,C299,$D$1:$D$335,D299,$B$1:$B$335,"&lt;="&amp;B299)</f>
        <v>48774.73</v>
      </c>
      <c r="N299" s="28">
        <f>IF(tblMovimientos[[#This Row],[Tipo de Movimiento]]="Ingreso",tblMovimientos[[#This Row],[Monto (S/)]],"0")</f>
        <v>50000</v>
      </c>
      <c r="O299" s="28" t="str">
        <f>IF(tblMovimientos[[#This Row],[Tipo de Movimiento]]="Egreso",tblMovimientos[[#This Row],[Monto (S/)]],"0")</f>
        <v>0</v>
      </c>
      <c r="P299" s="31">
        <f>IF(tblMovimientos[[#This Row],[Tipo de Movimiento]]="Ingreso",tblMovimientos[[#This Row],[Ingreso]],-tblMovimientos[[#This Row],[Egreso]])</f>
        <v>50000</v>
      </c>
    </row>
    <row r="300" spans="2:16" x14ac:dyDescent="0.3">
      <c r="B300" s="43">
        <v>46184</v>
      </c>
      <c r="C300" s="4" t="str">
        <f>_xlfn.XLOOKUP(tblMovimientos[[#This Row],[Cuenta Bancaria]],Listas!$B:$B,Listas!$A:$A,"")</f>
        <v>Go Blue</v>
      </c>
      <c r="D300" s="45" t="s">
        <v>126</v>
      </c>
      <c r="E300" s="4" t="str">
        <f>_xlfn.XLOOKUP(tblMovimientos[[#This Row],[Cuenta Bancaria]],Listas!$B:$B,Listas!$C:$C,"")</f>
        <v xml:space="preserve">Amerant Bank </v>
      </c>
      <c r="F300" s="45" t="s">
        <v>10</v>
      </c>
      <c r="G300" s="45" t="s">
        <v>38</v>
      </c>
      <c r="H300" s="4" t="str">
        <f>IFERROR(_xlfn.XLOOKUP(G300,Listas!E:E,Listas!F:F,""),"")</f>
        <v>Operativo</v>
      </c>
      <c r="I300" s="4" t="str">
        <f>IFERROR(_xlfn.XLOOKUP(G300,Listas!E:E,Listas!G:G,""),"")</f>
        <v>Externo</v>
      </c>
      <c r="J300" s="47">
        <v>2500</v>
      </c>
      <c r="K300" s="5">
        <f t="shared" si="0"/>
        <v>-2500</v>
      </c>
      <c r="L300" s="15" t="s">
        <v>128</v>
      </c>
      <c r="M300" s="48">
        <f>SUMIFS('Saldos Iniciales'!$D$2:$D$38,'Saldos Iniciales'!$A$2:$A$38,C300,'Saldos Iniciales'!$B$2:$B$38,D300)+SUMIFS($K$1:$K$335,$C$1:$C$335,C300,$D$1:$D$335,D300,$B$1:$B$335,"&lt;="&amp;B300)</f>
        <v>48774.73</v>
      </c>
      <c r="N300" s="28" t="str">
        <f>IF(tblMovimientos[[#This Row],[Tipo de Movimiento]]="Ingreso",tblMovimientos[[#This Row],[Monto (S/)]],"0")</f>
        <v>0</v>
      </c>
      <c r="O300" s="28">
        <f>IF(tblMovimientos[[#This Row],[Tipo de Movimiento]]="Egreso",tblMovimientos[[#This Row],[Monto (S/)]],"0")</f>
        <v>2500</v>
      </c>
      <c r="P300" s="31">
        <f>IF(tblMovimientos[[#This Row],[Tipo de Movimiento]]="Ingreso",tblMovimientos[[#This Row],[Ingreso]],-tblMovimientos[[#This Row],[Egreso]])</f>
        <v>-2500</v>
      </c>
    </row>
    <row r="301" spans="2:16" x14ac:dyDescent="0.3">
      <c r="B301" s="43">
        <v>46184</v>
      </c>
      <c r="C301" s="4" t="str">
        <f>_xlfn.XLOOKUP(tblMovimientos[[#This Row],[Cuenta Bancaria]],Listas!$B:$B,Listas!$A:$A,"")</f>
        <v>Go Blue</v>
      </c>
      <c r="D301" s="45" t="s">
        <v>126</v>
      </c>
      <c r="E301" s="4" t="str">
        <f>_xlfn.XLOOKUP(tblMovimientos[[#This Row],[Cuenta Bancaria]],Listas!$B:$B,Listas!$C:$C,"")</f>
        <v xml:space="preserve">Amerant Bank </v>
      </c>
      <c r="F301" s="45" t="s">
        <v>10</v>
      </c>
      <c r="G301" s="45" t="s">
        <v>44</v>
      </c>
      <c r="H301" s="4" t="str">
        <f>IFERROR(_xlfn.XLOOKUP(G301,Listas!E:E,Listas!F:F,""),"")</f>
        <v>Operativo</v>
      </c>
      <c r="I301" s="4" t="str">
        <f>IFERROR(_xlfn.XLOOKUP(G301,Listas!E:E,Listas!G:G,""),"")</f>
        <v>Externo</v>
      </c>
      <c r="J301" s="47">
        <v>15</v>
      </c>
      <c r="K301" s="5">
        <f t="shared" si="0"/>
        <v>-15</v>
      </c>
      <c r="L301" s="15" t="s">
        <v>128</v>
      </c>
      <c r="M301" s="48">
        <f>SUMIFS('Saldos Iniciales'!$D$2:$D$38,'Saldos Iniciales'!$A$2:$A$38,C301,'Saldos Iniciales'!$B$2:$B$38,D301)+SUMIFS($K$1:$K$335,$C$1:$C$335,C301,$D$1:$D$335,D301,$B$1:$B$335,"&lt;="&amp;B301)</f>
        <v>48774.73</v>
      </c>
      <c r="N301" s="28" t="str">
        <f>IF(tblMovimientos[[#This Row],[Tipo de Movimiento]]="Ingreso",tblMovimientos[[#This Row],[Monto (S/)]],"0")</f>
        <v>0</v>
      </c>
      <c r="O301" s="28">
        <f>IF(tblMovimientos[[#This Row],[Tipo de Movimiento]]="Egreso",tblMovimientos[[#This Row],[Monto (S/)]],"0")</f>
        <v>15</v>
      </c>
      <c r="P301" s="31">
        <f>IF(tblMovimientos[[#This Row],[Tipo de Movimiento]]="Ingreso",tblMovimientos[[#This Row],[Ingreso]],-tblMovimientos[[#This Row],[Egreso]])</f>
        <v>-15</v>
      </c>
    </row>
    <row r="302" spans="2:16" x14ac:dyDescent="0.3">
      <c r="B302" s="43">
        <v>46185</v>
      </c>
      <c r="C302" s="4" t="str">
        <f>_xlfn.XLOOKUP(tblMovimientos[[#This Row],[Cuenta Bancaria]],Listas!$B:$B,Listas!$A:$A,"")</f>
        <v>SSP Capital</v>
      </c>
      <c r="D302" s="45" t="s">
        <v>101</v>
      </c>
      <c r="E302" s="4" t="str">
        <f>_xlfn.XLOOKUP(tblMovimientos[[#This Row],[Cuenta Bancaria]],Listas!$B:$B,Listas!$C:$C,"")</f>
        <v>Bank of America</v>
      </c>
      <c r="F302" s="45" t="s">
        <v>10</v>
      </c>
      <c r="G302" s="45" t="s">
        <v>38</v>
      </c>
      <c r="H302" s="4" t="str">
        <f>IFERROR(_xlfn.XLOOKUP(G302,Listas!E:E,Listas!F:F,""),"")</f>
        <v>Operativo</v>
      </c>
      <c r="I302" s="4" t="str">
        <f>IFERROR(_xlfn.XLOOKUP(G302,Listas!E:E,Listas!G:G,""),"")</f>
        <v>Externo</v>
      </c>
      <c r="J302" s="47">
        <v>1383</v>
      </c>
      <c r="K302" s="5">
        <f t="shared" si="0"/>
        <v>-1383</v>
      </c>
      <c r="L302" s="15" t="s">
        <v>128</v>
      </c>
      <c r="M302" s="48">
        <f>SUMIFS('Saldos Iniciales'!$D$2:$D$38,'Saldos Iniciales'!$A$2:$A$38,C302,'Saldos Iniciales'!$B$2:$B$38,D302)+SUMIFS($K$1:$K$335,$C$1:$C$335,C302,$D$1:$D$335,D302,$B$1:$B$335,"&lt;="&amp;B302)</f>
        <v>14961.88</v>
      </c>
      <c r="N302" s="28" t="str">
        <f>IF(tblMovimientos[[#This Row],[Tipo de Movimiento]]="Ingreso",tblMovimientos[[#This Row],[Monto (S/)]],"0")</f>
        <v>0</v>
      </c>
      <c r="O302" s="28">
        <f>IF(tblMovimientos[[#This Row],[Tipo de Movimiento]]="Egreso",tblMovimientos[[#This Row],[Monto (S/)]],"0")</f>
        <v>1383</v>
      </c>
      <c r="P302" s="31">
        <f>IF(tblMovimientos[[#This Row],[Tipo de Movimiento]]="Ingreso",tblMovimientos[[#This Row],[Ingreso]],-tblMovimientos[[#This Row],[Egreso]])</f>
        <v>-1383</v>
      </c>
    </row>
    <row r="303" spans="2:16" x14ac:dyDescent="0.3">
      <c r="B303" s="43">
        <v>46185</v>
      </c>
      <c r="C303" s="4" t="str">
        <f>_xlfn.XLOOKUP(tblMovimientos[[#This Row],[Cuenta Bancaria]],Listas!$B:$B,Listas!$A:$A,"")</f>
        <v>2515 Overbrook</v>
      </c>
      <c r="D303" s="45" t="s">
        <v>121</v>
      </c>
      <c r="E303" s="4" t="str">
        <f>_xlfn.XLOOKUP(tblMovimientos[[#This Row],[Cuenta Bancaria]],Listas!$B:$B,Listas!$C:$C,"")</f>
        <v>Bank of America</v>
      </c>
      <c r="F303" s="45" t="s">
        <v>9</v>
      </c>
      <c r="G303" s="45" t="s">
        <v>81</v>
      </c>
      <c r="H303" s="4" t="str">
        <f>IFERROR(_xlfn.XLOOKUP(G303,Listas!E:E,Listas!F:F,""),"")</f>
        <v>Operativo</v>
      </c>
      <c r="I303" s="4" t="str">
        <f>IFERROR(_xlfn.XLOOKUP(G303,Listas!E:E,Listas!G:G,""),"")</f>
        <v>Externo</v>
      </c>
      <c r="J303" s="47">
        <v>2000</v>
      </c>
      <c r="K303" s="5">
        <f t="shared" si="0"/>
        <v>2000</v>
      </c>
      <c r="L303" s="15" t="s">
        <v>128</v>
      </c>
      <c r="M303" s="48">
        <f>SUMIFS('Saldos Iniciales'!$D$2:$D$38,'Saldos Iniciales'!$A$2:$A$38,C303,'Saldos Iniciales'!$B$2:$B$38,D303)+SUMIFS($K$1:$K$335,$C$1:$C$335,C303,$D$1:$D$335,D303,$B$1:$B$335,"&lt;="&amp;B303)</f>
        <v>27459.549999999963</v>
      </c>
      <c r="N303" s="28">
        <f>IF(tblMovimientos[[#This Row],[Tipo de Movimiento]]="Ingreso",tblMovimientos[[#This Row],[Monto (S/)]],"0")</f>
        <v>2000</v>
      </c>
      <c r="O303" s="28" t="str">
        <f>IF(tblMovimientos[[#This Row],[Tipo de Movimiento]]="Egreso",tblMovimientos[[#This Row],[Monto (S/)]],"0")</f>
        <v>0</v>
      </c>
      <c r="P303" s="31">
        <f>IF(tblMovimientos[[#This Row],[Tipo de Movimiento]]="Ingreso",tblMovimientos[[#This Row],[Ingreso]],-tblMovimientos[[#This Row],[Egreso]])</f>
        <v>2000</v>
      </c>
    </row>
    <row r="304" spans="2:16" x14ac:dyDescent="0.3">
      <c r="B304" s="43">
        <v>46185</v>
      </c>
      <c r="C304" s="4" t="str">
        <f>_xlfn.XLOOKUP(tblMovimientos[[#This Row],[Cuenta Bancaria]],Listas!$B:$B,Listas!$A:$A,"")</f>
        <v>3628 Thomas Ave</v>
      </c>
      <c r="D304" s="45" t="s">
        <v>124</v>
      </c>
      <c r="E304" s="4" t="str">
        <f>_xlfn.XLOOKUP(tblMovimientos[[#This Row],[Cuenta Bancaria]],Listas!$B:$B,Listas!$C:$C,"")</f>
        <v>Bank of America</v>
      </c>
      <c r="F304" s="45" t="s">
        <v>10</v>
      </c>
      <c r="G304" s="45" t="s">
        <v>38</v>
      </c>
      <c r="H304" s="4" t="str">
        <f>IFERROR(_xlfn.XLOOKUP(G304,Listas!E:E,Listas!F:F,""),"")</f>
        <v>Operativo</v>
      </c>
      <c r="I304" s="4" t="str">
        <f>IFERROR(_xlfn.XLOOKUP(G304,Listas!E:E,Listas!G:G,""),"")</f>
        <v>Externo</v>
      </c>
      <c r="J304" s="47">
        <v>259.13</v>
      </c>
      <c r="K304" s="5">
        <f t="shared" si="0"/>
        <v>-259.13</v>
      </c>
      <c r="L304" s="15" t="s">
        <v>128</v>
      </c>
      <c r="M304" s="48">
        <f>SUMIFS('Saldos Iniciales'!$D$2:$D$38,'Saldos Iniciales'!$A$2:$A$38,C304,'Saldos Iniciales'!$B$2:$B$38,D304)+SUMIFS($K$1:$K$335,$C$1:$C$335,C304,$D$1:$D$335,D304,$B$1:$B$335,"&lt;="&amp;B304)</f>
        <v>24484.85</v>
      </c>
      <c r="N304" s="28" t="str">
        <f>IF(tblMovimientos[[#This Row],[Tipo de Movimiento]]="Ingreso",tblMovimientos[[#This Row],[Monto (S/)]],"0")</f>
        <v>0</v>
      </c>
      <c r="O304" s="28">
        <f>IF(tblMovimientos[[#This Row],[Tipo de Movimiento]]="Egreso",tblMovimientos[[#This Row],[Monto (S/)]],"0")</f>
        <v>259.13</v>
      </c>
      <c r="P304" s="31">
        <f>IF(tblMovimientos[[#This Row],[Tipo de Movimiento]]="Ingreso",tblMovimientos[[#This Row],[Ingreso]],-tblMovimientos[[#This Row],[Egreso]])</f>
        <v>-259.13</v>
      </c>
    </row>
    <row r="305" spans="1:16" x14ac:dyDescent="0.3">
      <c r="A305" s="53"/>
      <c r="B305" s="43">
        <v>46185</v>
      </c>
      <c r="C305" s="54" t="str">
        <f>_xlfn.XLOOKUP(tblMovimientos[[#This Row],[Cuenta Bancaria]],Listas!$B:$B,Listas!$A:$A,"")</f>
        <v>SSP Capital</v>
      </c>
      <c r="D305" s="45" t="s">
        <v>104</v>
      </c>
      <c r="E305" s="54" t="str">
        <f>_xlfn.XLOOKUP(tblMovimientos[[#This Row],[Cuenta Bancaria]],Listas!$B:$B,Listas!$C:$C,"")</f>
        <v xml:space="preserve">Amerant Bank </v>
      </c>
      <c r="F305" s="45" t="s">
        <v>9</v>
      </c>
      <c r="G305" s="45" t="s">
        <v>76</v>
      </c>
      <c r="H305" s="54" t="str">
        <f>IFERROR(_xlfn.XLOOKUP(G305,Listas!E:E,Listas!F:F,""),"")</f>
        <v>Financiamiento</v>
      </c>
      <c r="I305" s="54" t="str">
        <f>IFERROR(_xlfn.XLOOKUP(G305,Listas!E:E,Listas!G:G,""),"")</f>
        <v>Externo</v>
      </c>
      <c r="J305" s="47">
        <v>2970000</v>
      </c>
      <c r="K305" s="55">
        <f t="shared" si="0"/>
        <v>2970000</v>
      </c>
      <c r="L305" s="15" t="s">
        <v>128</v>
      </c>
      <c r="M305" s="48">
        <f>SUMIFS('Saldos Iniciales'!$D$2:$D$38,'Saldos Iniciales'!$A$2:$A$38,C305,'Saldos Iniciales'!$B$2:$B$38,D305)+SUMIFS($K$1:$K$335,$C$1:$C$335,C305,$D$1:$D$335,D305,$B$1:$B$335,"&lt;="&amp;B305)</f>
        <v>2988249.7999999993</v>
      </c>
      <c r="N305" s="28">
        <f>IF(tblMovimientos[[#This Row],[Tipo de Movimiento]]="Ingreso",tblMovimientos[[#This Row],[Monto (S/)]],"0")</f>
        <v>2970000</v>
      </c>
      <c r="O305" s="28" t="str">
        <f>IF(tblMovimientos[[#This Row],[Tipo de Movimiento]]="Egreso",tblMovimientos[[#This Row],[Monto (S/)]],"0")</f>
        <v>0</v>
      </c>
      <c r="P305" s="31">
        <f>IF(tblMovimientos[[#This Row],[Tipo de Movimiento]]="Ingreso",tblMovimientos[[#This Row],[Ingreso]],-tblMovimientos[[#This Row],[Egreso]])</f>
        <v>2970000</v>
      </c>
    </row>
    <row r="306" spans="1:16" x14ac:dyDescent="0.3">
      <c r="B306" s="43">
        <v>46188</v>
      </c>
      <c r="C306" s="4" t="str">
        <f>_xlfn.XLOOKUP(tblMovimientos[[#This Row],[Cuenta Bancaria]],Listas!$B:$B,Listas!$A:$A,"")</f>
        <v>CFT Group</v>
      </c>
      <c r="D306" s="45" t="s">
        <v>95</v>
      </c>
      <c r="E306" s="54" t="str">
        <f>_xlfn.XLOOKUP(tblMovimientos[[#This Row],[Cuenta Bancaria]],Listas!$B:$B,Listas!$C:$C,"")</f>
        <v xml:space="preserve">Amerant Bank </v>
      </c>
      <c r="F306" s="45" t="s">
        <v>9</v>
      </c>
      <c r="G306" s="45" t="s">
        <v>85</v>
      </c>
      <c r="H306" s="56" t="str">
        <f>IFERROR(_xlfn.XLOOKUP(G306,Listas!E:E,Listas!F:F,""),"")</f>
        <v>Operativo</v>
      </c>
      <c r="I306" s="54" t="str">
        <f>IFERROR(_xlfn.XLOOKUP(G306,Listas!E:E,Listas!G:G,""),"")</f>
        <v>Interno</v>
      </c>
      <c r="J306" s="47">
        <v>270000</v>
      </c>
      <c r="K306" s="55">
        <f t="shared" si="0"/>
        <v>270000</v>
      </c>
      <c r="L306" s="15" t="s">
        <v>128</v>
      </c>
      <c r="M306" s="48">
        <f>SUMIFS('Saldos Iniciales'!$D$2:$D$38,'Saldos Iniciales'!$A$2:$A$38,C306,'Saldos Iniciales'!$B$2:$B$38,D306)+SUMIFS($K$1:$K$335,$C$1:$C$335,C306,$D$1:$D$335,D306,$B$1:$B$335,"&lt;="&amp;B306)</f>
        <v>968878.52000000025</v>
      </c>
      <c r="N306" s="28">
        <f>IF(tblMovimientos[[#This Row],[Tipo de Movimiento]]="Ingreso",tblMovimientos[[#This Row],[Monto (S/)]],"0")</f>
        <v>270000</v>
      </c>
      <c r="O306" s="28" t="str">
        <f>IF(tblMovimientos[[#This Row],[Tipo de Movimiento]]="Egreso",tblMovimientos[[#This Row],[Monto (S/)]],"0")</f>
        <v>0</v>
      </c>
      <c r="P306" s="31">
        <f>IF(tblMovimientos[[#This Row],[Tipo de Movimiento]]="Ingreso",tblMovimientos[[#This Row],[Ingreso]],-tblMovimientos[[#This Row],[Egreso]])</f>
        <v>270000</v>
      </c>
    </row>
    <row r="307" spans="1:16" x14ac:dyDescent="0.3">
      <c r="B307" s="43">
        <v>46188</v>
      </c>
      <c r="C307" s="4" t="str">
        <f>_xlfn.XLOOKUP(tblMovimientos[[#This Row],[Cuenta Bancaria]],Listas!$B:$B,Listas!$A:$A,"")</f>
        <v>CFT Group</v>
      </c>
      <c r="D307" s="45" t="s">
        <v>95</v>
      </c>
      <c r="E307" s="54" t="str">
        <f>_xlfn.XLOOKUP(tblMovimientos[[#This Row],[Cuenta Bancaria]],Listas!$B:$B,Listas!$C:$C,"")</f>
        <v xml:space="preserve">Amerant Bank </v>
      </c>
      <c r="F307" s="45" t="s">
        <v>10</v>
      </c>
      <c r="G307" s="45" t="s">
        <v>48</v>
      </c>
      <c r="H307" s="56" t="str">
        <f>IFERROR(_xlfn.XLOOKUP(G307,Listas!E:E,Listas!F:F,""),"")</f>
        <v>Financiamiento</v>
      </c>
      <c r="I307" s="54" t="str">
        <f>IFERROR(_xlfn.XLOOKUP(G307,Listas!E:E,Listas!G:G,""),"")</f>
        <v>Externo</v>
      </c>
      <c r="J307" s="47">
        <v>2366.67</v>
      </c>
      <c r="K307" s="55">
        <f t="shared" si="0"/>
        <v>-2366.67</v>
      </c>
      <c r="L307" s="15" t="s">
        <v>128</v>
      </c>
      <c r="M307" s="48">
        <f>SUMIFS('Saldos Iniciales'!$D$2:$D$38,'Saldos Iniciales'!$A$2:$A$38,C307,'Saldos Iniciales'!$B$2:$B$38,D307)+SUMIFS($K$1:$K$335,$C$1:$C$335,C307,$D$1:$D$335,D307,$B$1:$B$335,"&lt;="&amp;B307)</f>
        <v>968878.52000000025</v>
      </c>
      <c r="N307" s="28" t="str">
        <f>IF(tblMovimientos[[#This Row],[Tipo de Movimiento]]="Ingreso",tblMovimientos[[#This Row],[Monto (S/)]],"0")</f>
        <v>0</v>
      </c>
      <c r="O307" s="28">
        <f>IF(tblMovimientos[[#This Row],[Tipo de Movimiento]]="Egreso",tblMovimientos[[#This Row],[Monto (S/)]],"0")</f>
        <v>2366.67</v>
      </c>
      <c r="P307" s="31">
        <f>IF(tblMovimientos[[#This Row],[Tipo de Movimiento]]="Ingreso",tblMovimientos[[#This Row],[Ingreso]],-tblMovimientos[[#This Row],[Egreso]])</f>
        <v>-2366.67</v>
      </c>
    </row>
    <row r="308" spans="1:16" x14ac:dyDescent="0.3">
      <c r="B308" s="43">
        <v>46188</v>
      </c>
      <c r="C308" s="4" t="str">
        <f>_xlfn.XLOOKUP(tblMovimientos[[#This Row],[Cuenta Bancaria]],Listas!$B:$B,Listas!$A:$A,"")</f>
        <v>CFT Group</v>
      </c>
      <c r="D308" s="45" t="s">
        <v>95</v>
      </c>
      <c r="E308" s="54" t="str">
        <f>_xlfn.XLOOKUP(tblMovimientos[[#This Row],[Cuenta Bancaria]],Listas!$B:$B,Listas!$C:$C,"")</f>
        <v xml:space="preserve">Amerant Bank </v>
      </c>
      <c r="F308" s="45" t="s">
        <v>10</v>
      </c>
      <c r="G308" s="45" t="s">
        <v>48</v>
      </c>
      <c r="H308" s="56" t="str">
        <f>IFERROR(_xlfn.XLOOKUP(G308,Listas!E:E,Listas!F:F,""),"")</f>
        <v>Financiamiento</v>
      </c>
      <c r="I308" s="54" t="str">
        <f>IFERROR(_xlfn.XLOOKUP(G308,Listas!E:E,Listas!G:G,""),"")</f>
        <v>Externo</v>
      </c>
      <c r="J308" s="47">
        <v>3500</v>
      </c>
      <c r="K308" s="55">
        <f t="shared" si="0"/>
        <v>-3500</v>
      </c>
      <c r="L308" s="15" t="s">
        <v>128</v>
      </c>
      <c r="M308" s="48">
        <f>SUMIFS('Saldos Iniciales'!$D$2:$D$38,'Saldos Iniciales'!$A$2:$A$38,C308,'Saldos Iniciales'!$B$2:$B$38,D308)+SUMIFS($K$1:$K$335,$C$1:$C$335,C308,$D$1:$D$335,D308,$B$1:$B$335,"&lt;="&amp;B308)</f>
        <v>968878.52000000025</v>
      </c>
      <c r="N308" s="28" t="str">
        <f>IF(tblMovimientos[[#This Row],[Tipo de Movimiento]]="Ingreso",tblMovimientos[[#This Row],[Monto (S/)]],"0")</f>
        <v>0</v>
      </c>
      <c r="O308" s="28">
        <f>IF(tblMovimientos[[#This Row],[Tipo de Movimiento]]="Egreso",tblMovimientos[[#This Row],[Monto (S/)]],"0")</f>
        <v>3500</v>
      </c>
      <c r="P308" s="31">
        <f>IF(tblMovimientos[[#This Row],[Tipo de Movimiento]]="Ingreso",tblMovimientos[[#This Row],[Ingreso]],-tblMovimientos[[#This Row],[Egreso]])</f>
        <v>-3500</v>
      </c>
    </row>
    <row r="309" spans="1:16" x14ac:dyDescent="0.3">
      <c r="B309" s="43">
        <v>46188</v>
      </c>
      <c r="C309" s="54" t="str">
        <f>_xlfn.XLOOKUP(tblMovimientos[[#This Row],[Cuenta Bancaria]],Listas!$B:$B,Listas!$A:$A,"")</f>
        <v>CFT Group</v>
      </c>
      <c r="D309" s="45" t="s">
        <v>95</v>
      </c>
      <c r="E309" s="54" t="str">
        <f>_xlfn.XLOOKUP(tblMovimientos[[#This Row],[Cuenta Bancaria]],Listas!$B:$B,Listas!$C:$C,"")</f>
        <v xml:space="preserve">Amerant Bank </v>
      </c>
      <c r="F309" s="45" t="s">
        <v>10</v>
      </c>
      <c r="G309" s="45" t="s">
        <v>48</v>
      </c>
      <c r="H309" s="56" t="str">
        <f>IFERROR(_xlfn.XLOOKUP(G309,Listas!E:E,Listas!F:F,""),"")</f>
        <v>Financiamiento</v>
      </c>
      <c r="I309" s="54" t="str">
        <f>IFERROR(_xlfn.XLOOKUP(G309,Listas!E:E,Listas!G:G,""),"")</f>
        <v>Externo</v>
      </c>
      <c r="J309" s="47">
        <v>10608.89</v>
      </c>
      <c r="K309" s="55">
        <f t="shared" si="0"/>
        <v>-10608.89</v>
      </c>
      <c r="L309" s="15" t="s">
        <v>128</v>
      </c>
      <c r="M309" s="48">
        <f>SUMIFS('Saldos Iniciales'!$D$2:$D$38,'Saldos Iniciales'!$A$2:$A$38,C309,'Saldos Iniciales'!$B$2:$B$38,D309)+SUMIFS($K$1:$K$335,$C$1:$C$335,C309,$D$1:$D$335,D309,$B$1:$B$335,"&lt;="&amp;B309)</f>
        <v>968878.52000000025</v>
      </c>
      <c r="N309" s="28" t="str">
        <f>IF(tblMovimientos[[#This Row],[Tipo de Movimiento]]="Ingreso",tblMovimientos[[#This Row],[Monto (S/)]],"0")</f>
        <v>0</v>
      </c>
      <c r="O309" s="28">
        <f>IF(tblMovimientos[[#This Row],[Tipo de Movimiento]]="Egreso",tblMovimientos[[#This Row],[Monto (S/)]],"0")</f>
        <v>10608.89</v>
      </c>
      <c r="P309" s="31">
        <f>IF(tblMovimientos[[#This Row],[Tipo de Movimiento]]="Ingreso",tblMovimientos[[#This Row],[Ingreso]],-tblMovimientos[[#This Row],[Egreso]])</f>
        <v>-10608.89</v>
      </c>
    </row>
    <row r="310" spans="1:16" x14ac:dyDescent="0.3">
      <c r="B310" s="43">
        <v>46188</v>
      </c>
      <c r="C310" s="4" t="str">
        <f>_xlfn.XLOOKUP(tblMovimientos[[#This Row],[Cuenta Bancaria]],Listas!$B:$B,Listas!$A:$A,"")</f>
        <v>CFT Group</v>
      </c>
      <c r="D310" s="45" t="s">
        <v>95</v>
      </c>
      <c r="E310" s="54" t="str">
        <f>_xlfn.XLOOKUP(tblMovimientos[[#This Row],[Cuenta Bancaria]],Listas!$B:$B,Listas!$C:$C,"")</f>
        <v xml:space="preserve">Amerant Bank </v>
      </c>
      <c r="F310" s="45" t="s">
        <v>10</v>
      </c>
      <c r="G310" s="45" t="s">
        <v>48</v>
      </c>
      <c r="H310" s="56" t="str">
        <f>IFERROR(_xlfn.XLOOKUP(G310,Listas!E:E,Listas!F:F,""),"")</f>
        <v>Financiamiento</v>
      </c>
      <c r="I310" s="54" t="str">
        <f>IFERROR(_xlfn.XLOOKUP(G310,Listas!E:E,Listas!G:G,""),"")</f>
        <v>Externo</v>
      </c>
      <c r="J310" s="47">
        <v>12055.56</v>
      </c>
      <c r="K310" s="55">
        <f t="shared" si="0"/>
        <v>-12055.56</v>
      </c>
      <c r="L310" s="15" t="s">
        <v>128</v>
      </c>
      <c r="M310" s="48">
        <f>SUMIFS('Saldos Iniciales'!$D$2:$D$38,'Saldos Iniciales'!$A$2:$A$38,C310,'Saldos Iniciales'!$B$2:$B$38,D310)+SUMIFS($K$1:$K$335,$C$1:$C$335,C310,$D$1:$D$335,D310,$B$1:$B$335,"&lt;="&amp;B310)</f>
        <v>968878.52000000025</v>
      </c>
      <c r="N310" s="28" t="str">
        <f>IF(tblMovimientos[[#This Row],[Tipo de Movimiento]]="Ingreso",tblMovimientos[[#This Row],[Monto (S/)]],"0")</f>
        <v>0</v>
      </c>
      <c r="O310" s="28">
        <f>IF(tblMovimientos[[#This Row],[Tipo de Movimiento]]="Egreso",tblMovimientos[[#This Row],[Monto (S/)]],"0")</f>
        <v>12055.56</v>
      </c>
      <c r="P310" s="31">
        <f>IF(tblMovimientos[[#This Row],[Tipo de Movimiento]]="Ingreso",tblMovimientos[[#This Row],[Ingreso]],-tblMovimientos[[#This Row],[Egreso]])</f>
        <v>-12055.56</v>
      </c>
    </row>
    <row r="311" spans="1:16" x14ac:dyDescent="0.3">
      <c r="B311" s="43">
        <v>46188</v>
      </c>
      <c r="C311" s="4" t="str">
        <f>_xlfn.XLOOKUP(tblMovimientos[[#This Row],[Cuenta Bancaria]],Listas!$B:$B,Listas!$A:$A,"")</f>
        <v>CFT Group</v>
      </c>
      <c r="D311" s="45" t="s">
        <v>95</v>
      </c>
      <c r="E311" s="54" t="str">
        <f>_xlfn.XLOOKUP(tblMovimientos[[#This Row],[Cuenta Bancaria]],Listas!$B:$B,Listas!$C:$C,"")</f>
        <v xml:space="preserve">Amerant Bank </v>
      </c>
      <c r="F311" s="45" t="s">
        <v>10</v>
      </c>
      <c r="G311" s="45" t="s">
        <v>48</v>
      </c>
      <c r="H311" s="56" t="str">
        <f>IFERROR(_xlfn.XLOOKUP(G311,Listas!E:E,Listas!F:F,""),"")</f>
        <v>Financiamiento</v>
      </c>
      <c r="I311" s="54" t="str">
        <f>IFERROR(_xlfn.XLOOKUP(G311,Listas!E:E,Listas!G:G,""),"")</f>
        <v>Externo</v>
      </c>
      <c r="J311" s="47">
        <v>22166.67</v>
      </c>
      <c r="K311" s="55">
        <f t="shared" si="0"/>
        <v>-22166.67</v>
      </c>
      <c r="L311" s="15" t="s">
        <v>128</v>
      </c>
      <c r="M311" s="48">
        <f>SUMIFS('Saldos Iniciales'!$D$2:$D$38,'Saldos Iniciales'!$A$2:$A$38,C311,'Saldos Iniciales'!$B$2:$B$38,D311)+SUMIFS($K$1:$K$335,$C$1:$C$335,C311,$D$1:$D$335,D311,$B$1:$B$335,"&lt;="&amp;B311)</f>
        <v>968878.52000000025</v>
      </c>
      <c r="N311" s="28" t="str">
        <f>IF(tblMovimientos[[#This Row],[Tipo de Movimiento]]="Ingreso",tblMovimientos[[#This Row],[Monto (S/)]],"0")</f>
        <v>0</v>
      </c>
      <c r="O311" s="28">
        <f>IF(tblMovimientos[[#This Row],[Tipo de Movimiento]]="Egreso",tblMovimientos[[#This Row],[Monto (S/)]],"0")</f>
        <v>22166.67</v>
      </c>
      <c r="P311" s="31">
        <f>IF(tblMovimientos[[#This Row],[Tipo de Movimiento]]="Ingreso",tblMovimientos[[#This Row],[Ingreso]],-tblMovimientos[[#This Row],[Egreso]])</f>
        <v>-22166.67</v>
      </c>
    </row>
    <row r="312" spans="1:16" x14ac:dyDescent="0.3">
      <c r="B312" s="43">
        <v>46188</v>
      </c>
      <c r="C312" s="4" t="str">
        <f>_xlfn.XLOOKUP(tblMovimientos[[#This Row],[Cuenta Bancaria]],Listas!$B:$B,Listas!$A:$A,"")</f>
        <v>CFT Group</v>
      </c>
      <c r="D312" s="45" t="s">
        <v>95</v>
      </c>
      <c r="E312" s="54" t="str">
        <f>_xlfn.XLOOKUP(tblMovimientos[[#This Row],[Cuenta Bancaria]],Listas!$B:$B,Listas!$C:$C,"")</f>
        <v xml:space="preserve">Amerant Bank </v>
      </c>
      <c r="F312" s="45" t="s">
        <v>10</v>
      </c>
      <c r="G312" s="45" t="s">
        <v>48</v>
      </c>
      <c r="H312" s="56" t="str">
        <f>IFERROR(_xlfn.XLOOKUP(G312,Listas!E:E,Listas!F:F,""),"")</f>
        <v>Financiamiento</v>
      </c>
      <c r="I312" s="54" t="str">
        <f>IFERROR(_xlfn.XLOOKUP(G312,Listas!E:E,Listas!G:G,""),"")</f>
        <v>Externo</v>
      </c>
      <c r="J312" s="47">
        <v>24111.11</v>
      </c>
      <c r="K312" s="55">
        <f t="shared" si="0"/>
        <v>-24111.11</v>
      </c>
      <c r="L312" s="15" t="s">
        <v>128</v>
      </c>
      <c r="M312" s="48">
        <f>SUMIFS('Saldos Iniciales'!$D$2:$D$38,'Saldos Iniciales'!$A$2:$A$38,C312,'Saldos Iniciales'!$B$2:$B$38,D312)+SUMIFS($K$1:$K$335,$C$1:$C$335,C312,$D$1:$D$335,D312,$B$1:$B$335,"&lt;="&amp;B312)</f>
        <v>968878.52000000025</v>
      </c>
      <c r="N312" s="28" t="str">
        <f>IF(tblMovimientos[[#This Row],[Tipo de Movimiento]]="Ingreso",tblMovimientos[[#This Row],[Monto (S/)]],"0")</f>
        <v>0</v>
      </c>
      <c r="O312" s="28">
        <f>IF(tblMovimientos[[#This Row],[Tipo de Movimiento]]="Egreso",tblMovimientos[[#This Row],[Monto (S/)]],"0")</f>
        <v>24111.11</v>
      </c>
      <c r="P312" s="31">
        <f>IF(tblMovimientos[[#This Row],[Tipo de Movimiento]]="Ingreso",tblMovimientos[[#This Row],[Ingreso]],-tblMovimientos[[#This Row],[Egreso]])</f>
        <v>-24111.11</v>
      </c>
    </row>
    <row r="313" spans="1:16" x14ac:dyDescent="0.3">
      <c r="B313" s="43">
        <v>46188</v>
      </c>
      <c r="C313" s="54" t="str">
        <f>_xlfn.XLOOKUP(tblMovimientos[[#This Row],[Cuenta Bancaria]],Listas!$B:$B,Listas!$A:$A,"")</f>
        <v>CFT Group</v>
      </c>
      <c r="D313" s="45" t="s">
        <v>95</v>
      </c>
      <c r="E313" s="54" t="str">
        <f>_xlfn.XLOOKUP(tblMovimientos[[#This Row],[Cuenta Bancaria]],Listas!$B:$B,Listas!$C:$C,"")</f>
        <v xml:space="preserve">Amerant Bank </v>
      </c>
      <c r="F313" s="45" t="s">
        <v>10</v>
      </c>
      <c r="G313" s="45" t="s">
        <v>61</v>
      </c>
      <c r="H313" s="56" t="str">
        <f>IFERROR(_xlfn.XLOOKUP(G313,Listas!E:E,Listas!F:F,""),"")</f>
        <v>Operativo</v>
      </c>
      <c r="I313" s="54" t="str">
        <f>IFERROR(_xlfn.XLOOKUP(G313,Listas!E:E,Listas!G:G,""),"")</f>
        <v>Externo</v>
      </c>
      <c r="J313" s="47">
        <v>40000</v>
      </c>
      <c r="K313" s="55">
        <f t="shared" si="0"/>
        <v>-40000</v>
      </c>
      <c r="L313" s="15" t="s">
        <v>128</v>
      </c>
      <c r="M313" s="48">
        <f>SUMIFS('Saldos Iniciales'!$D$2:$D$38,'Saldos Iniciales'!$A$2:$A$38,C313,'Saldos Iniciales'!$B$2:$B$38,D313)+SUMIFS($K$1:$K$335,$C$1:$C$335,C313,$D$1:$D$335,D313,$B$1:$B$335,"&lt;="&amp;B313)</f>
        <v>968878.52000000025</v>
      </c>
      <c r="N313" s="28" t="str">
        <f>IF(tblMovimientos[[#This Row],[Tipo de Movimiento]]="Ingreso",tblMovimientos[[#This Row],[Monto (S/)]],"0")</f>
        <v>0</v>
      </c>
      <c r="O313" s="28">
        <f>IF(tblMovimientos[[#This Row],[Tipo de Movimiento]]="Egreso",tblMovimientos[[#This Row],[Monto (S/)]],"0")</f>
        <v>40000</v>
      </c>
      <c r="P313" s="31">
        <f>IF(tblMovimientos[[#This Row],[Tipo de Movimiento]]="Ingreso",tblMovimientos[[#This Row],[Ingreso]],-tblMovimientos[[#This Row],[Egreso]])</f>
        <v>-40000</v>
      </c>
    </row>
    <row r="314" spans="1:16" x14ac:dyDescent="0.3">
      <c r="B314" s="43">
        <v>46188</v>
      </c>
      <c r="C314" s="4" t="str">
        <f>_xlfn.XLOOKUP(tblMovimientos[[#This Row],[Cuenta Bancaria]],Listas!$B:$B,Listas!$A:$A,"")</f>
        <v>CFT Group</v>
      </c>
      <c r="D314" s="45" t="s">
        <v>95</v>
      </c>
      <c r="E314" s="54" t="str">
        <f>_xlfn.XLOOKUP(tblMovimientos[[#This Row],[Cuenta Bancaria]],Listas!$B:$B,Listas!$C:$C,"")</f>
        <v xml:space="preserve">Amerant Bank </v>
      </c>
      <c r="F314" s="45" t="s">
        <v>10</v>
      </c>
      <c r="G314" s="45" t="s">
        <v>61</v>
      </c>
      <c r="H314" s="56" t="str">
        <f>IFERROR(_xlfn.XLOOKUP(G314,Listas!E:E,Listas!F:F,""),"")</f>
        <v>Operativo</v>
      </c>
      <c r="I314" s="54" t="str">
        <f>IFERROR(_xlfn.XLOOKUP(G314,Listas!E:E,Listas!G:G,""),"")</f>
        <v>Externo</v>
      </c>
      <c r="J314" s="47">
        <v>60000</v>
      </c>
      <c r="K314" s="55">
        <f t="shared" si="0"/>
        <v>-60000</v>
      </c>
      <c r="L314" s="15" t="s">
        <v>128</v>
      </c>
      <c r="M314" s="48">
        <f>SUMIFS('Saldos Iniciales'!$D$2:$D$38,'Saldos Iniciales'!$A$2:$A$38,C314,'Saldos Iniciales'!$B$2:$B$38,D314)+SUMIFS($K$1:$K$335,$C$1:$C$335,C314,$D$1:$D$335,D314,$B$1:$B$335,"&lt;="&amp;B314)</f>
        <v>968878.52000000025</v>
      </c>
      <c r="N314" s="28" t="str">
        <f>IF(tblMovimientos[[#This Row],[Tipo de Movimiento]]="Ingreso",tblMovimientos[[#This Row],[Monto (S/)]],"0")</f>
        <v>0</v>
      </c>
      <c r="O314" s="28">
        <f>IF(tblMovimientos[[#This Row],[Tipo de Movimiento]]="Egreso",tblMovimientos[[#This Row],[Monto (S/)]],"0")</f>
        <v>60000</v>
      </c>
      <c r="P314" s="31">
        <f>IF(tblMovimientos[[#This Row],[Tipo de Movimiento]]="Ingreso",tblMovimientos[[#This Row],[Ingreso]],-tblMovimientos[[#This Row],[Egreso]])</f>
        <v>-60000</v>
      </c>
    </row>
    <row r="315" spans="1:16" x14ac:dyDescent="0.3">
      <c r="B315" s="43">
        <v>46188</v>
      </c>
      <c r="C315" s="4" t="str">
        <f>_xlfn.XLOOKUP(tblMovimientos[[#This Row],[Cuenta Bancaria]],Listas!$B:$B,Listas!$A:$A,"")</f>
        <v>CFT Group</v>
      </c>
      <c r="D315" s="45" t="s">
        <v>95</v>
      </c>
      <c r="E315" s="54" t="str">
        <f>_xlfn.XLOOKUP(tblMovimientos[[#This Row],[Cuenta Bancaria]],Listas!$B:$B,Listas!$C:$C,"")</f>
        <v xml:space="preserve">Amerant Bank </v>
      </c>
      <c r="F315" s="45" t="s">
        <v>10</v>
      </c>
      <c r="G315" s="45" t="s">
        <v>61</v>
      </c>
      <c r="H315" s="56" t="str">
        <f>IFERROR(_xlfn.XLOOKUP(G315,Listas!E:E,Listas!F:F,""),"")</f>
        <v>Operativo</v>
      </c>
      <c r="I315" s="54" t="str">
        <f>IFERROR(_xlfn.XLOOKUP(G315,Listas!E:E,Listas!G:G,""),"")</f>
        <v>Externo</v>
      </c>
      <c r="J315" s="47">
        <v>100000</v>
      </c>
      <c r="K315" s="55">
        <f t="shared" si="0"/>
        <v>-100000</v>
      </c>
      <c r="L315" s="15" t="s">
        <v>128</v>
      </c>
      <c r="M315" s="48">
        <f>SUMIFS('Saldos Iniciales'!$D$2:$D$38,'Saldos Iniciales'!$A$2:$A$38,C315,'Saldos Iniciales'!$B$2:$B$38,D315)+SUMIFS($K$1:$K$335,$C$1:$C$335,C315,$D$1:$D$335,D315,$B$1:$B$335,"&lt;="&amp;B315)</f>
        <v>968878.52000000025</v>
      </c>
      <c r="N315" s="28" t="str">
        <f>IF(tblMovimientos[[#This Row],[Tipo de Movimiento]]="Ingreso",tblMovimientos[[#This Row],[Monto (S/)]],"0")</f>
        <v>0</v>
      </c>
      <c r="O315" s="28">
        <f>IF(tblMovimientos[[#This Row],[Tipo de Movimiento]]="Egreso",tblMovimientos[[#This Row],[Monto (S/)]],"0")</f>
        <v>100000</v>
      </c>
      <c r="P315" s="31">
        <f>IF(tblMovimientos[[#This Row],[Tipo de Movimiento]]="Ingreso",tblMovimientos[[#This Row],[Ingreso]],-tblMovimientos[[#This Row],[Egreso]])</f>
        <v>-100000</v>
      </c>
    </row>
    <row r="316" spans="1:16" x14ac:dyDescent="0.3">
      <c r="B316" s="43">
        <v>46188</v>
      </c>
      <c r="C316" s="4" t="str">
        <f>_xlfn.XLOOKUP(tblMovimientos[[#This Row],[Cuenta Bancaria]],Listas!$B:$B,Listas!$A:$A,"")</f>
        <v>CFT Group</v>
      </c>
      <c r="D316" s="45" t="s">
        <v>95</v>
      </c>
      <c r="E316" s="54" t="str">
        <f>_xlfn.XLOOKUP(tblMovimientos[[#This Row],[Cuenta Bancaria]],Listas!$B:$B,Listas!$C:$C,"")</f>
        <v xml:space="preserve">Amerant Bank </v>
      </c>
      <c r="F316" s="45" t="s">
        <v>10</v>
      </c>
      <c r="G316" s="45" t="s">
        <v>61</v>
      </c>
      <c r="H316" s="56" t="str">
        <f>IFERROR(_xlfn.XLOOKUP(G316,Listas!E:E,Listas!F:F,""),"")</f>
        <v>Operativo</v>
      </c>
      <c r="I316" s="54" t="str">
        <f>IFERROR(_xlfn.XLOOKUP(G316,Listas!E:E,Listas!G:G,""),"")</f>
        <v>Externo</v>
      </c>
      <c r="J316" s="47">
        <v>150000</v>
      </c>
      <c r="K316" s="55">
        <f t="shared" si="0"/>
        <v>-150000</v>
      </c>
      <c r="L316" s="15" t="s">
        <v>128</v>
      </c>
      <c r="M316" s="48">
        <f>SUMIFS('Saldos Iniciales'!$D$2:$D$38,'Saldos Iniciales'!$A$2:$A$38,C316,'Saldos Iniciales'!$B$2:$B$38,D316)+SUMIFS($K$1:$K$335,$C$1:$C$335,C316,$D$1:$D$335,D316,$B$1:$B$335,"&lt;="&amp;B316)</f>
        <v>968878.52000000025</v>
      </c>
      <c r="N316" s="28" t="str">
        <f>IF(tblMovimientos[[#This Row],[Tipo de Movimiento]]="Ingreso",tblMovimientos[[#This Row],[Monto (S/)]],"0")</f>
        <v>0</v>
      </c>
      <c r="O316" s="28">
        <f>IF(tblMovimientos[[#This Row],[Tipo de Movimiento]]="Egreso",tblMovimientos[[#This Row],[Monto (S/)]],"0")</f>
        <v>150000</v>
      </c>
      <c r="P316" s="31">
        <f>IF(tblMovimientos[[#This Row],[Tipo de Movimiento]]="Ingreso",tblMovimientos[[#This Row],[Ingreso]],-tblMovimientos[[#This Row],[Egreso]])</f>
        <v>-150000</v>
      </c>
    </row>
    <row r="317" spans="1:16" x14ac:dyDescent="0.3">
      <c r="B317" s="43">
        <v>46188</v>
      </c>
      <c r="C317" s="54" t="str">
        <f>_xlfn.XLOOKUP(tblMovimientos[[#This Row],[Cuenta Bancaria]],Listas!$B:$B,Listas!$A:$A,"")</f>
        <v>CFT Group</v>
      </c>
      <c r="D317" s="45" t="s">
        <v>95</v>
      </c>
      <c r="E317" s="54" t="str">
        <f>_xlfn.XLOOKUP(tblMovimientos[[#This Row],[Cuenta Bancaria]],Listas!$B:$B,Listas!$C:$C,"")</f>
        <v xml:space="preserve">Amerant Bank </v>
      </c>
      <c r="F317" s="45" t="s">
        <v>10</v>
      </c>
      <c r="G317" s="45" t="s">
        <v>61</v>
      </c>
      <c r="H317" s="56" t="str">
        <f>IFERROR(_xlfn.XLOOKUP(G317,Listas!E:E,Listas!F:F,""),"")</f>
        <v>Operativo</v>
      </c>
      <c r="I317" s="54" t="str">
        <f>IFERROR(_xlfn.XLOOKUP(G317,Listas!E:E,Listas!G:G,""),"")</f>
        <v>Externo</v>
      </c>
      <c r="J317" s="47">
        <v>200000</v>
      </c>
      <c r="K317" s="55">
        <f t="shared" si="0"/>
        <v>-200000</v>
      </c>
      <c r="L317" s="15" t="s">
        <v>128</v>
      </c>
      <c r="M317" s="48">
        <f>SUMIFS('Saldos Iniciales'!$D$2:$D$38,'Saldos Iniciales'!$A$2:$A$38,C317,'Saldos Iniciales'!$B$2:$B$38,D317)+SUMIFS($K$1:$K$335,$C$1:$C$335,C317,$D$1:$D$335,D317,$B$1:$B$335,"&lt;="&amp;B317)</f>
        <v>968878.52000000025</v>
      </c>
      <c r="N317" s="28" t="str">
        <f>IF(tblMovimientos[[#This Row],[Tipo de Movimiento]]="Ingreso",tblMovimientos[[#This Row],[Monto (S/)]],"0")</f>
        <v>0</v>
      </c>
      <c r="O317" s="28">
        <f>IF(tblMovimientos[[#This Row],[Tipo de Movimiento]]="Egreso",tblMovimientos[[#This Row],[Monto (S/)]],"0")</f>
        <v>200000</v>
      </c>
      <c r="P317" s="31">
        <f>IF(tblMovimientos[[#This Row],[Tipo de Movimiento]]="Ingreso",tblMovimientos[[#This Row],[Ingreso]],-tblMovimientos[[#This Row],[Egreso]])</f>
        <v>-200000</v>
      </c>
    </row>
    <row r="318" spans="1:16" x14ac:dyDescent="0.3">
      <c r="B318" s="43">
        <v>46188</v>
      </c>
      <c r="C318" s="4" t="str">
        <f>_xlfn.XLOOKUP(tblMovimientos[[#This Row],[Cuenta Bancaria]],Listas!$B:$B,Listas!$A:$A,"")</f>
        <v>CFT Group</v>
      </c>
      <c r="D318" s="45" t="s">
        <v>95</v>
      </c>
      <c r="E318" s="54" t="str">
        <f>_xlfn.XLOOKUP(tblMovimientos[[#This Row],[Cuenta Bancaria]],Listas!$B:$B,Listas!$C:$C,"")</f>
        <v xml:space="preserve">Amerant Bank </v>
      </c>
      <c r="F318" s="45" t="s">
        <v>10</v>
      </c>
      <c r="G318" s="45" t="s">
        <v>61</v>
      </c>
      <c r="H318" s="56" t="str">
        <f>IFERROR(_xlfn.XLOOKUP(G318,Listas!E:E,Listas!F:F,""),"")</f>
        <v>Operativo</v>
      </c>
      <c r="I318" s="54" t="str">
        <f>IFERROR(_xlfn.XLOOKUP(G318,Listas!E:E,Listas!G:G,""),"")</f>
        <v>Externo</v>
      </c>
      <c r="J318" s="47">
        <v>200000</v>
      </c>
      <c r="K318" s="55">
        <f t="shared" si="0"/>
        <v>-200000</v>
      </c>
      <c r="L318" s="15" t="s">
        <v>128</v>
      </c>
      <c r="M318" s="48">
        <f>SUMIFS('Saldos Iniciales'!$D$2:$D$38,'Saldos Iniciales'!$A$2:$A$38,C318,'Saldos Iniciales'!$B$2:$B$38,D318)+SUMIFS($K$1:$K$335,$C$1:$C$335,C318,$D$1:$D$335,D318,$B$1:$B$335,"&lt;="&amp;B318)</f>
        <v>968878.52000000025</v>
      </c>
      <c r="N318" s="28" t="str">
        <f>IF(tblMovimientos[[#This Row],[Tipo de Movimiento]]="Ingreso",tblMovimientos[[#This Row],[Monto (S/)]],"0")</f>
        <v>0</v>
      </c>
      <c r="O318" s="28">
        <f>IF(tblMovimientos[[#This Row],[Tipo de Movimiento]]="Egreso",tblMovimientos[[#This Row],[Monto (S/)]],"0")</f>
        <v>200000</v>
      </c>
      <c r="P318" s="31">
        <f>IF(tblMovimientos[[#This Row],[Tipo de Movimiento]]="Ingreso",tblMovimientos[[#This Row],[Ingreso]],-tblMovimientos[[#This Row],[Egreso]])</f>
        <v>-200000</v>
      </c>
    </row>
    <row r="319" spans="1:16" x14ac:dyDescent="0.3">
      <c r="B319" s="43">
        <v>46188</v>
      </c>
      <c r="C319" s="4" t="str">
        <f>_xlfn.XLOOKUP(tblMovimientos[[#This Row],[Cuenta Bancaria]],Listas!$B:$B,Listas!$A:$A,"")</f>
        <v>SSP Capital</v>
      </c>
      <c r="D319" s="45" t="s">
        <v>104</v>
      </c>
      <c r="E319" s="54" t="str">
        <f>_xlfn.XLOOKUP(tblMovimientos[[#This Row],[Cuenta Bancaria]],Listas!$B:$B,Listas!$C:$C,"")</f>
        <v xml:space="preserve">Amerant Bank </v>
      </c>
      <c r="F319" s="45" t="s">
        <v>10</v>
      </c>
      <c r="G319" s="45" t="s">
        <v>48</v>
      </c>
      <c r="H319" s="56" t="str">
        <f>IFERROR(_xlfn.XLOOKUP(G319,Listas!E:E,Listas!F:F,""),"")</f>
        <v>Financiamiento</v>
      </c>
      <c r="I319" s="54" t="str">
        <f>IFERROR(_xlfn.XLOOKUP(G319,Listas!E:E,Listas!G:G,""),"")</f>
        <v>Externo</v>
      </c>
      <c r="J319" s="47">
        <v>26250</v>
      </c>
      <c r="K319" s="55">
        <f t="shared" si="0"/>
        <v>-26250</v>
      </c>
      <c r="L319" s="15" t="s">
        <v>128</v>
      </c>
      <c r="M319" s="48">
        <f>SUMIFS('Saldos Iniciales'!$D$2:$D$38,'Saldos Iniciales'!$A$2:$A$38,C319,'Saldos Iniciales'!$B$2:$B$38,D319)+SUMIFS($K$1:$K$335,$C$1:$C$335,C319,$D$1:$D$335,D319,$B$1:$B$335,"&lt;="&amp;B319)</f>
        <v>2502067.6299999994</v>
      </c>
      <c r="N319" s="28" t="str">
        <f>IF(tblMovimientos[[#This Row],[Tipo de Movimiento]]="Ingreso",tblMovimientos[[#This Row],[Monto (S/)]],"0")</f>
        <v>0</v>
      </c>
      <c r="O319" s="28">
        <f>IF(tblMovimientos[[#This Row],[Tipo de Movimiento]]="Egreso",tblMovimientos[[#This Row],[Monto (S/)]],"0")</f>
        <v>26250</v>
      </c>
      <c r="P319" s="31">
        <f>IF(tblMovimientos[[#This Row],[Tipo de Movimiento]]="Ingreso",tblMovimientos[[#This Row],[Ingreso]],-tblMovimientos[[#This Row],[Egreso]])</f>
        <v>-26250</v>
      </c>
    </row>
    <row r="320" spans="1:16" x14ac:dyDescent="0.3">
      <c r="B320" s="43">
        <v>46188</v>
      </c>
      <c r="C320" s="4" t="str">
        <f>_xlfn.XLOOKUP(tblMovimientos[[#This Row],[Cuenta Bancaria]],Listas!$B:$B,Listas!$A:$A,"")</f>
        <v>SSP Capital</v>
      </c>
      <c r="D320" s="45" t="s">
        <v>104</v>
      </c>
      <c r="E320" s="54" t="str">
        <f>_xlfn.XLOOKUP(tblMovimientos[[#This Row],[Cuenta Bancaria]],Listas!$B:$B,Listas!$C:$C,"")</f>
        <v xml:space="preserve">Amerant Bank </v>
      </c>
      <c r="F320" s="45" t="s">
        <v>10</v>
      </c>
      <c r="G320" s="45" t="s">
        <v>48</v>
      </c>
      <c r="H320" s="56" t="str">
        <f>IFERROR(_xlfn.XLOOKUP(G320,Listas!E:E,Listas!F:F,""),"")</f>
        <v>Financiamiento</v>
      </c>
      <c r="I320" s="54" t="str">
        <f>IFERROR(_xlfn.XLOOKUP(G320,Listas!E:E,Listas!G:G,""),"")</f>
        <v>Externo</v>
      </c>
      <c r="J320" s="47">
        <v>32435</v>
      </c>
      <c r="K320" s="55">
        <f t="shared" si="0"/>
        <v>-32435</v>
      </c>
      <c r="L320" s="15" t="s">
        <v>128</v>
      </c>
      <c r="M320" s="48">
        <f>SUMIFS('Saldos Iniciales'!$D$2:$D$38,'Saldos Iniciales'!$A$2:$A$38,C320,'Saldos Iniciales'!$B$2:$B$38,D320)+SUMIFS($K$1:$K$335,$C$1:$C$335,C320,$D$1:$D$335,D320,$B$1:$B$335,"&lt;="&amp;B320)</f>
        <v>2502067.6299999994</v>
      </c>
      <c r="N320" s="28" t="str">
        <f>IF(tblMovimientos[[#This Row],[Tipo de Movimiento]]="Ingreso",tblMovimientos[[#This Row],[Monto (S/)]],"0")</f>
        <v>0</v>
      </c>
      <c r="O320" s="28">
        <f>IF(tblMovimientos[[#This Row],[Tipo de Movimiento]]="Egreso",tblMovimientos[[#This Row],[Monto (S/)]],"0")</f>
        <v>32435</v>
      </c>
      <c r="P320" s="31">
        <f>IF(tblMovimientos[[#This Row],[Tipo de Movimiento]]="Ingreso",tblMovimientos[[#This Row],[Ingreso]],-tblMovimientos[[#This Row],[Egreso]])</f>
        <v>-32435</v>
      </c>
    </row>
    <row r="321" spans="1:16" x14ac:dyDescent="0.3">
      <c r="B321" s="43">
        <v>46188</v>
      </c>
      <c r="C321" s="54" t="str">
        <f>_xlfn.XLOOKUP(tblMovimientos[[#This Row],[Cuenta Bancaria]],Listas!$B:$B,Listas!$A:$A,"")</f>
        <v>SSP Capital</v>
      </c>
      <c r="D321" s="45" t="s">
        <v>104</v>
      </c>
      <c r="E321" s="54" t="str">
        <f>_xlfn.XLOOKUP(tblMovimientos[[#This Row],[Cuenta Bancaria]],Listas!$B:$B,Listas!$C:$C,"")</f>
        <v xml:space="preserve">Amerant Bank </v>
      </c>
      <c r="F321" s="45" t="s">
        <v>10</v>
      </c>
      <c r="G321" s="45" t="s">
        <v>48</v>
      </c>
      <c r="H321" s="56" t="str">
        <f>IFERROR(_xlfn.XLOOKUP(G321,Listas!E:E,Listas!F:F,""),"")</f>
        <v>Financiamiento</v>
      </c>
      <c r="I321" s="54" t="str">
        <f>IFERROR(_xlfn.XLOOKUP(G321,Listas!E:E,Listas!G:G,""),"")</f>
        <v>Externo</v>
      </c>
      <c r="J321" s="47">
        <v>49583.34</v>
      </c>
      <c r="K321" s="55">
        <f t="shared" si="0"/>
        <v>-49583.34</v>
      </c>
      <c r="L321" s="15" t="s">
        <v>128</v>
      </c>
      <c r="M321" s="48">
        <f>SUMIFS('Saldos Iniciales'!$D$2:$D$38,'Saldos Iniciales'!$A$2:$A$38,C321,'Saldos Iniciales'!$B$2:$B$38,D321)+SUMIFS($K$1:$K$335,$C$1:$C$335,C321,$D$1:$D$335,D321,$B$1:$B$335,"&lt;="&amp;B321)</f>
        <v>2502067.6299999994</v>
      </c>
      <c r="N321" s="28" t="str">
        <f>IF(tblMovimientos[[#This Row],[Tipo de Movimiento]]="Ingreso",tblMovimientos[[#This Row],[Monto (S/)]],"0")</f>
        <v>0</v>
      </c>
      <c r="O321" s="28">
        <f>IF(tblMovimientos[[#This Row],[Tipo de Movimiento]]="Egreso",tblMovimientos[[#This Row],[Monto (S/)]],"0")</f>
        <v>49583.34</v>
      </c>
      <c r="P321" s="31">
        <f>IF(tblMovimientos[[#This Row],[Tipo de Movimiento]]="Ingreso",tblMovimientos[[#This Row],[Ingreso]],-tblMovimientos[[#This Row],[Egreso]])</f>
        <v>-49583.34</v>
      </c>
    </row>
    <row r="322" spans="1:16" x14ac:dyDescent="0.3">
      <c r="B322" s="43">
        <v>46188</v>
      </c>
      <c r="C322" s="4" t="str">
        <f>_xlfn.XLOOKUP(tblMovimientos[[#This Row],[Cuenta Bancaria]],Listas!$B:$B,Listas!$A:$A,"")</f>
        <v>SSP Capital</v>
      </c>
      <c r="D322" s="45" t="s">
        <v>104</v>
      </c>
      <c r="E322" s="54" t="str">
        <f>_xlfn.XLOOKUP(tblMovimientos[[#This Row],[Cuenta Bancaria]],Listas!$B:$B,Listas!$C:$C,"")</f>
        <v xml:space="preserve">Amerant Bank </v>
      </c>
      <c r="F322" s="45" t="s">
        <v>10</v>
      </c>
      <c r="G322" s="45" t="s">
        <v>48</v>
      </c>
      <c r="H322" s="56" t="str">
        <f>IFERROR(_xlfn.XLOOKUP(G322,Listas!E:E,Listas!F:F,""),"")</f>
        <v>Financiamiento</v>
      </c>
      <c r="I322" s="54" t="str">
        <f>IFERROR(_xlfn.XLOOKUP(G322,Listas!E:E,Listas!G:G,""),"")</f>
        <v>Externo</v>
      </c>
      <c r="J322" s="47">
        <v>23313.83</v>
      </c>
      <c r="K322" s="55">
        <f t="shared" si="0"/>
        <v>-23313.83</v>
      </c>
      <c r="L322" s="15" t="s">
        <v>128</v>
      </c>
      <c r="M322" s="48">
        <f>SUMIFS('Saldos Iniciales'!$D$2:$D$38,'Saldos Iniciales'!$A$2:$A$38,C322,'Saldos Iniciales'!$B$2:$B$38,D322)+SUMIFS($K$1:$K$335,$C$1:$C$335,C322,$D$1:$D$335,D322,$B$1:$B$335,"&lt;="&amp;B322)</f>
        <v>2502067.6299999994</v>
      </c>
      <c r="N322" s="28" t="str">
        <f>IF(tblMovimientos[[#This Row],[Tipo de Movimiento]]="Ingreso",tblMovimientos[[#This Row],[Monto (S/)]],"0")</f>
        <v>0</v>
      </c>
      <c r="O322" s="28">
        <f>IF(tblMovimientos[[#This Row],[Tipo de Movimiento]]="Egreso",tblMovimientos[[#This Row],[Monto (S/)]],"0")</f>
        <v>23313.83</v>
      </c>
      <c r="P322" s="31">
        <f>IF(tblMovimientos[[#This Row],[Tipo de Movimiento]]="Ingreso",tblMovimientos[[#This Row],[Ingreso]],-tblMovimientos[[#This Row],[Egreso]])</f>
        <v>-23313.83</v>
      </c>
    </row>
    <row r="323" spans="1:16" x14ac:dyDescent="0.3">
      <c r="B323" s="43">
        <v>46188</v>
      </c>
      <c r="C323" s="4" t="str">
        <f>_xlfn.XLOOKUP(tblMovimientos[[#This Row],[Cuenta Bancaria]],Listas!$B:$B,Listas!$A:$A,"")</f>
        <v>SSP Capital</v>
      </c>
      <c r="D323" s="45" t="s">
        <v>104</v>
      </c>
      <c r="E323" s="54" t="str">
        <f>_xlfn.XLOOKUP(tblMovimientos[[#This Row],[Cuenta Bancaria]],Listas!$B:$B,Listas!$C:$C,"")</f>
        <v xml:space="preserve">Amerant Bank </v>
      </c>
      <c r="F323" s="45" t="s">
        <v>10</v>
      </c>
      <c r="H323" s="56">
        <f>IFERROR(_xlfn.XLOOKUP(G323,Listas!E:E,Listas!F:F,""),"")</f>
        <v>0</v>
      </c>
      <c r="I323" s="54">
        <f>IFERROR(_xlfn.XLOOKUP(G323,Listas!E:E,Listas!G:G,""),"")</f>
        <v>0</v>
      </c>
      <c r="J323" s="47">
        <v>54600</v>
      </c>
      <c r="K323" s="55">
        <f t="shared" si="0"/>
        <v>-54600</v>
      </c>
      <c r="L323" s="15" t="s">
        <v>128</v>
      </c>
      <c r="M323" s="48">
        <f>SUMIFS('Saldos Iniciales'!$D$2:$D$38,'Saldos Iniciales'!$A$2:$A$38,C323,'Saldos Iniciales'!$B$2:$B$38,D323)+SUMIFS($K$1:$K$335,$C$1:$C$335,C323,$D$1:$D$335,D323,$B$1:$B$335,"&lt;="&amp;B323)</f>
        <v>2502067.6299999994</v>
      </c>
      <c r="N323" s="28" t="str">
        <f>IF(tblMovimientos[[#This Row],[Tipo de Movimiento]]="Ingreso",tblMovimientos[[#This Row],[Monto (S/)]],"0")</f>
        <v>0</v>
      </c>
      <c r="O323" s="28">
        <f>IF(tblMovimientos[[#This Row],[Tipo de Movimiento]]="Egreso",tblMovimientos[[#This Row],[Monto (S/)]],"0")</f>
        <v>54600</v>
      </c>
      <c r="P323" s="31">
        <f>IF(tblMovimientos[[#This Row],[Tipo de Movimiento]]="Ingreso",tblMovimientos[[#This Row],[Ingreso]],-tblMovimientos[[#This Row],[Egreso]])</f>
        <v>-54600</v>
      </c>
    </row>
    <row r="324" spans="1:16" x14ac:dyDescent="0.3">
      <c r="B324" s="43">
        <v>46188</v>
      </c>
      <c r="C324" s="4" t="str">
        <f>_xlfn.XLOOKUP(tblMovimientos[[#This Row],[Cuenta Bancaria]],Listas!$B:$B,Listas!$A:$A,"")</f>
        <v>SSP Capital</v>
      </c>
      <c r="D324" s="45" t="s">
        <v>104</v>
      </c>
      <c r="E324" s="54" t="str">
        <f>_xlfn.XLOOKUP(tblMovimientos[[#This Row],[Cuenta Bancaria]],Listas!$B:$B,Listas!$C:$C,"")</f>
        <v xml:space="preserve">Amerant Bank </v>
      </c>
      <c r="F324" s="45" t="s">
        <v>10</v>
      </c>
      <c r="G324" s="45" t="s">
        <v>61</v>
      </c>
      <c r="H324" s="56" t="str">
        <f>IFERROR(_xlfn.XLOOKUP(G324,Listas!E:E,Listas!F:F,""),"")</f>
        <v>Operativo</v>
      </c>
      <c r="I324" s="54" t="str">
        <f>IFERROR(_xlfn.XLOOKUP(G324,Listas!E:E,Listas!G:G,""),"")</f>
        <v>Externo</v>
      </c>
      <c r="J324" s="47">
        <v>300000</v>
      </c>
      <c r="K324" s="55">
        <f t="shared" si="0"/>
        <v>-300000</v>
      </c>
      <c r="L324" s="15" t="s">
        <v>128</v>
      </c>
      <c r="M324" s="48">
        <f>SUMIFS('Saldos Iniciales'!$D$2:$D$38,'Saldos Iniciales'!$A$2:$A$38,C324,'Saldos Iniciales'!$B$2:$B$38,D324)+SUMIFS($K$1:$K$335,$C$1:$C$335,C324,$D$1:$D$335,D324,$B$1:$B$335,"&lt;="&amp;B324)</f>
        <v>2502067.6299999994</v>
      </c>
      <c r="N324" s="28" t="str">
        <f>IF(tblMovimientos[[#This Row],[Tipo de Movimiento]]="Ingreso",tblMovimientos[[#This Row],[Monto (S/)]],"0")</f>
        <v>0</v>
      </c>
      <c r="O324" s="28">
        <f>IF(tblMovimientos[[#This Row],[Tipo de Movimiento]]="Egreso",tblMovimientos[[#This Row],[Monto (S/)]],"0")</f>
        <v>300000</v>
      </c>
      <c r="P324" s="31">
        <f>IF(tblMovimientos[[#This Row],[Tipo de Movimiento]]="Ingreso",tblMovimientos[[#This Row],[Ingreso]],-tblMovimientos[[#This Row],[Egreso]])</f>
        <v>-300000</v>
      </c>
    </row>
    <row r="325" spans="1:16" x14ac:dyDescent="0.3">
      <c r="B325" s="43">
        <v>46188</v>
      </c>
      <c r="C325" s="54" t="str">
        <f>_xlfn.XLOOKUP(tblMovimientos[[#This Row],[Cuenta Bancaria]],Listas!$B:$B,Listas!$A:$A,"")</f>
        <v>Go Blue</v>
      </c>
      <c r="D325" s="45" t="s">
        <v>126</v>
      </c>
      <c r="E325" s="54" t="str">
        <f>_xlfn.XLOOKUP(tblMovimientos[[#This Row],[Cuenta Bancaria]],Listas!$B:$B,Listas!$C:$C,"")</f>
        <v xml:space="preserve">Amerant Bank </v>
      </c>
      <c r="F325" s="45" t="s">
        <v>10</v>
      </c>
      <c r="G325" s="45" t="s">
        <v>38</v>
      </c>
      <c r="H325" s="56" t="str">
        <f>IFERROR(_xlfn.XLOOKUP(G325,Listas!E:E,Listas!F:F,""),"")</f>
        <v>Operativo</v>
      </c>
      <c r="I325" s="54" t="str">
        <f>IFERROR(_xlfn.XLOOKUP(G325,Listas!E:E,Listas!G:G,""),"")</f>
        <v>Externo</v>
      </c>
      <c r="J325" s="47">
        <v>50</v>
      </c>
      <c r="K325" s="55">
        <f t="shared" si="0"/>
        <v>-50</v>
      </c>
      <c r="L325" s="15" t="s">
        <v>128</v>
      </c>
      <c r="M325" s="48">
        <f>SUMIFS('Saldos Iniciales'!$D$2:$D$38,'Saldos Iniciales'!$A$2:$A$38,C325,'Saldos Iniciales'!$B$2:$B$38,D325)+SUMIFS($K$1:$K$335,$C$1:$C$335,C325,$D$1:$D$335,D325,$B$1:$B$335,"&lt;="&amp;B325)</f>
        <v>48724.73</v>
      </c>
      <c r="N325" s="28" t="str">
        <f>IF(tblMovimientos[[#This Row],[Tipo de Movimiento]]="Ingreso",tblMovimientos[[#This Row],[Monto (S/)]],"0")</f>
        <v>0</v>
      </c>
      <c r="O325" s="28">
        <f>IF(tblMovimientos[[#This Row],[Tipo de Movimiento]]="Egreso",tblMovimientos[[#This Row],[Monto (S/)]],"0")</f>
        <v>50</v>
      </c>
      <c r="P325" s="31">
        <f>IF(tblMovimientos[[#This Row],[Tipo de Movimiento]]="Ingreso",tblMovimientos[[#This Row],[Ingreso]],-tblMovimientos[[#This Row],[Egreso]])</f>
        <v>-50</v>
      </c>
    </row>
    <row r="326" spans="1:16" x14ac:dyDescent="0.3">
      <c r="B326" s="43">
        <v>46189</v>
      </c>
      <c r="C326" s="4" t="str">
        <f>_xlfn.XLOOKUP(tblMovimientos[[#This Row],[Cuenta Bancaria]],Listas!$B:$B,Listas!$A:$A,"")</f>
        <v>Go Blue</v>
      </c>
      <c r="D326" s="45" t="s">
        <v>126</v>
      </c>
      <c r="E326" s="54" t="str">
        <f>_xlfn.XLOOKUP(tblMovimientos[[#This Row],[Cuenta Bancaria]],Listas!$B:$B,Listas!$C:$C,"")</f>
        <v xml:space="preserve">Amerant Bank </v>
      </c>
      <c r="F326" s="45" t="s">
        <v>10</v>
      </c>
      <c r="G326" s="45" t="s">
        <v>38</v>
      </c>
      <c r="H326" s="56" t="str">
        <f>IFERROR(_xlfn.XLOOKUP(G326,Listas!E:E,Listas!F:F,""),"")</f>
        <v>Operativo</v>
      </c>
      <c r="I326" s="54" t="str">
        <f>IFERROR(_xlfn.XLOOKUP(G326,Listas!E:E,Listas!G:G,""),"")</f>
        <v>Externo</v>
      </c>
      <c r="J326" s="47">
        <v>522</v>
      </c>
      <c r="K326" s="55">
        <f t="shared" si="0"/>
        <v>-522</v>
      </c>
      <c r="L326" s="15" t="s">
        <v>128</v>
      </c>
      <c r="M326" s="48">
        <f>SUMIFS('Saldos Iniciales'!$D$2:$D$38,'Saldos Iniciales'!$A$2:$A$38,C326,'Saldos Iniciales'!$B$2:$B$38,D326)+SUMIFS($K$1:$K$335,$C$1:$C$335,C326,$D$1:$D$335,D326,$B$1:$B$335,"&lt;="&amp;B326)</f>
        <v>45519.01</v>
      </c>
      <c r="N326" s="28" t="str">
        <f>IF(tblMovimientos[[#This Row],[Tipo de Movimiento]]="Ingreso",tblMovimientos[[#This Row],[Monto (S/)]],"0")</f>
        <v>0</v>
      </c>
      <c r="O326" s="28">
        <f>IF(tblMovimientos[[#This Row],[Tipo de Movimiento]]="Egreso",tblMovimientos[[#This Row],[Monto (S/)]],"0")</f>
        <v>522</v>
      </c>
      <c r="P326" s="31">
        <f>IF(tblMovimientos[[#This Row],[Tipo de Movimiento]]="Ingreso",tblMovimientos[[#This Row],[Ingreso]],-tblMovimientos[[#This Row],[Egreso]])</f>
        <v>-522</v>
      </c>
    </row>
    <row r="327" spans="1:16" x14ac:dyDescent="0.3">
      <c r="B327" s="43">
        <v>46189</v>
      </c>
      <c r="C327" s="4" t="str">
        <f>_xlfn.XLOOKUP(tblMovimientos[[#This Row],[Cuenta Bancaria]],Listas!$B:$B,Listas!$A:$A,"")</f>
        <v>Go Blue</v>
      </c>
      <c r="D327" s="45" t="s">
        <v>126</v>
      </c>
      <c r="E327" s="54" t="str">
        <f>_xlfn.XLOOKUP(tblMovimientos[[#This Row],[Cuenta Bancaria]],Listas!$B:$B,Listas!$C:$C,"")</f>
        <v xml:space="preserve">Amerant Bank </v>
      </c>
      <c r="F327" s="45" t="s">
        <v>10</v>
      </c>
      <c r="G327" s="45" t="s">
        <v>38</v>
      </c>
      <c r="H327" s="56" t="str">
        <f>IFERROR(_xlfn.XLOOKUP(G327,Listas!E:E,Listas!F:F,""),"")</f>
        <v>Operativo</v>
      </c>
      <c r="I327" s="54" t="str">
        <f>IFERROR(_xlfn.XLOOKUP(G327,Listas!E:E,Listas!G:G,""),"")</f>
        <v>Externo</v>
      </c>
      <c r="J327" s="47">
        <v>522</v>
      </c>
      <c r="K327" s="55">
        <f t="shared" si="0"/>
        <v>-522</v>
      </c>
      <c r="L327" s="15" t="s">
        <v>128</v>
      </c>
      <c r="M327" s="48">
        <f>SUMIFS('Saldos Iniciales'!$D$2:$D$38,'Saldos Iniciales'!$A$2:$A$38,C327,'Saldos Iniciales'!$B$2:$B$38,D327)+SUMIFS($K$1:$K$335,$C$1:$C$335,C327,$D$1:$D$335,D327,$B$1:$B$335,"&lt;="&amp;B327)</f>
        <v>45519.01</v>
      </c>
      <c r="N327" s="28" t="str">
        <f>IF(tblMovimientos[[#This Row],[Tipo de Movimiento]]="Ingreso",tblMovimientos[[#This Row],[Monto (S/)]],"0")</f>
        <v>0</v>
      </c>
      <c r="O327" s="28">
        <f>IF(tblMovimientos[[#This Row],[Tipo de Movimiento]]="Egreso",tblMovimientos[[#This Row],[Monto (S/)]],"0")</f>
        <v>522</v>
      </c>
      <c r="P327" s="31">
        <f>IF(tblMovimientos[[#This Row],[Tipo de Movimiento]]="Ingreso",tblMovimientos[[#This Row],[Ingreso]],-tblMovimientos[[#This Row],[Egreso]])</f>
        <v>-522</v>
      </c>
    </row>
    <row r="328" spans="1:16" x14ac:dyDescent="0.3">
      <c r="B328" s="43">
        <v>46189</v>
      </c>
      <c r="C328" s="4" t="str">
        <f>_xlfn.XLOOKUP(tblMovimientos[[#This Row],[Cuenta Bancaria]],Listas!$B:$B,Listas!$A:$A,"")</f>
        <v>Go Blue</v>
      </c>
      <c r="D328" s="45" t="s">
        <v>126</v>
      </c>
      <c r="E328" s="54" t="str">
        <f>_xlfn.XLOOKUP(tblMovimientos[[#This Row],[Cuenta Bancaria]],Listas!$B:$B,Listas!$C:$C,"")</f>
        <v xml:space="preserve">Amerant Bank </v>
      </c>
      <c r="F328" s="45" t="s">
        <v>10</v>
      </c>
      <c r="G328" s="45" t="s">
        <v>38</v>
      </c>
      <c r="H328" s="56" t="str">
        <f>IFERROR(_xlfn.XLOOKUP(G328,Listas!E:E,Listas!F:F,""),"")</f>
        <v>Operativo</v>
      </c>
      <c r="I328" s="54" t="str">
        <f>IFERROR(_xlfn.XLOOKUP(G328,Listas!E:E,Listas!G:G,""),"")</f>
        <v>Externo</v>
      </c>
      <c r="J328" s="47">
        <v>2161.7199999999998</v>
      </c>
      <c r="K328" s="55">
        <f t="shared" si="0"/>
        <v>-2161.7199999999998</v>
      </c>
      <c r="L328" s="15" t="s">
        <v>128</v>
      </c>
      <c r="M328" s="48">
        <f>SUMIFS('Saldos Iniciales'!$D$2:$D$38,'Saldos Iniciales'!$A$2:$A$38,C328,'Saldos Iniciales'!$B$2:$B$38,D328)+SUMIFS($K$1:$K$335,$C$1:$C$335,C328,$D$1:$D$335,D328,$B$1:$B$335,"&lt;="&amp;B328)</f>
        <v>45519.01</v>
      </c>
      <c r="N328" s="28" t="str">
        <f>IF(tblMovimientos[[#This Row],[Tipo de Movimiento]]="Ingreso",tblMovimientos[[#This Row],[Monto (S/)]],"0")</f>
        <v>0</v>
      </c>
      <c r="O328" s="28">
        <f>IF(tblMovimientos[[#This Row],[Tipo de Movimiento]]="Egreso",tblMovimientos[[#This Row],[Monto (S/)]],"0")</f>
        <v>2161.7199999999998</v>
      </c>
      <c r="P328" s="31">
        <f>IF(tblMovimientos[[#This Row],[Tipo de Movimiento]]="Ingreso",tblMovimientos[[#This Row],[Ingreso]],-tblMovimientos[[#This Row],[Egreso]])</f>
        <v>-2161.7199999999998</v>
      </c>
    </row>
    <row r="329" spans="1:16" x14ac:dyDescent="0.3">
      <c r="B329" s="43">
        <v>46188</v>
      </c>
      <c r="C329" s="54" t="str">
        <f>_xlfn.XLOOKUP(tblMovimientos[[#This Row],[Cuenta Bancaria]],Listas!$B:$B,Listas!$A:$A,"")</f>
        <v>SSP Capital</v>
      </c>
      <c r="D329" s="45" t="s">
        <v>102</v>
      </c>
      <c r="E329" s="54" t="str">
        <f>_xlfn.XLOOKUP(tblMovimientos[[#This Row],[Cuenta Bancaria]],Listas!$B:$B,Listas!$C:$C,"")</f>
        <v>Bank of America</v>
      </c>
      <c r="F329" s="45" t="s">
        <v>10</v>
      </c>
      <c r="G329" s="45" t="s">
        <v>44</v>
      </c>
      <c r="H329" s="56" t="str">
        <f>IFERROR(_xlfn.XLOOKUP(G329,Listas!E:E,Listas!F:F,""),"")</f>
        <v>Operativo</v>
      </c>
      <c r="I329" s="54" t="str">
        <f>IFERROR(_xlfn.XLOOKUP(G329,Listas!E:E,Listas!G:G,""),"")</f>
        <v>Externo</v>
      </c>
      <c r="J329" s="47">
        <v>29.42</v>
      </c>
      <c r="K329" s="55">
        <f t="shared" si="0"/>
        <v>-29.42</v>
      </c>
      <c r="L329" s="15" t="s">
        <v>128</v>
      </c>
      <c r="M329" s="48">
        <f>SUMIFS('Saldos Iniciales'!$D$2:$D$38,'Saldos Iniciales'!$A$2:$A$38,C329,'Saldos Iniciales'!$B$2:$B$38,D329)+SUMIFS($K$1:$K$335,$C$1:$C$335,C329,$D$1:$D$335,D329,$B$1:$B$335,"&lt;="&amp;B329)</f>
        <v>533.58000000000004</v>
      </c>
      <c r="N329" s="28" t="str">
        <f>IF(tblMovimientos[[#This Row],[Tipo de Movimiento]]="Ingreso",tblMovimientos[[#This Row],[Monto (S/)]],"0")</f>
        <v>0</v>
      </c>
      <c r="O329" s="28">
        <f>IF(tblMovimientos[[#This Row],[Tipo de Movimiento]]="Egreso",tblMovimientos[[#This Row],[Monto (S/)]],"0")</f>
        <v>29.42</v>
      </c>
      <c r="P329" s="31">
        <f>IF(tblMovimientos[[#This Row],[Tipo de Movimiento]]="Ingreso",tblMovimientos[[#This Row],[Ingreso]],-tblMovimientos[[#This Row],[Egreso]])</f>
        <v>-29.42</v>
      </c>
    </row>
    <row r="330" spans="1:16" x14ac:dyDescent="0.3">
      <c r="B330" s="43">
        <v>46188</v>
      </c>
      <c r="C330" s="4" t="str">
        <f>_xlfn.XLOOKUP(tblMovimientos[[#This Row],[Cuenta Bancaria]],Listas!$B:$B,Listas!$A:$A,"")</f>
        <v>A&amp;M Imports</v>
      </c>
      <c r="D330" s="45" t="s">
        <v>100</v>
      </c>
      <c r="E330" s="54" t="str">
        <f>_xlfn.XLOOKUP(tblMovimientos[[#This Row],[Cuenta Bancaria]],Listas!$B:$B,Listas!$C:$C,"")</f>
        <v>Bank of America</v>
      </c>
      <c r="F330" s="45" t="s">
        <v>10</v>
      </c>
      <c r="G330" s="45" t="s">
        <v>61</v>
      </c>
      <c r="H330" s="56" t="str">
        <f>IFERROR(_xlfn.XLOOKUP(G330,Listas!E:E,Listas!F:F,""),"")</f>
        <v>Operativo</v>
      </c>
      <c r="I330" s="54" t="str">
        <f>IFERROR(_xlfn.XLOOKUP(G330,Listas!E:E,Listas!G:G,""),"")</f>
        <v>Externo</v>
      </c>
      <c r="J330" s="47">
        <v>60000</v>
      </c>
      <c r="K330" s="55">
        <f t="shared" si="0"/>
        <v>-60000</v>
      </c>
      <c r="L330" s="15" t="s">
        <v>128</v>
      </c>
      <c r="M330" s="48">
        <f>SUMIFS('Saldos Iniciales'!$D$2:$D$38,'Saldos Iniciales'!$A$2:$A$38,C330,'Saldos Iniciales'!$B$2:$B$38,D330)+SUMIFS($K$1:$K$335,$C$1:$C$335,C330,$D$1:$D$335,D330,$B$1:$B$335,"&lt;="&amp;B330)</f>
        <v>503904.80999999982</v>
      </c>
      <c r="N330" s="28" t="str">
        <f>IF(tblMovimientos[[#This Row],[Tipo de Movimiento]]="Ingreso",tblMovimientos[[#This Row],[Monto (S/)]],"0")</f>
        <v>0</v>
      </c>
      <c r="O330" s="28">
        <f>IF(tblMovimientos[[#This Row],[Tipo de Movimiento]]="Egreso",tblMovimientos[[#This Row],[Monto (S/)]],"0")</f>
        <v>60000</v>
      </c>
      <c r="P330" s="31">
        <f>IF(tblMovimientos[[#This Row],[Tipo de Movimiento]]="Ingreso",tblMovimientos[[#This Row],[Ingreso]],-tblMovimientos[[#This Row],[Egreso]])</f>
        <v>-60000</v>
      </c>
    </row>
    <row r="331" spans="1:16" x14ac:dyDescent="0.3">
      <c r="B331" s="43">
        <v>46188</v>
      </c>
      <c r="C331" s="4" t="str">
        <f>_xlfn.XLOOKUP(tblMovimientos[[#This Row],[Cuenta Bancaria]],Listas!$B:$B,Listas!$A:$A,"")</f>
        <v>A&amp;M Imports</v>
      </c>
      <c r="D331" s="45" t="s">
        <v>100</v>
      </c>
      <c r="E331" s="54" t="str">
        <f>_xlfn.XLOOKUP(tblMovimientos[[#This Row],[Cuenta Bancaria]],Listas!$B:$B,Listas!$C:$C,"")</f>
        <v>Bank of America</v>
      </c>
      <c r="F331" s="45" t="s">
        <v>10</v>
      </c>
      <c r="G331" s="45" t="s">
        <v>44</v>
      </c>
      <c r="H331" s="56" t="str">
        <f>IFERROR(_xlfn.XLOOKUP(G331,Listas!E:E,Listas!F:F,""),"")</f>
        <v>Operativo</v>
      </c>
      <c r="I331" s="54" t="str">
        <f>IFERROR(_xlfn.XLOOKUP(G331,Listas!E:E,Listas!G:G,""),"")</f>
        <v>Externo</v>
      </c>
      <c r="J331" s="47">
        <v>721.4</v>
      </c>
      <c r="K331" s="55">
        <f t="shared" si="0"/>
        <v>-721.4</v>
      </c>
      <c r="L331" s="15" t="s">
        <v>128</v>
      </c>
      <c r="M331" s="48">
        <f>SUMIFS('Saldos Iniciales'!$D$2:$D$38,'Saldos Iniciales'!$A$2:$A$38,C331,'Saldos Iniciales'!$B$2:$B$38,D331)+SUMIFS($K$1:$K$335,$C$1:$C$335,C331,$D$1:$D$335,D331,$B$1:$B$335,"&lt;="&amp;B331)</f>
        <v>503904.80999999982</v>
      </c>
      <c r="N331" s="28" t="str">
        <f>IF(tblMovimientos[[#This Row],[Tipo de Movimiento]]="Ingreso",tblMovimientos[[#This Row],[Monto (S/)]],"0")</f>
        <v>0</v>
      </c>
      <c r="O331" s="28">
        <f>IF(tblMovimientos[[#This Row],[Tipo de Movimiento]]="Egreso",tblMovimientos[[#This Row],[Monto (S/)]],"0")</f>
        <v>721.4</v>
      </c>
      <c r="P331" s="31">
        <f>IF(tblMovimientos[[#This Row],[Tipo de Movimiento]]="Ingreso",tblMovimientos[[#This Row],[Ingreso]],-tblMovimientos[[#This Row],[Egreso]])</f>
        <v>-721.4</v>
      </c>
    </row>
    <row r="332" spans="1:16" x14ac:dyDescent="0.3">
      <c r="B332" s="43">
        <v>46188</v>
      </c>
      <c r="C332" s="4" t="str">
        <f>_xlfn.XLOOKUP(tblMovimientos[[#This Row],[Cuenta Bancaria]],Listas!$B:$B,Listas!$A:$A,"")</f>
        <v>CFT Group</v>
      </c>
      <c r="D332" s="45" t="s">
        <v>94</v>
      </c>
      <c r="E332" s="54" t="str">
        <f>_xlfn.XLOOKUP(tblMovimientos[[#This Row],[Cuenta Bancaria]],Listas!$B:$B,Listas!$C:$C,"")</f>
        <v>Bank of America</v>
      </c>
      <c r="F332" s="45" t="s">
        <v>10</v>
      </c>
      <c r="G332" s="45" t="s">
        <v>64</v>
      </c>
      <c r="H332" s="56" t="str">
        <f>IFERROR(_xlfn.XLOOKUP(G332,Listas!E:E,Listas!F:F,""),"")</f>
        <v>Operativo</v>
      </c>
      <c r="I332" s="54" t="str">
        <f>IFERROR(_xlfn.XLOOKUP(G332,Listas!E:E,Listas!G:G,""),"")</f>
        <v>Interno</v>
      </c>
      <c r="J332" s="47">
        <v>270000</v>
      </c>
      <c r="K332" s="55">
        <f t="shared" si="0"/>
        <v>-270000</v>
      </c>
      <c r="L332" s="15" t="s">
        <v>128</v>
      </c>
      <c r="M332" s="48">
        <f>SUMIFS('Saldos Iniciales'!$D$2:$D$38,'Saldos Iniciales'!$A$2:$A$38,C332,'Saldos Iniciales'!$B$2:$B$38,D332)+SUMIFS($K$1:$K$335,$C$1:$C$335,C332,$D$1:$D$335,D332,$B$1:$B$335,"&lt;="&amp;B332)</f>
        <v>11841.389999999985</v>
      </c>
      <c r="N332" s="28" t="str">
        <f>IF(tblMovimientos[[#This Row],[Tipo de Movimiento]]="Ingreso",tblMovimientos[[#This Row],[Monto (S/)]],"0")</f>
        <v>0</v>
      </c>
      <c r="O332" s="28">
        <f>IF(tblMovimientos[[#This Row],[Tipo de Movimiento]]="Egreso",tblMovimientos[[#This Row],[Monto (S/)]],"0")</f>
        <v>270000</v>
      </c>
      <c r="P332" s="31">
        <f>IF(tblMovimientos[[#This Row],[Tipo de Movimiento]]="Ingreso",tblMovimientos[[#This Row],[Ingreso]],-tblMovimientos[[#This Row],[Egreso]])</f>
        <v>-270000</v>
      </c>
    </row>
    <row r="333" spans="1:16" x14ac:dyDescent="0.3">
      <c r="B333" s="43">
        <v>46188</v>
      </c>
      <c r="C333" s="54" t="str">
        <f>_xlfn.XLOOKUP(tblMovimientos[[#This Row],[Cuenta Bancaria]],Listas!$B:$B,Listas!$A:$A,"")</f>
        <v>CFT Group</v>
      </c>
      <c r="D333" s="45" t="s">
        <v>94</v>
      </c>
      <c r="E333" s="54" t="str">
        <f>_xlfn.XLOOKUP(tblMovimientos[[#This Row],[Cuenta Bancaria]],Listas!$B:$B,Listas!$C:$C,"")</f>
        <v>Bank of America</v>
      </c>
      <c r="F333" s="45" t="s">
        <v>10</v>
      </c>
      <c r="H333" s="56">
        <f>IFERROR(_xlfn.XLOOKUP(G333,Listas!E:E,Listas!F:F,""),"")</f>
        <v>0</v>
      </c>
      <c r="I333" s="54">
        <f>IFERROR(_xlfn.XLOOKUP(G333,Listas!E:E,Listas!G:G,""),"")</f>
        <v>0</v>
      </c>
      <c r="J333" s="47">
        <v>12000</v>
      </c>
      <c r="K333" s="55">
        <f t="shared" si="0"/>
        <v>-12000</v>
      </c>
      <c r="L333" s="15" t="s">
        <v>128</v>
      </c>
      <c r="M333" s="48">
        <f>SUMIFS('Saldos Iniciales'!$D$2:$D$38,'Saldos Iniciales'!$A$2:$A$38,C333,'Saldos Iniciales'!$B$2:$B$38,D333)+SUMIFS($K$1:$K$335,$C$1:$C$335,C333,$D$1:$D$335,D333,$B$1:$B$335,"&lt;="&amp;B333)</f>
        <v>11841.389999999985</v>
      </c>
      <c r="N333" s="28" t="str">
        <f>IF(tblMovimientos[[#This Row],[Tipo de Movimiento]]="Ingreso",tblMovimientos[[#This Row],[Monto (S/)]],"0")</f>
        <v>0</v>
      </c>
      <c r="O333" s="28">
        <f>IF(tblMovimientos[[#This Row],[Tipo de Movimiento]]="Egreso",tblMovimientos[[#This Row],[Monto (S/)]],"0")</f>
        <v>12000</v>
      </c>
      <c r="P333" s="31">
        <f>IF(tblMovimientos[[#This Row],[Tipo de Movimiento]]="Ingreso",tblMovimientos[[#This Row],[Ingreso]],-tblMovimientos[[#This Row],[Egreso]])</f>
        <v>-12000</v>
      </c>
    </row>
    <row r="334" spans="1:16" x14ac:dyDescent="0.3">
      <c r="B334" s="43">
        <v>46188</v>
      </c>
      <c r="C334" s="4" t="str">
        <f>_xlfn.XLOOKUP(tblMovimientos[[#This Row],[Cuenta Bancaria]],Listas!$B:$B,Listas!$A:$A,"")</f>
        <v>CFT Group</v>
      </c>
      <c r="D334" s="45" t="s">
        <v>94</v>
      </c>
      <c r="E334" s="54" t="str">
        <f>_xlfn.XLOOKUP(tblMovimientos[[#This Row],[Cuenta Bancaria]],Listas!$B:$B,Listas!$C:$C,"")</f>
        <v>Bank of America</v>
      </c>
      <c r="F334" s="45" t="s">
        <v>10</v>
      </c>
      <c r="H334" s="56">
        <f>IFERROR(_xlfn.XLOOKUP(G334,Listas!E:E,Listas!F:F,""),"")</f>
        <v>0</v>
      </c>
      <c r="I334" s="54">
        <f>IFERROR(_xlfn.XLOOKUP(G334,Listas!E:E,Listas!G:G,""),"")</f>
        <v>0</v>
      </c>
      <c r="J334" s="47">
        <v>15000</v>
      </c>
      <c r="K334" s="55">
        <f t="shared" si="0"/>
        <v>-15000</v>
      </c>
      <c r="L334" s="15" t="s">
        <v>128</v>
      </c>
      <c r="M334" s="48">
        <f>SUMIFS('Saldos Iniciales'!$D$2:$D$38,'Saldos Iniciales'!$A$2:$A$38,C334,'Saldos Iniciales'!$B$2:$B$38,D334)+SUMIFS($K$1:$K$335,$C$1:$C$335,C334,$D$1:$D$335,D334,$B$1:$B$335,"&lt;="&amp;B334)</f>
        <v>11841.389999999985</v>
      </c>
      <c r="N334" s="28" t="str">
        <f>IF(tblMovimientos[[#This Row],[Tipo de Movimiento]]="Ingreso",tblMovimientos[[#This Row],[Monto (S/)]],"0")</f>
        <v>0</v>
      </c>
      <c r="O334" s="28">
        <f>IF(tblMovimientos[[#This Row],[Tipo de Movimiento]]="Egreso",tblMovimientos[[#This Row],[Monto (S/)]],"0")</f>
        <v>15000</v>
      </c>
      <c r="P334" s="31">
        <f>IF(tblMovimientos[[#This Row],[Tipo de Movimiento]]="Ingreso",tblMovimientos[[#This Row],[Ingreso]],-tblMovimientos[[#This Row],[Egreso]])</f>
        <v>-15000</v>
      </c>
    </row>
    <row r="335" spans="1:16" x14ac:dyDescent="0.3">
      <c r="A335" s="53"/>
      <c r="B335" s="57">
        <v>46188</v>
      </c>
      <c r="C335" s="4" t="str">
        <f>_xlfn.XLOOKUP(tblMovimientos[[#This Row],[Cuenta Bancaria]],Listas!$B:$B,Listas!$A:$A,"")</f>
        <v>2515 Overbrook</v>
      </c>
      <c r="D335" s="58" t="s">
        <v>121</v>
      </c>
      <c r="E335" s="54" t="str">
        <f>_xlfn.XLOOKUP(tblMovimientos[[#This Row],[Cuenta Bancaria]],Listas!$B:$B,Listas!$C:$C,"")</f>
        <v>Bank of America</v>
      </c>
      <c r="F335" s="58" t="s">
        <v>9</v>
      </c>
      <c r="G335" s="58" t="s">
        <v>81</v>
      </c>
      <c r="H335" s="59" t="str">
        <f>IFERROR(_xlfn.XLOOKUP(G335,Listas!E:E,Listas!F:F,""),"")</f>
        <v>Operativo</v>
      </c>
      <c r="I335" s="54" t="str">
        <f>IFERROR(_xlfn.XLOOKUP(G335,Listas!E:E,Listas!G:G,""),"")</f>
        <v>Externo</v>
      </c>
      <c r="J335" s="60">
        <v>2000</v>
      </c>
      <c r="K335" s="55">
        <f t="shared" si="0"/>
        <v>2000</v>
      </c>
      <c r="L335" s="15" t="s">
        <v>128</v>
      </c>
      <c r="M335" s="48">
        <f>SUMIFS('Saldos Iniciales'!$D$2:$D$38,'Saldos Iniciales'!$A$2:$A$38,C335,'Saldos Iniciales'!$B$2:$B$38,D335)+SUMIFS($K$1:$K$335,$C$1:$C$335,C335,$D$1:$D$335,D335,$B$1:$B$335,"&lt;="&amp;B335)</f>
        <v>29459.549999999963</v>
      </c>
      <c r="N335" s="28">
        <f>IF(tblMovimientos[[#This Row],[Tipo de Movimiento]]="Ingreso",tblMovimientos[[#This Row],[Monto (S/)]],"0")</f>
        <v>2000</v>
      </c>
      <c r="O335" s="28" t="str">
        <f>IF(tblMovimientos[[#This Row],[Tipo de Movimiento]]="Egreso",tblMovimientos[[#This Row],[Monto (S/)]],"0")</f>
        <v>0</v>
      </c>
      <c r="P335" s="31">
        <f>IF(tblMovimientos[[#This Row],[Tipo de Movimiento]]="Ingreso",tblMovimientos[[#This Row],[Ingreso]],-tblMovimientos[[#This Row],[Egreso]])</f>
        <v>2000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ignoredErrors>
    <ignoredError sqref="E3:N298 E305:L305 E303:L303 N303 E302:L302 N302 E300:L300 E299:L299 N299 E301:L301 N301 N300 E304:L304 N304 N305" calculatedColum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C2:C335</xm:sqref>
        </x14:dataValidation>
        <x14:dataValidation type="list" allowBlank="1" xr:uid="{AAA2F2FB-5D82-4852-BA68-E541EA956BD2}">
          <x14:formula1>
            <xm:f>Listas!$B$2:$B$34</xm:f>
          </x14:formula1>
          <xm:sqref>D2:D335</xm:sqref>
        </x14:dataValidation>
        <x14:dataValidation type="list" allowBlank="1" xr:uid="{DC8BA3D2-F104-4639-8653-545CA2BBE131}">
          <x14:formula1>
            <xm:f>Listas!$E$2:$E$52</xm:f>
          </x14:formula1>
          <xm:sqref>G2:G335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D5" sqref="D5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2" t="s">
        <v>127</v>
      </c>
      <c r="B1" s="32" t="s">
        <v>163</v>
      </c>
      <c r="C1" s="32" t="s">
        <v>165</v>
      </c>
      <c r="D1" s="32" t="s">
        <v>168</v>
      </c>
      <c r="E1" s="33" t="s">
        <v>164</v>
      </c>
    </row>
    <row r="2" spans="1:5" x14ac:dyDescent="0.3">
      <c r="A2" s="35" t="s">
        <v>36</v>
      </c>
      <c r="B2" s="36">
        <f>COUNTIF('Saldos Iniciales'!B:B,"*"&amp;A2&amp;"*")</f>
        <v>14</v>
      </c>
      <c r="C2" s="38">
        <f>SUMIF('Saldos Iniciales'!B:B,"*"&amp;A2&amp;"*",'Saldos Iniciales'!D:D)</f>
        <v>416678.25999999989</v>
      </c>
      <c r="D2" s="38">
        <f>SUMIF(tblMovimientos[Banco],"*"&amp;A2&amp;"*",tblMovimientos[Monto con signo])</f>
        <v>319176.10000000009</v>
      </c>
      <c r="E2" s="41">
        <f>C2+D2</f>
        <v>735854.36</v>
      </c>
    </row>
    <row r="3" spans="1:5" x14ac:dyDescent="0.3">
      <c r="A3" s="35" t="s">
        <v>166</v>
      </c>
      <c r="B3" s="36">
        <f>COUNTIF('Saldos Iniciales'!B:B,"*"&amp;A3&amp;"*")</f>
        <v>11</v>
      </c>
      <c r="C3" s="38">
        <f>SUMIF('Saldos Iniciales'!B:B,"*"&amp;A3&amp;"*",'Saldos Iniciales'!D:D)</f>
        <v>1162008.1799999997</v>
      </c>
      <c r="D3" s="38">
        <f>SUMIF(tblMovimientos[Banco],"*"&amp;A3&amp;"*",tblMovimientos[Monto con signo])</f>
        <v>3182761.5000000005</v>
      </c>
      <c r="E3" s="41">
        <f t="shared" ref="E3:E9" si="0">C3+D3</f>
        <v>4344769.68</v>
      </c>
    </row>
    <row r="4" spans="1:5" x14ac:dyDescent="0.3">
      <c r="A4" s="35" t="s">
        <v>152</v>
      </c>
      <c r="B4" s="36">
        <f>COUNTIF('Saldos Iniciales'!B:B,"*"&amp;A4&amp;"*")</f>
        <v>3</v>
      </c>
      <c r="C4" s="38">
        <f>SUMIF('Saldos Iniciales'!B:B,"*"&amp;A4&amp;"*",'Saldos Iniciales'!D:D)</f>
        <v>16509.96</v>
      </c>
      <c r="D4" s="38">
        <f>SUMIF(tblMovimientos[Banco],"*"&amp;A4&amp;"*",tblMovimientos[Monto con signo])</f>
        <v>-127.72999999999999</v>
      </c>
      <c r="E4" s="41">
        <f t="shared" si="0"/>
        <v>16382.23</v>
      </c>
    </row>
    <row r="5" spans="1:5" x14ac:dyDescent="0.3">
      <c r="A5" s="35" t="s">
        <v>153</v>
      </c>
      <c r="B5" s="36">
        <f>COUNTIF('Saldos Iniciales'!B:B,"*"&amp;A5&amp;"*")</f>
        <v>1</v>
      </c>
      <c r="C5" s="38">
        <f>SUMIF('Saldos Iniciales'!B:B,"*"&amp;A5&amp;"*",'Saldos Iniciales'!D:D)</f>
        <v>57206.89</v>
      </c>
      <c r="D5" s="38">
        <f>SUMIF(tblMovimientos[Banco],"*"&amp;A5&amp;"*",tblMovimientos[Monto con signo])</f>
        <v>0</v>
      </c>
      <c r="E5" s="41">
        <f t="shared" si="0"/>
        <v>57206.89</v>
      </c>
    </row>
    <row r="6" spans="1:5" x14ac:dyDescent="0.3">
      <c r="A6" s="35" t="s">
        <v>154</v>
      </c>
      <c r="B6" s="36">
        <f>COUNTIF('Saldos Iniciales'!B:B,"*"&amp;A6&amp;"*")</f>
        <v>1</v>
      </c>
      <c r="C6" s="38">
        <f>SUMIF('Saldos Iniciales'!B:B,"*"&amp;A6&amp;"*",'Saldos Iniciales'!D:D)</f>
        <v>808.82999999999993</v>
      </c>
      <c r="D6" s="38">
        <f>SUMIF(tblMovimientos[Banco],"*"&amp;A6&amp;"*",tblMovimientos[Monto con signo])</f>
        <v>419.13999999999987</v>
      </c>
      <c r="E6" s="41">
        <f t="shared" si="0"/>
        <v>1227.9699999999998</v>
      </c>
    </row>
    <row r="7" spans="1:5" x14ac:dyDescent="0.3">
      <c r="A7" s="35" t="s">
        <v>155</v>
      </c>
      <c r="B7" s="36">
        <f>COUNTIF('Saldos Iniciales'!B:B,"*"&amp;A7&amp;"*")</f>
        <v>1</v>
      </c>
      <c r="C7" s="38">
        <f>SUMIF('Saldos Iniciales'!B:B,"*"&amp;A7&amp;"*",'Saldos Iniciales'!D:D)</f>
        <v>3364.94</v>
      </c>
      <c r="D7" s="38">
        <f>SUMIF(tblMovimientos[Banco],"*"&amp;A7&amp;"*",tblMovimientos[Monto con signo])</f>
        <v>-15</v>
      </c>
      <c r="E7" s="41">
        <f t="shared" si="0"/>
        <v>3349.94</v>
      </c>
    </row>
    <row r="8" spans="1:5" x14ac:dyDescent="0.3">
      <c r="A8" s="35" t="s">
        <v>156</v>
      </c>
      <c r="B8" s="36">
        <f>COUNTIF('Saldos Iniciales'!B:B,"*"&amp;A8&amp;"*")</f>
        <v>1</v>
      </c>
      <c r="C8" s="38">
        <f>SUMIF('Saldos Iniciales'!B:B,"*"&amp;A8&amp;"*",'Saldos Iniciales'!D:D)</f>
        <v>0</v>
      </c>
      <c r="D8" s="38">
        <f>SUMIF(tblMovimientos[Banco],"*"&amp;A8&amp;"*",tblMovimientos[Monto con signo])</f>
        <v>0</v>
      </c>
      <c r="E8" s="41">
        <f t="shared" si="0"/>
        <v>0</v>
      </c>
    </row>
    <row r="9" spans="1:5" x14ac:dyDescent="0.3">
      <c r="A9" s="34" t="s">
        <v>167</v>
      </c>
      <c r="B9" s="37">
        <f>COUNTIF('Saldos Iniciales'!B:B,"*"&amp;A9&amp;"*")</f>
        <v>1</v>
      </c>
      <c r="C9" s="39">
        <f>SUMIF('Saldos Iniciales'!B:B,"*"&amp;A9&amp;"*",'Saldos Iniciales'!D:D)</f>
        <v>0</v>
      </c>
      <c r="D9" s="38">
        <f>SUMIF(tblMovimientos[Banco],"*"&amp;A9&amp;"*",tblMovimientos[Monto con signo])</f>
        <v>0</v>
      </c>
      <c r="E9" s="41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H2" activePane="bottomRight" state="frozen"/>
      <selection pane="topRight" activeCell="C1" sqref="C1"/>
      <selection pane="bottomLeft" activeCell="A5" sqref="A5"/>
      <selection pane="bottomRight" activeCell="J11" sqref="J11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16.5546875" customWidth="1"/>
    <col min="5" max="5" width="14.44140625" hidden="1" customWidth="1" outlineLevel="1"/>
    <col min="6" max="7" width="14.21875" hidden="1" customWidth="1" outlineLevel="1"/>
    <col min="8" max="8" width="17.88671875" bestFit="1" customWidth="1" collapsed="1"/>
    <col min="9" max="9" width="17.21875" bestFit="1" customWidth="1"/>
    <col min="10" max="10" width="14.6640625" customWidth="1"/>
    <col min="11" max="11" width="13.33203125" bestFit="1" customWidth="1"/>
    <col min="12" max="12" width="14.21875" bestFit="1" customWidth="1"/>
    <col min="13" max="13" width="15.6640625" bestFit="1" customWidth="1"/>
    <col min="14" max="14" width="16.5546875" bestFit="1" customWidth="1"/>
    <col min="15" max="15" width="13.6640625" bestFit="1" customWidth="1"/>
    <col min="16" max="16" width="13.33203125" bestFit="1" customWidth="1"/>
    <col min="17" max="17" width="14.21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8">
        <v>994464.58000000007</v>
      </c>
      <c r="F2" s="48">
        <v>933664.04999999993</v>
      </c>
      <c r="G2" s="17">
        <v>60800.530000000144</v>
      </c>
      <c r="H2" s="12">
        <f>D2+E2-F2</f>
        <v>193489.58000000019</v>
      </c>
      <c r="I2" s="5">
        <f>H2</f>
        <v>193489.58000000019</v>
      </c>
      <c r="J2" s="48">
        <f>SUMIFS(Movimientos!$J$1:$J$335,Movimientos!$C$1:$C$335,$B2,Movimientos!$D$1:$D$335,$C2,Movimientos!$L$1:$L$335,A$3,Movimientos!$F$1:$F$335,"Ingreso")</f>
        <v>300351.81</v>
      </c>
      <c r="K2" s="48">
        <f>SUMIFS(Movimientos!$J$1:$J$335,Movimientos!$C$1:$C$335,$B2,Movimientos!$D$1:$D$335,$C2,Movimientos!$L$1:$L$335,A$3,Movimientos!$F$1:$F$335,"Egreso")</f>
        <v>482000</v>
      </c>
      <c r="L2" s="7">
        <f>+J2-K2</f>
        <v>-181648.19</v>
      </c>
      <c r="M2" s="12">
        <f>I2+J2-K2</f>
        <v>11841.390000000189</v>
      </c>
      <c r="N2" s="5">
        <f>M2</f>
        <v>11841.390000000189</v>
      </c>
      <c r="O2" s="48">
        <f>SUMIFS(Movimientos!$J$1:$J$335,Movimientos!$C$1:$C$335,$B2,Movimientos!$D$1:$D$335,$C2,Movimientos!$L$1:$L$335,A$4,Movimientos!$F$1:$F$335,"Ingreso")</f>
        <v>0</v>
      </c>
      <c r="P2" s="48">
        <f>SUMIFS(Movimientos!$J$1:$J$335,Movimientos!$C$1:$C$335,$B2,Movimientos!$D$1:$D$335,$C2,Movimientos!$L$1:$L$335,A$4,Movimientos!$F$1:$F$335,"Egreso")</f>
        <v>0</v>
      </c>
      <c r="Q2" s="7">
        <f>+O2-P2</f>
        <v>0</v>
      </c>
      <c r="R2" s="12">
        <f>N2+O2-P2</f>
        <v>11841.390000000189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8">
        <v>2605274</v>
      </c>
      <c r="F3" s="48">
        <v>1883425.0000000002</v>
      </c>
      <c r="G3" s="17">
        <v>721848.99999999977</v>
      </c>
      <c r="H3" s="12">
        <f>D3+E3-F3</f>
        <v>784648.53</v>
      </c>
      <c r="I3" s="5">
        <f>H3</f>
        <v>784648.53</v>
      </c>
      <c r="J3" s="48">
        <f>SUMIFS(Movimientos!$J$1:$J$335,Movimientos!$C$1:$C$335,$B3,Movimientos!$D$1:$D$335,$C3,Movimientos!$L$1:$L$335,A$3,Movimientos!$F$1:$F$335,"Ingreso")</f>
        <v>1710000</v>
      </c>
      <c r="K3" s="48">
        <f>SUMIFS(Movimientos!$J$1:$J$335,Movimientos!$C$1:$C$335,$B3,Movimientos!$D$1:$D$335,$C3,Movimientos!$L$1:$L$335,A$3,Movimientos!$F$1:$F$335,"Egreso")</f>
        <v>1525770.0100000002</v>
      </c>
      <c r="L3" s="7">
        <f t="shared" ref="L3:L34" si="0">+J3-K3</f>
        <v>184229.98999999976</v>
      </c>
      <c r="M3" s="12">
        <f>I3+J3-K3</f>
        <v>968878.52</v>
      </c>
      <c r="N3" s="5">
        <f>M3</f>
        <v>968878.52</v>
      </c>
      <c r="O3" s="48">
        <f>SUMIFS(Movimientos!$J$1:$J$335,Movimientos!$C$1:$C$335,$B3,Movimientos!$D$1:$D$335,$C3,Movimientos!$L$1:$L$335,A$4,Movimientos!$F$1:$F$335,"Ingreso")</f>
        <v>0</v>
      </c>
      <c r="P3" s="48">
        <f>SUMIFS(Movimientos!$J$1:$J$335,Movimientos!$C$1:$C$335,$B3,Movimientos!$D$1:$D$335,$C3,Movimientos!$L$1:$L$335,A$4,Movimientos!$F$1:$F$335,"Egreso")</f>
        <v>0</v>
      </c>
      <c r="Q3" s="7">
        <f t="shared" ref="Q3:Q34" si="1">+O3-P3</f>
        <v>0</v>
      </c>
      <c r="R3" s="12">
        <f>N3+O3-P3</f>
        <v>968878.52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8">
        <v>0</v>
      </c>
      <c r="F4" s="48">
        <v>18.82</v>
      </c>
      <c r="G4" s="17">
        <v>-18.82</v>
      </c>
      <c r="H4" s="12">
        <f>D4+E4-F4</f>
        <v>5256.0300000000007</v>
      </c>
      <c r="I4" s="5">
        <f>H4</f>
        <v>5256.0300000000007</v>
      </c>
      <c r="J4" s="48">
        <f>SUMIFS(Movimientos!$J$1:$J$335,Movimientos!$C$1:$C$335,$B4,Movimientos!$D$1:$D$335,$C4,Movimientos!$L$1:$L$335,A$3,Movimientos!$F$1:$F$335,"Ingreso")</f>
        <v>0</v>
      </c>
      <c r="K4" s="48">
        <f>SUMIFS(Movimientos!$J$1:$J$335,Movimientos!$C$1:$C$335,$B4,Movimientos!$D$1:$D$335,$C4,Movimientos!$L$1:$L$335,A$3,Movimientos!$F$1:$F$335,"Egreso")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8">
        <f>SUMIFS(Movimientos!$J$1:$J$335,Movimientos!$C$1:$C$335,$B4,Movimientos!$D$1:$D$335,$C4,Movimientos!$L$1:$L$335,A$4,Movimientos!$F$1:$F$335,"Ingreso")</f>
        <v>0</v>
      </c>
      <c r="P4" s="48">
        <f>SUMIFS(Movimientos!$J$1:$J$335,Movimientos!$C$1:$C$335,$B4,Movimientos!$D$1:$D$335,$C4,Movimientos!$L$1:$L$335,A$4,Movimientos!$F$1:$F$335,"Egreso")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8">
        <v>1787857.7400000002</v>
      </c>
      <c r="F5" s="48">
        <v>1770000</v>
      </c>
      <c r="G5" s="17">
        <v>17857.740000000224</v>
      </c>
      <c r="H5" s="12">
        <f>D5+E5-F5</f>
        <v>57397.280000000261</v>
      </c>
      <c r="I5" s="5">
        <f>H5</f>
        <v>57397.280000000261</v>
      </c>
      <c r="J5" s="48">
        <f>SUMIFS(Movimientos!$J$1:$J$335,Movimientos!$C$1:$C$335,$B5,Movimientos!$D$1:$D$335,$C5,Movimientos!$L$1:$L$335,A$3,Movimientos!$F$1:$F$335,"Ingreso")</f>
        <v>6979.11</v>
      </c>
      <c r="K5" s="48">
        <f>SUMIFS(Movimientos!$J$1:$J$335,Movimientos!$C$1:$C$335,$B5,Movimientos!$D$1:$D$335,$C5,Movimientos!$L$1:$L$335,A$3,Movimientos!$F$1:$F$335,"Egreso")</f>
        <v>0</v>
      </c>
      <c r="L5" s="7">
        <f t="shared" si="0"/>
        <v>6979.11</v>
      </c>
      <c r="M5" s="12">
        <f>I5+J5-K5</f>
        <v>64376.390000000261</v>
      </c>
      <c r="N5" s="5">
        <f>M5</f>
        <v>64376.390000000261</v>
      </c>
      <c r="O5" s="48">
        <f>SUMIFS(Movimientos!$J$1:$J$335,Movimientos!$C$1:$C$335,$B5,Movimientos!$D$1:$D$335,$C5,Movimientos!$L$1:$L$335,A$4,Movimientos!$F$1:$F$335,"Ingreso")</f>
        <v>0</v>
      </c>
      <c r="P5" s="48">
        <f>SUMIFS(Movimientos!$J$1:$J$335,Movimientos!$C$1:$C$335,$B5,Movimientos!$D$1:$D$335,$C5,Movimientos!$L$1:$L$335,A$4,Movimientos!$F$1:$F$335,"Egreso")</f>
        <v>0</v>
      </c>
      <c r="Q5" s="7">
        <f t="shared" si="1"/>
        <v>0</v>
      </c>
      <c r="R5" s="12">
        <f>N5+O5-P5</f>
        <v>64376.390000000261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8">
        <v>0</v>
      </c>
      <c r="F6" s="48">
        <v>0</v>
      </c>
      <c r="G6" s="17">
        <v>0</v>
      </c>
      <c r="H6" s="12">
        <f>D6+E6-F6</f>
        <v>5000</v>
      </c>
      <c r="I6" s="5">
        <f>H6</f>
        <v>5000</v>
      </c>
      <c r="J6" s="48">
        <f>SUMIFS(Movimientos!$J$1:$J$335,Movimientos!$C$1:$C$335,$B6,Movimientos!$D$1:$D$335,$C6,Movimientos!$L$1:$L$335,A$3,Movimientos!$F$1:$F$335,"Ingreso")</f>
        <v>0</v>
      </c>
      <c r="K6" s="48">
        <f>SUMIFS(Movimientos!$J$1:$J$335,Movimientos!$C$1:$C$335,$B6,Movimientos!$D$1:$D$335,$C6,Movimientos!$L$1:$L$335,A$3,Movimientos!$F$1:$F$335,"Egreso")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8">
        <f>SUMIFS(Movimientos!$J$1:$J$335,Movimientos!$C$1:$C$335,$B6,Movimientos!$D$1:$D$335,$C6,Movimientos!$L$1:$L$335,A$4,Movimientos!$F$1:$F$335,"Ingreso")</f>
        <v>0</v>
      </c>
      <c r="P6" s="48">
        <f>SUMIFS(Movimientos!$J$1:$J$335,Movimientos!$C$1:$C$335,$B6,Movimientos!$D$1:$D$335,$C6,Movimientos!$L$1:$L$335,A$4,Movimientos!$F$1:$F$335,"Egreso")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8">
        <v>0</v>
      </c>
      <c r="F7" s="48">
        <v>0</v>
      </c>
      <c r="G7" s="17">
        <v>0</v>
      </c>
      <c r="H7" s="12">
        <f t="shared" ref="H7:H34" si="2">D7+E7-F7</f>
        <v>1669.89</v>
      </c>
      <c r="I7" s="5">
        <f t="shared" ref="I7:I34" si="3">H7</f>
        <v>1669.89</v>
      </c>
      <c r="J7" s="48">
        <f>SUMIFS(Movimientos!$J$1:$J$335,Movimientos!$C$1:$C$335,$B7,Movimientos!$D$1:$D$335,$C7,Movimientos!$L$1:$L$335,A$3,Movimientos!$F$1:$F$335,"Ingreso")</f>
        <v>0</v>
      </c>
      <c r="K7" s="48">
        <f>SUMIFS(Movimientos!$J$1:$J$335,Movimientos!$C$1:$C$335,$B7,Movimientos!$D$1:$D$335,$C7,Movimientos!$L$1:$L$335,A$3,Movimientos!$F$1:$F$335,"Egreso")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8">
        <f>SUMIFS(Movimientos!$J$1:$J$335,Movimientos!$C$1:$C$335,$B7,Movimientos!$D$1:$D$335,$C7,Movimientos!$L$1:$L$335,A$4,Movimientos!$F$1:$F$335,"Ingreso")</f>
        <v>0</v>
      </c>
      <c r="P7" s="48">
        <f>SUMIFS(Movimientos!$J$1:$J$335,Movimientos!$C$1:$C$335,$B7,Movimientos!$D$1:$D$335,$C7,Movimientos!$L$1:$L$335,A$4,Movimientos!$F$1:$F$335,"Egreso")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8">
        <v>2810870.3299999996</v>
      </c>
      <c r="F8" s="48">
        <v>2563105.7999999998</v>
      </c>
      <c r="G8" s="17">
        <v>247764.5299999998</v>
      </c>
      <c r="H8" s="12">
        <f t="shared" si="2"/>
        <v>424853.11999999965</v>
      </c>
      <c r="I8" s="5">
        <f t="shared" si="3"/>
        <v>424853.11999999965</v>
      </c>
      <c r="J8" s="48">
        <f>SUMIFS(Movimientos!$J$1:$J$335,Movimientos!$C$1:$C$335,$B8,Movimientos!$D$1:$D$335,$C8,Movimientos!$L$1:$L$335,A$3,Movimientos!$F$1:$F$335,"Ingreso")</f>
        <v>394761.57</v>
      </c>
      <c r="K8" s="48">
        <f>SUMIFS(Movimientos!$J$1:$J$335,Movimientos!$C$1:$C$335,$B8,Movimientos!$D$1:$D$335,$C8,Movimientos!$L$1:$L$335,A$3,Movimientos!$F$1:$F$335,"Egreso")</f>
        <v>315709.88</v>
      </c>
      <c r="L8" s="7">
        <f t="shared" si="0"/>
        <v>79051.69</v>
      </c>
      <c r="M8" s="12">
        <f t="shared" si="4"/>
        <v>503904.80999999971</v>
      </c>
      <c r="N8" s="5">
        <f t="shared" si="5"/>
        <v>503904.80999999971</v>
      </c>
      <c r="O8" s="48">
        <f>SUMIFS(Movimientos!$J$1:$J$335,Movimientos!$C$1:$C$335,$B8,Movimientos!$D$1:$D$335,$C8,Movimientos!$L$1:$L$335,A$4,Movimientos!$F$1:$F$335,"Ingreso")</f>
        <v>0</v>
      </c>
      <c r="P8" s="48">
        <f>SUMIFS(Movimientos!$J$1:$J$335,Movimientos!$C$1:$C$335,$B8,Movimientos!$D$1:$D$335,$C8,Movimientos!$L$1:$L$335,A$4,Movimientos!$F$1:$F$335,"Egreso")</f>
        <v>0</v>
      </c>
      <c r="Q8" s="7">
        <f t="shared" si="1"/>
        <v>0</v>
      </c>
      <c r="R8" s="12">
        <f t="shared" si="6"/>
        <v>503904.80999999971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8">
        <v>15321.74</v>
      </c>
      <c r="F9" s="48">
        <v>16857.71</v>
      </c>
      <c r="G9" s="17">
        <v>-1535.9699999999993</v>
      </c>
      <c r="H9" s="12">
        <f t="shared" si="2"/>
        <v>10843.21</v>
      </c>
      <c r="I9" s="5">
        <f t="shared" si="3"/>
        <v>10843.21</v>
      </c>
      <c r="J9" s="48">
        <f>SUMIFS(Movimientos!$J$1:$J$335,Movimientos!$C$1:$C$335,$B9,Movimientos!$D$1:$D$335,$C9,Movimientos!$L$1:$L$335,A$3,Movimientos!$F$1:$F$335,"Ingreso")</f>
        <v>15307.88</v>
      </c>
      <c r="K9" s="48">
        <f>SUMIFS(Movimientos!$J$1:$J$335,Movimientos!$C$1:$C$335,$B9,Movimientos!$D$1:$D$335,$C9,Movimientos!$L$1:$L$335,A$3,Movimientos!$F$1:$F$335,"Egreso")</f>
        <v>11189.21</v>
      </c>
      <c r="L9" s="7">
        <f t="shared" si="0"/>
        <v>4118.67</v>
      </c>
      <c r="M9" s="12">
        <f t="shared" si="4"/>
        <v>14961.879999999997</v>
      </c>
      <c r="N9" s="5">
        <f t="shared" si="5"/>
        <v>14961.879999999997</v>
      </c>
      <c r="O9" s="48">
        <f>SUMIFS(Movimientos!$J$1:$J$335,Movimientos!$C$1:$C$335,$B9,Movimientos!$D$1:$D$335,$C9,Movimientos!$L$1:$L$335,A$4,Movimientos!$F$1:$F$335,"Ingreso")</f>
        <v>0</v>
      </c>
      <c r="P9" s="48">
        <f>SUMIFS(Movimientos!$J$1:$J$335,Movimientos!$C$1:$C$335,$B9,Movimientos!$D$1:$D$335,$C9,Movimientos!$L$1:$L$335,A$4,Movimientos!$F$1:$F$335,"Egreso")</f>
        <v>0</v>
      </c>
      <c r="Q9" s="7">
        <f t="shared" si="1"/>
        <v>0</v>
      </c>
      <c r="R9" s="12">
        <f t="shared" si="6"/>
        <v>14961.879999999997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8">
        <v>0</v>
      </c>
      <c r="F10" s="48">
        <v>196.07</v>
      </c>
      <c r="G10" s="17">
        <v>-196.07</v>
      </c>
      <c r="H10" s="12">
        <f t="shared" si="2"/>
        <v>563</v>
      </c>
      <c r="I10" s="5">
        <f t="shared" si="3"/>
        <v>563</v>
      </c>
      <c r="J10" s="48">
        <f>SUMIFS(Movimientos!$J$1:$J$335,Movimientos!$C$1:$C$335,$B10,Movimientos!$D$1:$D$335,$C10,Movimientos!$L$1:$L$335,A$3,Movimientos!$F$1:$F$335,"Ingreso")</f>
        <v>0</v>
      </c>
      <c r="K10" s="48">
        <f>SUMIFS(Movimientos!$J$1:$J$335,Movimientos!$C$1:$C$335,$B10,Movimientos!$D$1:$D$335,$C10,Movimientos!$L$1:$L$335,A$3,Movimientos!$F$1:$F$335,"Egreso")</f>
        <v>29.42</v>
      </c>
      <c r="L10" s="7">
        <f t="shared" si="0"/>
        <v>-29.42</v>
      </c>
      <c r="M10" s="12">
        <f t="shared" si="4"/>
        <v>533.58000000000004</v>
      </c>
      <c r="N10" s="5">
        <f t="shared" si="5"/>
        <v>533.58000000000004</v>
      </c>
      <c r="O10" s="48">
        <f>SUMIFS(Movimientos!$J$1:$J$335,Movimientos!$C$1:$C$335,$B10,Movimientos!$D$1:$D$335,$C10,Movimientos!$L$1:$L$335,A$4,Movimientos!$F$1:$F$335,"Ingreso")</f>
        <v>0</v>
      </c>
      <c r="P10" s="48">
        <f>SUMIFS(Movimientos!$J$1:$J$335,Movimientos!$C$1:$C$335,$B10,Movimientos!$D$1:$D$335,$C10,Movimientos!$L$1:$L$335,A$4,Movimientos!$F$1:$F$335,"Egreso")</f>
        <v>0</v>
      </c>
      <c r="Q10" s="7">
        <f t="shared" si="1"/>
        <v>0</v>
      </c>
      <c r="R10" s="12">
        <f t="shared" si="6"/>
        <v>533.58000000000004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8">
        <v>0</v>
      </c>
      <c r="F11" s="48">
        <v>0</v>
      </c>
      <c r="G11" s="17">
        <v>0</v>
      </c>
      <c r="H11" s="12">
        <f t="shared" si="2"/>
        <v>0</v>
      </c>
      <c r="I11" s="5">
        <f t="shared" si="3"/>
        <v>0</v>
      </c>
      <c r="J11" s="48">
        <f>SUMIFS(Movimientos!$J$1:$J$335,Movimientos!$C$1:$C$335,$B11,Movimientos!$D$1:$D$335,$C11,Movimientos!$L$1:$L$335,A$3,Movimientos!$F$1:$F$335,"Ingreso")</f>
        <v>0</v>
      </c>
      <c r="K11" s="48">
        <f>SUMIFS(Movimientos!$J$1:$J$335,Movimientos!$C$1:$C$335,$B11,Movimientos!$D$1:$D$335,$C11,Movimientos!$L$1:$L$335,A$3,Movimientos!$F$1:$F$335,"Egreso")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8">
        <f>SUMIFS(Movimientos!$J$1:$J$335,Movimientos!$C$1:$C$335,$B11,Movimientos!$D$1:$D$335,$C11,Movimientos!$L$1:$L$335,A$4,Movimientos!$F$1:$F$335,"Ingreso")</f>
        <v>0</v>
      </c>
      <c r="P11" s="48">
        <f>SUMIFS(Movimientos!$J$1:$J$335,Movimientos!$C$1:$C$335,$B11,Movimientos!$D$1:$D$335,$C11,Movimientos!$L$1:$L$335,A$4,Movimientos!$F$1:$F$335,"Egreso")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8">
        <v>1689975</v>
      </c>
      <c r="F12" s="48">
        <v>1664911.5100000002</v>
      </c>
      <c r="G12" s="17">
        <v>25063.489999999758</v>
      </c>
      <c r="H12" s="12">
        <f t="shared" si="2"/>
        <v>244921.30999999912</v>
      </c>
      <c r="I12" s="5">
        <f t="shared" si="3"/>
        <v>244921.30999999912</v>
      </c>
      <c r="J12" s="48">
        <f>SUMIFS(Movimientos!$J$1:$J$335,Movimientos!$C$1:$C$335,$B12,Movimientos!$D$1:$D$335,$C12,Movimientos!$L$1:$L$335,A$3,Movimientos!$F$1:$F$335,"Ingreso")</f>
        <v>3120000</v>
      </c>
      <c r="K12" s="48">
        <f>SUMIFS(Movimientos!$J$1:$J$335,Movimientos!$C$1:$C$335,$B12,Movimientos!$D$1:$D$335,$C12,Movimientos!$L$1:$L$335,A$3,Movimientos!$F$1:$F$335,"Egreso")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8">
        <f>SUMIFS(Movimientos!$J$1:$J$335,Movimientos!$C$1:$C$335,$B12,Movimientos!$D$1:$D$335,$C12,Movimientos!$L$1:$L$335,A$4,Movimientos!$F$1:$F$335,"Ingreso")</f>
        <v>0</v>
      </c>
      <c r="P12" s="48">
        <f>SUMIFS(Movimientos!$J$1:$J$335,Movimientos!$C$1:$C$335,$B12,Movimientos!$D$1:$D$335,$C12,Movimientos!$L$1:$L$335,A$4,Movimientos!$F$1:$F$335,"Egreso")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8">
        <v>0</v>
      </c>
      <c r="F13" s="48">
        <v>108.91</v>
      </c>
      <c r="G13" s="17">
        <v>-108.91</v>
      </c>
      <c r="H13" s="12">
        <f t="shared" si="2"/>
        <v>4761.2</v>
      </c>
      <c r="I13" s="5">
        <f t="shared" si="3"/>
        <v>4761.2</v>
      </c>
      <c r="J13" s="48">
        <f>SUMIFS(Movimientos!$J$1:$J$335,Movimientos!$C$1:$C$335,$B13,Movimientos!$D$1:$D$335,$C13,Movimientos!$L$1:$L$335,A$3,Movimientos!$F$1:$F$335,"Ingreso")</f>
        <v>0</v>
      </c>
      <c r="K13" s="48">
        <f>SUMIFS(Movimientos!$J$1:$J$335,Movimientos!$C$1:$C$335,$B13,Movimientos!$D$1:$D$335,$C13,Movimientos!$L$1:$L$335,A$3,Movimientos!$F$1:$F$335,"Egreso")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8">
        <f>SUMIFS(Movimientos!$J$1:$J$335,Movimientos!$C$1:$C$335,$B13,Movimientos!$D$1:$D$335,$C13,Movimientos!$L$1:$L$335,A$4,Movimientos!$F$1:$F$335,"Ingreso")</f>
        <v>0</v>
      </c>
      <c r="P13" s="48">
        <f>SUMIFS(Movimientos!$J$1:$J$335,Movimientos!$C$1:$C$335,$B13,Movimientos!$D$1:$D$335,$C13,Movimientos!$L$1:$L$335,A$4,Movimientos!$F$1:$F$335,"Egreso")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8">
        <v>2291.75</v>
      </c>
      <c r="F14" s="48">
        <v>0</v>
      </c>
      <c r="G14" s="17">
        <v>2291.75</v>
      </c>
      <c r="H14" s="12">
        <f t="shared" si="2"/>
        <v>749812.95</v>
      </c>
      <c r="I14" s="5">
        <f t="shared" si="3"/>
        <v>749812.95</v>
      </c>
      <c r="J14" s="48">
        <f>SUMIFS(Movimientos!$J$1:$J$335,Movimientos!$C$1:$C$335,$B14,Movimientos!$D$1:$D$335,$C14,Movimientos!$L$1:$L$335,A$3,Movimientos!$F$1:$F$335,"Ingreso")</f>
        <v>0</v>
      </c>
      <c r="K14" s="48">
        <f>SUMIFS(Movimientos!$J$1:$J$335,Movimientos!$C$1:$C$335,$B14,Movimientos!$D$1:$D$335,$C14,Movimientos!$L$1:$L$335,A$3,Movimientos!$F$1:$F$335,"Egreso")</f>
        <v>0</v>
      </c>
      <c r="L14" s="7">
        <f t="shared" si="0"/>
        <v>0</v>
      </c>
      <c r="M14" s="12">
        <f t="shared" si="4"/>
        <v>749812.95</v>
      </c>
      <c r="N14" s="5">
        <f t="shared" si="5"/>
        <v>749812.95</v>
      </c>
      <c r="O14" s="48">
        <f>SUMIFS(Movimientos!$J$1:$J$335,Movimientos!$C$1:$C$335,$B14,Movimientos!$D$1:$D$335,$C14,Movimientos!$L$1:$L$335,A$4,Movimientos!$F$1:$F$335,"Ingreso")</f>
        <v>0</v>
      </c>
      <c r="P14" s="48">
        <f>SUMIFS(Movimientos!$J$1:$J$335,Movimientos!$C$1:$C$335,$B14,Movimientos!$D$1:$D$335,$C14,Movimientos!$L$1:$L$335,A$4,Movimientos!$F$1:$F$335,"Egreso")</f>
        <v>0</v>
      </c>
      <c r="Q14" s="7">
        <f t="shared" si="1"/>
        <v>0</v>
      </c>
      <c r="R14" s="12">
        <f t="shared" si="6"/>
        <v>749812.95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8">
        <v>0</v>
      </c>
      <c r="F15" s="48">
        <v>0</v>
      </c>
      <c r="G15" s="17">
        <v>0</v>
      </c>
      <c r="H15" s="12">
        <f t="shared" si="2"/>
        <v>5000</v>
      </c>
      <c r="I15" s="5">
        <f t="shared" si="3"/>
        <v>5000</v>
      </c>
      <c r="J15" s="48">
        <f>SUMIFS(Movimientos!$J$1:$J$335,Movimientos!$C$1:$C$335,$B15,Movimientos!$D$1:$D$335,$C15,Movimientos!$L$1:$L$335,A$3,Movimientos!$F$1:$F$335,"Ingreso")</f>
        <v>0</v>
      </c>
      <c r="K15" s="48">
        <f>SUMIFS(Movimientos!$J$1:$J$335,Movimientos!$C$1:$C$335,$B15,Movimientos!$D$1:$D$335,$C15,Movimientos!$L$1:$L$335,A$3,Movimientos!$F$1:$F$335,"Egreso")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8">
        <f>SUMIFS(Movimientos!$J$1:$J$335,Movimientos!$C$1:$C$335,$B15,Movimientos!$D$1:$D$335,$C15,Movimientos!$L$1:$L$335,A$4,Movimientos!$F$1:$F$335,"Ingreso")</f>
        <v>0</v>
      </c>
      <c r="P15" s="48">
        <f>SUMIFS(Movimientos!$J$1:$J$335,Movimientos!$C$1:$C$335,$B15,Movimientos!$D$1:$D$335,$C15,Movimientos!$L$1:$L$335,A$4,Movimientos!$F$1:$F$335,"Egreso")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8">
        <v>0</v>
      </c>
      <c r="F16" s="48">
        <v>0</v>
      </c>
      <c r="G16" s="17">
        <v>0</v>
      </c>
      <c r="H16" s="12">
        <f t="shared" si="2"/>
        <v>57206.89</v>
      </c>
      <c r="I16" s="5">
        <f t="shared" si="3"/>
        <v>57206.89</v>
      </c>
      <c r="J16" s="48">
        <f>SUMIFS(Movimientos!$J$1:$J$335,Movimientos!$C$1:$C$335,$B16,Movimientos!$D$1:$D$335,$C16,Movimientos!$L$1:$L$335,A$3,Movimientos!$F$1:$F$335,"Ingreso")</f>
        <v>0</v>
      </c>
      <c r="K16" s="48">
        <f>SUMIFS(Movimientos!$J$1:$J$335,Movimientos!$C$1:$C$335,$B16,Movimientos!$D$1:$D$335,$C16,Movimientos!$L$1:$L$335,A$3,Movimientos!$F$1:$F$335,"Egreso")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8">
        <f>SUMIFS(Movimientos!$J$1:$J$335,Movimientos!$C$1:$C$335,$B16,Movimientos!$D$1:$D$335,$C16,Movimientos!$L$1:$L$335,A$4,Movimientos!$F$1:$F$335,"Ingreso")</f>
        <v>0</v>
      </c>
      <c r="P16" s="48">
        <f>SUMIFS(Movimientos!$J$1:$J$335,Movimientos!$C$1:$C$335,$B16,Movimientos!$D$1:$D$335,$C16,Movimientos!$L$1:$L$335,A$4,Movimientos!$F$1:$F$335,"Egreso")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8">
        <v>0</v>
      </c>
      <c r="F17" s="48">
        <v>0</v>
      </c>
      <c r="G17" s="17">
        <v>0</v>
      </c>
      <c r="H17" s="12">
        <f t="shared" si="2"/>
        <v>6365</v>
      </c>
      <c r="I17" s="5">
        <f t="shared" si="3"/>
        <v>6365</v>
      </c>
      <c r="J17" s="48">
        <f>SUMIFS(Movimientos!$J$1:$J$335,Movimientos!$C$1:$C$335,$B17,Movimientos!$D$1:$D$335,$C17,Movimientos!$L$1:$L$335,A$3,Movimientos!$F$1:$F$335,"Ingreso")</f>
        <v>0</v>
      </c>
      <c r="K17" s="48">
        <f>SUMIFS(Movimientos!$J$1:$J$335,Movimientos!$C$1:$C$335,$B17,Movimientos!$D$1:$D$335,$C17,Movimientos!$L$1:$L$335,A$3,Movimientos!$F$1:$F$335,"Egreso")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8">
        <f>SUMIFS(Movimientos!$J$1:$J$335,Movimientos!$C$1:$C$335,$B17,Movimientos!$D$1:$D$335,$C17,Movimientos!$L$1:$L$335,A$4,Movimientos!$F$1:$F$335,"Ingreso")</f>
        <v>0</v>
      </c>
      <c r="P17" s="48">
        <f>SUMIFS(Movimientos!$J$1:$J$335,Movimientos!$C$1:$C$335,$B17,Movimientos!$D$1:$D$335,$C17,Movimientos!$L$1:$L$335,A$4,Movimientos!$F$1:$F$335,"Egreso")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8">
        <v>50000</v>
      </c>
      <c r="F18" s="48">
        <v>6015</v>
      </c>
      <c r="G18" s="17">
        <v>43985</v>
      </c>
      <c r="H18" s="12">
        <f t="shared" si="2"/>
        <v>57206.89</v>
      </c>
      <c r="I18" s="5">
        <f t="shared" si="3"/>
        <v>57206.89</v>
      </c>
      <c r="J18" s="48">
        <f>SUMIFS(Movimientos!$J$1:$J$335,Movimientos!$C$1:$C$335,$B18,Movimientos!$D$1:$D$335,$C18,Movimientos!$L$1:$L$335,A$3,Movimientos!$F$1:$F$335,"Ingreso")</f>
        <v>0</v>
      </c>
      <c r="K18" s="48">
        <f>SUMIFS(Movimientos!$J$1:$J$335,Movimientos!$C$1:$C$335,$B18,Movimientos!$D$1:$D$335,$C18,Movimientos!$L$1:$L$335,A$3,Movimientos!$F$1:$F$335,"Egreso")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8">
        <f>SUMIFS(Movimientos!$J$1:$J$335,Movimientos!$C$1:$C$335,$B18,Movimientos!$D$1:$D$335,$C18,Movimientos!$L$1:$L$335,A$4,Movimientos!$F$1:$F$335,"Ingreso")</f>
        <v>0</v>
      </c>
      <c r="P18" s="48">
        <f>SUMIFS(Movimientos!$J$1:$J$335,Movimientos!$C$1:$C$335,$B18,Movimientos!$D$1:$D$335,$C18,Movimientos!$L$1:$L$335,A$4,Movimientos!$F$1:$F$335,"Egreso")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8">
        <v>0</v>
      </c>
      <c r="F19" s="48">
        <v>55000</v>
      </c>
      <c r="G19" s="17">
        <v>-55000</v>
      </c>
      <c r="H19" s="12">
        <f t="shared" si="2"/>
        <v>10717.600000000006</v>
      </c>
      <c r="I19" s="5">
        <f t="shared" si="3"/>
        <v>10717.600000000006</v>
      </c>
      <c r="J19" s="48">
        <f>SUMIFS(Movimientos!$J$1:$J$335,Movimientos!$C$1:$C$335,$B19,Movimientos!$D$1:$D$335,$C19,Movimientos!$L$1:$L$335,A$3,Movimientos!$F$1:$F$335,"Ingreso")</f>
        <v>50000</v>
      </c>
      <c r="K19" s="48">
        <f>SUMIFS(Movimientos!$J$1:$J$335,Movimientos!$C$1:$C$335,$B19,Movimientos!$D$1:$D$335,$C19,Movimientos!$L$1:$L$335,A$3,Movimientos!$F$1:$F$335,"Egreso")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8">
        <f>SUMIFS(Movimientos!$J$1:$J$335,Movimientos!$C$1:$C$335,$B19,Movimientos!$D$1:$D$335,$C19,Movimientos!$L$1:$L$335,A$4,Movimientos!$F$1:$F$335,"Ingreso")</f>
        <v>0</v>
      </c>
      <c r="P19" s="48">
        <f>SUMIFS(Movimientos!$J$1:$J$335,Movimientos!$C$1:$C$335,$B19,Movimientos!$D$1:$D$335,$C19,Movimientos!$L$1:$L$335,A$4,Movimientos!$F$1:$F$335,"Egreso")</f>
        <v>0</v>
      </c>
      <c r="Q19" s="7">
        <f t="shared" si="1"/>
        <v>0</v>
      </c>
      <c r="R19" s="12">
        <f t="shared" si="6"/>
        <v>1717.6000000000058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8">
        <v>1575001.78</v>
      </c>
      <c r="F20" s="48">
        <v>1500000</v>
      </c>
      <c r="G20" s="17">
        <v>75001.780000000028</v>
      </c>
      <c r="H20" s="12">
        <f t="shared" si="2"/>
        <v>88090.370000000112</v>
      </c>
      <c r="I20" s="5">
        <f t="shared" si="3"/>
        <v>88090.370000000112</v>
      </c>
      <c r="J20" s="48">
        <f>SUMIFS(Movimientos!$J$1:$J$335,Movimientos!$C$1:$C$335,$B20,Movimientos!$D$1:$D$335,$C20,Movimientos!$L$1:$L$335,A$3,Movimientos!$F$1:$F$335,"Ingreso")</f>
        <v>0</v>
      </c>
      <c r="K20" s="48">
        <f>SUMIFS(Movimientos!$J$1:$J$335,Movimientos!$C$1:$C$335,$B20,Movimientos!$D$1:$D$335,$C20,Movimientos!$L$1:$L$335,A$3,Movimientos!$F$1:$F$335,"Egreso")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8">
        <f>SUMIFS(Movimientos!$J$1:$J$335,Movimientos!$C$1:$C$335,$B20,Movimientos!$D$1:$D$335,$C20,Movimientos!$L$1:$L$335,A$4,Movimientos!$F$1:$F$335,"Ingreso")</f>
        <v>0</v>
      </c>
      <c r="P20" s="48">
        <f>SUMIFS(Movimientos!$J$1:$J$335,Movimientos!$C$1:$C$335,$B20,Movimientos!$D$1:$D$335,$C20,Movimientos!$L$1:$L$335,A$4,Movimientos!$F$1:$F$335,"Egreso")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8">
        <v>3000</v>
      </c>
      <c r="F21" s="48">
        <v>2580.86</v>
      </c>
      <c r="G21" s="17">
        <v>419.13999999999987</v>
      </c>
      <c r="H21" s="12">
        <f t="shared" si="2"/>
        <v>1227.9699999999998</v>
      </c>
      <c r="I21" s="5">
        <f t="shared" si="3"/>
        <v>1227.9699999999998</v>
      </c>
      <c r="J21" s="48">
        <f>SUMIFS(Movimientos!$J$1:$J$335,Movimientos!$C$1:$C$335,$B21,Movimientos!$D$1:$D$335,$C21,Movimientos!$L$1:$L$335,A$3,Movimientos!$F$1:$F$335,"Ingreso")</f>
        <v>0</v>
      </c>
      <c r="K21" s="48">
        <f>SUMIFS(Movimientos!$J$1:$J$335,Movimientos!$C$1:$C$335,$B21,Movimientos!$D$1:$D$335,$C21,Movimientos!$L$1:$L$335,A$3,Movimientos!$F$1:$F$335,"Egreso")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8">
        <f>SUMIFS(Movimientos!$J$1:$J$335,Movimientos!$C$1:$C$335,$B21,Movimientos!$D$1:$D$335,$C21,Movimientos!$L$1:$L$335,A$4,Movimientos!$F$1:$F$335,"Ingreso")</f>
        <v>0</v>
      </c>
      <c r="P21" s="48">
        <f>SUMIFS(Movimientos!$J$1:$J$335,Movimientos!$C$1:$C$335,$B21,Movimientos!$D$1:$D$335,$C21,Movimientos!$L$1:$L$335,A$4,Movimientos!$F$1:$F$335,"Egreso")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8">
        <v>0</v>
      </c>
      <c r="F22" s="48">
        <v>29.95</v>
      </c>
      <c r="G22" s="17">
        <v>-29.95</v>
      </c>
      <c r="H22" s="12">
        <f t="shared" si="2"/>
        <v>114.3</v>
      </c>
      <c r="I22" s="5">
        <f t="shared" si="3"/>
        <v>114.3</v>
      </c>
      <c r="J22" s="48">
        <f>SUMIFS(Movimientos!$J$1:$J$335,Movimientos!$C$1:$C$335,$B22,Movimientos!$D$1:$D$335,$C22,Movimientos!$L$1:$L$335,A$3,Movimientos!$F$1:$F$335,"Ingreso")</f>
        <v>0</v>
      </c>
      <c r="K22" s="48">
        <f>SUMIFS(Movimientos!$J$1:$J$335,Movimientos!$C$1:$C$335,$B22,Movimientos!$D$1:$D$335,$C22,Movimientos!$L$1:$L$335,A$3,Movimientos!$F$1:$F$335,"Egreso")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8">
        <f>SUMIFS(Movimientos!$J$1:$J$335,Movimientos!$C$1:$C$335,$B22,Movimientos!$D$1:$D$335,$C22,Movimientos!$L$1:$L$335,A$4,Movimientos!$F$1:$F$335,"Ingreso")</f>
        <v>0</v>
      </c>
      <c r="P22" s="48">
        <f>SUMIFS(Movimientos!$J$1:$J$335,Movimientos!$C$1:$C$335,$B22,Movimientos!$D$1:$D$335,$C22,Movimientos!$L$1:$L$335,A$4,Movimientos!$F$1:$F$335,"Egreso")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8">
        <v>0</v>
      </c>
      <c r="F23" s="48">
        <v>29.95</v>
      </c>
      <c r="G23" s="17">
        <v>-29.95</v>
      </c>
      <c r="H23" s="12">
        <f t="shared" si="2"/>
        <v>2267.7200000000003</v>
      </c>
      <c r="I23" s="5">
        <f t="shared" si="3"/>
        <v>2267.7200000000003</v>
      </c>
      <c r="J23" s="48">
        <f>SUMIFS(Movimientos!$J$1:$J$335,Movimientos!$C$1:$C$335,$B23,Movimientos!$D$1:$D$335,$C23,Movimientos!$L$1:$L$335,A$3,Movimientos!$F$1:$F$335,"Ingreso")</f>
        <v>0</v>
      </c>
      <c r="K23" s="48">
        <f>SUMIFS(Movimientos!$J$1:$J$335,Movimientos!$C$1:$C$335,$B23,Movimientos!$D$1:$D$335,$C23,Movimientos!$L$1:$L$335,A$3,Movimientos!$F$1:$F$335,"Egreso")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8">
        <f>SUMIFS(Movimientos!$J$1:$J$335,Movimientos!$C$1:$C$335,$B23,Movimientos!$D$1:$D$335,$C23,Movimientos!$L$1:$L$335,A$4,Movimientos!$F$1:$F$335,"Ingreso")</f>
        <v>0</v>
      </c>
      <c r="P23" s="48">
        <f>SUMIFS(Movimientos!$J$1:$J$335,Movimientos!$C$1:$C$335,$B23,Movimientos!$D$1:$D$335,$C23,Movimientos!$L$1:$L$335,A$4,Movimientos!$F$1:$F$335,"Egreso")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8">
        <v>0</v>
      </c>
      <c r="F24" s="48">
        <v>15</v>
      </c>
      <c r="G24" s="17">
        <v>-15</v>
      </c>
      <c r="H24" s="12">
        <f t="shared" si="2"/>
        <v>3349.94</v>
      </c>
      <c r="I24" s="5">
        <f t="shared" si="3"/>
        <v>3349.94</v>
      </c>
      <c r="J24" s="48">
        <f>SUMIFS(Movimientos!$J$1:$J$335,Movimientos!$C$1:$C$335,$B24,Movimientos!$D$1:$D$335,$C24,Movimientos!$L$1:$L$335,A$3,Movimientos!$F$1:$F$335,"Ingreso")</f>
        <v>0</v>
      </c>
      <c r="K24" s="48">
        <f>SUMIFS(Movimientos!$J$1:$J$335,Movimientos!$C$1:$C$335,$B24,Movimientos!$D$1:$D$335,$C24,Movimientos!$L$1:$L$335,A$3,Movimientos!$F$1:$F$335,"Egreso")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8">
        <f>SUMIFS(Movimientos!$J$1:$J$335,Movimientos!$C$1:$C$335,$B24,Movimientos!$D$1:$D$335,$C24,Movimientos!$L$1:$L$335,A$4,Movimientos!$F$1:$F$335,"Ingreso")</f>
        <v>0</v>
      </c>
      <c r="P24" s="48">
        <f>SUMIFS(Movimientos!$J$1:$J$335,Movimientos!$C$1:$C$335,$B24,Movimientos!$D$1:$D$335,$C24,Movimientos!$L$1:$L$335,A$4,Movimientos!$F$1:$F$335,"Egreso")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8">
        <v>0</v>
      </c>
      <c r="F25" s="48">
        <v>0</v>
      </c>
      <c r="G25" s="17">
        <v>0</v>
      </c>
      <c r="H25" s="12">
        <f t="shared" si="2"/>
        <v>1968.99</v>
      </c>
      <c r="I25" s="5">
        <f t="shared" si="3"/>
        <v>1968.99</v>
      </c>
      <c r="J25" s="48">
        <f>SUMIFS(Movimientos!$J$1:$J$335,Movimientos!$C$1:$C$335,$B25,Movimientos!$D$1:$D$335,$C25,Movimientos!$L$1:$L$335,A$3,Movimientos!$F$1:$F$335,"Ingreso")</f>
        <v>0</v>
      </c>
      <c r="K25" s="48">
        <f>SUMIFS(Movimientos!$J$1:$J$335,Movimientos!$C$1:$C$335,$B25,Movimientos!$D$1:$D$335,$C25,Movimientos!$L$1:$L$335,A$3,Movimientos!$F$1:$F$335,"Egreso")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8">
        <f>SUMIFS(Movimientos!$J$1:$J$335,Movimientos!$C$1:$C$335,$B25,Movimientos!$D$1:$D$335,$C25,Movimientos!$L$1:$L$335,A$4,Movimientos!$F$1:$F$335,"Ingreso")</f>
        <v>0</v>
      </c>
      <c r="P25" s="48">
        <f>SUMIFS(Movimientos!$J$1:$J$335,Movimientos!$C$1:$C$335,$B25,Movimientos!$D$1:$D$335,$C25,Movimientos!$L$1:$L$335,A$4,Movimientos!$F$1:$F$335,"Egreso")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8">
        <v>0</v>
      </c>
      <c r="F26" s="48">
        <v>0</v>
      </c>
      <c r="G26" s="17">
        <v>0</v>
      </c>
      <c r="H26" s="12">
        <f t="shared" si="2"/>
        <v>0</v>
      </c>
      <c r="I26" s="5">
        <f t="shared" si="3"/>
        <v>0</v>
      </c>
      <c r="J26" s="48">
        <f>SUMIFS(Movimientos!$J$1:$J$335,Movimientos!$C$1:$C$335,$B26,Movimientos!$D$1:$D$335,$C26,Movimientos!$L$1:$L$335,A$3,Movimientos!$F$1:$F$335,"Ingreso")</f>
        <v>0</v>
      </c>
      <c r="K26" s="48">
        <f>SUMIFS(Movimientos!$J$1:$J$335,Movimientos!$C$1:$C$335,$B26,Movimientos!$D$1:$D$335,$C26,Movimientos!$L$1:$L$335,A$3,Movimientos!$F$1:$F$335,"Egreso")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8">
        <f>SUMIFS(Movimientos!$J$1:$J$335,Movimientos!$C$1:$C$335,$B26,Movimientos!$D$1:$D$335,$C26,Movimientos!$L$1:$L$335,A$4,Movimientos!$F$1:$F$335,"Ingreso")</f>
        <v>0</v>
      </c>
      <c r="P26" s="48">
        <f>SUMIFS(Movimientos!$J$1:$J$335,Movimientos!$C$1:$C$335,$B26,Movimientos!$D$1:$D$335,$C26,Movimientos!$L$1:$L$335,A$4,Movimientos!$F$1:$F$335,"Egreso")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8">
        <v>0</v>
      </c>
      <c r="F27" s="48">
        <v>0</v>
      </c>
      <c r="G27" s="17">
        <v>0</v>
      </c>
      <c r="H27" s="12">
        <f t="shared" si="2"/>
        <v>901.34</v>
      </c>
      <c r="I27" s="5">
        <f t="shared" si="3"/>
        <v>901.34</v>
      </c>
      <c r="J27" s="48">
        <f>SUMIFS(Movimientos!$J$1:$J$335,Movimientos!$C$1:$C$335,$B27,Movimientos!$D$1:$D$335,$C27,Movimientos!$L$1:$L$335,A$3,Movimientos!$F$1:$F$335,"Ingreso")</f>
        <v>0</v>
      </c>
      <c r="K27" s="48">
        <f>SUMIFS(Movimientos!$J$1:$J$335,Movimientos!$C$1:$C$335,$B27,Movimientos!$D$1:$D$335,$C27,Movimientos!$L$1:$L$335,A$3,Movimientos!$F$1:$F$335,"Egreso")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8">
        <f>SUMIFS(Movimientos!$J$1:$J$335,Movimientos!$C$1:$C$335,$B27,Movimientos!$D$1:$D$335,$C27,Movimientos!$L$1:$L$335,A$4,Movimientos!$F$1:$F$335,"Ingreso")</f>
        <v>0</v>
      </c>
      <c r="P27" s="48">
        <f>SUMIFS(Movimientos!$J$1:$J$335,Movimientos!$C$1:$C$335,$B27,Movimientos!$D$1:$D$335,$C27,Movimientos!$L$1:$L$335,A$4,Movimientos!$F$1:$F$335,"Egreso")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8">
        <v>0</v>
      </c>
      <c r="F28" s="48">
        <v>16</v>
      </c>
      <c r="G28" s="17">
        <v>-16</v>
      </c>
      <c r="H28" s="12">
        <f t="shared" si="2"/>
        <v>1444.08</v>
      </c>
      <c r="I28" s="5">
        <f t="shared" si="3"/>
        <v>1444.08</v>
      </c>
      <c r="J28" s="48">
        <f>SUMIFS(Movimientos!$J$1:$J$335,Movimientos!$C$1:$C$335,$B28,Movimientos!$D$1:$D$335,$C28,Movimientos!$L$1:$L$335,A$3,Movimientos!$F$1:$F$335,"Ingreso")</f>
        <v>0</v>
      </c>
      <c r="K28" s="48">
        <f>SUMIFS(Movimientos!$J$1:$J$335,Movimientos!$C$1:$C$335,$B28,Movimientos!$D$1:$D$335,$C28,Movimientos!$L$1:$L$335,A$3,Movimientos!$F$1:$F$335,"Egreso")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8">
        <f>SUMIFS(Movimientos!$J$1:$J$335,Movimientos!$C$1:$C$335,$B28,Movimientos!$D$1:$D$335,$C28,Movimientos!$L$1:$L$335,A$4,Movimientos!$F$1:$F$335,"Ingreso")</f>
        <v>0</v>
      </c>
      <c r="P28" s="48">
        <f>SUMIFS(Movimientos!$J$1:$J$335,Movimientos!$C$1:$C$335,$B28,Movimientos!$D$1:$D$335,$C28,Movimientos!$L$1:$L$335,A$4,Movimientos!$F$1:$F$335,"Egreso")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8">
        <v>25250</v>
      </c>
      <c r="F29" s="48">
        <v>16408.330000000002</v>
      </c>
      <c r="G29" s="17">
        <v>8841.6699999999983</v>
      </c>
      <c r="H29" s="12">
        <f t="shared" si="2"/>
        <v>35108.179999999964</v>
      </c>
      <c r="I29" s="5">
        <f t="shared" si="3"/>
        <v>35108.179999999964</v>
      </c>
      <c r="J29" s="48">
        <f>SUMIFS(Movimientos!$J$1:$J$335,Movimientos!$C$1:$C$335,$B29,Movimientos!$D$1:$D$335,$C29,Movimientos!$L$1:$L$335,A$3,Movimientos!$F$1:$F$335,"Ingreso")</f>
        <v>4000</v>
      </c>
      <c r="K29" s="48">
        <f>SUMIFS(Movimientos!$J$1:$J$335,Movimientos!$C$1:$C$335,$B29,Movimientos!$D$1:$D$335,$C29,Movimientos!$L$1:$L$335,A$3,Movimientos!$F$1:$F$335,"Egreso")</f>
        <v>9648.6299999999992</v>
      </c>
      <c r="L29" s="7">
        <f t="shared" si="0"/>
        <v>-5648.6299999999992</v>
      </c>
      <c r="M29" s="12">
        <f t="shared" si="4"/>
        <v>29459.549999999967</v>
      </c>
      <c r="N29" s="5">
        <f t="shared" si="5"/>
        <v>29459.549999999967</v>
      </c>
      <c r="O29" s="48">
        <f>SUMIFS(Movimientos!$J$1:$J$335,Movimientos!$C$1:$C$335,$B29,Movimientos!$D$1:$D$335,$C29,Movimientos!$L$1:$L$335,A$4,Movimientos!$F$1:$F$335,"Ingreso")</f>
        <v>0</v>
      </c>
      <c r="P29" s="48">
        <f>SUMIFS(Movimientos!$J$1:$J$335,Movimientos!$C$1:$C$335,$B29,Movimientos!$D$1:$D$335,$C29,Movimientos!$L$1:$L$335,A$4,Movimientos!$F$1:$F$335,"Egreso")</f>
        <v>0</v>
      </c>
      <c r="Q29" s="7">
        <f t="shared" si="1"/>
        <v>0</v>
      </c>
      <c r="R29" s="12">
        <f t="shared" si="6"/>
        <v>29459.549999999967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8">
        <v>0</v>
      </c>
      <c r="F30" s="48">
        <v>10</v>
      </c>
      <c r="G30" s="17">
        <v>-10</v>
      </c>
      <c r="H30" s="12">
        <f t="shared" si="2"/>
        <v>340.42</v>
      </c>
      <c r="I30" s="5">
        <f t="shared" si="3"/>
        <v>340.42</v>
      </c>
      <c r="J30" s="48">
        <f>SUMIFS(Movimientos!$J$1:$J$335,Movimientos!$C$1:$C$335,$B30,Movimientos!$D$1:$D$335,$C30,Movimientos!$L$1:$L$335,A$3,Movimientos!$F$1:$F$335,"Ingreso")</f>
        <v>0</v>
      </c>
      <c r="K30" s="48">
        <f>SUMIFS(Movimientos!$J$1:$J$335,Movimientos!$C$1:$C$335,$B30,Movimientos!$D$1:$D$335,$C30,Movimientos!$L$1:$L$335,A$3,Movimientos!$F$1:$F$335,"Egreso")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8">
        <f>SUMIFS(Movimientos!$J$1:$J$335,Movimientos!$C$1:$C$335,$B30,Movimientos!$D$1:$D$335,$C30,Movimientos!$L$1:$L$335,A$4,Movimientos!$F$1:$F$335,"Ingreso")</f>
        <v>0</v>
      </c>
      <c r="P30" s="48">
        <f>SUMIFS(Movimientos!$J$1:$J$335,Movimientos!$C$1:$C$335,$B30,Movimientos!$D$1:$D$335,$C30,Movimientos!$L$1:$L$335,A$4,Movimientos!$F$1:$F$335,"Egreso")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8">
        <v>16750</v>
      </c>
      <c r="F31" s="48">
        <v>11532.48</v>
      </c>
      <c r="G31" s="17">
        <v>5217.5200000000004</v>
      </c>
      <c r="H31" s="12">
        <f t="shared" si="2"/>
        <v>15120.060000000001</v>
      </c>
      <c r="I31" s="5">
        <f t="shared" si="3"/>
        <v>15120.060000000001</v>
      </c>
      <c r="J31" s="48">
        <f>SUMIFS(Movimientos!$J$1:$J$335,Movimientos!$C$1:$C$335,$B31,Movimientos!$D$1:$D$335,$C31,Movimientos!$L$1:$L$335,A$3,Movimientos!$F$1:$F$335,"Ingreso")</f>
        <v>0</v>
      </c>
      <c r="K31" s="48">
        <f>SUMIFS(Movimientos!$J$1:$J$335,Movimientos!$C$1:$C$335,$B31,Movimientos!$D$1:$D$335,$C31,Movimientos!$L$1:$L$335,A$3,Movimientos!$F$1:$F$335,"Egreso")</f>
        <v>9798.6299999999992</v>
      </c>
      <c r="L31" s="7">
        <f t="shared" si="0"/>
        <v>-9798.6299999999992</v>
      </c>
      <c r="M31" s="12">
        <f t="shared" si="4"/>
        <v>5321.4300000000021</v>
      </c>
      <c r="N31" s="5">
        <f t="shared" si="5"/>
        <v>5321.4300000000021</v>
      </c>
      <c r="O31" s="48">
        <f>SUMIFS(Movimientos!$J$1:$J$335,Movimientos!$C$1:$C$335,$B31,Movimientos!$D$1:$D$335,$C31,Movimientos!$L$1:$L$335,A$4,Movimientos!$F$1:$F$335,"Ingreso")</f>
        <v>0</v>
      </c>
      <c r="P31" s="48">
        <f>SUMIFS(Movimientos!$J$1:$J$335,Movimientos!$C$1:$C$335,$B31,Movimientos!$D$1:$D$335,$C31,Movimientos!$L$1:$L$335,A$4,Movimientos!$F$1:$F$335,"Egreso")</f>
        <v>0</v>
      </c>
      <c r="Q31" s="7">
        <f t="shared" si="1"/>
        <v>0</v>
      </c>
      <c r="R31" s="12">
        <f t="shared" si="6"/>
        <v>5321.4300000000021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8">
        <v>21650</v>
      </c>
      <c r="F32" s="48">
        <v>13105.160000000002</v>
      </c>
      <c r="G32" s="17">
        <v>8544.8399999999983</v>
      </c>
      <c r="H32" s="12">
        <f t="shared" si="2"/>
        <v>33606.269999999997</v>
      </c>
      <c r="I32" s="5">
        <f t="shared" si="3"/>
        <v>33606.269999999997</v>
      </c>
      <c r="J32" s="48">
        <f>SUMIFS(Movimientos!$J$1:$J$335,Movimientos!$C$1:$C$335,$B32,Movimientos!$D$1:$D$335,$C32,Movimientos!$L$1:$L$335,A$3,Movimientos!$F$1:$F$335,"Ingreso")</f>
        <v>0</v>
      </c>
      <c r="K32" s="48">
        <f>SUMIFS(Movimientos!$J$1:$J$335,Movimientos!$C$1:$C$335,$B32,Movimientos!$D$1:$D$335,$C32,Movimientos!$L$1:$L$335,A$3,Movimientos!$F$1:$F$335,"Egreso")</f>
        <v>9121.42</v>
      </c>
      <c r="L32" s="7">
        <f t="shared" si="0"/>
        <v>-9121.42</v>
      </c>
      <c r="M32" s="12">
        <f t="shared" si="4"/>
        <v>24484.85</v>
      </c>
      <c r="N32" s="5">
        <f t="shared" si="5"/>
        <v>24484.85</v>
      </c>
      <c r="O32" s="48">
        <f>SUMIFS(Movimientos!$J$1:$J$335,Movimientos!$C$1:$C$335,$B32,Movimientos!$D$1:$D$335,$C32,Movimientos!$L$1:$L$335,A$4,Movimientos!$F$1:$F$335,"Ingreso")</f>
        <v>0</v>
      </c>
      <c r="P32" s="48">
        <f>SUMIFS(Movimientos!$J$1:$J$335,Movimientos!$C$1:$C$335,$B32,Movimientos!$D$1:$D$335,$C32,Movimientos!$L$1:$L$335,A$4,Movimientos!$F$1:$F$335,"Egreso")</f>
        <v>0</v>
      </c>
      <c r="Q32" s="7">
        <f t="shared" si="1"/>
        <v>0</v>
      </c>
      <c r="R32" s="12">
        <f t="shared" si="6"/>
        <v>24484.85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8">
        <v>10000</v>
      </c>
      <c r="F33" s="48">
        <v>10000</v>
      </c>
      <c r="G33" s="17">
        <v>0</v>
      </c>
      <c r="H33" s="12">
        <f t="shared" si="2"/>
        <v>345</v>
      </c>
      <c r="I33" s="5">
        <f t="shared" si="3"/>
        <v>345</v>
      </c>
      <c r="J33" s="48">
        <f>SUMIFS(Movimientos!$J$1:$J$335,Movimientos!$C$1:$C$335,$B33,Movimientos!$D$1:$D$335,$C33,Movimientos!$L$1:$L$335,A$3,Movimientos!$F$1:$F$335,"Ingreso")</f>
        <v>59000</v>
      </c>
      <c r="K33" s="48">
        <f>SUMIFS(Movimientos!$J$1:$J$335,Movimientos!$C$1:$C$335,$B33,Movimientos!$D$1:$D$335,$C33,Movimientos!$L$1:$L$335,A$3,Movimientos!$F$1:$F$335,"Egreso")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8">
        <f>SUMIFS(Movimientos!$J$1:$J$335,Movimientos!$C$1:$C$335,$B33,Movimientos!$D$1:$D$335,$C33,Movimientos!$L$1:$L$335,A$4,Movimientos!$F$1:$F$335,"Ingreso")</f>
        <v>0</v>
      </c>
      <c r="P33" s="48">
        <f>SUMIFS(Movimientos!$J$1:$J$335,Movimientos!$C$1:$C$335,$B33,Movimientos!$D$1:$D$335,$C33,Movimientos!$L$1:$L$335,A$4,Movimientos!$F$1:$F$335,"Egreso")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8">
        <v>55000</v>
      </c>
      <c r="F34" s="48">
        <v>59580.020000000004</v>
      </c>
      <c r="G34" s="17">
        <v>-4580.0200000000041</v>
      </c>
      <c r="H34" s="12">
        <f t="shared" si="2"/>
        <v>9076.2399999999907</v>
      </c>
      <c r="I34" s="5">
        <f t="shared" si="3"/>
        <v>9076.2399999999907</v>
      </c>
      <c r="J34" s="48">
        <f>SUMIFS(Movimientos!$J$1:$J$335,Movimientos!$C$1:$C$335,$B34,Movimientos!$D$1:$D$335,$C34,Movimientos!$L$1:$L$335,A$3,Movimientos!$F$1:$F$335,"Ingreso")</f>
        <v>59000</v>
      </c>
      <c r="K34" s="48">
        <f>SUMIFS(Movimientos!$J$1:$J$335,Movimientos!$C$1:$C$335,$B34,Movimientos!$D$1:$D$335,$C34,Movimientos!$L$1:$L$335,A$3,Movimientos!$F$1:$F$335,"Egreso")</f>
        <v>22557.23</v>
      </c>
      <c r="L34" s="7">
        <f t="shared" si="0"/>
        <v>36442.770000000004</v>
      </c>
      <c r="M34" s="12">
        <f t="shared" si="4"/>
        <v>45519.009999999995</v>
      </c>
      <c r="N34" s="5">
        <f t="shared" si="5"/>
        <v>45519.009999999995</v>
      </c>
      <c r="O34" s="48">
        <f>SUMIFS(Movimientos!$J$1:$J$335,Movimientos!$C$1:$C$335,$B34,Movimientos!$D$1:$D$335,$C34,Movimientos!$L$1:$L$335,A$4,Movimientos!$F$1:$F$335,"Ingreso")</f>
        <v>0</v>
      </c>
      <c r="P34" s="48">
        <f>SUMIFS(Movimientos!$J$1:$J$335,Movimientos!$C$1:$C$335,$B34,Movimientos!$D$1:$D$335,$C34,Movimientos!$L$1:$L$335,A$4,Movimientos!$F$1:$F$335,"Egreso")</f>
        <v>0</v>
      </c>
      <c r="Q34" s="7">
        <f t="shared" si="1"/>
        <v>0</v>
      </c>
      <c r="R34" s="12">
        <f t="shared" si="6"/>
        <v>45519.009999999995</v>
      </c>
    </row>
    <row r="35" spans="1:18" x14ac:dyDescent="0.3">
      <c r="C35" s="40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R26" activePane="bottomRight" state="frozen"/>
      <selection pane="topRight" activeCell="C1" sqref="C1"/>
      <selection pane="bottomLeft" activeCell="A2" sqref="A2"/>
      <selection pane="bottomRight" activeCell="B45" sqref="B45:V4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Group")+SUMIFS(Movimientos!$K$1:$K$335,Movimientos!$C$1:$C$335,"CFT Group",Movimientos!$B$1:$B$335,"&lt;="&amp;$B33)</f>
        <v>983394.14000000013</v>
      </c>
      <c r="D33" s="24">
        <f>SUMIFS('Saldos Iniciales'!$D:$D,'Saldos Iniciales'!$A:$A,"M1B")+SUMIFS(Movimientos!$K$1:$K$335,Movimientos!$C$1:$C$335,"M1B",Movimientos!$B$1:$B$335,"&lt;="&amp;$B33)</f>
        <v>69376.390000000174</v>
      </c>
      <c r="E33" s="24">
        <f>SUMIFS('Saldos Iniciales'!$D:$D,'Saldos Iniciales'!$A:$A,"Durand")+SUMIFS(Movimientos!$K$1:$K$335,Movimientos!$C$1:$C$335,"Durand",Movimientos!$B$1:$B$335,"&lt;="&amp;$B33)</f>
        <v>1669.89</v>
      </c>
      <c r="F33" s="24">
        <f>SUMIFS('Saldos Iniciales'!$D:$D,'Saldos Iniciales'!$A:$A,"A&amp;M Imports")+SUMIFS(Movimientos!$K$1:$K$335,Movimientos!$C$1:$C$335,"A&amp;M Imports",Movimientos!$B$1:$B$335,"&lt;="&amp;$B33)</f>
        <v>804853.11999999988</v>
      </c>
      <c r="G33" s="24">
        <f>SUMIFS('Saldos Iniciales'!$D:$D,'Saldos Iniciales'!$A:$A,"SSP Capital")+SUMIFS(Movimientos!$K$1:$K$335,Movimientos!$C$1:$C$335,"SSP Capital",Movimientos!$B$1:$B$335,"&lt;="&amp;$B33)</f>
        <v>1015901.6699999992</v>
      </c>
      <c r="H33" s="24">
        <f>SUMIFS('Saldos Iniciales'!$D:$D,'Saldos Iniciales'!$A:$A,"Cross Family Trust")+SUMIFS(Movimientos!$K$1:$K$335,Movimientos!$C$1:$C$335,"Cross Family Trust",Movimientos!$B$1:$B$335,"&lt;="&amp;$B33)</f>
        <v>131496.38</v>
      </c>
      <c r="I33" s="24">
        <f>SUMIFS('Saldos Iniciales'!$D:$D,'Saldos Iniciales'!$A:$A,"Cross Security Trust")+SUMIFS(Movimientos!$K$1:$K$335,Movimientos!$C$1:$C$335,"Cross Security Trust",Movimientos!$B$1:$B$335,"&lt;="&amp;$B33)</f>
        <v>88090.37</v>
      </c>
      <c r="J33" s="24">
        <f>SUMIFS('Saldos Iniciales'!$D:$D,'Saldos Iniciales'!$A:$A,"Electrama")+SUMIFS(Movimientos!$K$1:$K$335,Movimientos!$C$1:$C$335,"Electrama",Movimientos!$B$1:$B$335,"&lt;="&amp;$B33)</f>
        <v>1227.9699999999998</v>
      </c>
      <c r="K33" s="24">
        <f>SUMIFS('Saldos Iniciales'!$D:$D,'Saldos Iniciales'!$A:$A,"Sacred Valley Capital")+SUMIFS(Movimientos!$K$1:$K$335,Movimientos!$C$1:$C$335,"Sacred Valley Capital",Movimientos!$B$1:$B$335,"&lt;="&amp;$B33)</f>
        <v>84.35</v>
      </c>
      <c r="L33" s="24">
        <f>SUMIFS('Saldos Iniciales'!$D:$D,'Saldos Iniciales'!$A:$A,"YWC Capital")+SUMIFS(Movimientos!$K$1:$K$335,Movimientos!$C$1:$C$335,"YWC Capital",Movimientos!$B$1:$B$335,"&lt;="&amp;$B33)</f>
        <v>2237.77</v>
      </c>
      <c r="M33" s="24">
        <f>SUMIFS('Saldos Iniciales'!$D:$D,'Saldos Iniciales'!$A:$A,"Soweto")+SUMIFS(Movimientos!$K$1:$K$335,Movimientos!$C$1:$C$335,"Soweto",Movimientos!$B$1:$B$335,"&lt;="&amp;$B33)</f>
        <v>3349.94</v>
      </c>
      <c r="N33" s="24">
        <f>SUMIFS('Saldos Iniciales'!$D:$D,'Saldos Iniciales'!$A:$A,"Green Stone Trust")+SUMIFS(Movimientos!$K$1:$K$335,Movimientos!$C$1:$C$335,"Green Stone Trust",Movimientos!$B$1:$B$335,"&lt;="&amp;$B33)</f>
        <v>1968.99</v>
      </c>
      <c r="O33" s="24">
        <f>SUMIFS('Saldos Iniciales'!$D:$D,'Saldos Iniciales'!$A:$A,"EC Auto")+SUMIFS(Movimientos!$K$1:$K$335,Movimientos!$C$1:$C$335,"EC Auto",Movimientos!$B$1:$B$335,"&lt;="&amp;$B33)</f>
        <v>901.34</v>
      </c>
      <c r="P33" s="24">
        <f>SUMIFS('Saldos Iniciales'!$D:$D,'Saldos Iniciales'!$A:$A,"Arbor Capital Properties")+SUMIFS(Movimientos!$K$1:$K$335,Movimientos!$C$1:$C$335,"Arbor Capital Properties",Movimientos!$B$1:$B$335,"&lt;="&amp;$B33)</f>
        <v>1428.08</v>
      </c>
      <c r="Q33" s="24">
        <f>SUMIFS('Saldos Iniciales'!$D:$D,'Saldos Iniciales'!$A:$A,"2515 Overbrook")+SUMIFS(Movimientos!$K$1:$K$335,Movimientos!$C$1:$C$335,"2515 Overbrook",Movimientos!$B$1:$B$335,"&lt;="&amp;$B33)</f>
        <v>26416.26999999996</v>
      </c>
      <c r="R33" s="24">
        <f>SUMIFS('Saldos Iniciales'!$D:$D,'Saldos Iniciales'!$A:$A,"112 Florida Ave")+SUMIFS(Movimientos!$K$1:$K$335,Movimientos!$C$1:$C$335,"112 Florida Ave",Movimientos!$B$1:$B$335,"&lt;="&amp;$B33)</f>
        <v>5321.4300000000021</v>
      </c>
      <c r="S33" s="24">
        <f>SUMIFS('Saldos Iniciales'!$D:$D,'Saldos Iniciales'!$A:$A,"3628 Thomas Ave")+SUMIFS(Movimientos!$K$1:$K$335,Movimientos!$C$1:$C$335,"3628 Thomas Ave",Movimientos!$B$1:$B$335,"&lt;="&amp;$B33)</f>
        <v>24833.23</v>
      </c>
      <c r="T33" s="24">
        <f>SUMIFS('Saldos Iniciales'!$D:$D,'Saldos Iniciales'!$A:$A,"Green Harbor Trust")+SUMIFS(Movimientos!$K$1:$K$335,Movimientos!$C$1:$C$335,"Green Harbor Trust",Movimientos!$B$1:$B$335,"&lt;="&amp;$B33)</f>
        <v>345</v>
      </c>
      <c r="U33" s="24">
        <f>SUMIFS('Saldos Iniciales'!$D:$D,'Saldos Iniciales'!$A:$A,"Go Blue")+SUMIFS(Movimientos!$K$1:$K$335,Movimientos!$C$1:$C$335,"Go Blue",Movimientos!$B$1:$B$335,"&lt;="&amp;$B33)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Group")+SUMIFS(Movimientos!$K$1:$K$335,Movimientos!$C$1:$C$335,"CFT Group",Movimientos!$B$1:$B$335,"&lt;="&amp;$B34)</f>
        <v>983394.14000000013</v>
      </c>
      <c r="D34" s="24">
        <f>SUMIFS('Saldos Iniciales'!$D:$D,'Saldos Iniciales'!$A:$A,"M1B")+SUMIFS(Movimientos!$K$1:$K$335,Movimientos!$C$1:$C$335,"M1B",Movimientos!$B$1:$B$335,"&lt;="&amp;$B34)</f>
        <v>69376.390000000174</v>
      </c>
      <c r="E34" s="24">
        <f>SUMIFS('Saldos Iniciales'!$D:$D,'Saldos Iniciales'!$A:$A,"Durand")+SUMIFS(Movimientos!$K$1:$K$335,Movimientos!$C$1:$C$335,"Durand",Movimientos!$B$1:$B$335,"&lt;="&amp;$B34)</f>
        <v>1669.89</v>
      </c>
      <c r="F34" s="24">
        <f>SUMIFS('Saldos Iniciales'!$D:$D,'Saldos Iniciales'!$A:$A,"A&amp;M Imports")+SUMIFS(Movimientos!$K$1:$K$335,Movimientos!$C$1:$C$335,"A&amp;M Imports",Movimientos!$B$1:$B$335,"&lt;="&amp;$B34)</f>
        <v>804853.11999999988</v>
      </c>
      <c r="G34" s="24">
        <f>SUMIFS('Saldos Iniciales'!$D:$D,'Saldos Iniciales'!$A:$A,"SSP Capital")+SUMIFS(Movimientos!$K$1:$K$335,Movimientos!$C$1:$C$335,"SSP Capital",Movimientos!$B$1:$B$335,"&lt;="&amp;$B34)</f>
        <v>1015901.6699999992</v>
      </c>
      <c r="H34" s="24">
        <f>SUMIFS('Saldos Iniciales'!$D:$D,'Saldos Iniciales'!$A:$A,"Cross Family Trust")+SUMIFS(Movimientos!$K$1:$K$335,Movimientos!$C$1:$C$335,"Cross Family Trust",Movimientos!$B$1:$B$335,"&lt;="&amp;$B34)</f>
        <v>131496.38</v>
      </c>
      <c r="I34" s="24">
        <f>SUMIFS('Saldos Iniciales'!$D:$D,'Saldos Iniciales'!$A:$A,"Cross Security Trust")+SUMIFS(Movimientos!$K$1:$K$335,Movimientos!$C$1:$C$335,"Cross Security Trust",Movimientos!$B$1:$B$335,"&lt;="&amp;$B34)</f>
        <v>88090.37</v>
      </c>
      <c r="J34" s="24">
        <f>SUMIFS('Saldos Iniciales'!$D:$D,'Saldos Iniciales'!$A:$A,"Electrama")+SUMIFS(Movimientos!$K$1:$K$335,Movimientos!$C$1:$C$335,"Electrama",Movimientos!$B$1:$B$335,"&lt;="&amp;$B34)</f>
        <v>1227.9699999999998</v>
      </c>
      <c r="K34" s="24">
        <f>SUMIFS('Saldos Iniciales'!$D:$D,'Saldos Iniciales'!$A:$A,"Sacred Valley Capital")+SUMIFS(Movimientos!$K$1:$K$335,Movimientos!$C$1:$C$335,"Sacred Valley Capital",Movimientos!$B$1:$B$335,"&lt;="&amp;$B34)</f>
        <v>84.35</v>
      </c>
      <c r="L34" s="24">
        <f>SUMIFS('Saldos Iniciales'!$D:$D,'Saldos Iniciales'!$A:$A,"YWC Capital")+SUMIFS(Movimientos!$K$1:$K$335,Movimientos!$C$1:$C$335,"YWC Capital",Movimientos!$B$1:$B$335,"&lt;="&amp;$B34)</f>
        <v>2237.77</v>
      </c>
      <c r="M34" s="24">
        <f>SUMIFS('Saldos Iniciales'!$D:$D,'Saldos Iniciales'!$A:$A,"Soweto")+SUMIFS(Movimientos!$K$1:$K$335,Movimientos!$C$1:$C$335,"Soweto",Movimientos!$B$1:$B$335,"&lt;="&amp;$B34)</f>
        <v>3349.94</v>
      </c>
      <c r="N34" s="24">
        <f>SUMIFS('Saldos Iniciales'!$D:$D,'Saldos Iniciales'!$A:$A,"Green Stone Trust")+SUMIFS(Movimientos!$K$1:$K$335,Movimientos!$C$1:$C$335,"Green Stone Trust",Movimientos!$B$1:$B$335,"&lt;="&amp;$B34)</f>
        <v>1968.99</v>
      </c>
      <c r="O34" s="24">
        <f>SUMIFS('Saldos Iniciales'!$D:$D,'Saldos Iniciales'!$A:$A,"EC Auto")+SUMIFS(Movimientos!$K$1:$K$335,Movimientos!$C$1:$C$335,"EC Auto",Movimientos!$B$1:$B$335,"&lt;="&amp;$B34)</f>
        <v>901.34</v>
      </c>
      <c r="P34" s="24">
        <f>SUMIFS('Saldos Iniciales'!$D:$D,'Saldos Iniciales'!$A:$A,"Arbor Capital Properties")+SUMIFS(Movimientos!$K$1:$K$335,Movimientos!$C$1:$C$335,"Arbor Capital Properties",Movimientos!$B$1:$B$335,"&lt;="&amp;$B34)</f>
        <v>1428.08</v>
      </c>
      <c r="Q34" s="24">
        <f>SUMIFS('Saldos Iniciales'!$D:$D,'Saldos Iniciales'!$A:$A,"2515 Overbrook")+SUMIFS(Movimientos!$K$1:$K$335,Movimientos!$C$1:$C$335,"2515 Overbrook",Movimientos!$B$1:$B$335,"&lt;="&amp;$B34)</f>
        <v>25789.969999999961</v>
      </c>
      <c r="R34" s="24">
        <f>SUMIFS('Saldos Iniciales'!$D:$D,'Saldos Iniciales'!$A:$A,"112 Florida Ave")+SUMIFS(Movimientos!$K$1:$K$335,Movimientos!$C$1:$C$335,"112 Florida Ave",Movimientos!$B$1:$B$335,"&lt;="&amp;$B34)</f>
        <v>5321.4300000000021</v>
      </c>
      <c r="S34" s="24">
        <f>SUMIFS('Saldos Iniciales'!$D:$D,'Saldos Iniciales'!$A:$A,"3628 Thomas Ave")+SUMIFS(Movimientos!$K$1:$K$335,Movimientos!$C$1:$C$335,"3628 Thomas Ave",Movimientos!$B$1:$B$335,"&lt;="&amp;$B34)</f>
        <v>24833.23</v>
      </c>
      <c r="T34" s="24">
        <f>SUMIFS('Saldos Iniciales'!$D:$D,'Saldos Iniciales'!$A:$A,"Green Harbor Trust")+SUMIFS(Movimientos!$K$1:$K$335,Movimientos!$C$1:$C$335,"Green Harbor Trust",Movimientos!$B$1:$B$335,"&lt;="&amp;$B34)</f>
        <v>345</v>
      </c>
      <c r="U34" s="24">
        <f>SUMIFS('Saldos Iniciales'!$D:$D,'Saldos Iniciales'!$A:$A,"Go Blue")+SUMIFS(Movimientos!$K$1:$K$335,Movimientos!$C$1:$C$335,"Go Blue",Movimientos!$B$1:$B$335,"&lt;="&amp;$B34)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Group")+SUMIFS(Movimientos!$K$1:$K$335,Movimientos!$C$1:$C$335,"CFT Group",Movimientos!$B$1:$B$335,"&lt;="&amp;$B35)</f>
        <v>983394.14000000013</v>
      </c>
      <c r="D35" s="24">
        <f>SUMIFS('Saldos Iniciales'!$D:$D,'Saldos Iniciales'!$A:$A,"M1B")+SUMIFS(Movimientos!$K$1:$K$335,Movimientos!$C$1:$C$335,"M1B",Movimientos!$B$1:$B$335,"&lt;="&amp;$B35)</f>
        <v>69376.390000000174</v>
      </c>
      <c r="E35" s="24">
        <f>SUMIFS('Saldos Iniciales'!$D:$D,'Saldos Iniciales'!$A:$A,"Durand")+SUMIFS(Movimientos!$K$1:$K$335,Movimientos!$C$1:$C$335,"Durand",Movimientos!$B$1:$B$335,"&lt;="&amp;$B35)</f>
        <v>1669.89</v>
      </c>
      <c r="F35" s="24">
        <f>SUMIFS('Saldos Iniciales'!$D:$D,'Saldos Iniciales'!$A:$A,"A&amp;M Imports")+SUMIFS(Movimientos!$K$1:$K$335,Movimientos!$C$1:$C$335,"A&amp;M Imports",Movimientos!$B$1:$B$335,"&lt;="&amp;$B35)</f>
        <v>804853.11999999988</v>
      </c>
      <c r="G35" s="24">
        <f>SUMIFS('Saldos Iniciales'!$D:$D,'Saldos Iniciales'!$A:$A,"SSP Capital")+SUMIFS(Movimientos!$K$1:$K$335,Movimientos!$C$1:$C$335,"SSP Capital",Movimientos!$B$1:$B$335,"&lt;="&amp;$B35)</f>
        <v>1015611.6599999993</v>
      </c>
      <c r="H35" s="24">
        <f>SUMIFS('Saldos Iniciales'!$D:$D,'Saldos Iniciales'!$A:$A,"Cross Family Trust")+SUMIFS(Movimientos!$K$1:$K$335,Movimientos!$C$1:$C$335,"Cross Family Trust",Movimientos!$B$1:$B$335,"&lt;="&amp;$B35)</f>
        <v>125496.38</v>
      </c>
      <c r="I35" s="24">
        <f>SUMIFS('Saldos Iniciales'!$D:$D,'Saldos Iniciales'!$A:$A,"Cross Security Trust")+SUMIFS(Movimientos!$K$1:$K$335,Movimientos!$C$1:$C$335,"Cross Security Trust",Movimientos!$B$1:$B$335,"&lt;="&amp;$B35)</f>
        <v>88090.37</v>
      </c>
      <c r="J35" s="24">
        <f>SUMIFS('Saldos Iniciales'!$D:$D,'Saldos Iniciales'!$A:$A,"Electrama")+SUMIFS(Movimientos!$K$1:$K$335,Movimientos!$C$1:$C$335,"Electrama",Movimientos!$B$1:$B$335,"&lt;="&amp;$B35)</f>
        <v>1227.9699999999998</v>
      </c>
      <c r="K35" s="24">
        <f>SUMIFS('Saldos Iniciales'!$D:$D,'Saldos Iniciales'!$A:$A,"Sacred Valley Capital")+SUMIFS(Movimientos!$K$1:$K$335,Movimientos!$C$1:$C$335,"Sacred Valley Capital",Movimientos!$B$1:$B$335,"&lt;="&amp;$B35)</f>
        <v>84.35</v>
      </c>
      <c r="L35" s="24">
        <f>SUMIFS('Saldos Iniciales'!$D:$D,'Saldos Iniciales'!$A:$A,"YWC Capital")+SUMIFS(Movimientos!$K$1:$K$335,Movimientos!$C$1:$C$335,"YWC Capital",Movimientos!$B$1:$B$335,"&lt;="&amp;$B35)</f>
        <v>2237.77</v>
      </c>
      <c r="M35" s="24">
        <f>SUMIFS('Saldos Iniciales'!$D:$D,'Saldos Iniciales'!$A:$A,"Soweto")+SUMIFS(Movimientos!$K$1:$K$335,Movimientos!$C$1:$C$335,"Soweto",Movimientos!$B$1:$B$335,"&lt;="&amp;$B35)</f>
        <v>3349.94</v>
      </c>
      <c r="N35" s="24">
        <f>SUMIFS('Saldos Iniciales'!$D:$D,'Saldos Iniciales'!$A:$A,"Green Stone Trust")+SUMIFS(Movimientos!$K$1:$K$335,Movimientos!$C$1:$C$335,"Green Stone Trust",Movimientos!$B$1:$B$335,"&lt;="&amp;$B35)</f>
        <v>1968.99</v>
      </c>
      <c r="O35" s="24">
        <f>SUMIFS('Saldos Iniciales'!$D:$D,'Saldos Iniciales'!$A:$A,"EC Auto")+SUMIFS(Movimientos!$K$1:$K$335,Movimientos!$C$1:$C$335,"EC Auto",Movimientos!$B$1:$B$335,"&lt;="&amp;$B35)</f>
        <v>901.34</v>
      </c>
      <c r="P35" s="24">
        <f>SUMIFS('Saldos Iniciales'!$D:$D,'Saldos Iniciales'!$A:$A,"Arbor Capital Properties")+SUMIFS(Movimientos!$K$1:$K$335,Movimientos!$C$1:$C$335,"Arbor Capital Properties",Movimientos!$B$1:$B$335,"&lt;="&amp;$B35)</f>
        <v>1428.08</v>
      </c>
      <c r="Q35" s="24">
        <f>SUMIFS('Saldos Iniciales'!$D:$D,'Saldos Iniciales'!$A:$A,"2515 Overbrook")+SUMIFS(Movimientos!$K$1:$K$335,Movimientos!$C$1:$C$335,"2515 Overbrook",Movimientos!$B$1:$B$335,"&lt;="&amp;$B35)</f>
        <v>25789.969999999961</v>
      </c>
      <c r="R35" s="24">
        <f>SUMIFS('Saldos Iniciales'!$D:$D,'Saldos Iniciales'!$A:$A,"112 Florida Ave")+SUMIFS(Movimientos!$K$1:$K$335,Movimientos!$C$1:$C$335,"112 Florida Ave",Movimientos!$B$1:$B$335,"&lt;="&amp;$B35)</f>
        <v>5321.4300000000021</v>
      </c>
      <c r="S35" s="24">
        <f>SUMIFS('Saldos Iniciales'!$D:$D,'Saldos Iniciales'!$A:$A,"3628 Thomas Ave")+SUMIFS(Movimientos!$K$1:$K$335,Movimientos!$C$1:$C$335,"3628 Thomas Ave",Movimientos!$B$1:$B$335,"&lt;="&amp;$B35)</f>
        <v>24833.23</v>
      </c>
      <c r="T35" s="24">
        <f>SUMIFS('Saldos Iniciales'!$D:$D,'Saldos Iniciales'!$A:$A,"Green Harbor Trust")+SUMIFS(Movimientos!$K$1:$K$335,Movimientos!$C$1:$C$335,"Green Harbor Trust",Movimientos!$B$1:$B$335,"&lt;="&amp;$B35)</f>
        <v>345</v>
      </c>
      <c r="U35" s="24">
        <f>SUMIFS('Saldos Iniciales'!$D:$D,'Saldos Iniciales'!$A:$A,"Go Blue")+SUMIFS(Movimientos!$K$1:$K$335,Movimientos!$C$1:$C$335,"Go Blue",Movimientos!$B$1:$B$335,"&lt;="&amp;$B35)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Group")+SUMIFS(Movimientos!$K$1:$K$335,Movimientos!$C$1:$C$335,"CFT Group",Movimientos!$B$1:$B$335,"&lt;="&amp;$B36)</f>
        <v>733394.14000000013</v>
      </c>
      <c r="D36" s="24">
        <f>SUMIFS('Saldos Iniciales'!$D:$D,'Saldos Iniciales'!$A:$A,"M1B")+SUMIFS(Movimientos!$K$1:$K$335,Movimientos!$C$1:$C$335,"M1B",Movimientos!$B$1:$B$335,"&lt;="&amp;$B36)</f>
        <v>69376.390000000174</v>
      </c>
      <c r="E36" s="24">
        <f>SUMIFS('Saldos Iniciales'!$D:$D,'Saldos Iniciales'!$A:$A,"Durand")+SUMIFS(Movimientos!$K$1:$K$335,Movimientos!$C$1:$C$335,"Durand",Movimientos!$B$1:$B$335,"&lt;="&amp;$B36)</f>
        <v>1669.89</v>
      </c>
      <c r="F36" s="24">
        <f>SUMIFS('Saldos Iniciales'!$D:$D,'Saldos Iniciales'!$A:$A,"A&amp;M Imports")+SUMIFS(Movimientos!$K$1:$K$335,Movimientos!$C$1:$C$335,"A&amp;M Imports",Movimientos!$B$1:$B$335,"&lt;="&amp;$B36)</f>
        <v>729545.23999999987</v>
      </c>
      <c r="G36" s="24">
        <f>SUMIFS('Saldos Iniciales'!$D:$D,'Saldos Iniciales'!$A:$A,"SSP Capital")+SUMIFS(Movimientos!$K$1:$K$335,Movimientos!$C$1:$C$335,"SSP Capital",Movimientos!$B$1:$B$335,"&lt;="&amp;$B36)</f>
        <v>1171714.4499999993</v>
      </c>
      <c r="H36" s="24">
        <f>SUMIFS('Saldos Iniciales'!$D:$D,'Saldos Iniciales'!$A:$A,"Cross Family Trust")+SUMIFS(Movimientos!$K$1:$K$335,Movimientos!$C$1:$C$335,"Cross Family Trust",Movimientos!$B$1:$B$335,"&lt;="&amp;$B36)</f>
        <v>116496.38</v>
      </c>
      <c r="I36" s="24">
        <f>SUMIFS('Saldos Iniciales'!$D:$D,'Saldos Iniciales'!$A:$A,"Cross Security Trust")+SUMIFS(Movimientos!$K$1:$K$335,Movimientos!$C$1:$C$335,"Cross Security Trust",Movimientos!$B$1:$B$335,"&lt;="&amp;$B36)</f>
        <v>88090.37</v>
      </c>
      <c r="J36" s="24">
        <f>SUMIFS('Saldos Iniciales'!$D:$D,'Saldos Iniciales'!$A:$A,"Electrama")+SUMIFS(Movimientos!$K$1:$K$335,Movimientos!$C$1:$C$335,"Electrama",Movimientos!$B$1:$B$335,"&lt;="&amp;$B36)</f>
        <v>1227.9699999999998</v>
      </c>
      <c r="K36" s="24">
        <f>SUMIFS('Saldos Iniciales'!$D:$D,'Saldos Iniciales'!$A:$A,"Sacred Valley Capital")+SUMIFS(Movimientos!$K$1:$K$335,Movimientos!$C$1:$C$335,"Sacred Valley Capital",Movimientos!$B$1:$B$335,"&lt;="&amp;$B36)</f>
        <v>84.35</v>
      </c>
      <c r="L36" s="24">
        <f>SUMIFS('Saldos Iniciales'!$D:$D,'Saldos Iniciales'!$A:$A,"YWC Capital")+SUMIFS(Movimientos!$K$1:$K$335,Movimientos!$C$1:$C$335,"YWC Capital",Movimientos!$B$1:$B$335,"&lt;="&amp;$B36)</f>
        <v>2237.77</v>
      </c>
      <c r="M36" s="24">
        <f>SUMIFS('Saldos Iniciales'!$D:$D,'Saldos Iniciales'!$A:$A,"Soweto")+SUMIFS(Movimientos!$K$1:$K$335,Movimientos!$C$1:$C$335,"Soweto",Movimientos!$B$1:$B$335,"&lt;="&amp;$B36)</f>
        <v>3349.94</v>
      </c>
      <c r="N36" s="24">
        <f>SUMIFS('Saldos Iniciales'!$D:$D,'Saldos Iniciales'!$A:$A,"Green Stone Trust")+SUMIFS(Movimientos!$K$1:$K$335,Movimientos!$C$1:$C$335,"Green Stone Trust",Movimientos!$B$1:$B$335,"&lt;="&amp;$B36)</f>
        <v>1968.99</v>
      </c>
      <c r="O36" s="24">
        <f>SUMIFS('Saldos Iniciales'!$D:$D,'Saldos Iniciales'!$A:$A,"EC Auto")+SUMIFS(Movimientos!$K$1:$K$335,Movimientos!$C$1:$C$335,"EC Auto",Movimientos!$B$1:$B$335,"&lt;="&amp;$B36)</f>
        <v>382.69000000000005</v>
      </c>
      <c r="P36" s="24">
        <f>SUMIFS('Saldos Iniciales'!$D:$D,'Saldos Iniciales'!$A:$A,"Arbor Capital Properties")+SUMIFS(Movimientos!$K$1:$K$335,Movimientos!$C$1:$C$335,"Arbor Capital Properties",Movimientos!$B$1:$B$335,"&lt;="&amp;$B36)</f>
        <v>1428.08</v>
      </c>
      <c r="Q36" s="24">
        <f>SUMIFS('Saldos Iniciales'!$D:$D,'Saldos Iniciales'!$A:$A,"2515 Overbrook")+SUMIFS(Movimientos!$K$1:$K$335,Movimientos!$C$1:$C$335,"2515 Overbrook",Movimientos!$B$1:$B$335,"&lt;="&amp;$B36)</f>
        <v>25789.969999999961</v>
      </c>
      <c r="R36" s="24">
        <f>SUMIFS('Saldos Iniciales'!$D:$D,'Saldos Iniciales'!$A:$A,"112 Florida Ave")+SUMIFS(Movimientos!$K$1:$K$335,Movimientos!$C$1:$C$335,"112 Florida Ave",Movimientos!$B$1:$B$335,"&lt;="&amp;$B36)</f>
        <v>5321.4300000000021</v>
      </c>
      <c r="S36" s="24">
        <f>SUMIFS('Saldos Iniciales'!$D:$D,'Saldos Iniciales'!$A:$A,"3628 Thomas Ave")+SUMIFS(Movimientos!$K$1:$K$335,Movimientos!$C$1:$C$335,"3628 Thomas Ave",Movimientos!$B$1:$B$335,"&lt;="&amp;$B36)</f>
        <v>24833.23</v>
      </c>
      <c r="T36" s="24">
        <f>SUMIFS('Saldos Iniciales'!$D:$D,'Saldos Iniciales'!$A:$A,"Green Harbor Trust")+SUMIFS(Movimientos!$K$1:$K$335,Movimientos!$C$1:$C$335,"Green Harbor Trust",Movimientos!$B$1:$B$335,"&lt;="&amp;$B36)</f>
        <v>345</v>
      </c>
      <c r="U36" s="24">
        <f>SUMIFS('Saldos Iniciales'!$D:$D,'Saldos Iniciales'!$A:$A,"Go Blue")+SUMIFS(Movimientos!$K$1:$K$335,Movimientos!$C$1:$C$335,"Go Blue",Movimientos!$B$1:$B$335,"&lt;="&amp;$B36)</f>
        <v>2422.7400000000016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Group")+SUMIFS(Movimientos!$K$1:$K$335,Movimientos!$C$1:$C$335,"CFT Group",Movimientos!$B$1:$B$335,"&lt;="&amp;$B37)</f>
        <v>733394.14000000013</v>
      </c>
      <c r="D37" s="24">
        <f>SUMIFS('Saldos Iniciales'!$D:$D,'Saldos Iniciales'!$A:$A,"M1B")+SUMIFS(Movimientos!$K$1:$K$335,Movimientos!$C$1:$C$335,"M1B",Movimientos!$B$1:$B$335,"&lt;="&amp;$B37)</f>
        <v>69376.390000000174</v>
      </c>
      <c r="E37" s="24">
        <f>SUMIFS('Saldos Iniciales'!$D:$D,'Saldos Iniciales'!$A:$A,"Durand")+SUMIFS(Movimientos!$K$1:$K$335,Movimientos!$C$1:$C$335,"Durand",Movimientos!$B$1:$B$335,"&lt;="&amp;$B37)</f>
        <v>1669.89</v>
      </c>
      <c r="F37" s="24">
        <f>SUMIFS('Saldos Iniciales'!$D:$D,'Saldos Iniciales'!$A:$A,"A&amp;M Imports")+SUMIFS(Movimientos!$K$1:$K$335,Movimientos!$C$1:$C$335,"A&amp;M Imports",Movimientos!$B$1:$B$335,"&lt;="&amp;$B37)</f>
        <v>729545.23999999987</v>
      </c>
      <c r="G37" s="24">
        <f>SUMIFS('Saldos Iniciales'!$D:$D,'Saldos Iniciales'!$A:$A,"SSP Capital")+SUMIFS(Movimientos!$K$1:$K$335,Movimientos!$C$1:$C$335,"SSP Capital",Movimientos!$B$1:$B$335,"&lt;="&amp;$B37)</f>
        <v>1164028.3199999994</v>
      </c>
      <c r="H37" s="24">
        <f>SUMIFS('Saldos Iniciales'!$D:$D,'Saldos Iniciales'!$A:$A,"Cross Family Trust")+SUMIFS(Movimientos!$K$1:$K$335,Movimientos!$C$1:$C$335,"Cross Family Trust",Movimientos!$B$1:$B$335,"&lt;="&amp;$B37)</f>
        <v>116496.38</v>
      </c>
      <c r="I37" s="24">
        <f>SUMIFS('Saldos Iniciales'!$D:$D,'Saldos Iniciales'!$A:$A,"Cross Security Trust")+SUMIFS(Movimientos!$K$1:$K$335,Movimientos!$C$1:$C$335,"Cross Security Trust",Movimientos!$B$1:$B$335,"&lt;="&amp;$B37)</f>
        <v>88090.37</v>
      </c>
      <c r="J37" s="24">
        <f>SUMIFS('Saldos Iniciales'!$D:$D,'Saldos Iniciales'!$A:$A,"Electrama")+SUMIFS(Movimientos!$K$1:$K$335,Movimientos!$C$1:$C$335,"Electrama",Movimientos!$B$1:$B$335,"&lt;="&amp;$B37)</f>
        <v>1227.9699999999998</v>
      </c>
      <c r="K37" s="24">
        <f>SUMIFS('Saldos Iniciales'!$D:$D,'Saldos Iniciales'!$A:$A,"Sacred Valley Capital")+SUMIFS(Movimientos!$K$1:$K$335,Movimientos!$C$1:$C$335,"Sacred Valley Capital",Movimientos!$B$1:$B$335,"&lt;="&amp;$B37)</f>
        <v>84.35</v>
      </c>
      <c r="L37" s="24">
        <f>SUMIFS('Saldos Iniciales'!$D:$D,'Saldos Iniciales'!$A:$A,"YWC Capital")+SUMIFS(Movimientos!$K$1:$K$335,Movimientos!$C$1:$C$335,"YWC Capital",Movimientos!$B$1:$B$335,"&lt;="&amp;$B37)</f>
        <v>2237.77</v>
      </c>
      <c r="M37" s="24">
        <f>SUMIFS('Saldos Iniciales'!$D:$D,'Saldos Iniciales'!$A:$A,"Soweto")+SUMIFS(Movimientos!$K$1:$K$335,Movimientos!$C$1:$C$335,"Soweto",Movimientos!$B$1:$B$335,"&lt;="&amp;$B37)</f>
        <v>3349.94</v>
      </c>
      <c r="N37" s="24">
        <f>SUMIFS('Saldos Iniciales'!$D:$D,'Saldos Iniciales'!$A:$A,"Green Stone Trust")+SUMIFS(Movimientos!$K$1:$K$335,Movimientos!$C$1:$C$335,"Green Stone Trust",Movimientos!$B$1:$B$335,"&lt;="&amp;$B37)</f>
        <v>1968.99</v>
      </c>
      <c r="O37" s="24">
        <f>SUMIFS('Saldos Iniciales'!$D:$D,'Saldos Iniciales'!$A:$A,"EC Auto")+SUMIFS(Movimientos!$K$1:$K$335,Movimientos!$C$1:$C$335,"EC Auto",Movimientos!$B$1:$B$335,"&lt;="&amp;$B37)</f>
        <v>382.69000000000005</v>
      </c>
      <c r="P37" s="24">
        <f>SUMIFS('Saldos Iniciales'!$D:$D,'Saldos Iniciales'!$A:$A,"Arbor Capital Properties")+SUMIFS(Movimientos!$K$1:$K$335,Movimientos!$C$1:$C$335,"Arbor Capital Properties",Movimientos!$B$1:$B$335,"&lt;="&amp;$B37)</f>
        <v>1428.08</v>
      </c>
      <c r="Q37" s="24">
        <f>SUMIFS('Saldos Iniciales'!$D:$D,'Saldos Iniciales'!$A:$A,"2515 Overbrook")+SUMIFS(Movimientos!$K$1:$K$335,Movimientos!$C$1:$C$335,"2515 Overbrook",Movimientos!$B$1:$B$335,"&lt;="&amp;$B37)</f>
        <v>25789.969999999961</v>
      </c>
      <c r="R37" s="24">
        <f>SUMIFS('Saldos Iniciales'!$D:$D,'Saldos Iniciales'!$A:$A,"112 Florida Ave")+SUMIFS(Movimientos!$K$1:$K$335,Movimientos!$C$1:$C$335,"112 Florida Ave",Movimientos!$B$1:$B$335,"&lt;="&amp;$B37)</f>
        <v>5321.4300000000021</v>
      </c>
      <c r="S37" s="24">
        <f>SUMIFS('Saldos Iniciales'!$D:$D,'Saldos Iniciales'!$A:$A,"3628 Thomas Ave")+SUMIFS(Movimientos!$K$1:$K$335,Movimientos!$C$1:$C$335,"3628 Thomas Ave",Movimientos!$B$1:$B$335,"&lt;="&amp;$B37)</f>
        <v>24833.23</v>
      </c>
      <c r="T37" s="24">
        <f>SUMIFS('Saldos Iniciales'!$D:$D,'Saldos Iniciales'!$A:$A,"Green Harbor Trust")+SUMIFS(Movimientos!$K$1:$K$335,Movimientos!$C$1:$C$335,"Green Harbor Trust",Movimientos!$B$1:$B$335,"&lt;="&amp;$B37)</f>
        <v>345</v>
      </c>
      <c r="U37" s="24">
        <f>SUMIFS('Saldos Iniciales'!$D:$D,'Saldos Iniciales'!$A:$A,"Go Blue")+SUMIFS(Movimientos!$K$1:$K$335,Movimientos!$C$1:$C$335,"Go Blue",Movimientos!$B$1:$B$335,"&lt;="&amp;$B37)</f>
        <v>2422.7400000000016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Group")+SUMIFS(Movimientos!$K$1:$K$335,Movimientos!$C$1:$C$335,"CFT Group",Movimientos!$B$1:$B$335,"&lt;="&amp;$B38)</f>
        <v>733394.14000000013</v>
      </c>
      <c r="D38" s="24">
        <f>SUMIFS('Saldos Iniciales'!$D:$D,'Saldos Iniciales'!$A:$A,"M1B")+SUMIFS(Movimientos!$K$1:$K$335,Movimientos!$C$1:$C$335,"M1B",Movimientos!$B$1:$B$335,"&lt;="&amp;$B38)</f>
        <v>69376.390000000174</v>
      </c>
      <c r="E38" s="24">
        <f>SUMIFS('Saldos Iniciales'!$D:$D,'Saldos Iniciales'!$A:$A,"Durand")+SUMIFS(Movimientos!$K$1:$K$335,Movimientos!$C$1:$C$335,"Durand",Movimientos!$B$1:$B$335,"&lt;="&amp;$B38)</f>
        <v>1669.89</v>
      </c>
      <c r="F38" s="24">
        <f>SUMIFS('Saldos Iniciales'!$D:$D,'Saldos Iniciales'!$A:$A,"A&amp;M Imports")+SUMIFS(Movimientos!$K$1:$K$335,Movimientos!$C$1:$C$335,"A&amp;M Imports",Movimientos!$B$1:$B$335,"&lt;="&amp;$B38)</f>
        <v>729545.23999999987</v>
      </c>
      <c r="G38" s="24">
        <f>SUMIFS('Saldos Iniciales'!$D:$D,'Saldos Iniciales'!$A:$A,"SSP Capital")+SUMIFS(Movimientos!$K$1:$K$335,Movimientos!$C$1:$C$335,"SSP Capital",Movimientos!$B$1:$B$335,"&lt;="&amp;$B38)</f>
        <v>1164028.3199999994</v>
      </c>
      <c r="H38" s="24">
        <f>SUMIFS('Saldos Iniciales'!$D:$D,'Saldos Iniciales'!$A:$A,"Cross Family Trust")+SUMIFS(Movimientos!$K$1:$K$335,Movimientos!$C$1:$C$335,"Cross Family Trust",Movimientos!$B$1:$B$335,"&lt;="&amp;$B38)</f>
        <v>116496.38</v>
      </c>
      <c r="I38" s="24">
        <f>SUMIFS('Saldos Iniciales'!$D:$D,'Saldos Iniciales'!$A:$A,"Cross Security Trust")+SUMIFS(Movimientos!$K$1:$K$335,Movimientos!$C$1:$C$335,"Cross Security Trust",Movimientos!$B$1:$B$335,"&lt;="&amp;$B38)</f>
        <v>88090.37</v>
      </c>
      <c r="J38" s="24">
        <f>SUMIFS('Saldos Iniciales'!$D:$D,'Saldos Iniciales'!$A:$A,"Electrama")+SUMIFS(Movimientos!$K$1:$K$335,Movimientos!$C$1:$C$335,"Electrama",Movimientos!$B$1:$B$335,"&lt;="&amp;$B38)</f>
        <v>1227.9699999999998</v>
      </c>
      <c r="K38" s="24">
        <f>SUMIFS('Saldos Iniciales'!$D:$D,'Saldos Iniciales'!$A:$A,"Sacred Valley Capital")+SUMIFS(Movimientos!$K$1:$K$335,Movimientos!$C$1:$C$335,"Sacred Valley Capital",Movimientos!$B$1:$B$335,"&lt;="&amp;$B38)</f>
        <v>84.35</v>
      </c>
      <c r="L38" s="24">
        <f>SUMIFS('Saldos Iniciales'!$D:$D,'Saldos Iniciales'!$A:$A,"YWC Capital")+SUMIFS(Movimientos!$K$1:$K$335,Movimientos!$C$1:$C$335,"YWC Capital",Movimientos!$B$1:$B$335,"&lt;="&amp;$B38)</f>
        <v>2237.77</v>
      </c>
      <c r="M38" s="24">
        <f>SUMIFS('Saldos Iniciales'!$D:$D,'Saldos Iniciales'!$A:$A,"Soweto")+SUMIFS(Movimientos!$K$1:$K$335,Movimientos!$C$1:$C$335,"Soweto",Movimientos!$B$1:$B$335,"&lt;="&amp;$B38)</f>
        <v>3349.94</v>
      </c>
      <c r="N38" s="24">
        <f>SUMIFS('Saldos Iniciales'!$D:$D,'Saldos Iniciales'!$A:$A,"Green Stone Trust")+SUMIFS(Movimientos!$K$1:$K$335,Movimientos!$C$1:$C$335,"Green Stone Trust",Movimientos!$B$1:$B$335,"&lt;="&amp;$B38)</f>
        <v>1968.99</v>
      </c>
      <c r="O38" s="24">
        <f>SUMIFS('Saldos Iniciales'!$D:$D,'Saldos Iniciales'!$A:$A,"EC Auto")+SUMIFS(Movimientos!$K$1:$K$335,Movimientos!$C$1:$C$335,"EC Auto",Movimientos!$B$1:$B$335,"&lt;="&amp;$B38)</f>
        <v>382.69000000000005</v>
      </c>
      <c r="P38" s="24">
        <f>SUMIFS('Saldos Iniciales'!$D:$D,'Saldos Iniciales'!$A:$A,"Arbor Capital Properties")+SUMIFS(Movimientos!$K$1:$K$335,Movimientos!$C$1:$C$335,"Arbor Capital Properties",Movimientos!$B$1:$B$335,"&lt;="&amp;$B38)</f>
        <v>1428.08</v>
      </c>
      <c r="Q38" s="24">
        <f>SUMIFS('Saldos Iniciales'!$D:$D,'Saldos Iniciales'!$A:$A,"2515 Overbrook")+SUMIFS(Movimientos!$K$1:$K$335,Movimientos!$C$1:$C$335,"2515 Overbrook",Movimientos!$B$1:$B$335,"&lt;="&amp;$B38)</f>
        <v>25789.969999999961</v>
      </c>
      <c r="R38" s="24">
        <f>SUMIFS('Saldos Iniciales'!$D:$D,'Saldos Iniciales'!$A:$A,"112 Florida Ave")+SUMIFS(Movimientos!$K$1:$K$335,Movimientos!$C$1:$C$335,"112 Florida Ave",Movimientos!$B$1:$B$335,"&lt;="&amp;$B38)</f>
        <v>5321.4300000000021</v>
      </c>
      <c r="S38" s="24">
        <f>SUMIFS('Saldos Iniciales'!$D:$D,'Saldos Iniciales'!$A:$A,"3628 Thomas Ave")+SUMIFS(Movimientos!$K$1:$K$335,Movimientos!$C$1:$C$335,"3628 Thomas Ave",Movimientos!$B$1:$B$335,"&lt;="&amp;$B38)</f>
        <v>24833.23</v>
      </c>
      <c r="T38" s="24">
        <f>SUMIFS('Saldos Iniciales'!$D:$D,'Saldos Iniciales'!$A:$A,"Green Harbor Trust")+SUMIFS(Movimientos!$K$1:$K$335,Movimientos!$C$1:$C$335,"Green Harbor Trust",Movimientos!$B$1:$B$335,"&lt;="&amp;$B38)</f>
        <v>345</v>
      </c>
      <c r="U38" s="24">
        <f>SUMIFS('Saldos Iniciales'!$D:$D,'Saldos Iniciales'!$A:$A,"Go Blue")+SUMIFS(Movimientos!$K$1:$K$335,Movimientos!$C$1:$C$335,"Go Blue",Movimientos!$B$1:$B$335,"&lt;="&amp;$B38)</f>
        <v>2422.7400000000016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Group")+SUMIFS(Movimientos!$K$1:$K$335,Movimientos!$C$1:$C$335,"CFT Group",Movimientos!$B$1:$B$335,"&lt;="&amp;$B39)</f>
        <v>733394.14000000013</v>
      </c>
      <c r="D39" s="24">
        <f>SUMIFS('Saldos Iniciales'!$D:$D,'Saldos Iniciales'!$A:$A,"M1B")+SUMIFS(Movimientos!$K$1:$K$335,Movimientos!$C$1:$C$335,"M1B",Movimientos!$B$1:$B$335,"&lt;="&amp;$B39)</f>
        <v>69376.390000000174</v>
      </c>
      <c r="E39" s="24">
        <f>SUMIFS('Saldos Iniciales'!$D:$D,'Saldos Iniciales'!$A:$A,"Durand")+SUMIFS(Movimientos!$K$1:$K$335,Movimientos!$C$1:$C$335,"Durand",Movimientos!$B$1:$B$335,"&lt;="&amp;$B39)</f>
        <v>1669.89</v>
      </c>
      <c r="F39" s="24">
        <f>SUMIFS('Saldos Iniciales'!$D:$D,'Saldos Iniciales'!$A:$A,"A&amp;M Imports")+SUMIFS(Movimientos!$K$1:$K$335,Movimientos!$C$1:$C$335,"A&amp;M Imports",Movimientos!$B$1:$B$335,"&lt;="&amp;$B39)</f>
        <v>729545.23999999987</v>
      </c>
      <c r="G39" s="24">
        <f>SUMIFS('Saldos Iniciales'!$D:$D,'Saldos Iniciales'!$A:$A,"SSP Capital")+SUMIFS(Movimientos!$K$1:$K$335,Movimientos!$C$1:$C$335,"SSP Capital",Movimientos!$B$1:$B$335,"&lt;="&amp;$B39)</f>
        <v>1164028.3199999994</v>
      </c>
      <c r="H39" s="24">
        <f>SUMIFS('Saldos Iniciales'!$D:$D,'Saldos Iniciales'!$A:$A,"Cross Family Trust")+SUMIFS(Movimientos!$K$1:$K$335,Movimientos!$C$1:$C$335,"Cross Family Trust",Movimientos!$B$1:$B$335,"&lt;="&amp;$B39)</f>
        <v>116496.38</v>
      </c>
      <c r="I39" s="24">
        <f>SUMIFS('Saldos Iniciales'!$D:$D,'Saldos Iniciales'!$A:$A,"Cross Security Trust")+SUMIFS(Movimientos!$K$1:$K$335,Movimientos!$C$1:$C$335,"Cross Security Trust",Movimientos!$B$1:$B$335,"&lt;="&amp;$B39)</f>
        <v>88090.37</v>
      </c>
      <c r="J39" s="24">
        <f>SUMIFS('Saldos Iniciales'!$D:$D,'Saldos Iniciales'!$A:$A,"Electrama")+SUMIFS(Movimientos!$K$1:$K$335,Movimientos!$C$1:$C$335,"Electrama",Movimientos!$B$1:$B$335,"&lt;="&amp;$B39)</f>
        <v>1227.9699999999998</v>
      </c>
      <c r="K39" s="24">
        <f>SUMIFS('Saldos Iniciales'!$D:$D,'Saldos Iniciales'!$A:$A,"Sacred Valley Capital")+SUMIFS(Movimientos!$K$1:$K$335,Movimientos!$C$1:$C$335,"Sacred Valley Capital",Movimientos!$B$1:$B$335,"&lt;="&amp;$B39)</f>
        <v>84.35</v>
      </c>
      <c r="L39" s="24">
        <f>SUMIFS('Saldos Iniciales'!$D:$D,'Saldos Iniciales'!$A:$A,"YWC Capital")+SUMIFS(Movimientos!$K$1:$K$335,Movimientos!$C$1:$C$335,"YWC Capital",Movimientos!$B$1:$B$335,"&lt;="&amp;$B39)</f>
        <v>2237.77</v>
      </c>
      <c r="M39" s="24">
        <f>SUMIFS('Saldos Iniciales'!$D:$D,'Saldos Iniciales'!$A:$A,"Soweto")+SUMIFS(Movimientos!$K$1:$K$335,Movimientos!$C$1:$C$335,"Soweto",Movimientos!$B$1:$B$335,"&lt;="&amp;$B39)</f>
        <v>3349.94</v>
      </c>
      <c r="N39" s="24">
        <f>SUMIFS('Saldos Iniciales'!$D:$D,'Saldos Iniciales'!$A:$A,"Green Stone Trust")+SUMIFS(Movimientos!$K$1:$K$335,Movimientos!$C$1:$C$335,"Green Stone Trust",Movimientos!$B$1:$B$335,"&lt;="&amp;$B39)</f>
        <v>1968.99</v>
      </c>
      <c r="O39" s="24">
        <f>SUMIFS('Saldos Iniciales'!$D:$D,'Saldos Iniciales'!$A:$A,"EC Auto")+SUMIFS(Movimientos!$K$1:$K$335,Movimientos!$C$1:$C$335,"EC Auto",Movimientos!$B$1:$B$335,"&lt;="&amp;$B39)</f>
        <v>382.69000000000005</v>
      </c>
      <c r="P39" s="24">
        <f>SUMIFS('Saldos Iniciales'!$D:$D,'Saldos Iniciales'!$A:$A,"Arbor Capital Properties")+SUMIFS(Movimientos!$K$1:$K$335,Movimientos!$C$1:$C$335,"Arbor Capital Properties",Movimientos!$B$1:$B$335,"&lt;="&amp;$B39)</f>
        <v>1428.08</v>
      </c>
      <c r="Q39" s="24">
        <f>SUMIFS('Saldos Iniciales'!$D:$D,'Saldos Iniciales'!$A:$A,"2515 Overbrook")+SUMIFS(Movimientos!$K$1:$K$335,Movimientos!$C$1:$C$335,"2515 Overbrook",Movimientos!$B$1:$B$335,"&lt;="&amp;$B39)</f>
        <v>25789.969999999961</v>
      </c>
      <c r="R39" s="24">
        <f>SUMIFS('Saldos Iniciales'!$D:$D,'Saldos Iniciales'!$A:$A,"112 Florida Ave")+SUMIFS(Movimientos!$K$1:$K$335,Movimientos!$C$1:$C$335,"112 Florida Ave",Movimientos!$B$1:$B$335,"&lt;="&amp;$B39)</f>
        <v>5321.4300000000021</v>
      </c>
      <c r="S39" s="24">
        <f>SUMIFS('Saldos Iniciales'!$D:$D,'Saldos Iniciales'!$A:$A,"3628 Thomas Ave")+SUMIFS(Movimientos!$K$1:$K$335,Movimientos!$C$1:$C$335,"3628 Thomas Ave",Movimientos!$B$1:$B$335,"&lt;="&amp;$B39)</f>
        <v>24833.23</v>
      </c>
      <c r="T39" s="24">
        <f>SUMIFS('Saldos Iniciales'!$D:$D,'Saldos Iniciales'!$A:$A,"Green Harbor Trust")+SUMIFS(Movimientos!$K$1:$K$335,Movimientos!$C$1:$C$335,"Green Harbor Trust",Movimientos!$B$1:$B$335,"&lt;="&amp;$B39)</f>
        <v>345</v>
      </c>
      <c r="U39" s="24">
        <f>SUMIFS('Saldos Iniciales'!$D:$D,'Saldos Iniciales'!$A:$A,"Go Blue")+SUMIFS(Movimientos!$K$1:$K$335,Movimientos!$C$1:$C$335,"Go Blue",Movimientos!$B$1:$B$335,"&lt;="&amp;$B39)</f>
        <v>2422.7400000000016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Group")+SUMIFS(Movimientos!$K$1:$K$335,Movimientos!$C$1:$C$335,"CFT Group",Movimientos!$B$1:$B$335,"&lt;="&amp;$B40)</f>
        <v>733394.14000000013</v>
      </c>
      <c r="D40" s="24">
        <f>SUMIFS('Saldos Iniciales'!$D:$D,'Saldos Iniciales'!$A:$A,"M1B")+SUMIFS(Movimientos!$K$1:$K$335,Movimientos!$C$1:$C$335,"M1B",Movimientos!$B$1:$B$335,"&lt;="&amp;$B40)</f>
        <v>69376.390000000174</v>
      </c>
      <c r="E40" s="24">
        <f>SUMIFS('Saldos Iniciales'!$D:$D,'Saldos Iniciales'!$A:$A,"Durand")+SUMIFS(Movimientos!$K$1:$K$335,Movimientos!$C$1:$C$335,"Durand",Movimientos!$B$1:$B$335,"&lt;="&amp;$B40)</f>
        <v>1669.89</v>
      </c>
      <c r="F40" s="24">
        <f>SUMIFS('Saldos Iniciales'!$D:$D,'Saldos Iniciales'!$A:$A,"A&amp;M Imports")+SUMIFS(Movimientos!$K$1:$K$335,Movimientos!$C$1:$C$335,"A&amp;M Imports",Movimientos!$B$1:$B$335,"&lt;="&amp;$B40)</f>
        <v>729545.23999999987</v>
      </c>
      <c r="G40" s="24">
        <f>SUMIFS('Saldos Iniciales'!$D:$D,'Saldos Iniciales'!$A:$A,"SSP Capital")+SUMIFS(Movimientos!$K$1:$K$335,Movimientos!$C$1:$C$335,"SSP Capital",Movimientos!$B$1:$B$335,"&lt;="&amp;$B40)</f>
        <v>1164028.3199999994</v>
      </c>
      <c r="H40" s="24">
        <f>SUMIFS('Saldos Iniciales'!$D:$D,'Saldos Iniciales'!$A:$A,"Cross Family Trust")+SUMIFS(Movimientos!$K$1:$K$335,Movimientos!$C$1:$C$335,"Cross Family Trust",Movimientos!$B$1:$B$335,"&lt;="&amp;$B40)</f>
        <v>116496.38</v>
      </c>
      <c r="I40" s="24">
        <f>SUMIFS('Saldos Iniciales'!$D:$D,'Saldos Iniciales'!$A:$A,"Cross Security Trust")+SUMIFS(Movimientos!$K$1:$K$335,Movimientos!$C$1:$C$335,"Cross Security Trust",Movimientos!$B$1:$B$335,"&lt;="&amp;$B40)</f>
        <v>88090.37</v>
      </c>
      <c r="J40" s="24">
        <f>SUMIFS('Saldos Iniciales'!$D:$D,'Saldos Iniciales'!$A:$A,"Electrama")+SUMIFS(Movimientos!$K$1:$K$335,Movimientos!$C$1:$C$335,"Electrama",Movimientos!$B$1:$B$335,"&lt;="&amp;$B40)</f>
        <v>1227.9699999999998</v>
      </c>
      <c r="K40" s="24">
        <f>SUMIFS('Saldos Iniciales'!$D:$D,'Saldos Iniciales'!$A:$A,"Sacred Valley Capital")+SUMIFS(Movimientos!$K$1:$K$335,Movimientos!$C$1:$C$335,"Sacred Valley Capital",Movimientos!$B$1:$B$335,"&lt;="&amp;$B40)</f>
        <v>84.35</v>
      </c>
      <c r="L40" s="24">
        <f>SUMIFS('Saldos Iniciales'!$D:$D,'Saldos Iniciales'!$A:$A,"YWC Capital")+SUMIFS(Movimientos!$K$1:$K$335,Movimientos!$C$1:$C$335,"YWC Capital",Movimientos!$B$1:$B$335,"&lt;="&amp;$B40)</f>
        <v>2237.77</v>
      </c>
      <c r="M40" s="24">
        <f>SUMIFS('Saldos Iniciales'!$D:$D,'Saldos Iniciales'!$A:$A,"Soweto")+SUMIFS(Movimientos!$K$1:$K$335,Movimientos!$C$1:$C$335,"Soweto",Movimientos!$B$1:$B$335,"&lt;="&amp;$B40)</f>
        <v>3349.94</v>
      </c>
      <c r="N40" s="24">
        <f>SUMIFS('Saldos Iniciales'!$D:$D,'Saldos Iniciales'!$A:$A,"Green Stone Trust")+SUMIFS(Movimientos!$K$1:$K$335,Movimientos!$C$1:$C$335,"Green Stone Trust",Movimientos!$B$1:$B$335,"&lt;="&amp;$B40)</f>
        <v>1968.99</v>
      </c>
      <c r="O40" s="24">
        <f>SUMIFS('Saldos Iniciales'!$D:$D,'Saldos Iniciales'!$A:$A,"EC Auto")+SUMIFS(Movimientos!$K$1:$K$335,Movimientos!$C$1:$C$335,"EC Auto",Movimientos!$B$1:$B$335,"&lt;="&amp;$B40)</f>
        <v>382.69000000000005</v>
      </c>
      <c r="P40" s="24">
        <f>SUMIFS('Saldos Iniciales'!$D:$D,'Saldos Iniciales'!$A:$A,"Arbor Capital Properties")+SUMIFS(Movimientos!$K$1:$K$335,Movimientos!$C$1:$C$335,"Arbor Capital Properties",Movimientos!$B$1:$B$335,"&lt;="&amp;$B40)</f>
        <v>1428.08</v>
      </c>
      <c r="Q40" s="24">
        <f>SUMIFS('Saldos Iniciales'!$D:$D,'Saldos Iniciales'!$A:$A,"2515 Overbrook")+SUMIFS(Movimientos!$K$1:$K$335,Movimientos!$C$1:$C$335,"2515 Overbrook",Movimientos!$B$1:$B$335,"&lt;="&amp;$B40)</f>
        <v>25789.969999999961</v>
      </c>
      <c r="R40" s="24">
        <f>SUMIFS('Saldos Iniciales'!$D:$D,'Saldos Iniciales'!$A:$A,"112 Florida Ave")+SUMIFS(Movimientos!$K$1:$K$335,Movimientos!$C$1:$C$335,"112 Florida Ave",Movimientos!$B$1:$B$335,"&lt;="&amp;$B40)</f>
        <v>5321.4300000000021</v>
      </c>
      <c r="S40" s="24">
        <f>SUMIFS('Saldos Iniciales'!$D:$D,'Saldos Iniciales'!$A:$A,"3628 Thomas Ave")+SUMIFS(Movimientos!$K$1:$K$335,Movimientos!$C$1:$C$335,"3628 Thomas Ave",Movimientos!$B$1:$B$335,"&lt;="&amp;$B40)</f>
        <v>24833.23</v>
      </c>
      <c r="T40" s="24">
        <f>SUMIFS('Saldos Iniciales'!$D:$D,'Saldos Iniciales'!$A:$A,"Green Harbor Trust")+SUMIFS(Movimientos!$K$1:$K$335,Movimientos!$C$1:$C$335,"Green Harbor Trust",Movimientos!$B$1:$B$335,"&lt;="&amp;$B40)</f>
        <v>345</v>
      </c>
      <c r="U40" s="24">
        <f>SUMIFS('Saldos Iniciales'!$D:$D,'Saldos Iniciales'!$A:$A,"Go Blue")+SUMIFS(Movimientos!$K$1:$K$335,Movimientos!$C$1:$C$335,"Go Blue",Movimientos!$B$1:$B$335,"&lt;="&amp;$B40)</f>
        <v>1451.1500000000015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Group")+SUMIFS(Movimientos!$K$1:$K$335,Movimientos!$C$1:$C$335,"CFT Group",Movimientos!$B$1:$B$335,"&lt;="&amp;$B41)</f>
        <v>847381.29000000015</v>
      </c>
      <c r="D41" s="24">
        <f>SUMIFS('Saldos Iniciales'!$D:$D,'Saldos Iniciales'!$A:$A,"M1B")+SUMIFS(Movimientos!$K$1:$K$335,Movimientos!$C$1:$C$335,"M1B",Movimientos!$B$1:$B$335,"&lt;="&amp;$B41)</f>
        <v>69376.390000000174</v>
      </c>
      <c r="E41" s="24">
        <f>SUMIFS('Saldos Iniciales'!$D:$D,'Saldos Iniciales'!$A:$A,"Durand")+SUMIFS(Movimientos!$K$1:$K$335,Movimientos!$C$1:$C$335,"Durand",Movimientos!$B$1:$B$335,"&lt;="&amp;$B41)</f>
        <v>1669.89</v>
      </c>
      <c r="F41" s="24">
        <f>SUMIFS('Saldos Iniciales'!$D:$D,'Saldos Iniciales'!$A:$A,"A&amp;M Imports")+SUMIFS(Movimientos!$K$1:$K$335,Movimientos!$C$1:$C$335,"A&amp;M Imports",Movimientos!$B$1:$B$335,"&lt;="&amp;$B41)</f>
        <v>729545.23999999987</v>
      </c>
      <c r="G41" s="24">
        <f>SUMIFS('Saldos Iniciales'!$D:$D,'Saldos Iniciales'!$A:$A,"SSP Capital")+SUMIFS(Movimientos!$K$1:$K$335,Movimientos!$C$1:$C$335,"SSP Capital",Movimientos!$B$1:$B$335,"&lt;="&amp;$B41)</f>
        <v>1160274.0499999993</v>
      </c>
      <c r="H41" s="24">
        <f>SUMIFS('Saldos Iniciales'!$D:$D,'Saldos Iniciales'!$A:$A,"Cross Family Trust")+SUMIFS(Movimientos!$K$1:$K$335,Movimientos!$C$1:$C$335,"Cross Family Trust",Movimientos!$B$1:$B$335,"&lt;="&amp;$B41)</f>
        <v>116496.38</v>
      </c>
      <c r="I41" s="24">
        <f>SUMIFS('Saldos Iniciales'!$D:$D,'Saldos Iniciales'!$A:$A,"Cross Security Trust")+SUMIFS(Movimientos!$K$1:$K$335,Movimientos!$C$1:$C$335,"Cross Security Trust",Movimientos!$B$1:$B$335,"&lt;="&amp;$B41)</f>
        <v>88090.37</v>
      </c>
      <c r="J41" s="24">
        <f>SUMIFS('Saldos Iniciales'!$D:$D,'Saldos Iniciales'!$A:$A,"Electrama")+SUMIFS(Movimientos!$K$1:$K$335,Movimientos!$C$1:$C$335,"Electrama",Movimientos!$B$1:$B$335,"&lt;="&amp;$B41)</f>
        <v>1227.9699999999998</v>
      </c>
      <c r="K41" s="24">
        <f>SUMIFS('Saldos Iniciales'!$D:$D,'Saldos Iniciales'!$A:$A,"Sacred Valley Capital")+SUMIFS(Movimientos!$K$1:$K$335,Movimientos!$C$1:$C$335,"Sacred Valley Capital",Movimientos!$B$1:$B$335,"&lt;="&amp;$B41)</f>
        <v>84.35</v>
      </c>
      <c r="L41" s="24">
        <f>SUMIFS('Saldos Iniciales'!$D:$D,'Saldos Iniciales'!$A:$A,"YWC Capital")+SUMIFS(Movimientos!$K$1:$K$335,Movimientos!$C$1:$C$335,"YWC Capital",Movimientos!$B$1:$B$335,"&lt;="&amp;$B41)</f>
        <v>2237.77</v>
      </c>
      <c r="M41" s="24">
        <f>SUMIFS('Saldos Iniciales'!$D:$D,'Saldos Iniciales'!$A:$A,"Soweto")+SUMIFS(Movimientos!$K$1:$K$335,Movimientos!$C$1:$C$335,"Soweto",Movimientos!$B$1:$B$335,"&lt;="&amp;$B41)</f>
        <v>3349.94</v>
      </c>
      <c r="N41" s="24">
        <f>SUMIFS('Saldos Iniciales'!$D:$D,'Saldos Iniciales'!$A:$A,"Green Stone Trust")+SUMIFS(Movimientos!$K$1:$K$335,Movimientos!$C$1:$C$335,"Green Stone Trust",Movimientos!$B$1:$B$335,"&lt;="&amp;$B41)</f>
        <v>1968.99</v>
      </c>
      <c r="O41" s="24">
        <f>SUMIFS('Saldos Iniciales'!$D:$D,'Saldos Iniciales'!$A:$A,"EC Auto")+SUMIFS(Movimientos!$K$1:$K$335,Movimientos!$C$1:$C$335,"EC Auto",Movimientos!$B$1:$B$335,"&lt;="&amp;$B41)</f>
        <v>382.69000000000005</v>
      </c>
      <c r="P41" s="24">
        <f>SUMIFS('Saldos Iniciales'!$D:$D,'Saldos Iniciales'!$A:$A,"Arbor Capital Properties")+SUMIFS(Movimientos!$K$1:$K$335,Movimientos!$C$1:$C$335,"Arbor Capital Properties",Movimientos!$B$1:$B$335,"&lt;="&amp;$B41)</f>
        <v>1428.08</v>
      </c>
      <c r="Q41" s="24">
        <f>SUMIFS('Saldos Iniciales'!$D:$D,'Saldos Iniciales'!$A:$A,"2515 Overbrook")+SUMIFS(Movimientos!$K$1:$K$335,Movimientos!$C$1:$C$335,"2515 Overbrook",Movimientos!$B$1:$B$335,"&lt;="&amp;$B41)</f>
        <v>25789.969999999961</v>
      </c>
      <c r="R41" s="24">
        <f>SUMIFS('Saldos Iniciales'!$D:$D,'Saldos Iniciales'!$A:$A,"112 Florida Ave")+SUMIFS(Movimientos!$K$1:$K$335,Movimientos!$C$1:$C$335,"112 Florida Ave",Movimientos!$B$1:$B$335,"&lt;="&amp;$B41)</f>
        <v>5321.4300000000021</v>
      </c>
      <c r="S41" s="24">
        <f>SUMIFS('Saldos Iniciales'!$D:$D,'Saldos Iniciales'!$A:$A,"3628 Thomas Ave")+SUMIFS(Movimientos!$K$1:$K$335,Movimientos!$C$1:$C$335,"3628 Thomas Ave",Movimientos!$B$1:$B$335,"&lt;="&amp;$B41)</f>
        <v>24833.23</v>
      </c>
      <c r="T41" s="24">
        <f>SUMIFS('Saldos Iniciales'!$D:$D,'Saldos Iniciales'!$A:$A,"Green Harbor Trust")+SUMIFS(Movimientos!$K$1:$K$335,Movimientos!$C$1:$C$335,"Green Harbor Trust",Movimientos!$B$1:$B$335,"&lt;="&amp;$B41)</f>
        <v>345</v>
      </c>
      <c r="U41" s="24">
        <f>SUMIFS('Saldos Iniciales'!$D:$D,'Saldos Iniciales'!$A:$A,"Go Blue")+SUMIFS(Movimientos!$K$1:$K$335,Movimientos!$C$1:$C$335,"Go Blue",Movimientos!$B$1:$B$335,"&lt;="&amp;$B41)</f>
        <v>1289.7300000000014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Group")+SUMIFS(Movimientos!$K$1:$K$335,Movimientos!$C$1:$C$335,"CFT Group",Movimientos!$B$1:$B$335,"&lt;="&amp;$B42)</f>
        <v>2288745.9500000002</v>
      </c>
      <c r="D42" s="24">
        <f>SUMIFS('Saldos Iniciales'!$D:$D,'Saldos Iniciales'!$A:$A,"M1B")+SUMIFS(Movimientos!$K$1:$K$335,Movimientos!$C$1:$C$335,"M1B",Movimientos!$B$1:$B$335,"&lt;="&amp;$B42)</f>
        <v>69376.390000000174</v>
      </c>
      <c r="E42" s="24">
        <f>SUMIFS('Saldos Iniciales'!$D:$D,'Saldos Iniciales'!$A:$A,"Durand")+SUMIFS(Movimientos!$K$1:$K$335,Movimientos!$C$1:$C$335,"Durand",Movimientos!$B$1:$B$335,"&lt;="&amp;$B42)</f>
        <v>1669.89</v>
      </c>
      <c r="F42" s="24">
        <f>SUMIFS('Saldos Iniciales'!$D:$D,'Saldos Iniciales'!$A:$A,"A&amp;M Imports")+SUMIFS(Movimientos!$K$1:$K$335,Movimientos!$C$1:$C$335,"A&amp;M Imports",Movimientos!$B$1:$B$335,"&lt;="&amp;$B42)</f>
        <v>744306.80999999982</v>
      </c>
      <c r="G42" s="24">
        <f>SUMIFS('Saldos Iniciales'!$D:$D,'Saldos Iniciales'!$A:$A,"SSP Capital")+SUMIFS(Movimientos!$K$1:$K$335,Movimientos!$C$1:$C$335,"SSP Capital",Movimientos!$B$1:$B$335,"&lt;="&amp;$B42)</f>
        <v>1160274.0499999993</v>
      </c>
      <c r="H42" s="24">
        <f>SUMIFS('Saldos Iniciales'!$D:$D,'Saldos Iniciales'!$A:$A,"Cross Family Trust")+SUMIFS(Movimientos!$K$1:$K$335,Movimientos!$C$1:$C$335,"Cross Family Trust",Movimientos!$B$1:$B$335,"&lt;="&amp;$B42)</f>
        <v>116496.38</v>
      </c>
      <c r="I42" s="24">
        <f>SUMIFS('Saldos Iniciales'!$D:$D,'Saldos Iniciales'!$A:$A,"Cross Security Trust")+SUMIFS(Movimientos!$K$1:$K$335,Movimientos!$C$1:$C$335,"Cross Security Trust",Movimientos!$B$1:$B$335,"&lt;="&amp;$B42)</f>
        <v>88090.37</v>
      </c>
      <c r="J42" s="24">
        <f>SUMIFS('Saldos Iniciales'!$D:$D,'Saldos Iniciales'!$A:$A,"Electrama")+SUMIFS(Movimientos!$K$1:$K$335,Movimientos!$C$1:$C$335,"Electrama",Movimientos!$B$1:$B$335,"&lt;="&amp;$B42)</f>
        <v>1227.9699999999998</v>
      </c>
      <c r="K42" s="24">
        <f>SUMIFS('Saldos Iniciales'!$D:$D,'Saldos Iniciales'!$A:$A,"Sacred Valley Capital")+SUMIFS(Movimientos!$K$1:$K$335,Movimientos!$C$1:$C$335,"Sacred Valley Capital",Movimientos!$B$1:$B$335,"&lt;="&amp;$B42)</f>
        <v>84.35</v>
      </c>
      <c r="L42" s="24">
        <f>SUMIFS('Saldos Iniciales'!$D:$D,'Saldos Iniciales'!$A:$A,"YWC Capital")+SUMIFS(Movimientos!$K$1:$K$335,Movimientos!$C$1:$C$335,"YWC Capital",Movimientos!$B$1:$B$335,"&lt;="&amp;$B42)</f>
        <v>2237.77</v>
      </c>
      <c r="M42" s="24">
        <f>SUMIFS('Saldos Iniciales'!$D:$D,'Saldos Iniciales'!$A:$A,"Soweto")+SUMIFS(Movimientos!$K$1:$K$335,Movimientos!$C$1:$C$335,"Soweto",Movimientos!$B$1:$B$335,"&lt;="&amp;$B42)</f>
        <v>3349.94</v>
      </c>
      <c r="N42" s="24">
        <f>SUMIFS('Saldos Iniciales'!$D:$D,'Saldos Iniciales'!$A:$A,"Green Stone Trust")+SUMIFS(Movimientos!$K$1:$K$335,Movimientos!$C$1:$C$335,"Green Stone Trust",Movimientos!$B$1:$B$335,"&lt;="&amp;$B42)</f>
        <v>1968.99</v>
      </c>
      <c r="O42" s="24">
        <f>SUMIFS('Saldos Iniciales'!$D:$D,'Saldos Iniciales'!$A:$A,"EC Auto")+SUMIFS(Movimientos!$K$1:$K$335,Movimientos!$C$1:$C$335,"EC Auto",Movimientos!$B$1:$B$335,"&lt;="&amp;$B42)</f>
        <v>382.69000000000005</v>
      </c>
      <c r="P42" s="24">
        <f>SUMIFS('Saldos Iniciales'!$D:$D,'Saldos Iniciales'!$A:$A,"Arbor Capital Properties")+SUMIFS(Movimientos!$K$1:$K$335,Movimientos!$C$1:$C$335,"Arbor Capital Properties",Movimientos!$B$1:$B$335,"&lt;="&amp;$B42)</f>
        <v>1428.08</v>
      </c>
      <c r="Q42" s="24">
        <f>SUMIFS('Saldos Iniciales'!$D:$D,'Saldos Iniciales'!$A:$A,"2515 Overbrook")+SUMIFS(Movimientos!$K$1:$K$335,Movimientos!$C$1:$C$335,"2515 Overbrook",Movimientos!$B$1:$B$335,"&lt;="&amp;$B42)</f>
        <v>25789.969999999961</v>
      </c>
      <c r="R42" s="24">
        <f>SUMIFS('Saldos Iniciales'!$D:$D,'Saldos Iniciales'!$A:$A,"112 Florida Ave")+SUMIFS(Movimientos!$K$1:$K$335,Movimientos!$C$1:$C$335,"112 Florida Ave",Movimientos!$B$1:$B$335,"&lt;="&amp;$B42)</f>
        <v>5321.4300000000021</v>
      </c>
      <c r="S42" s="24">
        <f>SUMIFS('Saldos Iniciales'!$D:$D,'Saldos Iniciales'!$A:$A,"3628 Thomas Ave")+SUMIFS(Movimientos!$K$1:$K$335,Movimientos!$C$1:$C$335,"3628 Thomas Ave",Movimientos!$B$1:$B$335,"&lt;="&amp;$B42)</f>
        <v>24743.98</v>
      </c>
      <c r="T42" s="24">
        <f>SUMIFS('Saldos Iniciales'!$D:$D,'Saldos Iniciales'!$A:$A,"Green Harbor Trust")+SUMIFS(Movimientos!$K$1:$K$335,Movimientos!$C$1:$C$335,"Green Harbor Trust",Movimientos!$B$1:$B$335,"&lt;="&amp;$B42)</f>
        <v>345</v>
      </c>
      <c r="U42" s="24">
        <f>SUMIFS('Saldos Iniciales'!$D:$D,'Saldos Iniciales'!$A:$A,"Go Blue")+SUMIFS(Movimientos!$K$1:$K$335,Movimientos!$C$1:$C$335,"Go Blue",Movimientos!$B$1:$B$335,"&lt;="&amp;$B42)</f>
        <v>1289.7300000000014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Group")+SUMIFS(Movimientos!$K$1:$K$335,Movimientos!$C$1:$C$335,"CFT Group",Movimientos!$B$1:$B$335,"&lt;="&amp;$B43)</f>
        <v>1837784.84</v>
      </c>
      <c r="D43" s="24">
        <f>SUMIFS('Saldos Iniciales'!$D:$D,'Saldos Iniciales'!$A:$A,"M1B")+SUMIFS(Movimientos!$K$1:$K$335,Movimientos!$C$1:$C$335,"M1B",Movimientos!$B$1:$B$335,"&lt;="&amp;$B43)</f>
        <v>69376.390000000174</v>
      </c>
      <c r="E43" s="24">
        <f>SUMIFS('Saldos Iniciales'!$D:$D,'Saldos Iniciales'!$A:$A,"Durand")+SUMIFS(Movimientos!$K$1:$K$335,Movimientos!$C$1:$C$335,"Durand",Movimientos!$B$1:$B$335,"&lt;="&amp;$B43)</f>
        <v>1669.89</v>
      </c>
      <c r="F43" s="24">
        <f>SUMIFS('Saldos Iniciales'!$D:$D,'Saldos Iniciales'!$A:$A,"A&amp;M Imports")+SUMIFS(Movimientos!$K$1:$K$335,Movimientos!$C$1:$C$335,"A&amp;M Imports",Movimientos!$B$1:$B$335,"&lt;="&amp;$B43)</f>
        <v>564626.20999999985</v>
      </c>
      <c r="G43" s="24">
        <f>SUMIFS('Saldos Iniciales'!$D:$D,'Saldos Iniciales'!$A:$A,"SSP Capital")+SUMIFS(Movimientos!$K$1:$K$335,Movimientos!$C$1:$C$335,"SSP Capital",Movimientos!$B$1:$B$335,"&lt;="&amp;$B43)</f>
        <v>794731.82999999926</v>
      </c>
      <c r="H43" s="24">
        <f>SUMIFS('Saldos Iniciales'!$D:$D,'Saldos Iniciales'!$A:$A,"Cross Family Trust")+SUMIFS(Movimientos!$K$1:$K$335,Movimientos!$C$1:$C$335,"Cross Family Trust",Movimientos!$B$1:$B$335,"&lt;="&amp;$B43)</f>
        <v>116496.38</v>
      </c>
      <c r="I43" s="24">
        <f>SUMIFS('Saldos Iniciales'!$D:$D,'Saldos Iniciales'!$A:$A,"Cross Security Trust")+SUMIFS(Movimientos!$K$1:$K$335,Movimientos!$C$1:$C$335,"Cross Security Trust",Movimientos!$B$1:$B$335,"&lt;="&amp;$B43)</f>
        <v>88090.37</v>
      </c>
      <c r="J43" s="24">
        <f>SUMIFS('Saldos Iniciales'!$D:$D,'Saldos Iniciales'!$A:$A,"Electrama")+SUMIFS(Movimientos!$K$1:$K$335,Movimientos!$C$1:$C$335,"Electrama",Movimientos!$B$1:$B$335,"&lt;="&amp;$B43)</f>
        <v>1227.9699999999998</v>
      </c>
      <c r="K43" s="24">
        <f>SUMIFS('Saldos Iniciales'!$D:$D,'Saldos Iniciales'!$A:$A,"Sacred Valley Capital")+SUMIFS(Movimientos!$K$1:$K$335,Movimientos!$C$1:$C$335,"Sacred Valley Capital",Movimientos!$B$1:$B$335,"&lt;="&amp;$B43)</f>
        <v>84.35</v>
      </c>
      <c r="L43" s="24">
        <f>SUMIFS('Saldos Iniciales'!$D:$D,'Saldos Iniciales'!$A:$A,"YWC Capital")+SUMIFS(Movimientos!$K$1:$K$335,Movimientos!$C$1:$C$335,"YWC Capital",Movimientos!$B$1:$B$335,"&lt;="&amp;$B43)</f>
        <v>2237.77</v>
      </c>
      <c r="M43" s="24">
        <f>SUMIFS('Saldos Iniciales'!$D:$D,'Saldos Iniciales'!$A:$A,"Soweto")+SUMIFS(Movimientos!$K$1:$K$335,Movimientos!$C$1:$C$335,"Soweto",Movimientos!$B$1:$B$335,"&lt;="&amp;$B43)</f>
        <v>3349.94</v>
      </c>
      <c r="N43" s="24">
        <f>SUMIFS('Saldos Iniciales'!$D:$D,'Saldos Iniciales'!$A:$A,"Green Stone Trust")+SUMIFS(Movimientos!$K$1:$K$335,Movimientos!$C$1:$C$335,"Green Stone Trust",Movimientos!$B$1:$B$335,"&lt;="&amp;$B43)</f>
        <v>1968.99</v>
      </c>
      <c r="O43" s="24">
        <f>SUMIFS('Saldos Iniciales'!$D:$D,'Saldos Iniciales'!$A:$A,"EC Auto")+SUMIFS(Movimientos!$K$1:$K$335,Movimientos!$C$1:$C$335,"EC Auto",Movimientos!$B$1:$B$335,"&lt;="&amp;$B43)</f>
        <v>382.69000000000005</v>
      </c>
      <c r="P43" s="24">
        <f>SUMIFS('Saldos Iniciales'!$D:$D,'Saldos Iniciales'!$A:$A,"Arbor Capital Properties")+SUMIFS(Movimientos!$K$1:$K$335,Movimientos!$C$1:$C$335,"Arbor Capital Properties",Movimientos!$B$1:$B$335,"&lt;="&amp;$B43)</f>
        <v>1428.08</v>
      </c>
      <c r="Q43" s="24">
        <f>SUMIFS('Saldos Iniciales'!$D:$D,'Saldos Iniciales'!$A:$A,"2515 Overbrook")+SUMIFS(Movimientos!$K$1:$K$335,Movimientos!$C$1:$C$335,"2515 Overbrook",Movimientos!$B$1:$B$335,"&lt;="&amp;$B43)</f>
        <v>25789.969999999961</v>
      </c>
      <c r="R43" s="24">
        <f>SUMIFS('Saldos Iniciales'!$D:$D,'Saldos Iniciales'!$A:$A,"112 Florida Ave")+SUMIFS(Movimientos!$K$1:$K$335,Movimientos!$C$1:$C$335,"112 Florida Ave",Movimientos!$B$1:$B$335,"&lt;="&amp;$B43)</f>
        <v>5321.4300000000021</v>
      </c>
      <c r="S43" s="24">
        <f>SUMIFS('Saldos Iniciales'!$D:$D,'Saldos Iniciales'!$A:$A,"3628 Thomas Ave")+SUMIFS(Movimientos!$K$1:$K$335,Movimientos!$C$1:$C$335,"3628 Thomas Ave",Movimientos!$B$1:$B$335,"&lt;="&amp;$B43)</f>
        <v>24743.98</v>
      </c>
      <c r="T43" s="24">
        <f>SUMIFS('Saldos Iniciales'!$D:$D,'Saldos Iniciales'!$A:$A,"Green Harbor Trust")+SUMIFS(Movimientos!$K$1:$K$335,Movimientos!$C$1:$C$335,"Green Harbor Trust",Movimientos!$B$1:$B$335,"&lt;="&amp;$B43)</f>
        <v>345</v>
      </c>
      <c r="U43" s="24">
        <f>SUMIFS('Saldos Iniciales'!$D:$D,'Saldos Iniciales'!$A:$A,"Go Blue")+SUMIFS(Movimientos!$K$1:$K$335,Movimientos!$C$1:$C$335,"Go Blue",Movimientos!$B$1:$B$335,"&lt;="&amp;$B43)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Group")+SUMIFS(Movimientos!$K$1:$K$335,Movimientos!$C$1:$C$335,"CFT Group",Movimientos!$B$1:$B$335,"&lt;="&amp;$B44)</f>
        <v>1837784.84</v>
      </c>
      <c r="D44" s="24">
        <f>SUMIFS('Saldos Iniciales'!$D:$D,'Saldos Iniciales'!$A:$A,"M1B")+SUMIFS(Movimientos!$K$1:$K$335,Movimientos!$C$1:$C$335,"M1B",Movimientos!$B$1:$B$335,"&lt;="&amp;$B44)</f>
        <v>69376.390000000174</v>
      </c>
      <c r="E44" s="24">
        <f>SUMIFS('Saldos Iniciales'!$D:$D,'Saldos Iniciales'!$A:$A,"Durand")+SUMIFS(Movimientos!$K$1:$K$335,Movimientos!$C$1:$C$335,"Durand",Movimientos!$B$1:$B$335,"&lt;="&amp;$B44)</f>
        <v>1669.89</v>
      </c>
      <c r="F44" s="24">
        <f>SUMIFS('Saldos Iniciales'!$D:$D,'Saldos Iniciales'!$A:$A,"A&amp;M Imports")+SUMIFS(Movimientos!$K$1:$K$335,Movimientos!$C$1:$C$335,"A&amp;M Imports",Movimientos!$B$1:$B$335,"&lt;="&amp;$B44)</f>
        <v>564626.20999999985</v>
      </c>
      <c r="G44" s="24">
        <f>SUMIFS('Saldos Iniciales'!$D:$D,'Saldos Iniciales'!$A:$A,"SSP Capital")+SUMIFS(Movimientos!$K$1:$K$335,Movimientos!$C$1:$C$335,"SSP Capital",Movimientos!$B$1:$B$335,"&lt;="&amp;$B44)</f>
        <v>3763348.8299999996</v>
      </c>
      <c r="H44" s="24">
        <f>SUMIFS('Saldos Iniciales'!$D:$D,'Saldos Iniciales'!$A:$A,"Cross Family Trust")+SUMIFS(Movimientos!$K$1:$K$335,Movimientos!$C$1:$C$335,"Cross Family Trust",Movimientos!$B$1:$B$335,"&lt;="&amp;$B44)</f>
        <v>116496.38</v>
      </c>
      <c r="I44" s="24">
        <f>SUMIFS('Saldos Iniciales'!$D:$D,'Saldos Iniciales'!$A:$A,"Cross Security Trust")+SUMIFS(Movimientos!$K$1:$K$335,Movimientos!$C$1:$C$335,"Cross Security Trust",Movimientos!$B$1:$B$335,"&lt;="&amp;$B44)</f>
        <v>88090.37</v>
      </c>
      <c r="J44" s="24">
        <f>SUMIFS('Saldos Iniciales'!$D:$D,'Saldos Iniciales'!$A:$A,"Electrama")+SUMIFS(Movimientos!$K$1:$K$335,Movimientos!$C$1:$C$335,"Electrama",Movimientos!$B$1:$B$335,"&lt;="&amp;$B44)</f>
        <v>1227.9699999999998</v>
      </c>
      <c r="K44" s="24">
        <f>SUMIFS('Saldos Iniciales'!$D:$D,'Saldos Iniciales'!$A:$A,"Sacred Valley Capital")+SUMIFS(Movimientos!$K$1:$K$335,Movimientos!$C$1:$C$335,"Sacred Valley Capital",Movimientos!$B$1:$B$335,"&lt;="&amp;$B44)</f>
        <v>84.35</v>
      </c>
      <c r="L44" s="24">
        <f>SUMIFS('Saldos Iniciales'!$D:$D,'Saldos Iniciales'!$A:$A,"YWC Capital")+SUMIFS(Movimientos!$K$1:$K$335,Movimientos!$C$1:$C$335,"YWC Capital",Movimientos!$B$1:$B$335,"&lt;="&amp;$B44)</f>
        <v>2237.77</v>
      </c>
      <c r="M44" s="24">
        <f>SUMIFS('Saldos Iniciales'!$D:$D,'Saldos Iniciales'!$A:$A,"Soweto")+SUMIFS(Movimientos!$K$1:$K$335,Movimientos!$C$1:$C$335,"Soweto",Movimientos!$B$1:$B$335,"&lt;="&amp;$B44)</f>
        <v>3349.94</v>
      </c>
      <c r="N44" s="24">
        <f>SUMIFS('Saldos Iniciales'!$D:$D,'Saldos Iniciales'!$A:$A,"Green Stone Trust")+SUMIFS(Movimientos!$K$1:$K$335,Movimientos!$C$1:$C$335,"Green Stone Trust",Movimientos!$B$1:$B$335,"&lt;="&amp;$B44)</f>
        <v>1968.99</v>
      </c>
      <c r="O44" s="24">
        <f>SUMIFS('Saldos Iniciales'!$D:$D,'Saldos Iniciales'!$A:$A,"EC Auto")+SUMIFS(Movimientos!$K$1:$K$335,Movimientos!$C$1:$C$335,"EC Auto",Movimientos!$B$1:$B$335,"&lt;="&amp;$B44)</f>
        <v>382.69000000000005</v>
      </c>
      <c r="P44" s="24">
        <f>SUMIFS('Saldos Iniciales'!$D:$D,'Saldos Iniciales'!$A:$A,"Arbor Capital Properties")+SUMIFS(Movimientos!$K$1:$K$335,Movimientos!$C$1:$C$335,"Arbor Capital Properties",Movimientos!$B$1:$B$335,"&lt;="&amp;$B44)</f>
        <v>1428.08</v>
      </c>
      <c r="Q44" s="24">
        <f>SUMIFS('Saldos Iniciales'!$D:$D,'Saldos Iniciales'!$A:$A,"2515 Overbrook")+SUMIFS(Movimientos!$K$1:$K$335,Movimientos!$C$1:$C$335,"2515 Overbrook",Movimientos!$B$1:$B$335,"&lt;="&amp;$B44)</f>
        <v>27789.969999999961</v>
      </c>
      <c r="R44" s="24">
        <f>SUMIFS('Saldos Iniciales'!$D:$D,'Saldos Iniciales'!$A:$A,"112 Florida Ave")+SUMIFS(Movimientos!$K$1:$K$335,Movimientos!$C$1:$C$335,"112 Florida Ave",Movimientos!$B$1:$B$335,"&lt;="&amp;$B44)</f>
        <v>5321.4300000000021</v>
      </c>
      <c r="S44" s="24">
        <f>SUMIFS('Saldos Iniciales'!$D:$D,'Saldos Iniciales'!$A:$A,"3628 Thomas Ave")+SUMIFS(Movimientos!$K$1:$K$335,Movimientos!$C$1:$C$335,"3628 Thomas Ave",Movimientos!$B$1:$B$335,"&lt;="&amp;$B44)</f>
        <v>24484.85</v>
      </c>
      <c r="T44" s="24">
        <f>SUMIFS('Saldos Iniciales'!$D:$D,'Saldos Iniciales'!$A:$A,"Green Harbor Trust")+SUMIFS(Movimientos!$K$1:$K$335,Movimientos!$C$1:$C$335,"Green Harbor Trust",Movimientos!$B$1:$B$335,"&lt;="&amp;$B44)</f>
        <v>345</v>
      </c>
      <c r="U44" s="24">
        <f>SUMIFS('Saldos Iniciales'!$D:$D,'Saldos Iniciales'!$A:$A,"Go Blue")+SUMIFS(Movimientos!$K$1:$K$335,Movimientos!$C$1:$C$335,"Go Blue",Movimientos!$B$1:$B$335,"&lt;="&amp;$B44)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Group")+SUMIFS(Movimientos!$K$1:$K$335,Movimientos!$C$1:$C$335,"CFT Group",Movimientos!$B$1:$B$335,"&lt;="&amp;$B45)</f>
        <v>1837784.84</v>
      </c>
      <c r="D45" s="24">
        <f>SUMIFS('Saldos Iniciales'!$D:$D,'Saldos Iniciales'!$A:$A,"M1B")+SUMIFS(Movimientos!$K$1:$K$335,Movimientos!$C$1:$C$335,"M1B",Movimientos!$B$1:$B$335,"&lt;="&amp;$B45)</f>
        <v>69376.390000000174</v>
      </c>
      <c r="E45" s="24">
        <f>SUMIFS('Saldos Iniciales'!$D:$D,'Saldos Iniciales'!$A:$A,"Durand")+SUMIFS(Movimientos!$K$1:$K$335,Movimientos!$C$1:$C$335,"Durand",Movimientos!$B$1:$B$335,"&lt;="&amp;$B45)</f>
        <v>1669.89</v>
      </c>
      <c r="F45" s="24">
        <f>SUMIFS('Saldos Iniciales'!$D:$D,'Saldos Iniciales'!$A:$A,"A&amp;M Imports")+SUMIFS(Movimientos!$K$1:$K$335,Movimientos!$C$1:$C$335,"A&amp;M Imports",Movimientos!$B$1:$B$335,"&lt;="&amp;$B45)</f>
        <v>564626.20999999985</v>
      </c>
      <c r="G45" s="24">
        <f>SUMIFS('Saldos Iniciales'!$D:$D,'Saldos Iniciales'!$A:$A,"SSP Capital")+SUMIFS(Movimientos!$K$1:$K$335,Movimientos!$C$1:$C$335,"SSP Capital",Movimientos!$B$1:$B$335,"&lt;="&amp;$B45)</f>
        <v>3763348.8299999996</v>
      </c>
      <c r="H45" s="24">
        <f>SUMIFS('Saldos Iniciales'!$D:$D,'Saldos Iniciales'!$A:$A,"Cross Family Trust")+SUMIFS(Movimientos!$K$1:$K$335,Movimientos!$C$1:$C$335,"Cross Family Trust",Movimientos!$B$1:$B$335,"&lt;="&amp;$B45)</f>
        <v>116496.38</v>
      </c>
      <c r="I45" s="24">
        <f>SUMIFS('Saldos Iniciales'!$D:$D,'Saldos Iniciales'!$A:$A,"Cross Security Trust")+SUMIFS(Movimientos!$K$1:$K$335,Movimientos!$C$1:$C$335,"Cross Security Trust",Movimientos!$B$1:$B$335,"&lt;="&amp;$B45)</f>
        <v>88090.37</v>
      </c>
      <c r="J45" s="24">
        <f>SUMIFS('Saldos Iniciales'!$D:$D,'Saldos Iniciales'!$A:$A,"Electrama")+SUMIFS(Movimientos!$K$1:$K$335,Movimientos!$C$1:$C$335,"Electrama",Movimientos!$B$1:$B$335,"&lt;="&amp;$B45)</f>
        <v>1227.9699999999998</v>
      </c>
      <c r="K45" s="24">
        <f>SUMIFS('Saldos Iniciales'!$D:$D,'Saldos Iniciales'!$A:$A,"Sacred Valley Capital")+SUMIFS(Movimientos!$K$1:$K$335,Movimientos!$C$1:$C$335,"Sacred Valley Capital",Movimientos!$B$1:$B$335,"&lt;="&amp;$B45)</f>
        <v>84.35</v>
      </c>
      <c r="L45" s="24">
        <f>SUMIFS('Saldos Iniciales'!$D:$D,'Saldos Iniciales'!$A:$A,"YWC Capital")+SUMIFS(Movimientos!$K$1:$K$335,Movimientos!$C$1:$C$335,"YWC Capital",Movimientos!$B$1:$B$335,"&lt;="&amp;$B45)</f>
        <v>2237.77</v>
      </c>
      <c r="M45" s="24">
        <f>SUMIFS('Saldos Iniciales'!$D:$D,'Saldos Iniciales'!$A:$A,"Soweto")+SUMIFS(Movimientos!$K$1:$K$335,Movimientos!$C$1:$C$335,"Soweto",Movimientos!$B$1:$B$335,"&lt;="&amp;$B45)</f>
        <v>3349.94</v>
      </c>
      <c r="N45" s="24">
        <f>SUMIFS('Saldos Iniciales'!$D:$D,'Saldos Iniciales'!$A:$A,"Green Stone Trust")+SUMIFS(Movimientos!$K$1:$K$335,Movimientos!$C$1:$C$335,"Green Stone Trust",Movimientos!$B$1:$B$335,"&lt;="&amp;$B45)</f>
        <v>1968.99</v>
      </c>
      <c r="O45" s="24">
        <f>SUMIFS('Saldos Iniciales'!$D:$D,'Saldos Iniciales'!$A:$A,"EC Auto")+SUMIFS(Movimientos!$K$1:$K$335,Movimientos!$C$1:$C$335,"EC Auto",Movimientos!$B$1:$B$335,"&lt;="&amp;$B45)</f>
        <v>382.69000000000005</v>
      </c>
      <c r="P45" s="24">
        <f>SUMIFS('Saldos Iniciales'!$D:$D,'Saldos Iniciales'!$A:$A,"Arbor Capital Properties")+SUMIFS(Movimientos!$K$1:$K$335,Movimientos!$C$1:$C$335,"Arbor Capital Properties",Movimientos!$B$1:$B$335,"&lt;="&amp;$B45)</f>
        <v>1428.08</v>
      </c>
      <c r="Q45" s="24">
        <f>SUMIFS('Saldos Iniciales'!$D:$D,'Saldos Iniciales'!$A:$A,"2515 Overbrook")+SUMIFS(Movimientos!$K$1:$K$335,Movimientos!$C$1:$C$335,"2515 Overbrook",Movimientos!$B$1:$B$335,"&lt;="&amp;$B45)</f>
        <v>27789.969999999961</v>
      </c>
      <c r="R45" s="24">
        <f>SUMIFS('Saldos Iniciales'!$D:$D,'Saldos Iniciales'!$A:$A,"112 Florida Ave")+SUMIFS(Movimientos!$K$1:$K$335,Movimientos!$C$1:$C$335,"112 Florida Ave",Movimientos!$B$1:$B$335,"&lt;="&amp;$B45)</f>
        <v>5321.4300000000021</v>
      </c>
      <c r="S45" s="24">
        <f>SUMIFS('Saldos Iniciales'!$D:$D,'Saldos Iniciales'!$A:$A,"3628 Thomas Ave")+SUMIFS(Movimientos!$K$1:$K$335,Movimientos!$C$1:$C$335,"3628 Thomas Ave",Movimientos!$B$1:$B$335,"&lt;="&amp;$B45)</f>
        <v>24484.85</v>
      </c>
      <c r="T45" s="24">
        <f>SUMIFS('Saldos Iniciales'!$D:$D,'Saldos Iniciales'!$A:$A,"Green Harbor Trust")+SUMIFS(Movimientos!$K$1:$K$335,Movimientos!$C$1:$C$335,"Green Harbor Trust",Movimientos!$B$1:$B$335,"&lt;="&amp;$B45)</f>
        <v>345</v>
      </c>
      <c r="U45" s="24">
        <f>SUMIFS('Saldos Iniciales'!$D:$D,'Saldos Iniciales'!$A:$A,"Go Blue")+SUMIFS(Movimientos!$K$1:$K$335,Movimientos!$C$1:$C$335,"Go Blue",Movimientos!$B$1:$B$335,"&lt;="&amp;$B45)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Group")+SUMIFS(Movimientos!$K$1:$K$335,Movimientos!$C$1:$C$335,"CFT Group",Movimientos!$B$1:$B$335,"&lt;="&amp;$B46)</f>
        <v>1837784.84</v>
      </c>
      <c r="D46" s="24">
        <f>SUMIFS('Saldos Iniciales'!$D:$D,'Saldos Iniciales'!$A:$A,"M1B")+SUMIFS(Movimientos!$K$1:$K$335,Movimientos!$C$1:$C$335,"M1B",Movimientos!$B$1:$B$335,"&lt;="&amp;$B46)</f>
        <v>69376.390000000174</v>
      </c>
      <c r="E46" s="24">
        <f>SUMIFS('Saldos Iniciales'!$D:$D,'Saldos Iniciales'!$A:$A,"Durand")+SUMIFS(Movimientos!$K$1:$K$335,Movimientos!$C$1:$C$335,"Durand",Movimientos!$B$1:$B$335,"&lt;="&amp;$B46)</f>
        <v>1669.89</v>
      </c>
      <c r="F46" s="24">
        <f>SUMIFS('Saldos Iniciales'!$D:$D,'Saldos Iniciales'!$A:$A,"A&amp;M Imports")+SUMIFS(Movimientos!$K$1:$K$335,Movimientos!$C$1:$C$335,"A&amp;M Imports",Movimientos!$B$1:$B$335,"&lt;="&amp;$B46)</f>
        <v>564626.20999999985</v>
      </c>
      <c r="G46" s="24">
        <f>SUMIFS('Saldos Iniciales'!$D:$D,'Saldos Iniciales'!$A:$A,"SSP Capital")+SUMIFS(Movimientos!$K$1:$K$335,Movimientos!$C$1:$C$335,"SSP Capital",Movimientos!$B$1:$B$335,"&lt;="&amp;$B46)</f>
        <v>3763348.8299999996</v>
      </c>
      <c r="H46" s="24">
        <f>SUMIFS('Saldos Iniciales'!$D:$D,'Saldos Iniciales'!$A:$A,"Cross Family Trust")+SUMIFS(Movimientos!$K$1:$K$335,Movimientos!$C$1:$C$335,"Cross Family Trust",Movimientos!$B$1:$B$335,"&lt;="&amp;$B46)</f>
        <v>116496.38</v>
      </c>
      <c r="I46" s="24">
        <f>SUMIFS('Saldos Iniciales'!$D:$D,'Saldos Iniciales'!$A:$A,"Cross Security Trust")+SUMIFS(Movimientos!$K$1:$K$335,Movimientos!$C$1:$C$335,"Cross Security Trust",Movimientos!$B$1:$B$335,"&lt;="&amp;$B46)</f>
        <v>88090.37</v>
      </c>
      <c r="J46" s="24">
        <f>SUMIFS('Saldos Iniciales'!$D:$D,'Saldos Iniciales'!$A:$A,"Electrama")+SUMIFS(Movimientos!$K$1:$K$335,Movimientos!$C$1:$C$335,"Electrama",Movimientos!$B$1:$B$335,"&lt;="&amp;$B46)</f>
        <v>1227.9699999999998</v>
      </c>
      <c r="K46" s="24">
        <f>SUMIFS('Saldos Iniciales'!$D:$D,'Saldos Iniciales'!$A:$A,"Sacred Valley Capital")+SUMIFS(Movimientos!$K$1:$K$335,Movimientos!$C$1:$C$335,"Sacred Valley Capital",Movimientos!$B$1:$B$335,"&lt;="&amp;$B46)</f>
        <v>84.35</v>
      </c>
      <c r="L46" s="24">
        <f>SUMIFS('Saldos Iniciales'!$D:$D,'Saldos Iniciales'!$A:$A,"YWC Capital")+SUMIFS(Movimientos!$K$1:$K$335,Movimientos!$C$1:$C$335,"YWC Capital",Movimientos!$B$1:$B$335,"&lt;="&amp;$B46)</f>
        <v>2237.77</v>
      </c>
      <c r="M46" s="24">
        <f>SUMIFS('Saldos Iniciales'!$D:$D,'Saldos Iniciales'!$A:$A,"Soweto")+SUMIFS(Movimientos!$K$1:$K$335,Movimientos!$C$1:$C$335,"Soweto",Movimientos!$B$1:$B$335,"&lt;="&amp;$B46)</f>
        <v>3349.94</v>
      </c>
      <c r="N46" s="24">
        <f>SUMIFS('Saldos Iniciales'!$D:$D,'Saldos Iniciales'!$A:$A,"Green Stone Trust")+SUMIFS(Movimientos!$K$1:$K$335,Movimientos!$C$1:$C$335,"Green Stone Trust",Movimientos!$B$1:$B$335,"&lt;="&amp;$B46)</f>
        <v>1968.99</v>
      </c>
      <c r="O46" s="24">
        <f>SUMIFS('Saldos Iniciales'!$D:$D,'Saldos Iniciales'!$A:$A,"EC Auto")+SUMIFS(Movimientos!$K$1:$K$335,Movimientos!$C$1:$C$335,"EC Auto",Movimientos!$B$1:$B$335,"&lt;="&amp;$B46)</f>
        <v>382.69000000000005</v>
      </c>
      <c r="P46" s="24">
        <f>SUMIFS('Saldos Iniciales'!$D:$D,'Saldos Iniciales'!$A:$A,"Arbor Capital Properties")+SUMIFS(Movimientos!$K$1:$K$335,Movimientos!$C$1:$C$335,"Arbor Capital Properties",Movimientos!$B$1:$B$335,"&lt;="&amp;$B46)</f>
        <v>1428.08</v>
      </c>
      <c r="Q46" s="24">
        <f>SUMIFS('Saldos Iniciales'!$D:$D,'Saldos Iniciales'!$A:$A,"2515 Overbrook")+SUMIFS(Movimientos!$K$1:$K$335,Movimientos!$C$1:$C$335,"2515 Overbrook",Movimientos!$B$1:$B$335,"&lt;="&amp;$B46)</f>
        <v>27789.969999999961</v>
      </c>
      <c r="R46" s="24">
        <f>SUMIFS('Saldos Iniciales'!$D:$D,'Saldos Iniciales'!$A:$A,"112 Florida Ave")+SUMIFS(Movimientos!$K$1:$K$335,Movimientos!$C$1:$C$335,"112 Florida Ave",Movimientos!$B$1:$B$335,"&lt;="&amp;$B46)</f>
        <v>5321.4300000000021</v>
      </c>
      <c r="S46" s="24">
        <f>SUMIFS('Saldos Iniciales'!$D:$D,'Saldos Iniciales'!$A:$A,"3628 Thomas Ave")+SUMIFS(Movimientos!$K$1:$K$335,Movimientos!$C$1:$C$335,"3628 Thomas Ave",Movimientos!$B$1:$B$335,"&lt;="&amp;$B46)</f>
        <v>24484.85</v>
      </c>
      <c r="T46" s="24">
        <f>SUMIFS('Saldos Iniciales'!$D:$D,'Saldos Iniciales'!$A:$A,"Green Harbor Trust")+SUMIFS(Movimientos!$K$1:$K$335,Movimientos!$C$1:$C$335,"Green Harbor Trust",Movimientos!$B$1:$B$335,"&lt;="&amp;$B46)</f>
        <v>345</v>
      </c>
      <c r="U46" s="24">
        <f>SUMIFS('Saldos Iniciales'!$D:$D,'Saldos Iniciales'!$A:$A,"Go Blue")+SUMIFS(Movimientos!$K$1:$K$335,Movimientos!$C$1:$C$335,"Go Blue",Movimientos!$B$1:$B$335,"&lt;="&amp;$B46)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Group")+SUMIFS(Movimientos!$K$1:$K$335,Movimientos!$C$1:$C$335,"CFT Group",Movimientos!$B$1:$B$335,"&lt;="&amp;$B47)</f>
        <v>985975.94000000029</v>
      </c>
      <c r="D47" s="24">
        <f>SUMIFS('Saldos Iniciales'!$D:$D,'Saldos Iniciales'!$A:$A,"M1B")+SUMIFS(Movimientos!$K$1:$K$335,Movimientos!$C$1:$C$335,"M1B",Movimientos!$B$1:$B$335,"&lt;="&amp;$B47)</f>
        <v>69376.390000000174</v>
      </c>
      <c r="E47" s="24">
        <f>SUMIFS('Saldos Iniciales'!$D:$D,'Saldos Iniciales'!$A:$A,"Durand")+SUMIFS(Movimientos!$K$1:$K$335,Movimientos!$C$1:$C$335,"Durand",Movimientos!$B$1:$B$335,"&lt;="&amp;$B47)</f>
        <v>1669.89</v>
      </c>
      <c r="F47" s="24">
        <f>SUMIFS('Saldos Iniciales'!$D:$D,'Saldos Iniciales'!$A:$A,"A&amp;M Imports")+SUMIFS(Movimientos!$K$1:$K$335,Movimientos!$C$1:$C$335,"A&amp;M Imports",Movimientos!$B$1:$B$335,"&lt;="&amp;$B47)</f>
        <v>503904.80999999982</v>
      </c>
      <c r="G47" s="24">
        <f>SUMIFS('Saldos Iniciales'!$D:$D,'Saldos Iniciales'!$A:$A,"SSP Capital")+SUMIFS(Movimientos!$K$1:$K$335,Movimientos!$C$1:$C$335,"SSP Capital",Movimientos!$B$1:$B$335,"&lt;="&amp;$B47)</f>
        <v>3277137.2399999998</v>
      </c>
      <c r="H47" s="24">
        <f>SUMIFS('Saldos Iniciales'!$D:$D,'Saldos Iniciales'!$A:$A,"Cross Family Trust")+SUMIFS(Movimientos!$K$1:$K$335,Movimientos!$C$1:$C$335,"Cross Family Trust",Movimientos!$B$1:$B$335,"&lt;="&amp;$B47)</f>
        <v>116496.38</v>
      </c>
      <c r="I47" s="24">
        <f>SUMIFS('Saldos Iniciales'!$D:$D,'Saldos Iniciales'!$A:$A,"Cross Security Trust")+SUMIFS(Movimientos!$K$1:$K$335,Movimientos!$C$1:$C$335,"Cross Security Trust",Movimientos!$B$1:$B$335,"&lt;="&amp;$B47)</f>
        <v>88090.37</v>
      </c>
      <c r="J47" s="24">
        <f>SUMIFS('Saldos Iniciales'!$D:$D,'Saldos Iniciales'!$A:$A,"Electrama")+SUMIFS(Movimientos!$K$1:$K$335,Movimientos!$C$1:$C$335,"Electrama",Movimientos!$B$1:$B$335,"&lt;="&amp;$B47)</f>
        <v>1227.9699999999998</v>
      </c>
      <c r="K47" s="24">
        <f>SUMIFS('Saldos Iniciales'!$D:$D,'Saldos Iniciales'!$A:$A,"Sacred Valley Capital")+SUMIFS(Movimientos!$K$1:$K$335,Movimientos!$C$1:$C$335,"Sacred Valley Capital",Movimientos!$B$1:$B$335,"&lt;="&amp;$B47)</f>
        <v>84.35</v>
      </c>
      <c r="L47" s="24">
        <f>SUMIFS('Saldos Iniciales'!$D:$D,'Saldos Iniciales'!$A:$A,"YWC Capital")+SUMIFS(Movimientos!$K$1:$K$335,Movimientos!$C$1:$C$335,"YWC Capital",Movimientos!$B$1:$B$335,"&lt;="&amp;$B47)</f>
        <v>2237.77</v>
      </c>
      <c r="M47" s="24">
        <f>SUMIFS('Saldos Iniciales'!$D:$D,'Saldos Iniciales'!$A:$A,"Soweto")+SUMIFS(Movimientos!$K$1:$K$335,Movimientos!$C$1:$C$335,"Soweto",Movimientos!$B$1:$B$335,"&lt;="&amp;$B47)</f>
        <v>3349.94</v>
      </c>
      <c r="N47" s="24">
        <f>SUMIFS('Saldos Iniciales'!$D:$D,'Saldos Iniciales'!$A:$A,"Green Stone Trust")+SUMIFS(Movimientos!$K$1:$K$335,Movimientos!$C$1:$C$335,"Green Stone Trust",Movimientos!$B$1:$B$335,"&lt;="&amp;$B47)</f>
        <v>1968.99</v>
      </c>
      <c r="O47" s="24">
        <f>SUMIFS('Saldos Iniciales'!$D:$D,'Saldos Iniciales'!$A:$A,"EC Auto")+SUMIFS(Movimientos!$K$1:$K$335,Movimientos!$C$1:$C$335,"EC Auto",Movimientos!$B$1:$B$335,"&lt;="&amp;$B47)</f>
        <v>382.69000000000005</v>
      </c>
      <c r="P47" s="24">
        <f>SUMIFS('Saldos Iniciales'!$D:$D,'Saldos Iniciales'!$A:$A,"Arbor Capital Properties")+SUMIFS(Movimientos!$K$1:$K$335,Movimientos!$C$1:$C$335,"Arbor Capital Properties",Movimientos!$B$1:$B$335,"&lt;="&amp;$B47)</f>
        <v>1428.08</v>
      </c>
      <c r="Q47" s="24">
        <f>SUMIFS('Saldos Iniciales'!$D:$D,'Saldos Iniciales'!$A:$A,"2515 Overbrook")+SUMIFS(Movimientos!$K$1:$K$335,Movimientos!$C$1:$C$335,"2515 Overbrook",Movimientos!$B$1:$B$335,"&lt;="&amp;$B47)</f>
        <v>29789.969999999961</v>
      </c>
      <c r="R47" s="24">
        <f>SUMIFS('Saldos Iniciales'!$D:$D,'Saldos Iniciales'!$A:$A,"112 Florida Ave")+SUMIFS(Movimientos!$K$1:$K$335,Movimientos!$C$1:$C$335,"112 Florida Ave",Movimientos!$B$1:$B$335,"&lt;="&amp;$B47)</f>
        <v>5321.4300000000021</v>
      </c>
      <c r="S47" s="24">
        <f>SUMIFS('Saldos Iniciales'!$D:$D,'Saldos Iniciales'!$A:$A,"3628 Thomas Ave")+SUMIFS(Movimientos!$K$1:$K$335,Movimientos!$C$1:$C$335,"3628 Thomas Ave",Movimientos!$B$1:$B$335,"&lt;="&amp;$B47)</f>
        <v>24484.85</v>
      </c>
      <c r="T47" s="24">
        <f>SUMIFS('Saldos Iniciales'!$D:$D,'Saldos Iniciales'!$A:$A,"Green Harbor Trust")+SUMIFS(Movimientos!$K$1:$K$335,Movimientos!$C$1:$C$335,"Green Harbor Trust",Movimientos!$B$1:$B$335,"&lt;="&amp;$B47)</f>
        <v>345</v>
      </c>
      <c r="U47" s="24">
        <f>SUMIFS('Saldos Iniciales'!$D:$D,'Saldos Iniciales'!$A:$A,"Go Blue")+SUMIFS(Movimientos!$K$1:$K$335,Movimientos!$C$1:$C$335,"Go Blue",Movimientos!$B$1:$B$335,"&lt;="&amp;$B47)</f>
        <v>48724.73</v>
      </c>
      <c r="V47" s="25">
        <f t="shared" ref="V47:V48" si="4">SUM(C47:U47)</f>
        <v>5161996.7899999991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Group")+SUMIFS(Movimientos!$K$1:$K$335,Movimientos!$C$1:$C$335,"CFT Group",Movimientos!$B$1:$B$335,"&lt;="&amp;$B48)</f>
        <v>985975.94000000029</v>
      </c>
      <c r="D48" s="24">
        <f>SUMIFS('Saldos Iniciales'!$D:$D,'Saldos Iniciales'!$A:$A,"M1B")+SUMIFS(Movimientos!$K$1:$K$335,Movimientos!$C$1:$C$335,"M1B",Movimientos!$B$1:$B$335,"&lt;="&amp;$B48)</f>
        <v>69376.390000000174</v>
      </c>
      <c r="E48" s="24">
        <f>SUMIFS('Saldos Iniciales'!$D:$D,'Saldos Iniciales'!$A:$A,"Durand")+SUMIFS(Movimientos!$K$1:$K$335,Movimientos!$C$1:$C$335,"Durand",Movimientos!$B$1:$B$335,"&lt;="&amp;$B48)</f>
        <v>1669.89</v>
      </c>
      <c r="F48" s="24">
        <f>SUMIFS('Saldos Iniciales'!$D:$D,'Saldos Iniciales'!$A:$A,"A&amp;M Imports")+SUMIFS(Movimientos!$K$1:$K$335,Movimientos!$C$1:$C$335,"A&amp;M Imports",Movimientos!$B$1:$B$335,"&lt;="&amp;$B48)</f>
        <v>503904.80999999982</v>
      </c>
      <c r="G48" s="24">
        <f>SUMIFS('Saldos Iniciales'!$D:$D,'Saldos Iniciales'!$A:$A,"SSP Capital")+SUMIFS(Movimientos!$K$1:$K$335,Movimientos!$C$1:$C$335,"SSP Capital",Movimientos!$B$1:$B$335,"&lt;="&amp;$B48)</f>
        <v>3277137.2399999998</v>
      </c>
      <c r="H48" s="24">
        <f>SUMIFS('Saldos Iniciales'!$D:$D,'Saldos Iniciales'!$A:$A,"Cross Family Trust")+SUMIFS(Movimientos!$K$1:$K$335,Movimientos!$C$1:$C$335,"Cross Family Trust",Movimientos!$B$1:$B$335,"&lt;="&amp;$B48)</f>
        <v>116496.38</v>
      </c>
      <c r="I48" s="24">
        <f>SUMIFS('Saldos Iniciales'!$D:$D,'Saldos Iniciales'!$A:$A,"Cross Security Trust")+SUMIFS(Movimientos!$K$1:$K$335,Movimientos!$C$1:$C$335,"Cross Security Trust",Movimientos!$B$1:$B$335,"&lt;="&amp;$B48)</f>
        <v>88090.37</v>
      </c>
      <c r="J48" s="24">
        <f>SUMIFS('Saldos Iniciales'!$D:$D,'Saldos Iniciales'!$A:$A,"Electrama")+SUMIFS(Movimientos!$K$1:$K$335,Movimientos!$C$1:$C$335,"Electrama",Movimientos!$B$1:$B$335,"&lt;="&amp;$B48)</f>
        <v>1227.9699999999998</v>
      </c>
      <c r="K48" s="24">
        <f>SUMIFS('Saldos Iniciales'!$D:$D,'Saldos Iniciales'!$A:$A,"Sacred Valley Capital")+SUMIFS(Movimientos!$K$1:$K$335,Movimientos!$C$1:$C$335,"Sacred Valley Capital",Movimientos!$B$1:$B$335,"&lt;="&amp;$B48)</f>
        <v>84.35</v>
      </c>
      <c r="L48" s="24">
        <f>SUMIFS('Saldos Iniciales'!$D:$D,'Saldos Iniciales'!$A:$A,"YWC Capital")+SUMIFS(Movimientos!$K$1:$K$335,Movimientos!$C$1:$C$335,"YWC Capital",Movimientos!$B$1:$B$335,"&lt;="&amp;$B48)</f>
        <v>2237.77</v>
      </c>
      <c r="M48" s="24">
        <f>SUMIFS('Saldos Iniciales'!$D:$D,'Saldos Iniciales'!$A:$A,"Soweto")+SUMIFS(Movimientos!$K$1:$K$335,Movimientos!$C$1:$C$335,"Soweto",Movimientos!$B$1:$B$335,"&lt;="&amp;$B48)</f>
        <v>3349.94</v>
      </c>
      <c r="N48" s="24">
        <f>SUMIFS('Saldos Iniciales'!$D:$D,'Saldos Iniciales'!$A:$A,"Green Stone Trust")+SUMIFS(Movimientos!$K$1:$K$335,Movimientos!$C$1:$C$335,"Green Stone Trust",Movimientos!$B$1:$B$335,"&lt;="&amp;$B48)</f>
        <v>1968.99</v>
      </c>
      <c r="O48" s="24">
        <f>SUMIFS('Saldos Iniciales'!$D:$D,'Saldos Iniciales'!$A:$A,"EC Auto")+SUMIFS(Movimientos!$K$1:$K$335,Movimientos!$C$1:$C$335,"EC Auto",Movimientos!$B$1:$B$335,"&lt;="&amp;$B48)</f>
        <v>382.69000000000005</v>
      </c>
      <c r="P48" s="24">
        <f>SUMIFS('Saldos Iniciales'!$D:$D,'Saldos Iniciales'!$A:$A,"Arbor Capital Properties")+SUMIFS(Movimientos!$K$1:$K$335,Movimientos!$C$1:$C$335,"Arbor Capital Properties",Movimientos!$B$1:$B$335,"&lt;="&amp;$B48)</f>
        <v>1428.08</v>
      </c>
      <c r="Q48" s="24">
        <f>SUMIFS('Saldos Iniciales'!$D:$D,'Saldos Iniciales'!$A:$A,"2515 Overbrook")+SUMIFS(Movimientos!$K$1:$K$335,Movimientos!$C$1:$C$335,"2515 Overbrook",Movimientos!$B$1:$B$335,"&lt;="&amp;$B48)</f>
        <v>29789.969999999961</v>
      </c>
      <c r="R48" s="24">
        <f>SUMIFS('Saldos Iniciales'!$D:$D,'Saldos Iniciales'!$A:$A,"112 Florida Ave")+SUMIFS(Movimientos!$K$1:$K$335,Movimientos!$C$1:$C$335,"112 Florida Ave",Movimientos!$B$1:$B$335,"&lt;="&amp;$B48)</f>
        <v>5321.4300000000021</v>
      </c>
      <c r="S48" s="24">
        <f>SUMIFS('Saldos Iniciales'!$D:$D,'Saldos Iniciales'!$A:$A,"3628 Thomas Ave")+SUMIFS(Movimientos!$K$1:$K$335,Movimientos!$C$1:$C$335,"3628 Thomas Ave",Movimientos!$B$1:$B$335,"&lt;="&amp;$B48)</f>
        <v>24484.85</v>
      </c>
      <c r="T48" s="24">
        <f>SUMIFS('Saldos Iniciales'!$D:$D,'Saldos Iniciales'!$A:$A,"Green Harbor Trust")+SUMIFS(Movimientos!$K$1:$K$335,Movimientos!$C$1:$C$335,"Green Harbor Trust",Movimientos!$B$1:$B$335,"&lt;="&amp;$B48)</f>
        <v>345</v>
      </c>
      <c r="U48" s="24">
        <f>SUMIFS('Saldos Iniciales'!$D:$D,'Saldos Iniciales'!$A:$A,"Go Blue")+SUMIFS(Movimientos!$K$1:$K$335,Movimientos!$C$1:$C$335,"Go Blue",Movimientos!$B$1:$B$335,"&lt;="&amp;$B48)</f>
        <v>45519.01</v>
      </c>
      <c r="V48" s="25">
        <f t="shared" si="4"/>
        <v>5158791.0699999984</v>
      </c>
    </row>
    <row r="49" spans="1:22" outlineLevel="1" x14ac:dyDescent="0.3">
      <c r="A49" s="22">
        <f t="shared" si="0"/>
        <v>48</v>
      </c>
      <c r="B49" s="23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5"/>
    </row>
    <row r="50" spans="1:22" outlineLevel="1" x14ac:dyDescent="0.3">
      <c r="A50" s="22">
        <f t="shared" si="0"/>
        <v>49</v>
      </c>
      <c r="B50" s="23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5"/>
    </row>
    <row r="51" spans="1:22" outlineLevel="1" x14ac:dyDescent="0.3">
      <c r="A51" s="22">
        <f t="shared" si="0"/>
        <v>50</v>
      </c>
      <c r="B51" s="23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5"/>
    </row>
    <row r="52" spans="1:22" outlineLevel="1" x14ac:dyDescent="0.3">
      <c r="A52" s="22">
        <f t="shared" si="0"/>
        <v>51</v>
      </c>
      <c r="B52" s="23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5"/>
    </row>
    <row r="53" spans="1:22" outlineLevel="1" x14ac:dyDescent="0.3">
      <c r="A53" s="22">
        <f t="shared" si="0"/>
        <v>52</v>
      </c>
      <c r="B53" s="23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5"/>
    </row>
    <row r="54" spans="1:22" outlineLevel="1" x14ac:dyDescent="0.3">
      <c r="A54" s="22">
        <f t="shared" si="0"/>
        <v>53</v>
      </c>
      <c r="B54" s="23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5"/>
    </row>
    <row r="55" spans="1:22" outlineLevel="1" x14ac:dyDescent="0.3">
      <c r="A55" s="22">
        <f t="shared" si="0"/>
        <v>54</v>
      </c>
      <c r="B55" s="23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5"/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4" priority="1" operator="lessThan">
      <formula>0</formula>
    </cfRule>
  </conditionalFormatting>
  <conditionalFormatting sqref="V2:V6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894"/>
  <sheetViews>
    <sheetView tabSelected="1" workbookViewId="0">
      <pane ySplit="1" topLeftCell="A823" activePane="bottomLeft" state="frozen"/>
      <selection pane="bottomLeft" activeCell="F830" sqref="F830"/>
    </sheetView>
  </sheetViews>
  <sheetFormatPr baseColWidth="10" defaultRowHeight="14.4" x14ac:dyDescent="0.3"/>
  <cols>
    <col min="1" max="1" width="20.5546875" bestFit="1" customWidth="1"/>
    <col min="2" max="2" width="13.109375" bestFit="1" customWidth="1"/>
    <col min="3" max="3" width="10.554687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9" t="s">
        <v>2</v>
      </c>
      <c r="H1" s="50" t="s">
        <v>130</v>
      </c>
      <c r="I1" s="52" t="s">
        <v>173</v>
      </c>
      <c r="J1" s="51" t="s">
        <v>131</v>
      </c>
    </row>
    <row r="2" spans="1:10" x14ac:dyDescent="0.3">
      <c r="A2" s="61" t="s">
        <v>17</v>
      </c>
      <c r="B2" s="61"/>
      <c r="C2" s="16">
        <v>46143</v>
      </c>
      <c r="D2">
        <v>200763.43000000025</v>
      </c>
    </row>
    <row r="3" spans="1:10" x14ac:dyDescent="0.3">
      <c r="A3" s="61" t="s">
        <v>18</v>
      </c>
      <c r="B3" s="61"/>
      <c r="C3" s="16">
        <v>46143</v>
      </c>
      <c r="D3">
        <v>51288.029999999948</v>
      </c>
    </row>
    <row r="4" spans="1:10" x14ac:dyDescent="0.3">
      <c r="A4" s="61" t="s">
        <v>19</v>
      </c>
      <c r="B4" s="61"/>
      <c r="C4" s="16">
        <v>46143</v>
      </c>
      <c r="D4">
        <v>1669.89</v>
      </c>
    </row>
    <row r="5" spans="1:10" x14ac:dyDescent="0.3">
      <c r="A5" s="61" t="s">
        <v>20</v>
      </c>
      <c r="B5" s="61"/>
      <c r="C5" s="16">
        <v>46143</v>
      </c>
      <c r="D5">
        <v>589990.30000000005</v>
      </c>
    </row>
    <row r="6" spans="1:10" x14ac:dyDescent="0.3">
      <c r="A6" s="61" t="s">
        <v>21</v>
      </c>
      <c r="B6" s="61"/>
      <c r="C6" s="16">
        <v>46143</v>
      </c>
      <c r="D6">
        <v>990387.37999999931</v>
      </c>
    </row>
    <row r="7" spans="1:10" x14ac:dyDescent="0.3">
      <c r="A7" s="61" t="s">
        <v>22</v>
      </c>
      <c r="B7" s="61"/>
      <c r="C7" s="16">
        <v>46143</v>
      </c>
      <c r="D7">
        <v>142511.38</v>
      </c>
    </row>
    <row r="8" spans="1:10" x14ac:dyDescent="0.3">
      <c r="A8" s="61" t="s">
        <v>23</v>
      </c>
      <c r="B8" s="61"/>
      <c r="C8" s="16">
        <v>46143</v>
      </c>
      <c r="D8">
        <v>13088.589999999997</v>
      </c>
    </row>
    <row r="9" spans="1:10" x14ac:dyDescent="0.3">
      <c r="A9" s="61" t="s">
        <v>24</v>
      </c>
      <c r="B9" s="61"/>
      <c r="C9" s="16">
        <v>46143</v>
      </c>
      <c r="D9">
        <v>808.82999999999993</v>
      </c>
    </row>
    <row r="10" spans="1:10" x14ac:dyDescent="0.3">
      <c r="A10" s="61" t="s">
        <v>25</v>
      </c>
      <c r="B10" s="61"/>
      <c r="C10" s="16">
        <v>46143</v>
      </c>
      <c r="D10">
        <v>114.3</v>
      </c>
    </row>
    <row r="11" spans="1:10" x14ac:dyDescent="0.3">
      <c r="A11" s="61" t="s">
        <v>26</v>
      </c>
      <c r="B11" s="61"/>
      <c r="C11" s="16">
        <v>46143</v>
      </c>
      <c r="D11">
        <v>2267.7200000000003</v>
      </c>
    </row>
    <row r="12" spans="1:10" x14ac:dyDescent="0.3">
      <c r="A12" s="61" t="s">
        <v>27</v>
      </c>
      <c r="B12" s="61"/>
      <c r="C12" s="16">
        <v>46143</v>
      </c>
      <c r="D12">
        <v>3364.94</v>
      </c>
    </row>
    <row r="13" spans="1:10" x14ac:dyDescent="0.3">
      <c r="A13" s="61" t="s">
        <v>28</v>
      </c>
      <c r="B13" s="61"/>
      <c r="C13" s="16">
        <v>46143</v>
      </c>
      <c r="D13">
        <v>1968.99</v>
      </c>
    </row>
    <row r="14" spans="1:10" x14ac:dyDescent="0.3">
      <c r="A14" s="61" t="s">
        <v>29</v>
      </c>
      <c r="B14" s="61"/>
      <c r="C14" s="16">
        <v>46143</v>
      </c>
      <c r="D14">
        <v>901.34</v>
      </c>
    </row>
    <row r="15" spans="1:10" x14ac:dyDescent="0.3">
      <c r="A15" s="61" t="s">
        <v>30</v>
      </c>
      <c r="B15" s="61"/>
      <c r="C15" s="16">
        <v>46143</v>
      </c>
      <c r="D15">
        <v>1444.08</v>
      </c>
    </row>
    <row r="16" spans="1:10" x14ac:dyDescent="0.3">
      <c r="A16" s="61" t="s">
        <v>31</v>
      </c>
      <c r="B16" s="61"/>
      <c r="C16" s="16">
        <v>46143</v>
      </c>
      <c r="D16">
        <v>23262.599999999962</v>
      </c>
    </row>
    <row r="17" spans="1:4" x14ac:dyDescent="0.3">
      <c r="A17" s="61" t="s">
        <v>32</v>
      </c>
      <c r="B17" s="61"/>
      <c r="C17" s="16">
        <v>46143</v>
      </c>
      <c r="D17">
        <v>6853.9100000000017</v>
      </c>
    </row>
    <row r="18" spans="1:4" x14ac:dyDescent="0.3">
      <c r="A18" s="61" t="s">
        <v>33</v>
      </c>
      <c r="B18" s="61"/>
      <c r="C18" s="16">
        <v>46143</v>
      </c>
      <c r="D18">
        <v>21338.39</v>
      </c>
    </row>
    <row r="19" spans="1:4" x14ac:dyDescent="0.3">
      <c r="A19" s="61" t="s">
        <v>34</v>
      </c>
      <c r="B19" s="61"/>
      <c r="C19" s="16">
        <v>46143</v>
      </c>
      <c r="D19">
        <v>345</v>
      </c>
    </row>
    <row r="20" spans="1:4" x14ac:dyDescent="0.3">
      <c r="A20" s="61" t="s">
        <v>35</v>
      </c>
      <c r="B20" s="61"/>
      <c r="C20" s="16">
        <v>46143</v>
      </c>
      <c r="D20">
        <v>13491.26</v>
      </c>
    </row>
    <row r="21" spans="1:4" x14ac:dyDescent="0.3">
      <c r="A21" s="61" t="s">
        <v>17</v>
      </c>
      <c r="B21" s="61"/>
      <c r="C21" s="16">
        <v>46144</v>
      </c>
      <c r="D21">
        <v>200763.43000000025</v>
      </c>
    </row>
    <row r="22" spans="1:4" x14ac:dyDescent="0.3">
      <c r="A22" s="61" t="s">
        <v>18</v>
      </c>
      <c r="B22" s="61"/>
      <c r="C22" s="16">
        <v>46144</v>
      </c>
      <c r="D22">
        <v>51288.029999999948</v>
      </c>
    </row>
    <row r="23" spans="1:4" x14ac:dyDescent="0.3">
      <c r="A23" s="61" t="s">
        <v>19</v>
      </c>
      <c r="B23" s="61"/>
      <c r="C23" s="16">
        <v>46144</v>
      </c>
      <c r="D23">
        <v>1669.89</v>
      </c>
    </row>
    <row r="24" spans="1:4" x14ac:dyDescent="0.3">
      <c r="A24" s="61" t="s">
        <v>20</v>
      </c>
      <c r="B24" s="61"/>
      <c r="C24" s="16">
        <v>46144</v>
      </c>
      <c r="D24">
        <v>589990.30000000005</v>
      </c>
    </row>
    <row r="25" spans="1:4" x14ac:dyDescent="0.3">
      <c r="A25" s="61" t="s">
        <v>21</v>
      </c>
      <c r="B25" s="61"/>
      <c r="C25" s="16">
        <v>46144</v>
      </c>
      <c r="D25">
        <v>990387.37999999931</v>
      </c>
    </row>
    <row r="26" spans="1:4" x14ac:dyDescent="0.3">
      <c r="A26" s="61" t="s">
        <v>22</v>
      </c>
      <c r="B26" s="61"/>
      <c r="C26" s="16">
        <v>46144</v>
      </c>
      <c r="D26">
        <v>142511.38</v>
      </c>
    </row>
    <row r="27" spans="1:4" x14ac:dyDescent="0.3">
      <c r="A27" s="61" t="s">
        <v>23</v>
      </c>
      <c r="B27" s="61"/>
      <c r="C27" s="16">
        <v>46144</v>
      </c>
      <c r="D27">
        <v>13088.589999999997</v>
      </c>
    </row>
    <row r="28" spans="1:4" x14ac:dyDescent="0.3">
      <c r="A28" s="61" t="s">
        <v>24</v>
      </c>
      <c r="B28" s="61"/>
      <c r="C28" s="16">
        <v>46144</v>
      </c>
      <c r="D28">
        <v>808.82999999999993</v>
      </c>
    </row>
    <row r="29" spans="1:4" x14ac:dyDescent="0.3">
      <c r="A29" s="61" t="s">
        <v>25</v>
      </c>
      <c r="B29" s="61"/>
      <c r="C29" s="16">
        <v>46144</v>
      </c>
      <c r="D29">
        <v>114.3</v>
      </c>
    </row>
    <row r="30" spans="1:4" x14ac:dyDescent="0.3">
      <c r="A30" s="61" t="s">
        <v>26</v>
      </c>
      <c r="B30" s="61"/>
      <c r="C30" s="16">
        <v>46144</v>
      </c>
      <c r="D30">
        <v>2267.7200000000003</v>
      </c>
    </row>
    <row r="31" spans="1:4" x14ac:dyDescent="0.3">
      <c r="A31" s="61" t="s">
        <v>27</v>
      </c>
      <c r="B31" s="61"/>
      <c r="C31" s="16">
        <v>46144</v>
      </c>
      <c r="D31">
        <v>3364.94</v>
      </c>
    </row>
    <row r="32" spans="1:4" x14ac:dyDescent="0.3">
      <c r="A32" s="61" t="s">
        <v>28</v>
      </c>
      <c r="B32" s="61"/>
      <c r="C32" s="16">
        <v>46144</v>
      </c>
      <c r="D32">
        <v>1968.99</v>
      </c>
    </row>
    <row r="33" spans="1:4" x14ac:dyDescent="0.3">
      <c r="A33" s="61" t="s">
        <v>29</v>
      </c>
      <c r="B33" s="61"/>
      <c r="C33" s="16">
        <v>46144</v>
      </c>
      <c r="D33">
        <v>901.34</v>
      </c>
    </row>
    <row r="34" spans="1:4" x14ac:dyDescent="0.3">
      <c r="A34" s="61" t="s">
        <v>30</v>
      </c>
      <c r="B34" s="61"/>
      <c r="C34" s="16">
        <v>46144</v>
      </c>
      <c r="D34">
        <v>1444.08</v>
      </c>
    </row>
    <row r="35" spans="1:4" x14ac:dyDescent="0.3">
      <c r="A35" s="61" t="s">
        <v>31</v>
      </c>
      <c r="B35" s="61"/>
      <c r="C35" s="16">
        <v>46144</v>
      </c>
      <c r="D35">
        <v>23262.599999999962</v>
      </c>
    </row>
    <row r="36" spans="1:4" x14ac:dyDescent="0.3">
      <c r="A36" s="61" t="s">
        <v>32</v>
      </c>
      <c r="B36" s="61"/>
      <c r="C36" s="16">
        <v>46144</v>
      </c>
      <c r="D36">
        <v>6853.9100000000017</v>
      </c>
    </row>
    <row r="37" spans="1:4" x14ac:dyDescent="0.3">
      <c r="A37" s="61" t="s">
        <v>33</v>
      </c>
      <c r="B37" s="61"/>
      <c r="C37" s="16">
        <v>46144</v>
      </c>
      <c r="D37">
        <v>21338.39</v>
      </c>
    </row>
    <row r="38" spans="1:4" x14ac:dyDescent="0.3">
      <c r="A38" s="61" t="s">
        <v>34</v>
      </c>
      <c r="B38" s="61"/>
      <c r="C38" s="16">
        <v>46144</v>
      </c>
      <c r="D38">
        <v>345</v>
      </c>
    </row>
    <row r="39" spans="1:4" x14ac:dyDescent="0.3">
      <c r="A39" s="61" t="s">
        <v>35</v>
      </c>
      <c r="B39" s="61"/>
      <c r="C39" s="16">
        <v>46144</v>
      </c>
      <c r="D39">
        <v>13491.26</v>
      </c>
    </row>
    <row r="40" spans="1:4" x14ac:dyDescent="0.3">
      <c r="A40" s="61" t="s">
        <v>17</v>
      </c>
      <c r="B40" s="61"/>
      <c r="C40" s="16">
        <v>46145</v>
      </c>
      <c r="D40">
        <v>200763.43000000025</v>
      </c>
    </row>
    <row r="41" spans="1:4" x14ac:dyDescent="0.3">
      <c r="A41" s="61" t="s">
        <v>18</v>
      </c>
      <c r="B41" s="61"/>
      <c r="C41" s="16">
        <v>46145</v>
      </c>
      <c r="D41">
        <v>51288.029999999948</v>
      </c>
    </row>
    <row r="42" spans="1:4" x14ac:dyDescent="0.3">
      <c r="A42" s="61" t="s">
        <v>19</v>
      </c>
      <c r="B42" s="61"/>
      <c r="C42" s="16">
        <v>46145</v>
      </c>
      <c r="D42">
        <v>1669.89</v>
      </c>
    </row>
    <row r="43" spans="1:4" x14ac:dyDescent="0.3">
      <c r="A43" s="61" t="s">
        <v>20</v>
      </c>
      <c r="B43" s="61"/>
      <c r="C43" s="16">
        <v>46145</v>
      </c>
      <c r="D43">
        <v>589990.30000000005</v>
      </c>
    </row>
    <row r="44" spans="1:4" x14ac:dyDescent="0.3">
      <c r="A44" s="61" t="s">
        <v>21</v>
      </c>
      <c r="B44" s="61"/>
      <c r="C44" s="16">
        <v>46145</v>
      </c>
      <c r="D44">
        <v>990387.37999999931</v>
      </c>
    </row>
    <row r="45" spans="1:4" x14ac:dyDescent="0.3">
      <c r="A45" s="61" t="s">
        <v>22</v>
      </c>
      <c r="B45" s="61"/>
      <c r="C45" s="16">
        <v>46145</v>
      </c>
      <c r="D45">
        <v>142511.38</v>
      </c>
    </row>
    <row r="46" spans="1:4" x14ac:dyDescent="0.3">
      <c r="A46" s="61" t="s">
        <v>23</v>
      </c>
      <c r="B46" s="61"/>
      <c r="C46" s="16">
        <v>46145</v>
      </c>
      <c r="D46">
        <v>13088.589999999997</v>
      </c>
    </row>
    <row r="47" spans="1:4" x14ac:dyDescent="0.3">
      <c r="A47" s="61" t="s">
        <v>24</v>
      </c>
      <c r="B47" s="61"/>
      <c r="C47" s="16">
        <v>46145</v>
      </c>
      <c r="D47">
        <v>808.82999999999993</v>
      </c>
    </row>
    <row r="48" spans="1:4" x14ac:dyDescent="0.3">
      <c r="A48" s="61" t="s">
        <v>25</v>
      </c>
      <c r="B48" s="61"/>
      <c r="C48" s="16">
        <v>46145</v>
      </c>
      <c r="D48">
        <v>114.3</v>
      </c>
    </row>
    <row r="49" spans="1:4" x14ac:dyDescent="0.3">
      <c r="A49" s="61" t="s">
        <v>26</v>
      </c>
      <c r="B49" s="61"/>
      <c r="C49" s="16">
        <v>46145</v>
      </c>
      <c r="D49">
        <v>2267.7200000000003</v>
      </c>
    </row>
    <row r="50" spans="1:4" x14ac:dyDescent="0.3">
      <c r="A50" s="61" t="s">
        <v>27</v>
      </c>
      <c r="B50" s="61"/>
      <c r="C50" s="16">
        <v>46145</v>
      </c>
      <c r="D50">
        <v>3364.94</v>
      </c>
    </row>
    <row r="51" spans="1:4" x14ac:dyDescent="0.3">
      <c r="A51" s="61" t="s">
        <v>28</v>
      </c>
      <c r="B51" s="61"/>
      <c r="C51" s="16">
        <v>46145</v>
      </c>
      <c r="D51">
        <v>1968.99</v>
      </c>
    </row>
    <row r="52" spans="1:4" x14ac:dyDescent="0.3">
      <c r="A52" s="61" t="s">
        <v>29</v>
      </c>
      <c r="B52" s="61"/>
      <c r="C52" s="16">
        <v>46145</v>
      </c>
      <c r="D52">
        <v>901.34</v>
      </c>
    </row>
    <row r="53" spans="1:4" x14ac:dyDescent="0.3">
      <c r="A53" s="61" t="s">
        <v>30</v>
      </c>
      <c r="B53" s="61"/>
      <c r="C53" s="16">
        <v>46145</v>
      </c>
      <c r="D53">
        <v>1444.08</v>
      </c>
    </row>
    <row r="54" spans="1:4" x14ac:dyDescent="0.3">
      <c r="A54" s="61" t="s">
        <v>31</v>
      </c>
      <c r="B54" s="61"/>
      <c r="C54" s="16">
        <v>46145</v>
      </c>
      <c r="D54">
        <v>23262.599999999962</v>
      </c>
    </row>
    <row r="55" spans="1:4" x14ac:dyDescent="0.3">
      <c r="A55" s="61" t="s">
        <v>32</v>
      </c>
      <c r="B55" s="61"/>
      <c r="C55" s="16">
        <v>46145</v>
      </c>
      <c r="D55">
        <v>6853.9100000000017</v>
      </c>
    </row>
    <row r="56" spans="1:4" x14ac:dyDescent="0.3">
      <c r="A56" s="61" t="s">
        <v>33</v>
      </c>
      <c r="B56" s="61"/>
      <c r="C56" s="16">
        <v>46145</v>
      </c>
      <c r="D56">
        <v>21338.39</v>
      </c>
    </row>
    <row r="57" spans="1:4" x14ac:dyDescent="0.3">
      <c r="A57" s="61" t="s">
        <v>34</v>
      </c>
      <c r="B57" s="61"/>
      <c r="C57" s="16">
        <v>46145</v>
      </c>
      <c r="D57">
        <v>345</v>
      </c>
    </row>
    <row r="58" spans="1:4" x14ac:dyDescent="0.3">
      <c r="A58" s="61" t="s">
        <v>35</v>
      </c>
      <c r="B58" s="61"/>
      <c r="C58" s="16">
        <v>46145</v>
      </c>
      <c r="D58">
        <v>13491.26</v>
      </c>
    </row>
    <row r="59" spans="1:4" x14ac:dyDescent="0.3">
      <c r="A59" s="61" t="s">
        <v>17</v>
      </c>
      <c r="B59" s="61"/>
      <c r="C59" s="16">
        <v>46146</v>
      </c>
      <c r="D59">
        <v>200763.43000000025</v>
      </c>
    </row>
    <row r="60" spans="1:4" x14ac:dyDescent="0.3">
      <c r="A60" s="61" t="s">
        <v>18</v>
      </c>
      <c r="B60" s="61"/>
      <c r="C60" s="16">
        <v>46146</v>
      </c>
      <c r="D60">
        <v>51288.029999999948</v>
      </c>
    </row>
    <row r="61" spans="1:4" x14ac:dyDescent="0.3">
      <c r="A61" s="61" t="s">
        <v>19</v>
      </c>
      <c r="B61" s="61"/>
      <c r="C61" s="16">
        <v>46146</v>
      </c>
      <c r="D61">
        <v>1669.89</v>
      </c>
    </row>
    <row r="62" spans="1:4" x14ac:dyDescent="0.3">
      <c r="A62" s="61" t="s">
        <v>20</v>
      </c>
      <c r="B62" s="61"/>
      <c r="C62" s="16">
        <v>46146</v>
      </c>
      <c r="D62">
        <v>589990.30000000005</v>
      </c>
    </row>
    <row r="63" spans="1:4" x14ac:dyDescent="0.3">
      <c r="A63" s="61" t="s">
        <v>21</v>
      </c>
      <c r="B63" s="61"/>
      <c r="C63" s="16">
        <v>46146</v>
      </c>
      <c r="D63">
        <v>1790387.3799999994</v>
      </c>
    </row>
    <row r="64" spans="1:4" x14ac:dyDescent="0.3">
      <c r="A64" s="61" t="s">
        <v>22</v>
      </c>
      <c r="B64" s="61"/>
      <c r="C64" s="16">
        <v>46146</v>
      </c>
      <c r="D64">
        <v>136511.38</v>
      </c>
    </row>
    <row r="65" spans="1:4" x14ac:dyDescent="0.3">
      <c r="A65" s="61" t="s">
        <v>23</v>
      </c>
      <c r="B65" s="61"/>
      <c r="C65" s="16">
        <v>46146</v>
      </c>
      <c r="D65">
        <v>13088.589999999997</v>
      </c>
    </row>
    <row r="66" spans="1:4" x14ac:dyDescent="0.3">
      <c r="A66" s="61" t="s">
        <v>24</v>
      </c>
      <c r="B66" s="61"/>
      <c r="C66" s="16">
        <v>46146</v>
      </c>
      <c r="D66">
        <v>808.82999999999993</v>
      </c>
    </row>
    <row r="67" spans="1:4" x14ac:dyDescent="0.3">
      <c r="A67" s="61" t="s">
        <v>25</v>
      </c>
      <c r="B67" s="61"/>
      <c r="C67" s="16">
        <v>46146</v>
      </c>
      <c r="D67">
        <v>114.3</v>
      </c>
    </row>
    <row r="68" spans="1:4" x14ac:dyDescent="0.3">
      <c r="A68" s="61" t="s">
        <v>26</v>
      </c>
      <c r="B68" s="61"/>
      <c r="C68" s="16">
        <v>46146</v>
      </c>
      <c r="D68">
        <v>2267.7200000000003</v>
      </c>
    </row>
    <row r="69" spans="1:4" x14ac:dyDescent="0.3">
      <c r="A69" s="61" t="s">
        <v>27</v>
      </c>
      <c r="B69" s="61"/>
      <c r="C69" s="16">
        <v>46146</v>
      </c>
      <c r="D69">
        <v>3364.94</v>
      </c>
    </row>
    <row r="70" spans="1:4" x14ac:dyDescent="0.3">
      <c r="A70" s="61" t="s">
        <v>28</v>
      </c>
      <c r="B70" s="61"/>
      <c r="C70" s="16">
        <v>46146</v>
      </c>
      <c r="D70">
        <v>1968.99</v>
      </c>
    </row>
    <row r="71" spans="1:4" x14ac:dyDescent="0.3">
      <c r="A71" s="61" t="s">
        <v>29</v>
      </c>
      <c r="B71" s="61"/>
      <c r="C71" s="16">
        <v>46146</v>
      </c>
      <c r="D71">
        <v>901.34</v>
      </c>
    </row>
    <row r="72" spans="1:4" x14ac:dyDescent="0.3">
      <c r="A72" s="61" t="s">
        <v>30</v>
      </c>
      <c r="B72" s="61"/>
      <c r="C72" s="16">
        <v>46146</v>
      </c>
      <c r="D72">
        <v>1444.08</v>
      </c>
    </row>
    <row r="73" spans="1:4" x14ac:dyDescent="0.3">
      <c r="A73" s="61" t="s">
        <v>31</v>
      </c>
      <c r="B73" s="61"/>
      <c r="C73" s="16">
        <v>46146</v>
      </c>
      <c r="D73">
        <v>23247.599999999962</v>
      </c>
    </row>
    <row r="74" spans="1:4" x14ac:dyDescent="0.3">
      <c r="A74" s="61" t="s">
        <v>32</v>
      </c>
      <c r="B74" s="61"/>
      <c r="C74" s="16">
        <v>46146</v>
      </c>
      <c r="D74">
        <v>6853.9100000000017</v>
      </c>
    </row>
    <row r="75" spans="1:4" x14ac:dyDescent="0.3">
      <c r="A75" s="61" t="s">
        <v>33</v>
      </c>
      <c r="B75" s="61"/>
      <c r="C75" s="16">
        <v>46146</v>
      </c>
      <c r="D75">
        <v>21338.39</v>
      </c>
    </row>
    <row r="76" spans="1:4" x14ac:dyDescent="0.3">
      <c r="A76" s="61" t="s">
        <v>34</v>
      </c>
      <c r="B76" s="61"/>
      <c r="C76" s="16">
        <v>46146</v>
      </c>
      <c r="D76">
        <v>345</v>
      </c>
    </row>
    <row r="77" spans="1:4" x14ac:dyDescent="0.3">
      <c r="A77" s="61" t="s">
        <v>35</v>
      </c>
      <c r="B77" s="61"/>
      <c r="C77" s="16">
        <v>46146</v>
      </c>
      <c r="D77">
        <v>8782.25</v>
      </c>
    </row>
    <row r="78" spans="1:4" x14ac:dyDescent="0.3">
      <c r="A78" s="61" t="s">
        <v>17</v>
      </c>
      <c r="B78" s="61"/>
      <c r="C78" s="16">
        <v>46147</v>
      </c>
      <c r="D78">
        <v>197763.43000000025</v>
      </c>
    </row>
    <row r="79" spans="1:4" x14ac:dyDescent="0.3">
      <c r="A79" s="61" t="s">
        <v>18</v>
      </c>
      <c r="B79" s="61"/>
      <c r="C79" s="16">
        <v>46147</v>
      </c>
      <c r="D79">
        <v>51288.029999999948</v>
      </c>
    </row>
    <row r="80" spans="1:4" x14ac:dyDescent="0.3">
      <c r="A80" s="61" t="s">
        <v>19</v>
      </c>
      <c r="B80" s="61"/>
      <c r="C80" s="16">
        <v>46147</v>
      </c>
      <c r="D80">
        <v>1669.89</v>
      </c>
    </row>
    <row r="81" spans="1:4" x14ac:dyDescent="0.3">
      <c r="A81" s="61" t="s">
        <v>20</v>
      </c>
      <c r="B81" s="61"/>
      <c r="C81" s="16">
        <v>46147</v>
      </c>
      <c r="D81">
        <v>989990.29999999993</v>
      </c>
    </row>
    <row r="82" spans="1:4" x14ac:dyDescent="0.3">
      <c r="A82" s="61" t="s">
        <v>21</v>
      </c>
      <c r="B82" s="61"/>
      <c r="C82" s="16">
        <v>46147</v>
      </c>
      <c r="D82">
        <v>1088892.0899999994</v>
      </c>
    </row>
    <row r="83" spans="1:4" x14ac:dyDescent="0.3">
      <c r="A83" s="61" t="s">
        <v>22</v>
      </c>
      <c r="B83" s="61"/>
      <c r="C83" s="16">
        <v>46147</v>
      </c>
      <c r="D83">
        <v>121511.38</v>
      </c>
    </row>
    <row r="84" spans="1:4" x14ac:dyDescent="0.3">
      <c r="A84" s="61" t="s">
        <v>23</v>
      </c>
      <c r="B84" s="61"/>
      <c r="C84" s="16">
        <v>46147</v>
      </c>
      <c r="D84">
        <v>813088.59</v>
      </c>
    </row>
    <row r="85" spans="1:4" x14ac:dyDescent="0.3">
      <c r="A85" s="61" t="s">
        <v>24</v>
      </c>
      <c r="B85" s="61"/>
      <c r="C85" s="16">
        <v>46147</v>
      </c>
      <c r="D85">
        <v>3768.83</v>
      </c>
    </row>
    <row r="86" spans="1:4" x14ac:dyDescent="0.3">
      <c r="A86" s="61" t="s">
        <v>25</v>
      </c>
      <c r="B86" s="61"/>
      <c r="C86" s="16">
        <v>46147</v>
      </c>
      <c r="D86">
        <v>114.3</v>
      </c>
    </row>
    <row r="87" spans="1:4" x14ac:dyDescent="0.3">
      <c r="A87" s="61" t="s">
        <v>26</v>
      </c>
      <c r="B87" s="61"/>
      <c r="C87" s="16">
        <v>46147</v>
      </c>
      <c r="D87">
        <v>2267.7200000000003</v>
      </c>
    </row>
    <row r="88" spans="1:4" x14ac:dyDescent="0.3">
      <c r="A88" s="61" t="s">
        <v>27</v>
      </c>
      <c r="B88" s="61"/>
      <c r="C88" s="16">
        <v>46147</v>
      </c>
      <c r="D88">
        <v>3364.94</v>
      </c>
    </row>
    <row r="89" spans="1:4" x14ac:dyDescent="0.3">
      <c r="A89" s="61" t="s">
        <v>28</v>
      </c>
      <c r="B89" s="61"/>
      <c r="C89" s="16">
        <v>46147</v>
      </c>
      <c r="D89">
        <v>1968.99</v>
      </c>
    </row>
    <row r="90" spans="1:4" x14ac:dyDescent="0.3">
      <c r="A90" s="61" t="s">
        <v>29</v>
      </c>
      <c r="B90" s="61"/>
      <c r="C90" s="16">
        <v>46147</v>
      </c>
      <c r="D90">
        <v>901.34</v>
      </c>
    </row>
    <row r="91" spans="1:4" x14ac:dyDescent="0.3">
      <c r="A91" s="61" t="s">
        <v>30</v>
      </c>
      <c r="B91" s="61"/>
      <c r="C91" s="16">
        <v>46147</v>
      </c>
      <c r="D91">
        <v>1444.08</v>
      </c>
    </row>
    <row r="92" spans="1:4" x14ac:dyDescent="0.3">
      <c r="A92" s="61" t="s">
        <v>31</v>
      </c>
      <c r="B92" s="61"/>
      <c r="C92" s="16">
        <v>46147</v>
      </c>
      <c r="D92">
        <v>23247.599999999962</v>
      </c>
    </row>
    <row r="93" spans="1:4" x14ac:dyDescent="0.3">
      <c r="A93" s="61" t="s">
        <v>32</v>
      </c>
      <c r="B93" s="61"/>
      <c r="C93" s="16">
        <v>46147</v>
      </c>
      <c r="D93">
        <v>6853.9100000000017</v>
      </c>
    </row>
    <row r="94" spans="1:4" x14ac:dyDescent="0.3">
      <c r="A94" s="61" t="s">
        <v>33</v>
      </c>
      <c r="B94" s="61"/>
      <c r="C94" s="16">
        <v>46147</v>
      </c>
      <c r="D94">
        <v>21338.39</v>
      </c>
    </row>
    <row r="95" spans="1:4" x14ac:dyDescent="0.3">
      <c r="A95" s="61" t="s">
        <v>34</v>
      </c>
      <c r="B95" s="61"/>
      <c r="C95" s="16">
        <v>46147</v>
      </c>
      <c r="D95">
        <v>345</v>
      </c>
    </row>
    <row r="96" spans="1:4" x14ac:dyDescent="0.3">
      <c r="A96" s="61" t="s">
        <v>35</v>
      </c>
      <c r="B96" s="61"/>
      <c r="C96" s="16">
        <v>46147</v>
      </c>
      <c r="D96">
        <v>8782.25</v>
      </c>
    </row>
    <row r="97" spans="1:4" x14ac:dyDescent="0.3">
      <c r="A97" s="61" t="s">
        <v>17</v>
      </c>
      <c r="B97" s="61"/>
      <c r="C97" s="16">
        <v>46148</v>
      </c>
      <c r="D97">
        <v>197763.43000000025</v>
      </c>
    </row>
    <row r="98" spans="1:4" x14ac:dyDescent="0.3">
      <c r="A98" s="61" t="s">
        <v>18</v>
      </c>
      <c r="B98" s="61"/>
      <c r="C98" s="16">
        <v>46148</v>
      </c>
      <c r="D98">
        <v>626288.02999999991</v>
      </c>
    </row>
    <row r="99" spans="1:4" x14ac:dyDescent="0.3">
      <c r="A99" s="61" t="s">
        <v>19</v>
      </c>
      <c r="B99" s="61"/>
      <c r="C99" s="16">
        <v>46148</v>
      </c>
      <c r="D99">
        <v>1669.89</v>
      </c>
    </row>
    <row r="100" spans="1:4" x14ac:dyDescent="0.3">
      <c r="A100" s="61" t="s">
        <v>20</v>
      </c>
      <c r="B100" s="61"/>
      <c r="C100" s="16">
        <v>46148</v>
      </c>
      <c r="D100">
        <v>989990.29999999993</v>
      </c>
    </row>
    <row r="101" spans="1:4" x14ac:dyDescent="0.3">
      <c r="A101" s="61" t="s">
        <v>21</v>
      </c>
      <c r="B101" s="61"/>
      <c r="C101" s="16">
        <v>46148</v>
      </c>
      <c r="D101">
        <v>961212.30999999924</v>
      </c>
    </row>
    <row r="102" spans="1:4" x14ac:dyDescent="0.3">
      <c r="A102" s="61" t="s">
        <v>22</v>
      </c>
      <c r="B102" s="61"/>
      <c r="C102" s="16">
        <v>46148</v>
      </c>
      <c r="D102">
        <v>121511.38</v>
      </c>
    </row>
    <row r="103" spans="1:4" x14ac:dyDescent="0.3">
      <c r="A103" s="61" t="s">
        <v>23</v>
      </c>
      <c r="B103" s="61"/>
      <c r="C103" s="16">
        <v>46148</v>
      </c>
      <c r="D103">
        <v>813088.59</v>
      </c>
    </row>
    <row r="104" spans="1:4" x14ac:dyDescent="0.3">
      <c r="A104" s="61" t="s">
        <v>24</v>
      </c>
      <c r="B104" s="61"/>
      <c r="C104" s="16">
        <v>46148</v>
      </c>
      <c r="D104">
        <v>3768.83</v>
      </c>
    </row>
    <row r="105" spans="1:4" x14ac:dyDescent="0.3">
      <c r="A105" s="61" t="s">
        <v>25</v>
      </c>
      <c r="B105" s="61"/>
      <c r="C105" s="16">
        <v>46148</v>
      </c>
      <c r="D105">
        <v>114.3</v>
      </c>
    </row>
    <row r="106" spans="1:4" x14ac:dyDescent="0.3">
      <c r="A106" s="61" t="s">
        <v>26</v>
      </c>
      <c r="B106" s="61"/>
      <c r="C106" s="16">
        <v>46148</v>
      </c>
      <c r="D106">
        <v>2267.7200000000003</v>
      </c>
    </row>
    <row r="107" spans="1:4" x14ac:dyDescent="0.3">
      <c r="A107" s="61" t="s">
        <v>27</v>
      </c>
      <c r="B107" s="61"/>
      <c r="C107" s="16">
        <v>46148</v>
      </c>
      <c r="D107">
        <v>3364.94</v>
      </c>
    </row>
    <row r="108" spans="1:4" x14ac:dyDescent="0.3">
      <c r="A108" s="61" t="s">
        <v>28</v>
      </c>
      <c r="B108" s="61"/>
      <c r="C108" s="16">
        <v>46148</v>
      </c>
      <c r="D108">
        <v>1968.99</v>
      </c>
    </row>
    <row r="109" spans="1:4" x14ac:dyDescent="0.3">
      <c r="A109" s="61" t="s">
        <v>29</v>
      </c>
      <c r="B109" s="61"/>
      <c r="C109" s="16">
        <v>46148</v>
      </c>
      <c r="D109">
        <v>901.34</v>
      </c>
    </row>
    <row r="110" spans="1:4" x14ac:dyDescent="0.3">
      <c r="A110" s="61" t="s">
        <v>30</v>
      </c>
      <c r="B110" s="61"/>
      <c r="C110" s="16">
        <v>46148</v>
      </c>
      <c r="D110">
        <v>1444.08</v>
      </c>
    </row>
    <row r="111" spans="1:4" x14ac:dyDescent="0.3">
      <c r="A111" s="61" t="s">
        <v>31</v>
      </c>
      <c r="B111" s="61"/>
      <c r="C111" s="16">
        <v>46148</v>
      </c>
      <c r="D111">
        <v>23247.599999999962</v>
      </c>
    </row>
    <row r="112" spans="1:4" x14ac:dyDescent="0.3">
      <c r="A112" s="61" t="s">
        <v>32</v>
      </c>
      <c r="B112" s="61"/>
      <c r="C112" s="16">
        <v>46148</v>
      </c>
      <c r="D112">
        <v>5135.0600000000013</v>
      </c>
    </row>
    <row r="113" spans="1:4" x14ac:dyDescent="0.3">
      <c r="A113" s="61" t="s">
        <v>33</v>
      </c>
      <c r="B113" s="61"/>
      <c r="C113" s="16">
        <v>46148</v>
      </c>
      <c r="D113">
        <v>21338.39</v>
      </c>
    </row>
    <row r="114" spans="1:4" x14ac:dyDescent="0.3">
      <c r="A114" s="61" t="s">
        <v>34</v>
      </c>
      <c r="B114" s="61"/>
      <c r="C114" s="16">
        <v>46148</v>
      </c>
      <c r="D114">
        <v>345</v>
      </c>
    </row>
    <row r="115" spans="1:4" x14ac:dyDescent="0.3">
      <c r="A115" s="61" t="s">
        <v>35</v>
      </c>
      <c r="B115" s="61"/>
      <c r="C115" s="16">
        <v>46148</v>
      </c>
      <c r="D115">
        <v>8782.25</v>
      </c>
    </row>
    <row r="116" spans="1:4" x14ac:dyDescent="0.3">
      <c r="A116" s="61" t="s">
        <v>17</v>
      </c>
      <c r="B116" s="61"/>
      <c r="C116" s="16">
        <v>46149</v>
      </c>
      <c r="D116">
        <v>447763.43000000028</v>
      </c>
    </row>
    <row r="117" spans="1:4" x14ac:dyDescent="0.3">
      <c r="A117" s="61" t="s">
        <v>18</v>
      </c>
      <c r="B117" s="61"/>
      <c r="C117" s="16">
        <v>46149</v>
      </c>
      <c r="D117">
        <v>56288.029999999941</v>
      </c>
    </row>
    <row r="118" spans="1:4" x14ac:dyDescent="0.3">
      <c r="A118" s="61" t="s">
        <v>19</v>
      </c>
      <c r="B118" s="61"/>
      <c r="C118" s="16">
        <v>46149</v>
      </c>
      <c r="D118">
        <v>1669.89</v>
      </c>
    </row>
    <row r="119" spans="1:4" x14ac:dyDescent="0.3">
      <c r="A119" s="61" t="s">
        <v>20</v>
      </c>
      <c r="B119" s="61"/>
      <c r="C119" s="16">
        <v>46149</v>
      </c>
      <c r="D119">
        <v>274668.55999999994</v>
      </c>
    </row>
    <row r="120" spans="1:4" x14ac:dyDescent="0.3">
      <c r="A120" s="61" t="s">
        <v>21</v>
      </c>
      <c r="B120" s="61"/>
      <c r="C120" s="16">
        <v>46149</v>
      </c>
      <c r="D120">
        <v>926213.13999999932</v>
      </c>
    </row>
    <row r="121" spans="1:4" x14ac:dyDescent="0.3">
      <c r="A121" s="61" t="s">
        <v>22</v>
      </c>
      <c r="B121" s="61"/>
      <c r="C121" s="16">
        <v>46149</v>
      </c>
      <c r="D121">
        <v>121511.38</v>
      </c>
    </row>
    <row r="122" spans="1:4" x14ac:dyDescent="0.3">
      <c r="A122" s="61" t="s">
        <v>23</v>
      </c>
      <c r="B122" s="61"/>
      <c r="C122" s="16">
        <v>46149</v>
      </c>
      <c r="D122">
        <v>1513088.59</v>
      </c>
    </row>
    <row r="123" spans="1:4" x14ac:dyDescent="0.3">
      <c r="A123" s="61" t="s">
        <v>24</v>
      </c>
      <c r="B123" s="61"/>
      <c r="C123" s="16">
        <v>46149</v>
      </c>
      <c r="D123">
        <v>3768.83</v>
      </c>
    </row>
    <row r="124" spans="1:4" x14ac:dyDescent="0.3">
      <c r="A124" s="61" t="s">
        <v>25</v>
      </c>
      <c r="B124" s="61"/>
      <c r="C124" s="16">
        <v>46149</v>
      </c>
      <c r="D124">
        <v>114.3</v>
      </c>
    </row>
    <row r="125" spans="1:4" x14ac:dyDescent="0.3">
      <c r="A125" s="61" t="s">
        <v>26</v>
      </c>
      <c r="B125" s="61"/>
      <c r="C125" s="16">
        <v>46149</v>
      </c>
      <c r="D125">
        <v>2267.7200000000003</v>
      </c>
    </row>
    <row r="126" spans="1:4" x14ac:dyDescent="0.3">
      <c r="A126" s="61" t="s">
        <v>27</v>
      </c>
      <c r="B126" s="61"/>
      <c r="C126" s="16">
        <v>46149</v>
      </c>
      <c r="D126">
        <v>3364.94</v>
      </c>
    </row>
    <row r="127" spans="1:4" x14ac:dyDescent="0.3">
      <c r="A127" s="61" t="s">
        <v>28</v>
      </c>
      <c r="B127" s="61"/>
      <c r="C127" s="16">
        <v>46149</v>
      </c>
      <c r="D127">
        <v>1968.99</v>
      </c>
    </row>
    <row r="128" spans="1:4" x14ac:dyDescent="0.3">
      <c r="A128" s="61" t="s">
        <v>29</v>
      </c>
      <c r="B128" s="61"/>
      <c r="C128" s="16">
        <v>46149</v>
      </c>
      <c r="D128">
        <v>901.34</v>
      </c>
    </row>
    <row r="129" spans="1:4" x14ac:dyDescent="0.3">
      <c r="A129" s="61" t="s">
        <v>30</v>
      </c>
      <c r="B129" s="61"/>
      <c r="C129" s="16">
        <v>46149</v>
      </c>
      <c r="D129">
        <v>1444.08</v>
      </c>
    </row>
    <row r="130" spans="1:4" x14ac:dyDescent="0.3">
      <c r="A130" s="61" t="s">
        <v>31</v>
      </c>
      <c r="B130" s="61"/>
      <c r="C130" s="16">
        <v>46149</v>
      </c>
      <c r="D130">
        <v>23247.599999999962</v>
      </c>
    </row>
    <row r="131" spans="1:4" x14ac:dyDescent="0.3">
      <c r="A131" s="61" t="s">
        <v>32</v>
      </c>
      <c r="B131" s="61"/>
      <c r="C131" s="16">
        <v>46149</v>
      </c>
      <c r="D131">
        <v>15135.060000000001</v>
      </c>
    </row>
    <row r="132" spans="1:4" x14ac:dyDescent="0.3">
      <c r="A132" s="61" t="s">
        <v>33</v>
      </c>
      <c r="B132" s="61"/>
      <c r="C132" s="16">
        <v>46149</v>
      </c>
      <c r="D132">
        <v>31338.39</v>
      </c>
    </row>
    <row r="133" spans="1:4" x14ac:dyDescent="0.3">
      <c r="A133" s="61" t="s">
        <v>34</v>
      </c>
      <c r="B133" s="61"/>
      <c r="C133" s="16">
        <v>46149</v>
      </c>
      <c r="D133">
        <v>345</v>
      </c>
    </row>
    <row r="134" spans="1:4" x14ac:dyDescent="0.3">
      <c r="A134" s="61" t="s">
        <v>35</v>
      </c>
      <c r="B134" s="61"/>
      <c r="C134" s="16">
        <v>46149</v>
      </c>
      <c r="D134">
        <v>8782.25</v>
      </c>
    </row>
    <row r="135" spans="1:4" x14ac:dyDescent="0.3">
      <c r="A135" s="61" t="s">
        <v>17</v>
      </c>
      <c r="B135" s="61"/>
      <c r="C135" s="16">
        <v>46150</v>
      </c>
      <c r="D135">
        <v>512927.75000000023</v>
      </c>
    </row>
    <row r="136" spans="1:4" x14ac:dyDescent="0.3">
      <c r="A136" s="61" t="s">
        <v>18</v>
      </c>
      <c r="B136" s="61"/>
      <c r="C136" s="16">
        <v>46150</v>
      </c>
      <c r="D136">
        <v>58840.089999999938</v>
      </c>
    </row>
    <row r="137" spans="1:4" x14ac:dyDescent="0.3">
      <c r="A137" s="61" t="s">
        <v>19</v>
      </c>
      <c r="B137" s="61"/>
      <c r="C137" s="16">
        <v>46150</v>
      </c>
      <c r="D137">
        <v>1669.89</v>
      </c>
    </row>
    <row r="138" spans="1:4" x14ac:dyDescent="0.3">
      <c r="A138" s="61" t="s">
        <v>20</v>
      </c>
      <c r="B138" s="61"/>
      <c r="C138" s="16">
        <v>46150</v>
      </c>
      <c r="D138">
        <v>792366.49999999988</v>
      </c>
    </row>
    <row r="139" spans="1:4" x14ac:dyDescent="0.3">
      <c r="A139" s="61" t="s">
        <v>21</v>
      </c>
      <c r="B139" s="61"/>
      <c r="C139" s="16">
        <v>46150</v>
      </c>
      <c r="D139">
        <v>923830.41999999923</v>
      </c>
    </row>
    <row r="140" spans="1:4" x14ac:dyDescent="0.3">
      <c r="A140" s="61" t="s">
        <v>22</v>
      </c>
      <c r="B140" s="61"/>
      <c r="C140" s="16">
        <v>46150</v>
      </c>
      <c r="D140">
        <v>121511.38</v>
      </c>
    </row>
    <row r="141" spans="1:4" x14ac:dyDescent="0.3">
      <c r="A141" s="61" t="s">
        <v>23</v>
      </c>
      <c r="B141" s="61"/>
      <c r="C141" s="16">
        <v>46150</v>
      </c>
      <c r="D141">
        <v>13088.589999999997</v>
      </c>
    </row>
    <row r="142" spans="1:4" x14ac:dyDescent="0.3">
      <c r="A142" s="61" t="s">
        <v>24</v>
      </c>
      <c r="B142" s="61"/>
      <c r="C142" s="16">
        <v>46150</v>
      </c>
      <c r="D142">
        <v>3768.83</v>
      </c>
    </row>
    <row r="143" spans="1:4" x14ac:dyDescent="0.3">
      <c r="A143" s="61" t="s">
        <v>25</v>
      </c>
      <c r="B143" s="61"/>
      <c r="C143" s="16">
        <v>46150</v>
      </c>
      <c r="D143">
        <v>114.3</v>
      </c>
    </row>
    <row r="144" spans="1:4" x14ac:dyDescent="0.3">
      <c r="A144" s="61" t="s">
        <v>26</v>
      </c>
      <c r="B144" s="61"/>
      <c r="C144" s="16">
        <v>46150</v>
      </c>
      <c r="D144">
        <v>2267.7200000000003</v>
      </c>
    </row>
    <row r="145" spans="1:4" x14ac:dyDescent="0.3">
      <c r="A145" s="61" t="s">
        <v>27</v>
      </c>
      <c r="B145" s="61"/>
      <c r="C145" s="16">
        <v>46150</v>
      </c>
      <c r="D145">
        <v>3349.94</v>
      </c>
    </row>
    <row r="146" spans="1:4" x14ac:dyDescent="0.3">
      <c r="A146" s="61" t="s">
        <v>28</v>
      </c>
      <c r="B146" s="61"/>
      <c r="C146" s="16">
        <v>46150</v>
      </c>
      <c r="D146">
        <v>1968.99</v>
      </c>
    </row>
    <row r="147" spans="1:4" x14ac:dyDescent="0.3">
      <c r="A147" s="61" t="s">
        <v>29</v>
      </c>
      <c r="B147" s="61"/>
      <c r="C147" s="16">
        <v>46150</v>
      </c>
      <c r="D147">
        <v>901.34</v>
      </c>
    </row>
    <row r="148" spans="1:4" x14ac:dyDescent="0.3">
      <c r="A148" s="61" t="s">
        <v>30</v>
      </c>
      <c r="B148" s="61"/>
      <c r="C148" s="16">
        <v>46150</v>
      </c>
      <c r="D148">
        <v>1444.08</v>
      </c>
    </row>
    <row r="149" spans="1:4" x14ac:dyDescent="0.3">
      <c r="A149" s="61" t="s">
        <v>31</v>
      </c>
      <c r="B149" s="61"/>
      <c r="C149" s="16">
        <v>46150</v>
      </c>
      <c r="D149">
        <v>20592.599999999962</v>
      </c>
    </row>
    <row r="150" spans="1:4" x14ac:dyDescent="0.3">
      <c r="A150" s="61" t="s">
        <v>32</v>
      </c>
      <c r="B150" s="61"/>
      <c r="C150" s="16">
        <v>46150</v>
      </c>
      <c r="D150">
        <v>15120.060000000001</v>
      </c>
    </row>
    <row r="151" spans="1:4" x14ac:dyDescent="0.3">
      <c r="A151" s="61" t="s">
        <v>33</v>
      </c>
      <c r="B151" s="61"/>
      <c r="C151" s="16">
        <v>46150</v>
      </c>
      <c r="D151">
        <v>31323.39</v>
      </c>
    </row>
    <row r="152" spans="1:4" x14ac:dyDescent="0.3">
      <c r="A152" s="61" t="s">
        <v>34</v>
      </c>
      <c r="B152" s="61"/>
      <c r="C152" s="16">
        <v>46150</v>
      </c>
      <c r="D152">
        <v>345</v>
      </c>
    </row>
    <row r="153" spans="1:4" x14ac:dyDescent="0.3">
      <c r="A153" s="61" t="s">
        <v>35</v>
      </c>
      <c r="B153" s="61"/>
      <c r="C153" s="16">
        <v>46150</v>
      </c>
      <c r="D153">
        <v>23782.25</v>
      </c>
    </row>
    <row r="154" spans="1:4" x14ac:dyDescent="0.3">
      <c r="A154" s="61" t="s">
        <v>17</v>
      </c>
      <c r="B154" s="61"/>
      <c r="C154" s="16">
        <v>46151</v>
      </c>
      <c r="D154">
        <v>512927.75000000023</v>
      </c>
    </row>
    <row r="155" spans="1:4" x14ac:dyDescent="0.3">
      <c r="A155" s="61" t="s">
        <v>18</v>
      </c>
      <c r="B155" s="61"/>
      <c r="C155" s="16">
        <v>46151</v>
      </c>
      <c r="D155">
        <v>58840.089999999938</v>
      </c>
    </row>
    <row r="156" spans="1:4" x14ac:dyDescent="0.3">
      <c r="A156" s="61" t="s">
        <v>19</v>
      </c>
      <c r="B156" s="61"/>
      <c r="C156" s="16">
        <v>46151</v>
      </c>
      <c r="D156">
        <v>1669.89</v>
      </c>
    </row>
    <row r="157" spans="1:4" x14ac:dyDescent="0.3">
      <c r="A157" s="61" t="s">
        <v>20</v>
      </c>
      <c r="B157" s="61"/>
      <c r="C157" s="16">
        <v>46151</v>
      </c>
      <c r="D157">
        <v>792366.49999999988</v>
      </c>
    </row>
    <row r="158" spans="1:4" x14ac:dyDescent="0.3">
      <c r="A158" s="61" t="s">
        <v>21</v>
      </c>
      <c r="B158" s="61"/>
      <c r="C158" s="16">
        <v>46151</v>
      </c>
      <c r="D158">
        <v>923830.41999999923</v>
      </c>
    </row>
    <row r="159" spans="1:4" x14ac:dyDescent="0.3">
      <c r="A159" s="61" t="s">
        <v>22</v>
      </c>
      <c r="B159" s="61"/>
      <c r="C159" s="16">
        <v>46151</v>
      </c>
      <c r="D159">
        <v>121511.38</v>
      </c>
    </row>
    <row r="160" spans="1:4" x14ac:dyDescent="0.3">
      <c r="A160" s="61" t="s">
        <v>23</v>
      </c>
      <c r="B160" s="61"/>
      <c r="C160" s="16">
        <v>46151</v>
      </c>
      <c r="D160">
        <v>13088.589999999997</v>
      </c>
    </row>
    <row r="161" spans="1:4" x14ac:dyDescent="0.3">
      <c r="A161" s="61" t="s">
        <v>24</v>
      </c>
      <c r="B161" s="61"/>
      <c r="C161" s="16">
        <v>46151</v>
      </c>
      <c r="D161">
        <v>3768.83</v>
      </c>
    </row>
    <row r="162" spans="1:4" x14ac:dyDescent="0.3">
      <c r="A162" s="61" t="s">
        <v>25</v>
      </c>
      <c r="B162" s="61"/>
      <c r="C162" s="16">
        <v>46151</v>
      </c>
      <c r="D162">
        <v>114.3</v>
      </c>
    </row>
    <row r="163" spans="1:4" x14ac:dyDescent="0.3">
      <c r="A163" s="61" t="s">
        <v>26</v>
      </c>
      <c r="B163" s="61"/>
      <c r="C163" s="16">
        <v>46151</v>
      </c>
      <c r="D163">
        <v>2267.7200000000003</v>
      </c>
    </row>
    <row r="164" spans="1:4" x14ac:dyDescent="0.3">
      <c r="A164" s="61" t="s">
        <v>27</v>
      </c>
      <c r="B164" s="61"/>
      <c r="C164" s="16">
        <v>46151</v>
      </c>
      <c r="D164">
        <v>3349.94</v>
      </c>
    </row>
    <row r="165" spans="1:4" x14ac:dyDescent="0.3">
      <c r="A165" s="61" t="s">
        <v>28</v>
      </c>
      <c r="B165" s="61"/>
      <c r="C165" s="16">
        <v>46151</v>
      </c>
      <c r="D165">
        <v>1968.99</v>
      </c>
    </row>
    <row r="166" spans="1:4" x14ac:dyDescent="0.3">
      <c r="A166" s="61" t="s">
        <v>29</v>
      </c>
      <c r="B166" s="61"/>
      <c r="C166" s="16">
        <v>46151</v>
      </c>
      <c r="D166">
        <v>901.34</v>
      </c>
    </row>
    <row r="167" spans="1:4" x14ac:dyDescent="0.3">
      <c r="A167" s="61" t="s">
        <v>30</v>
      </c>
      <c r="B167" s="61"/>
      <c r="C167" s="16">
        <v>46151</v>
      </c>
      <c r="D167">
        <v>1444.08</v>
      </c>
    </row>
    <row r="168" spans="1:4" x14ac:dyDescent="0.3">
      <c r="A168" s="61" t="s">
        <v>31</v>
      </c>
      <c r="B168" s="61"/>
      <c r="C168" s="16">
        <v>46151</v>
      </c>
      <c r="D168">
        <v>20592.599999999962</v>
      </c>
    </row>
    <row r="169" spans="1:4" x14ac:dyDescent="0.3">
      <c r="A169" s="61" t="s">
        <v>32</v>
      </c>
      <c r="B169" s="61"/>
      <c r="C169" s="16">
        <v>46151</v>
      </c>
      <c r="D169">
        <v>15120.060000000001</v>
      </c>
    </row>
    <row r="170" spans="1:4" x14ac:dyDescent="0.3">
      <c r="A170" s="61" t="s">
        <v>33</v>
      </c>
      <c r="B170" s="61"/>
      <c r="C170" s="16">
        <v>46151</v>
      </c>
      <c r="D170">
        <v>31323.39</v>
      </c>
    </row>
    <row r="171" spans="1:4" x14ac:dyDescent="0.3">
      <c r="A171" s="61" t="s">
        <v>34</v>
      </c>
      <c r="B171" s="61"/>
      <c r="C171" s="16">
        <v>46151</v>
      </c>
      <c r="D171">
        <v>345</v>
      </c>
    </row>
    <row r="172" spans="1:4" x14ac:dyDescent="0.3">
      <c r="A172" s="61" t="s">
        <v>35</v>
      </c>
      <c r="B172" s="61"/>
      <c r="C172" s="16">
        <v>46151</v>
      </c>
      <c r="D172">
        <v>23782.25</v>
      </c>
    </row>
    <row r="173" spans="1:4" x14ac:dyDescent="0.3">
      <c r="A173" s="61" t="s">
        <v>17</v>
      </c>
      <c r="B173" s="61"/>
      <c r="C173" s="16">
        <v>46152</v>
      </c>
      <c r="D173">
        <v>512927.75000000023</v>
      </c>
    </row>
    <row r="174" spans="1:4" x14ac:dyDescent="0.3">
      <c r="A174" s="61" t="s">
        <v>18</v>
      </c>
      <c r="B174" s="61"/>
      <c r="C174" s="16">
        <v>46152</v>
      </c>
      <c r="D174">
        <v>58840.089999999938</v>
      </c>
    </row>
    <row r="175" spans="1:4" x14ac:dyDescent="0.3">
      <c r="A175" s="61" t="s">
        <v>19</v>
      </c>
      <c r="B175" s="61"/>
      <c r="C175" s="16">
        <v>46152</v>
      </c>
      <c r="D175">
        <v>1669.89</v>
      </c>
    </row>
    <row r="176" spans="1:4" x14ac:dyDescent="0.3">
      <c r="A176" s="61" t="s">
        <v>20</v>
      </c>
      <c r="B176" s="61"/>
      <c r="C176" s="16">
        <v>46152</v>
      </c>
      <c r="D176">
        <v>792366.49999999988</v>
      </c>
    </row>
    <row r="177" spans="1:4" x14ac:dyDescent="0.3">
      <c r="A177" s="61" t="s">
        <v>21</v>
      </c>
      <c r="B177" s="61"/>
      <c r="C177" s="16">
        <v>46152</v>
      </c>
      <c r="D177">
        <v>923830.41999999923</v>
      </c>
    </row>
    <row r="178" spans="1:4" x14ac:dyDescent="0.3">
      <c r="A178" s="61" t="s">
        <v>22</v>
      </c>
      <c r="B178" s="61"/>
      <c r="C178" s="16">
        <v>46152</v>
      </c>
      <c r="D178">
        <v>121511.38</v>
      </c>
    </row>
    <row r="179" spans="1:4" x14ac:dyDescent="0.3">
      <c r="A179" s="61" t="s">
        <v>23</v>
      </c>
      <c r="B179" s="61"/>
      <c r="C179" s="16">
        <v>46152</v>
      </c>
      <c r="D179">
        <v>13088.589999999997</v>
      </c>
    </row>
    <row r="180" spans="1:4" x14ac:dyDescent="0.3">
      <c r="A180" s="61" t="s">
        <v>24</v>
      </c>
      <c r="B180" s="61"/>
      <c r="C180" s="16">
        <v>46152</v>
      </c>
      <c r="D180">
        <v>3768.83</v>
      </c>
    </row>
    <row r="181" spans="1:4" x14ac:dyDescent="0.3">
      <c r="A181" s="61" t="s">
        <v>25</v>
      </c>
      <c r="B181" s="61"/>
      <c r="C181" s="16">
        <v>46152</v>
      </c>
      <c r="D181">
        <v>114.3</v>
      </c>
    </row>
    <row r="182" spans="1:4" x14ac:dyDescent="0.3">
      <c r="A182" s="61" t="s">
        <v>26</v>
      </c>
      <c r="B182" s="61"/>
      <c r="C182" s="16">
        <v>46152</v>
      </c>
      <c r="D182">
        <v>2267.7200000000003</v>
      </c>
    </row>
    <row r="183" spans="1:4" x14ac:dyDescent="0.3">
      <c r="A183" s="61" t="s">
        <v>27</v>
      </c>
      <c r="B183" s="61"/>
      <c r="C183" s="16">
        <v>46152</v>
      </c>
      <c r="D183">
        <v>3349.94</v>
      </c>
    </row>
    <row r="184" spans="1:4" x14ac:dyDescent="0.3">
      <c r="A184" s="61" t="s">
        <v>28</v>
      </c>
      <c r="B184" s="61"/>
      <c r="C184" s="16">
        <v>46152</v>
      </c>
      <c r="D184">
        <v>1968.99</v>
      </c>
    </row>
    <row r="185" spans="1:4" x14ac:dyDescent="0.3">
      <c r="A185" s="61" t="s">
        <v>29</v>
      </c>
      <c r="B185" s="61"/>
      <c r="C185" s="16">
        <v>46152</v>
      </c>
      <c r="D185">
        <v>901.34</v>
      </c>
    </row>
    <row r="186" spans="1:4" x14ac:dyDescent="0.3">
      <c r="A186" s="61" t="s">
        <v>30</v>
      </c>
      <c r="B186" s="61"/>
      <c r="C186" s="16">
        <v>46152</v>
      </c>
      <c r="D186">
        <v>1444.08</v>
      </c>
    </row>
    <row r="187" spans="1:4" x14ac:dyDescent="0.3">
      <c r="A187" s="61" t="s">
        <v>31</v>
      </c>
      <c r="B187" s="61"/>
      <c r="C187" s="16">
        <v>46152</v>
      </c>
      <c r="D187">
        <v>20592.599999999962</v>
      </c>
    </row>
    <row r="188" spans="1:4" x14ac:dyDescent="0.3">
      <c r="A188" s="61" t="s">
        <v>32</v>
      </c>
      <c r="B188" s="61"/>
      <c r="C188" s="16">
        <v>46152</v>
      </c>
      <c r="D188">
        <v>15120.060000000001</v>
      </c>
    </row>
    <row r="189" spans="1:4" x14ac:dyDescent="0.3">
      <c r="A189" s="61" t="s">
        <v>33</v>
      </c>
      <c r="B189" s="61"/>
      <c r="C189" s="16">
        <v>46152</v>
      </c>
      <c r="D189">
        <v>31323.39</v>
      </c>
    </row>
    <row r="190" spans="1:4" x14ac:dyDescent="0.3">
      <c r="A190" s="61" t="s">
        <v>34</v>
      </c>
      <c r="B190" s="61"/>
      <c r="C190" s="16">
        <v>46152</v>
      </c>
      <c r="D190">
        <v>345</v>
      </c>
    </row>
    <row r="191" spans="1:4" x14ac:dyDescent="0.3">
      <c r="A191" s="61" t="s">
        <v>35</v>
      </c>
      <c r="B191" s="61"/>
      <c r="C191" s="16">
        <v>46152</v>
      </c>
      <c r="D191">
        <v>23782.25</v>
      </c>
    </row>
    <row r="192" spans="1:4" x14ac:dyDescent="0.3">
      <c r="A192" s="61" t="s">
        <v>17</v>
      </c>
      <c r="B192" s="61"/>
      <c r="C192" s="16">
        <v>46153</v>
      </c>
      <c r="D192">
        <v>512927.75000000023</v>
      </c>
    </row>
    <row r="193" spans="1:4" x14ac:dyDescent="0.3">
      <c r="A193" s="61" t="s">
        <v>18</v>
      </c>
      <c r="B193" s="61"/>
      <c r="C193" s="16">
        <v>46153</v>
      </c>
      <c r="D193">
        <v>58840.089999999938</v>
      </c>
    </row>
    <row r="194" spans="1:4" x14ac:dyDescent="0.3">
      <c r="A194" s="61" t="s">
        <v>19</v>
      </c>
      <c r="B194" s="61"/>
      <c r="C194" s="16">
        <v>46153</v>
      </c>
      <c r="D194">
        <v>1669.89</v>
      </c>
    </row>
    <row r="195" spans="1:4" x14ac:dyDescent="0.3">
      <c r="A195" s="61" t="s">
        <v>20</v>
      </c>
      <c r="B195" s="61"/>
      <c r="C195" s="16">
        <v>46153</v>
      </c>
      <c r="D195">
        <v>1368366.5</v>
      </c>
    </row>
    <row r="196" spans="1:4" x14ac:dyDescent="0.3">
      <c r="A196" s="61" t="s">
        <v>21</v>
      </c>
      <c r="B196" s="61"/>
      <c r="C196" s="16">
        <v>46153</v>
      </c>
      <c r="D196">
        <v>1162513.7699999993</v>
      </c>
    </row>
    <row r="197" spans="1:4" x14ac:dyDescent="0.3">
      <c r="A197" s="61" t="s">
        <v>22</v>
      </c>
      <c r="B197" s="61"/>
      <c r="C197" s="16">
        <v>46153</v>
      </c>
      <c r="D197">
        <v>121511.38</v>
      </c>
    </row>
    <row r="198" spans="1:4" x14ac:dyDescent="0.3">
      <c r="A198" s="61" t="s">
        <v>23</v>
      </c>
      <c r="B198" s="61"/>
      <c r="C198" s="16">
        <v>46153</v>
      </c>
      <c r="D198">
        <v>13088.589999999997</v>
      </c>
    </row>
    <row r="199" spans="1:4" x14ac:dyDescent="0.3">
      <c r="A199" s="61" t="s">
        <v>24</v>
      </c>
      <c r="B199" s="61"/>
      <c r="C199" s="16">
        <v>46153</v>
      </c>
      <c r="D199">
        <v>3768.83</v>
      </c>
    </row>
    <row r="200" spans="1:4" x14ac:dyDescent="0.3">
      <c r="A200" s="61" t="s">
        <v>25</v>
      </c>
      <c r="B200" s="61"/>
      <c r="C200" s="16">
        <v>46153</v>
      </c>
      <c r="D200">
        <v>114.3</v>
      </c>
    </row>
    <row r="201" spans="1:4" x14ac:dyDescent="0.3">
      <c r="A201" s="61" t="s">
        <v>26</v>
      </c>
      <c r="B201" s="61"/>
      <c r="C201" s="16">
        <v>46153</v>
      </c>
      <c r="D201">
        <v>2267.7200000000003</v>
      </c>
    </row>
    <row r="202" spans="1:4" x14ac:dyDescent="0.3">
      <c r="A202" s="61" t="s">
        <v>27</v>
      </c>
      <c r="B202" s="61"/>
      <c r="C202" s="16">
        <v>46153</v>
      </c>
      <c r="D202">
        <v>3349.94</v>
      </c>
    </row>
    <row r="203" spans="1:4" x14ac:dyDescent="0.3">
      <c r="A203" s="61" t="s">
        <v>28</v>
      </c>
      <c r="B203" s="61"/>
      <c r="C203" s="16">
        <v>46153</v>
      </c>
      <c r="D203">
        <v>1968.99</v>
      </c>
    </row>
    <row r="204" spans="1:4" x14ac:dyDescent="0.3">
      <c r="A204" s="61" t="s">
        <v>29</v>
      </c>
      <c r="B204" s="61"/>
      <c r="C204" s="16">
        <v>46153</v>
      </c>
      <c r="D204">
        <v>901.34</v>
      </c>
    </row>
    <row r="205" spans="1:4" x14ac:dyDescent="0.3">
      <c r="A205" s="61" t="s">
        <v>30</v>
      </c>
      <c r="B205" s="61"/>
      <c r="C205" s="16">
        <v>46153</v>
      </c>
      <c r="D205">
        <v>1444.08</v>
      </c>
    </row>
    <row r="206" spans="1:4" x14ac:dyDescent="0.3">
      <c r="A206" s="61" t="s">
        <v>31</v>
      </c>
      <c r="B206" s="61"/>
      <c r="C206" s="16">
        <v>46153</v>
      </c>
      <c r="D206">
        <v>19092.599999999962</v>
      </c>
    </row>
    <row r="207" spans="1:4" x14ac:dyDescent="0.3">
      <c r="A207" s="61" t="s">
        <v>32</v>
      </c>
      <c r="B207" s="61"/>
      <c r="C207" s="16">
        <v>46153</v>
      </c>
      <c r="D207">
        <v>15120.060000000001</v>
      </c>
    </row>
    <row r="208" spans="1:4" x14ac:dyDescent="0.3">
      <c r="A208" s="61" t="s">
        <v>33</v>
      </c>
      <c r="B208" s="61"/>
      <c r="C208" s="16">
        <v>46153</v>
      </c>
      <c r="D208">
        <v>31323.39</v>
      </c>
    </row>
    <row r="209" spans="1:4" x14ac:dyDescent="0.3">
      <c r="A209" s="61" t="s">
        <v>34</v>
      </c>
      <c r="B209" s="61"/>
      <c r="C209" s="16">
        <v>46153</v>
      </c>
      <c r="D209">
        <v>345</v>
      </c>
    </row>
    <row r="210" spans="1:4" x14ac:dyDescent="0.3">
      <c r="A210" s="61" t="s">
        <v>35</v>
      </c>
      <c r="B210" s="61"/>
      <c r="C210" s="16">
        <v>46153</v>
      </c>
      <c r="D210">
        <v>16956.59</v>
      </c>
    </row>
    <row r="211" spans="1:4" x14ac:dyDescent="0.3">
      <c r="A211" s="61" t="s">
        <v>17</v>
      </c>
      <c r="B211" s="61"/>
      <c r="C211" s="16">
        <v>46154</v>
      </c>
      <c r="D211">
        <v>606714.4700000002</v>
      </c>
    </row>
    <row r="212" spans="1:4" x14ac:dyDescent="0.3">
      <c r="A212" s="61" t="s">
        <v>18</v>
      </c>
      <c r="B212" s="61"/>
      <c r="C212" s="16">
        <v>46154</v>
      </c>
      <c r="D212">
        <v>58840.089999999938</v>
      </c>
    </row>
    <row r="213" spans="1:4" x14ac:dyDescent="0.3">
      <c r="A213" s="61" t="s">
        <v>19</v>
      </c>
      <c r="B213" s="61"/>
      <c r="C213" s="16">
        <v>46154</v>
      </c>
      <c r="D213">
        <v>1669.89</v>
      </c>
    </row>
    <row r="214" spans="1:4" x14ac:dyDescent="0.3">
      <c r="A214" s="61" t="s">
        <v>20</v>
      </c>
      <c r="B214" s="61"/>
      <c r="C214" s="16">
        <v>46154</v>
      </c>
      <c r="D214">
        <v>1226185.8999999999</v>
      </c>
    </row>
    <row r="215" spans="1:4" x14ac:dyDescent="0.3">
      <c r="A215" s="61" t="s">
        <v>21</v>
      </c>
      <c r="B215" s="61"/>
      <c r="C215" s="16">
        <v>46154</v>
      </c>
      <c r="D215">
        <v>1162404.8599999992</v>
      </c>
    </row>
    <row r="216" spans="1:4" x14ac:dyDescent="0.3">
      <c r="A216" s="61" t="s">
        <v>22</v>
      </c>
      <c r="B216" s="61"/>
      <c r="C216" s="16">
        <v>46154</v>
      </c>
      <c r="D216">
        <v>121511.38</v>
      </c>
    </row>
    <row r="217" spans="1:4" x14ac:dyDescent="0.3">
      <c r="A217" s="61" t="s">
        <v>23</v>
      </c>
      <c r="B217" s="61"/>
      <c r="C217" s="16">
        <v>46154</v>
      </c>
      <c r="D217">
        <v>13088.589999999997</v>
      </c>
    </row>
    <row r="218" spans="1:4" x14ac:dyDescent="0.3">
      <c r="A218" s="61" t="s">
        <v>24</v>
      </c>
      <c r="B218" s="61"/>
      <c r="C218" s="16">
        <v>46154</v>
      </c>
      <c r="D218">
        <v>3768.83</v>
      </c>
    </row>
    <row r="219" spans="1:4" x14ac:dyDescent="0.3">
      <c r="A219" s="61" t="s">
        <v>25</v>
      </c>
      <c r="B219" s="61"/>
      <c r="C219" s="16">
        <v>46154</v>
      </c>
      <c r="D219">
        <v>114.3</v>
      </c>
    </row>
    <row r="220" spans="1:4" x14ac:dyDescent="0.3">
      <c r="A220" s="61" t="s">
        <v>26</v>
      </c>
      <c r="B220" s="61"/>
      <c r="C220" s="16">
        <v>46154</v>
      </c>
      <c r="D220">
        <v>2267.7200000000003</v>
      </c>
    </row>
    <row r="221" spans="1:4" x14ac:dyDescent="0.3">
      <c r="A221" s="61" t="s">
        <v>27</v>
      </c>
      <c r="B221" s="61"/>
      <c r="C221" s="16">
        <v>46154</v>
      </c>
      <c r="D221">
        <v>3349.94</v>
      </c>
    </row>
    <row r="222" spans="1:4" x14ac:dyDescent="0.3">
      <c r="A222" s="61" t="s">
        <v>28</v>
      </c>
      <c r="B222" s="61"/>
      <c r="C222" s="16">
        <v>46154</v>
      </c>
      <c r="D222">
        <v>1968.99</v>
      </c>
    </row>
    <row r="223" spans="1:4" x14ac:dyDescent="0.3">
      <c r="A223" s="61" t="s">
        <v>29</v>
      </c>
      <c r="B223" s="61"/>
      <c r="C223" s="16">
        <v>46154</v>
      </c>
      <c r="D223">
        <v>901.34</v>
      </c>
    </row>
    <row r="224" spans="1:4" x14ac:dyDescent="0.3">
      <c r="A224" s="61" t="s">
        <v>30</v>
      </c>
      <c r="B224" s="61"/>
      <c r="C224" s="16">
        <v>46154</v>
      </c>
      <c r="D224">
        <v>1444.08</v>
      </c>
    </row>
    <row r="225" spans="1:4" x14ac:dyDescent="0.3">
      <c r="A225" s="61" t="s">
        <v>31</v>
      </c>
      <c r="B225" s="61"/>
      <c r="C225" s="16">
        <v>46154</v>
      </c>
      <c r="D225">
        <v>19092.599999999962</v>
      </c>
    </row>
    <row r="226" spans="1:4" x14ac:dyDescent="0.3">
      <c r="A226" s="61" t="s">
        <v>32</v>
      </c>
      <c r="B226" s="61"/>
      <c r="C226" s="16">
        <v>46154</v>
      </c>
      <c r="D226">
        <v>15120.060000000001</v>
      </c>
    </row>
    <row r="227" spans="1:4" x14ac:dyDescent="0.3">
      <c r="A227" s="61" t="s">
        <v>33</v>
      </c>
      <c r="B227" s="61"/>
      <c r="C227" s="16">
        <v>46154</v>
      </c>
      <c r="D227">
        <v>31323.39</v>
      </c>
    </row>
    <row r="228" spans="1:4" x14ac:dyDescent="0.3">
      <c r="A228" s="61" t="s">
        <v>34</v>
      </c>
      <c r="B228" s="61"/>
      <c r="C228" s="16">
        <v>46154</v>
      </c>
      <c r="D228">
        <v>345</v>
      </c>
    </row>
    <row r="229" spans="1:4" x14ac:dyDescent="0.3">
      <c r="A229" s="61" t="s">
        <v>35</v>
      </c>
      <c r="B229" s="61"/>
      <c r="C229" s="16">
        <v>46154</v>
      </c>
      <c r="D229">
        <v>16741.59</v>
      </c>
    </row>
    <row r="230" spans="1:4" x14ac:dyDescent="0.3">
      <c r="A230" s="61" t="s">
        <v>17</v>
      </c>
      <c r="B230" s="61"/>
      <c r="C230" s="16">
        <v>46155</v>
      </c>
      <c r="D230">
        <v>606714.4700000002</v>
      </c>
    </row>
    <row r="231" spans="1:4" x14ac:dyDescent="0.3">
      <c r="A231" s="61" t="s">
        <v>18</v>
      </c>
      <c r="B231" s="61"/>
      <c r="C231" s="16">
        <v>46155</v>
      </c>
      <c r="D231">
        <v>58840.089999999938</v>
      </c>
    </row>
    <row r="232" spans="1:4" x14ac:dyDescent="0.3">
      <c r="A232" s="61" t="s">
        <v>19</v>
      </c>
      <c r="B232" s="61"/>
      <c r="C232" s="16">
        <v>46155</v>
      </c>
      <c r="D232">
        <v>1669.89</v>
      </c>
    </row>
    <row r="233" spans="1:4" x14ac:dyDescent="0.3">
      <c r="A233" s="61" t="s">
        <v>20</v>
      </c>
      <c r="B233" s="61"/>
      <c r="C233" s="16">
        <v>46155</v>
      </c>
      <c r="D233">
        <v>1242679.67</v>
      </c>
    </row>
    <row r="234" spans="1:4" x14ac:dyDescent="0.3">
      <c r="A234" s="61" t="s">
        <v>21</v>
      </c>
      <c r="B234" s="61"/>
      <c r="C234" s="16">
        <v>46155</v>
      </c>
      <c r="D234">
        <v>1162404.8599999992</v>
      </c>
    </row>
    <row r="235" spans="1:4" x14ac:dyDescent="0.3">
      <c r="A235" s="61" t="s">
        <v>22</v>
      </c>
      <c r="B235" s="61"/>
      <c r="C235" s="16">
        <v>46155</v>
      </c>
      <c r="D235">
        <v>121511.38</v>
      </c>
    </row>
    <row r="236" spans="1:4" x14ac:dyDescent="0.3">
      <c r="A236" s="61" t="s">
        <v>23</v>
      </c>
      <c r="B236" s="61"/>
      <c r="C236" s="16">
        <v>46155</v>
      </c>
      <c r="D236">
        <v>13090.369999999997</v>
      </c>
    </row>
    <row r="237" spans="1:4" x14ac:dyDescent="0.3">
      <c r="A237" s="61" t="s">
        <v>24</v>
      </c>
      <c r="B237" s="61"/>
      <c r="C237" s="16">
        <v>46155</v>
      </c>
      <c r="D237">
        <v>2498.3999999999996</v>
      </c>
    </row>
    <row r="238" spans="1:4" x14ac:dyDescent="0.3">
      <c r="A238" s="61" t="s">
        <v>25</v>
      </c>
      <c r="B238" s="61"/>
      <c r="C238" s="16">
        <v>46155</v>
      </c>
      <c r="D238">
        <v>114.3</v>
      </c>
    </row>
    <row r="239" spans="1:4" x14ac:dyDescent="0.3">
      <c r="A239" s="61" t="s">
        <v>26</v>
      </c>
      <c r="B239" s="61"/>
      <c r="C239" s="16">
        <v>46155</v>
      </c>
      <c r="D239">
        <v>2267.7200000000003</v>
      </c>
    </row>
    <row r="240" spans="1:4" x14ac:dyDescent="0.3">
      <c r="A240" s="61" t="s">
        <v>27</v>
      </c>
      <c r="B240" s="61"/>
      <c r="C240" s="16">
        <v>46155</v>
      </c>
      <c r="D240">
        <v>3349.94</v>
      </c>
    </row>
    <row r="241" spans="1:4" x14ac:dyDescent="0.3">
      <c r="A241" s="61" t="s">
        <v>28</v>
      </c>
      <c r="B241" s="61"/>
      <c r="C241" s="16">
        <v>46155</v>
      </c>
      <c r="D241">
        <v>1968.99</v>
      </c>
    </row>
    <row r="242" spans="1:4" x14ac:dyDescent="0.3">
      <c r="A242" s="61" t="s">
        <v>29</v>
      </c>
      <c r="B242" s="61"/>
      <c r="C242" s="16">
        <v>46155</v>
      </c>
      <c r="D242">
        <v>901.34</v>
      </c>
    </row>
    <row r="243" spans="1:4" x14ac:dyDescent="0.3">
      <c r="A243" s="61" t="s">
        <v>30</v>
      </c>
      <c r="B243" s="61"/>
      <c r="C243" s="16">
        <v>46155</v>
      </c>
      <c r="D243">
        <v>1444.08</v>
      </c>
    </row>
    <row r="244" spans="1:4" x14ac:dyDescent="0.3">
      <c r="A244" s="61" t="s">
        <v>31</v>
      </c>
      <c r="B244" s="61"/>
      <c r="C244" s="16">
        <v>46155</v>
      </c>
      <c r="D244">
        <v>18242.599999999962</v>
      </c>
    </row>
    <row r="245" spans="1:4" x14ac:dyDescent="0.3">
      <c r="A245" s="61" t="s">
        <v>32</v>
      </c>
      <c r="B245" s="61"/>
      <c r="C245" s="16">
        <v>46155</v>
      </c>
      <c r="D245">
        <v>15120.060000000001</v>
      </c>
    </row>
    <row r="246" spans="1:4" x14ac:dyDescent="0.3">
      <c r="A246" s="61" t="s">
        <v>33</v>
      </c>
      <c r="B246" s="61"/>
      <c r="C246" s="16">
        <v>46155</v>
      </c>
      <c r="D246">
        <v>31323.39</v>
      </c>
    </row>
    <row r="247" spans="1:4" x14ac:dyDescent="0.3">
      <c r="A247" s="61" t="s">
        <v>34</v>
      </c>
      <c r="B247" s="61"/>
      <c r="C247" s="16">
        <v>46155</v>
      </c>
      <c r="D247">
        <v>345</v>
      </c>
    </row>
    <row r="248" spans="1:4" x14ac:dyDescent="0.3">
      <c r="A248" s="61" t="s">
        <v>35</v>
      </c>
      <c r="B248" s="61"/>
      <c r="C248" s="16">
        <v>46155</v>
      </c>
      <c r="D248">
        <v>16741.59</v>
      </c>
    </row>
    <row r="249" spans="1:4" x14ac:dyDescent="0.3">
      <c r="A249" s="61" t="s">
        <v>17</v>
      </c>
      <c r="B249" s="61"/>
      <c r="C249" s="16">
        <v>46156</v>
      </c>
      <c r="D249">
        <v>165752.81000000023</v>
      </c>
    </row>
    <row r="250" spans="1:4" x14ac:dyDescent="0.3">
      <c r="A250" s="61" t="s">
        <v>18</v>
      </c>
      <c r="B250" s="61"/>
      <c r="C250" s="16">
        <v>46156</v>
      </c>
      <c r="D250">
        <v>59760.159999999938</v>
      </c>
    </row>
    <row r="251" spans="1:4" x14ac:dyDescent="0.3">
      <c r="A251" s="61" t="s">
        <v>19</v>
      </c>
      <c r="B251" s="61"/>
      <c r="C251" s="16">
        <v>46156</v>
      </c>
      <c r="D251">
        <v>1669.89</v>
      </c>
    </row>
    <row r="252" spans="1:4" x14ac:dyDescent="0.3">
      <c r="A252" s="61" t="s">
        <v>20</v>
      </c>
      <c r="B252" s="61"/>
      <c r="C252" s="16">
        <v>46156</v>
      </c>
      <c r="D252">
        <v>832679.66999999981</v>
      </c>
    </row>
    <row r="253" spans="1:4" x14ac:dyDescent="0.3">
      <c r="A253" s="61" t="s">
        <v>21</v>
      </c>
      <c r="B253" s="61"/>
      <c r="C253" s="16">
        <v>46156</v>
      </c>
      <c r="D253">
        <v>952193.18999999925</v>
      </c>
    </row>
    <row r="254" spans="1:4" x14ac:dyDescent="0.3">
      <c r="A254" s="61" t="s">
        <v>22</v>
      </c>
      <c r="B254" s="61"/>
      <c r="C254" s="16">
        <v>46156</v>
      </c>
      <c r="D254">
        <v>121511.38</v>
      </c>
    </row>
    <row r="255" spans="1:4" x14ac:dyDescent="0.3">
      <c r="A255" s="61" t="s">
        <v>23</v>
      </c>
      <c r="B255" s="61"/>
      <c r="C255" s="16">
        <v>46156</v>
      </c>
      <c r="D255">
        <v>13090.369999999997</v>
      </c>
    </row>
    <row r="256" spans="1:4" x14ac:dyDescent="0.3">
      <c r="A256" s="61" t="s">
        <v>24</v>
      </c>
      <c r="B256" s="61"/>
      <c r="C256" s="16">
        <v>46156</v>
      </c>
      <c r="D256">
        <v>2498.3999999999996</v>
      </c>
    </row>
    <row r="257" spans="1:4" x14ac:dyDescent="0.3">
      <c r="A257" s="61" t="s">
        <v>25</v>
      </c>
      <c r="B257" s="61"/>
      <c r="C257" s="16">
        <v>46156</v>
      </c>
      <c r="D257">
        <v>114.3</v>
      </c>
    </row>
    <row r="258" spans="1:4" x14ac:dyDescent="0.3">
      <c r="A258" s="61" t="s">
        <v>26</v>
      </c>
      <c r="B258" s="61"/>
      <c r="C258" s="16">
        <v>46156</v>
      </c>
      <c r="D258">
        <v>2267.7200000000003</v>
      </c>
    </row>
    <row r="259" spans="1:4" x14ac:dyDescent="0.3">
      <c r="A259" s="61" t="s">
        <v>27</v>
      </c>
      <c r="B259" s="61"/>
      <c r="C259" s="16">
        <v>46156</v>
      </c>
      <c r="D259">
        <v>3349.94</v>
      </c>
    </row>
    <row r="260" spans="1:4" x14ac:dyDescent="0.3">
      <c r="A260" s="61" t="s">
        <v>28</v>
      </c>
      <c r="B260" s="61"/>
      <c r="C260" s="16">
        <v>46156</v>
      </c>
      <c r="D260">
        <v>1968.99</v>
      </c>
    </row>
    <row r="261" spans="1:4" x14ac:dyDescent="0.3">
      <c r="A261" s="61" t="s">
        <v>29</v>
      </c>
      <c r="B261" s="61"/>
      <c r="C261" s="16">
        <v>46156</v>
      </c>
      <c r="D261">
        <v>901.34</v>
      </c>
    </row>
    <row r="262" spans="1:4" x14ac:dyDescent="0.3">
      <c r="A262" s="61" t="s">
        <v>30</v>
      </c>
      <c r="B262" s="61"/>
      <c r="C262" s="16">
        <v>46156</v>
      </c>
      <c r="D262">
        <v>1444.08</v>
      </c>
    </row>
    <row r="263" spans="1:4" x14ac:dyDescent="0.3">
      <c r="A263" s="61" t="s">
        <v>31</v>
      </c>
      <c r="B263" s="61"/>
      <c r="C263" s="16">
        <v>46156</v>
      </c>
      <c r="D263">
        <v>18242.599999999962</v>
      </c>
    </row>
    <row r="264" spans="1:4" x14ac:dyDescent="0.3">
      <c r="A264" s="61" t="s">
        <v>32</v>
      </c>
      <c r="B264" s="61"/>
      <c r="C264" s="16">
        <v>46156</v>
      </c>
      <c r="D264">
        <v>15120.060000000001</v>
      </c>
    </row>
    <row r="265" spans="1:4" x14ac:dyDescent="0.3">
      <c r="A265" s="61" t="s">
        <v>33</v>
      </c>
      <c r="B265" s="61"/>
      <c r="C265" s="16">
        <v>46156</v>
      </c>
      <c r="D265">
        <v>31323.39</v>
      </c>
    </row>
    <row r="266" spans="1:4" x14ac:dyDescent="0.3">
      <c r="A266" s="61" t="s">
        <v>34</v>
      </c>
      <c r="B266" s="61"/>
      <c r="C266" s="16">
        <v>46156</v>
      </c>
      <c r="D266">
        <v>345</v>
      </c>
    </row>
    <row r="267" spans="1:4" x14ac:dyDescent="0.3">
      <c r="A267" s="61" t="s">
        <v>35</v>
      </c>
      <c r="B267" s="61"/>
      <c r="C267" s="16">
        <v>46156</v>
      </c>
      <c r="D267">
        <v>14226.59</v>
      </c>
    </row>
    <row r="268" spans="1:4" x14ac:dyDescent="0.3">
      <c r="A268" s="61" t="s">
        <v>17</v>
      </c>
      <c r="B268" s="61"/>
      <c r="C268" s="16">
        <v>46157</v>
      </c>
      <c r="D268">
        <v>165752.81000000023</v>
      </c>
    </row>
    <row r="269" spans="1:4" x14ac:dyDescent="0.3">
      <c r="A269" s="61" t="s">
        <v>18</v>
      </c>
      <c r="B269" s="61"/>
      <c r="C269" s="16">
        <v>46157</v>
      </c>
      <c r="D269">
        <v>59760.159999999938</v>
      </c>
    </row>
    <row r="270" spans="1:4" x14ac:dyDescent="0.3">
      <c r="A270" s="61" t="s">
        <v>19</v>
      </c>
      <c r="B270" s="61"/>
      <c r="C270" s="16">
        <v>46157</v>
      </c>
      <c r="D270">
        <v>1669.89</v>
      </c>
    </row>
    <row r="271" spans="1:4" x14ac:dyDescent="0.3">
      <c r="A271" s="61" t="s">
        <v>20</v>
      </c>
      <c r="B271" s="61"/>
      <c r="C271" s="16">
        <v>46157</v>
      </c>
      <c r="D271">
        <v>832076.20999999985</v>
      </c>
    </row>
    <row r="272" spans="1:4" x14ac:dyDescent="0.3">
      <c r="A272" s="61" t="s">
        <v>21</v>
      </c>
      <c r="B272" s="61"/>
      <c r="C272" s="16">
        <v>46157</v>
      </c>
      <c r="D272">
        <v>952163.77999999933</v>
      </c>
    </row>
    <row r="273" spans="1:4" x14ac:dyDescent="0.3">
      <c r="A273" s="61" t="s">
        <v>22</v>
      </c>
      <c r="B273" s="61"/>
      <c r="C273" s="16">
        <v>46157</v>
      </c>
      <c r="D273">
        <v>121511.38</v>
      </c>
    </row>
    <row r="274" spans="1:4" x14ac:dyDescent="0.3">
      <c r="A274" s="61" t="s">
        <v>23</v>
      </c>
      <c r="B274" s="61"/>
      <c r="C274" s="16">
        <v>46157</v>
      </c>
      <c r="D274">
        <v>13090.369999999997</v>
      </c>
    </row>
    <row r="275" spans="1:4" x14ac:dyDescent="0.3">
      <c r="A275" s="61" t="s">
        <v>24</v>
      </c>
      <c r="B275" s="61"/>
      <c r="C275" s="16">
        <v>46157</v>
      </c>
      <c r="D275">
        <v>2498.3999999999996</v>
      </c>
    </row>
    <row r="276" spans="1:4" x14ac:dyDescent="0.3">
      <c r="A276" s="61" t="s">
        <v>25</v>
      </c>
      <c r="B276" s="61"/>
      <c r="C276" s="16">
        <v>46157</v>
      </c>
      <c r="D276">
        <v>114.3</v>
      </c>
    </row>
    <row r="277" spans="1:4" x14ac:dyDescent="0.3">
      <c r="A277" s="61" t="s">
        <v>26</v>
      </c>
      <c r="B277" s="61"/>
      <c r="C277" s="16">
        <v>46157</v>
      </c>
      <c r="D277">
        <v>2267.7200000000003</v>
      </c>
    </row>
    <row r="278" spans="1:4" x14ac:dyDescent="0.3">
      <c r="A278" s="61" t="s">
        <v>27</v>
      </c>
      <c r="B278" s="61"/>
      <c r="C278" s="16">
        <v>46157</v>
      </c>
      <c r="D278">
        <v>3349.94</v>
      </c>
    </row>
    <row r="279" spans="1:4" x14ac:dyDescent="0.3">
      <c r="A279" s="61" t="s">
        <v>28</v>
      </c>
      <c r="B279" s="61"/>
      <c r="C279" s="16">
        <v>46157</v>
      </c>
      <c r="D279">
        <v>1968.99</v>
      </c>
    </row>
    <row r="280" spans="1:4" x14ac:dyDescent="0.3">
      <c r="A280" s="61" t="s">
        <v>29</v>
      </c>
      <c r="B280" s="61"/>
      <c r="C280" s="16">
        <v>46157</v>
      </c>
      <c r="D280">
        <v>901.34</v>
      </c>
    </row>
    <row r="281" spans="1:4" x14ac:dyDescent="0.3">
      <c r="A281" s="61" t="s">
        <v>30</v>
      </c>
      <c r="B281" s="61"/>
      <c r="C281" s="16">
        <v>46157</v>
      </c>
      <c r="D281">
        <v>1444.08</v>
      </c>
    </row>
    <row r="282" spans="1:4" x14ac:dyDescent="0.3">
      <c r="A282" s="61" t="s">
        <v>31</v>
      </c>
      <c r="B282" s="61"/>
      <c r="C282" s="16">
        <v>46157</v>
      </c>
      <c r="D282">
        <v>18242.599999999962</v>
      </c>
    </row>
    <row r="283" spans="1:4" x14ac:dyDescent="0.3">
      <c r="A283" s="61" t="s">
        <v>32</v>
      </c>
      <c r="B283" s="61"/>
      <c r="C283" s="16">
        <v>46157</v>
      </c>
      <c r="D283">
        <v>15120.060000000001</v>
      </c>
    </row>
    <row r="284" spans="1:4" x14ac:dyDescent="0.3">
      <c r="A284" s="61" t="s">
        <v>33</v>
      </c>
      <c r="B284" s="61"/>
      <c r="C284" s="16">
        <v>46157</v>
      </c>
      <c r="D284">
        <v>27011.27</v>
      </c>
    </row>
    <row r="285" spans="1:4" x14ac:dyDescent="0.3">
      <c r="A285" s="61" t="s">
        <v>34</v>
      </c>
      <c r="B285" s="61"/>
      <c r="C285" s="16">
        <v>46157</v>
      </c>
      <c r="D285">
        <v>345</v>
      </c>
    </row>
    <row r="286" spans="1:4" x14ac:dyDescent="0.3">
      <c r="A286" s="61" t="s">
        <v>35</v>
      </c>
      <c r="B286" s="61"/>
      <c r="C286" s="16">
        <v>46157</v>
      </c>
      <c r="D286">
        <v>14176.59</v>
      </c>
    </row>
    <row r="287" spans="1:4" x14ac:dyDescent="0.3">
      <c r="A287" s="61" t="s">
        <v>17</v>
      </c>
      <c r="B287" s="61"/>
      <c r="C287" s="16">
        <v>46158</v>
      </c>
      <c r="D287">
        <v>165752.81000000023</v>
      </c>
    </row>
    <row r="288" spans="1:4" x14ac:dyDescent="0.3">
      <c r="A288" s="61" t="s">
        <v>18</v>
      </c>
      <c r="B288" s="61"/>
      <c r="C288" s="16">
        <v>46158</v>
      </c>
      <c r="D288">
        <v>59760.159999999938</v>
      </c>
    </row>
    <row r="289" spans="1:4" x14ac:dyDescent="0.3">
      <c r="A289" s="61" t="s">
        <v>19</v>
      </c>
      <c r="B289" s="61"/>
      <c r="C289" s="16">
        <v>46158</v>
      </c>
      <c r="D289">
        <v>1669.89</v>
      </c>
    </row>
    <row r="290" spans="1:4" x14ac:dyDescent="0.3">
      <c r="A290" s="61" t="s">
        <v>20</v>
      </c>
      <c r="B290" s="61"/>
      <c r="C290" s="16">
        <v>46158</v>
      </c>
      <c r="D290">
        <v>832076.20999999985</v>
      </c>
    </row>
    <row r="291" spans="1:4" x14ac:dyDescent="0.3">
      <c r="A291" s="61" t="s">
        <v>21</v>
      </c>
      <c r="B291" s="61"/>
      <c r="C291" s="16">
        <v>46158</v>
      </c>
      <c r="D291">
        <v>952163.77999999933</v>
      </c>
    </row>
    <row r="292" spans="1:4" x14ac:dyDescent="0.3">
      <c r="A292" s="61" t="s">
        <v>22</v>
      </c>
      <c r="B292" s="61"/>
      <c r="C292" s="16">
        <v>46158</v>
      </c>
      <c r="D292">
        <v>121511.38</v>
      </c>
    </row>
    <row r="293" spans="1:4" x14ac:dyDescent="0.3">
      <c r="A293" s="61" t="s">
        <v>23</v>
      </c>
      <c r="B293" s="61"/>
      <c r="C293" s="16">
        <v>46158</v>
      </c>
      <c r="D293">
        <v>13090.369999999997</v>
      </c>
    </row>
    <row r="294" spans="1:4" x14ac:dyDescent="0.3">
      <c r="A294" s="61" t="s">
        <v>24</v>
      </c>
      <c r="B294" s="61"/>
      <c r="C294" s="16">
        <v>46158</v>
      </c>
      <c r="D294">
        <v>2498.3999999999996</v>
      </c>
    </row>
    <row r="295" spans="1:4" x14ac:dyDescent="0.3">
      <c r="A295" s="61" t="s">
        <v>25</v>
      </c>
      <c r="B295" s="61"/>
      <c r="C295" s="16">
        <v>46158</v>
      </c>
      <c r="D295">
        <v>114.3</v>
      </c>
    </row>
    <row r="296" spans="1:4" x14ac:dyDescent="0.3">
      <c r="A296" s="61" t="s">
        <v>26</v>
      </c>
      <c r="B296" s="61"/>
      <c r="C296" s="16">
        <v>46158</v>
      </c>
      <c r="D296">
        <v>2267.7200000000003</v>
      </c>
    </row>
    <row r="297" spans="1:4" x14ac:dyDescent="0.3">
      <c r="A297" s="61" t="s">
        <v>27</v>
      </c>
      <c r="B297" s="61"/>
      <c r="C297" s="16">
        <v>46158</v>
      </c>
      <c r="D297">
        <v>3349.94</v>
      </c>
    </row>
    <row r="298" spans="1:4" x14ac:dyDescent="0.3">
      <c r="A298" s="61" t="s">
        <v>28</v>
      </c>
      <c r="B298" s="61"/>
      <c r="C298" s="16">
        <v>46158</v>
      </c>
      <c r="D298">
        <v>1968.99</v>
      </c>
    </row>
    <row r="299" spans="1:4" x14ac:dyDescent="0.3">
      <c r="A299" s="61" t="s">
        <v>29</v>
      </c>
      <c r="B299" s="61"/>
      <c r="C299" s="16">
        <v>46158</v>
      </c>
      <c r="D299">
        <v>901.34</v>
      </c>
    </row>
    <row r="300" spans="1:4" x14ac:dyDescent="0.3">
      <c r="A300" s="61" t="s">
        <v>30</v>
      </c>
      <c r="B300" s="61"/>
      <c r="C300" s="16">
        <v>46158</v>
      </c>
      <c r="D300">
        <v>1444.08</v>
      </c>
    </row>
    <row r="301" spans="1:4" x14ac:dyDescent="0.3">
      <c r="A301" s="61" t="s">
        <v>31</v>
      </c>
      <c r="B301" s="61"/>
      <c r="C301" s="16">
        <v>46158</v>
      </c>
      <c r="D301">
        <v>18242.599999999962</v>
      </c>
    </row>
    <row r="302" spans="1:4" x14ac:dyDescent="0.3">
      <c r="A302" s="61" t="s">
        <v>32</v>
      </c>
      <c r="B302" s="61"/>
      <c r="C302" s="16">
        <v>46158</v>
      </c>
      <c r="D302">
        <v>15120.060000000001</v>
      </c>
    </row>
    <row r="303" spans="1:4" x14ac:dyDescent="0.3">
      <c r="A303" s="61" t="s">
        <v>33</v>
      </c>
      <c r="B303" s="61"/>
      <c r="C303" s="16">
        <v>46158</v>
      </c>
      <c r="D303">
        <v>27011.27</v>
      </c>
    </row>
    <row r="304" spans="1:4" x14ac:dyDescent="0.3">
      <c r="A304" s="61" t="s">
        <v>34</v>
      </c>
      <c r="B304" s="61"/>
      <c r="C304" s="16">
        <v>46158</v>
      </c>
      <c r="D304">
        <v>345</v>
      </c>
    </row>
    <row r="305" spans="1:4" x14ac:dyDescent="0.3">
      <c r="A305" s="61" t="s">
        <v>35</v>
      </c>
      <c r="B305" s="61"/>
      <c r="C305" s="16">
        <v>46158</v>
      </c>
      <c r="D305">
        <v>14176.59</v>
      </c>
    </row>
    <row r="306" spans="1:4" x14ac:dyDescent="0.3">
      <c r="A306" s="61" t="s">
        <v>17</v>
      </c>
      <c r="B306" s="61"/>
      <c r="C306" s="16">
        <v>46159</v>
      </c>
      <c r="D306">
        <v>165752.81000000023</v>
      </c>
    </row>
    <row r="307" spans="1:4" x14ac:dyDescent="0.3">
      <c r="A307" s="61" t="s">
        <v>18</v>
      </c>
      <c r="B307" s="61"/>
      <c r="C307" s="16">
        <v>46159</v>
      </c>
      <c r="D307">
        <v>59760.159999999938</v>
      </c>
    </row>
    <row r="308" spans="1:4" x14ac:dyDescent="0.3">
      <c r="A308" s="61" t="s">
        <v>19</v>
      </c>
      <c r="B308" s="61"/>
      <c r="C308" s="16">
        <v>46159</v>
      </c>
      <c r="D308">
        <v>1669.89</v>
      </c>
    </row>
    <row r="309" spans="1:4" x14ac:dyDescent="0.3">
      <c r="A309" s="61" t="s">
        <v>20</v>
      </c>
      <c r="B309" s="61"/>
      <c r="C309" s="16">
        <v>46159</v>
      </c>
      <c r="D309">
        <v>832076.20999999985</v>
      </c>
    </row>
    <row r="310" spans="1:4" x14ac:dyDescent="0.3">
      <c r="A310" s="61" t="s">
        <v>21</v>
      </c>
      <c r="B310" s="61"/>
      <c r="C310" s="16">
        <v>46159</v>
      </c>
      <c r="D310">
        <v>952163.77999999933</v>
      </c>
    </row>
    <row r="311" spans="1:4" x14ac:dyDescent="0.3">
      <c r="A311" s="61" t="s">
        <v>22</v>
      </c>
      <c r="B311" s="61"/>
      <c r="C311" s="16">
        <v>46159</v>
      </c>
      <c r="D311">
        <v>121511.38</v>
      </c>
    </row>
    <row r="312" spans="1:4" x14ac:dyDescent="0.3">
      <c r="A312" s="61" t="s">
        <v>23</v>
      </c>
      <c r="B312" s="61"/>
      <c r="C312" s="16">
        <v>46159</v>
      </c>
      <c r="D312">
        <v>13090.369999999997</v>
      </c>
    </row>
    <row r="313" spans="1:4" x14ac:dyDescent="0.3">
      <c r="A313" s="61" t="s">
        <v>24</v>
      </c>
      <c r="B313" s="61"/>
      <c r="C313" s="16">
        <v>46159</v>
      </c>
      <c r="D313">
        <v>2498.3999999999996</v>
      </c>
    </row>
    <row r="314" spans="1:4" x14ac:dyDescent="0.3">
      <c r="A314" s="61" t="s">
        <v>25</v>
      </c>
      <c r="B314" s="61"/>
      <c r="C314" s="16">
        <v>46159</v>
      </c>
      <c r="D314">
        <v>114.3</v>
      </c>
    </row>
    <row r="315" spans="1:4" x14ac:dyDescent="0.3">
      <c r="A315" s="61" t="s">
        <v>26</v>
      </c>
      <c r="B315" s="61"/>
      <c r="C315" s="16">
        <v>46159</v>
      </c>
      <c r="D315">
        <v>2267.7200000000003</v>
      </c>
    </row>
    <row r="316" spans="1:4" x14ac:dyDescent="0.3">
      <c r="A316" s="61" t="s">
        <v>27</v>
      </c>
      <c r="B316" s="61"/>
      <c r="C316" s="16">
        <v>46159</v>
      </c>
      <c r="D316">
        <v>3349.94</v>
      </c>
    </row>
    <row r="317" spans="1:4" x14ac:dyDescent="0.3">
      <c r="A317" s="61" t="s">
        <v>28</v>
      </c>
      <c r="B317" s="61"/>
      <c r="C317" s="16">
        <v>46159</v>
      </c>
      <c r="D317">
        <v>1968.99</v>
      </c>
    </row>
    <row r="318" spans="1:4" x14ac:dyDescent="0.3">
      <c r="A318" s="61" t="s">
        <v>29</v>
      </c>
      <c r="B318" s="61"/>
      <c r="C318" s="16">
        <v>46159</v>
      </c>
      <c r="D318">
        <v>901.34</v>
      </c>
    </row>
    <row r="319" spans="1:4" x14ac:dyDescent="0.3">
      <c r="A319" s="61" t="s">
        <v>30</v>
      </c>
      <c r="B319" s="61"/>
      <c r="C319" s="16">
        <v>46159</v>
      </c>
      <c r="D319">
        <v>1444.08</v>
      </c>
    </row>
    <row r="320" spans="1:4" x14ac:dyDescent="0.3">
      <c r="A320" s="61" t="s">
        <v>31</v>
      </c>
      <c r="B320" s="61"/>
      <c r="C320" s="16">
        <v>46159</v>
      </c>
      <c r="D320">
        <v>18242.599999999962</v>
      </c>
    </row>
    <row r="321" spans="1:4" x14ac:dyDescent="0.3">
      <c r="A321" s="61" t="s">
        <v>32</v>
      </c>
      <c r="B321" s="61"/>
      <c r="C321" s="16">
        <v>46159</v>
      </c>
      <c r="D321">
        <v>15120.060000000001</v>
      </c>
    </row>
    <row r="322" spans="1:4" x14ac:dyDescent="0.3">
      <c r="A322" s="61" t="s">
        <v>33</v>
      </c>
      <c r="B322" s="61"/>
      <c r="C322" s="16">
        <v>46159</v>
      </c>
      <c r="D322">
        <v>27011.27</v>
      </c>
    </row>
    <row r="323" spans="1:4" x14ac:dyDescent="0.3">
      <c r="A323" s="61" t="s">
        <v>34</v>
      </c>
      <c r="B323" s="61"/>
      <c r="C323" s="16">
        <v>46159</v>
      </c>
      <c r="D323">
        <v>345</v>
      </c>
    </row>
    <row r="324" spans="1:4" x14ac:dyDescent="0.3">
      <c r="A324" s="61" t="s">
        <v>35</v>
      </c>
      <c r="B324" s="61"/>
      <c r="C324" s="16">
        <v>46159</v>
      </c>
      <c r="D324">
        <v>14176.59</v>
      </c>
    </row>
    <row r="325" spans="1:4" x14ac:dyDescent="0.3">
      <c r="A325" s="61" t="s">
        <v>17</v>
      </c>
      <c r="B325" s="61"/>
      <c r="C325" s="16">
        <v>46160</v>
      </c>
      <c r="D325">
        <v>165752.81000000023</v>
      </c>
    </row>
    <row r="326" spans="1:4" x14ac:dyDescent="0.3">
      <c r="A326" s="61" t="s">
        <v>18</v>
      </c>
      <c r="B326" s="61"/>
      <c r="C326" s="16">
        <v>46160</v>
      </c>
      <c r="D326">
        <v>59760.159999999938</v>
      </c>
    </row>
    <row r="327" spans="1:4" x14ac:dyDescent="0.3">
      <c r="A327" s="61" t="s">
        <v>19</v>
      </c>
      <c r="B327" s="61"/>
      <c r="C327" s="16">
        <v>46160</v>
      </c>
      <c r="D327">
        <v>1669.89</v>
      </c>
    </row>
    <row r="328" spans="1:4" x14ac:dyDescent="0.3">
      <c r="A328" s="61" t="s">
        <v>20</v>
      </c>
      <c r="B328" s="61"/>
      <c r="C328" s="16">
        <v>46160</v>
      </c>
      <c r="D328">
        <v>832076.20999999985</v>
      </c>
    </row>
    <row r="329" spans="1:4" x14ac:dyDescent="0.3">
      <c r="A329" s="61" t="s">
        <v>21</v>
      </c>
      <c r="B329" s="61"/>
      <c r="C329" s="16">
        <v>46160</v>
      </c>
      <c r="D329">
        <v>928713.30999999924</v>
      </c>
    </row>
    <row r="330" spans="1:4" x14ac:dyDescent="0.3">
      <c r="A330" s="61" t="s">
        <v>22</v>
      </c>
      <c r="B330" s="61"/>
      <c r="C330" s="16">
        <v>46160</v>
      </c>
      <c r="D330">
        <v>121511.38</v>
      </c>
    </row>
    <row r="331" spans="1:4" x14ac:dyDescent="0.3">
      <c r="A331" s="61" t="s">
        <v>23</v>
      </c>
      <c r="B331" s="61"/>
      <c r="C331" s="16">
        <v>46160</v>
      </c>
      <c r="D331">
        <v>13090.369999999997</v>
      </c>
    </row>
    <row r="332" spans="1:4" x14ac:dyDescent="0.3">
      <c r="A332" s="61" t="s">
        <v>24</v>
      </c>
      <c r="B332" s="61"/>
      <c r="C332" s="16">
        <v>46160</v>
      </c>
      <c r="D332">
        <v>2498.3999999999996</v>
      </c>
    </row>
    <row r="333" spans="1:4" x14ac:dyDescent="0.3">
      <c r="A333" s="61" t="s">
        <v>25</v>
      </c>
      <c r="B333" s="61"/>
      <c r="C333" s="16">
        <v>46160</v>
      </c>
      <c r="D333">
        <v>114.3</v>
      </c>
    </row>
    <row r="334" spans="1:4" x14ac:dyDescent="0.3">
      <c r="A334" s="61" t="s">
        <v>26</v>
      </c>
      <c r="B334" s="61"/>
      <c r="C334" s="16">
        <v>46160</v>
      </c>
      <c r="D334">
        <v>2267.7200000000003</v>
      </c>
    </row>
    <row r="335" spans="1:4" x14ac:dyDescent="0.3">
      <c r="A335" s="61" t="s">
        <v>27</v>
      </c>
      <c r="B335" s="61"/>
      <c r="C335" s="16">
        <v>46160</v>
      </c>
      <c r="D335">
        <v>3349.94</v>
      </c>
    </row>
    <row r="336" spans="1:4" x14ac:dyDescent="0.3">
      <c r="A336" s="61" t="s">
        <v>28</v>
      </c>
      <c r="B336" s="61"/>
      <c r="C336" s="16">
        <v>46160</v>
      </c>
      <c r="D336">
        <v>1968.99</v>
      </c>
    </row>
    <row r="337" spans="1:4" x14ac:dyDescent="0.3">
      <c r="A337" s="61" t="s">
        <v>29</v>
      </c>
      <c r="B337" s="61"/>
      <c r="C337" s="16">
        <v>46160</v>
      </c>
      <c r="D337">
        <v>901.34</v>
      </c>
    </row>
    <row r="338" spans="1:4" x14ac:dyDescent="0.3">
      <c r="A338" s="61" t="s">
        <v>30</v>
      </c>
      <c r="B338" s="61"/>
      <c r="C338" s="16">
        <v>46160</v>
      </c>
      <c r="D338">
        <v>1444.08</v>
      </c>
    </row>
    <row r="339" spans="1:4" x14ac:dyDescent="0.3">
      <c r="A339" s="61" t="s">
        <v>31</v>
      </c>
      <c r="B339" s="61"/>
      <c r="C339" s="16">
        <v>46160</v>
      </c>
      <c r="D339">
        <v>15463.59999999996</v>
      </c>
    </row>
    <row r="340" spans="1:4" x14ac:dyDescent="0.3">
      <c r="A340" s="61" t="s">
        <v>32</v>
      </c>
      <c r="B340" s="61"/>
      <c r="C340" s="16">
        <v>46160</v>
      </c>
      <c r="D340">
        <v>15120.060000000001</v>
      </c>
    </row>
    <row r="341" spans="1:4" x14ac:dyDescent="0.3">
      <c r="A341" s="61" t="s">
        <v>33</v>
      </c>
      <c r="B341" s="61"/>
      <c r="C341" s="16">
        <v>46160</v>
      </c>
      <c r="D341">
        <v>27006.27</v>
      </c>
    </row>
    <row r="342" spans="1:4" x14ac:dyDescent="0.3">
      <c r="A342" s="61" t="s">
        <v>34</v>
      </c>
      <c r="B342" s="61"/>
      <c r="C342" s="16">
        <v>46160</v>
      </c>
      <c r="D342">
        <v>345</v>
      </c>
    </row>
    <row r="343" spans="1:4" x14ac:dyDescent="0.3">
      <c r="A343" s="61" t="s">
        <v>35</v>
      </c>
      <c r="B343" s="61"/>
      <c r="C343" s="16">
        <v>46160</v>
      </c>
      <c r="D343">
        <v>13941.210000000001</v>
      </c>
    </row>
    <row r="344" spans="1:4" x14ac:dyDescent="0.3">
      <c r="A344" s="61" t="s">
        <v>17</v>
      </c>
      <c r="B344" s="61"/>
      <c r="C344" s="16">
        <v>46161</v>
      </c>
      <c r="D344">
        <v>815752.81000000029</v>
      </c>
    </row>
    <row r="345" spans="1:4" x14ac:dyDescent="0.3">
      <c r="A345" s="61" t="s">
        <v>18</v>
      </c>
      <c r="B345" s="61"/>
      <c r="C345" s="16">
        <v>46161</v>
      </c>
      <c r="D345">
        <v>59760.159999999938</v>
      </c>
    </row>
    <row r="346" spans="1:4" x14ac:dyDescent="0.3">
      <c r="A346" s="61" t="s">
        <v>19</v>
      </c>
      <c r="B346" s="61"/>
      <c r="C346" s="16">
        <v>46161</v>
      </c>
      <c r="D346">
        <v>1669.89</v>
      </c>
    </row>
    <row r="347" spans="1:4" x14ac:dyDescent="0.3">
      <c r="A347" s="61" t="s">
        <v>20</v>
      </c>
      <c r="B347" s="61"/>
      <c r="C347" s="16">
        <v>46161</v>
      </c>
      <c r="D347">
        <v>832076.20999999985</v>
      </c>
    </row>
    <row r="348" spans="1:4" x14ac:dyDescent="0.3">
      <c r="A348" s="61" t="s">
        <v>21</v>
      </c>
      <c r="B348" s="61"/>
      <c r="C348" s="16">
        <v>46161</v>
      </c>
      <c r="D348">
        <v>925592.77999999933</v>
      </c>
    </row>
    <row r="349" spans="1:4" x14ac:dyDescent="0.3">
      <c r="A349" s="61" t="s">
        <v>22</v>
      </c>
      <c r="B349" s="61"/>
      <c r="C349" s="16">
        <v>46161</v>
      </c>
      <c r="D349">
        <v>91511.38</v>
      </c>
    </row>
    <row r="350" spans="1:4" x14ac:dyDescent="0.3">
      <c r="A350" s="61" t="s">
        <v>23</v>
      </c>
      <c r="B350" s="61"/>
      <c r="C350" s="16">
        <v>46161</v>
      </c>
      <c r="D350">
        <v>13090.369999999997</v>
      </c>
    </row>
    <row r="351" spans="1:4" x14ac:dyDescent="0.3">
      <c r="A351" s="61" t="s">
        <v>24</v>
      </c>
      <c r="B351" s="61"/>
      <c r="C351" s="16">
        <v>46161</v>
      </c>
      <c r="D351">
        <v>2498.3999999999996</v>
      </c>
    </row>
    <row r="352" spans="1:4" x14ac:dyDescent="0.3">
      <c r="A352" s="61" t="s">
        <v>25</v>
      </c>
      <c r="B352" s="61"/>
      <c r="C352" s="16">
        <v>46161</v>
      </c>
      <c r="D352">
        <v>114.3</v>
      </c>
    </row>
    <row r="353" spans="1:4" x14ac:dyDescent="0.3">
      <c r="A353" s="61" t="s">
        <v>26</v>
      </c>
      <c r="B353" s="61"/>
      <c r="C353" s="16">
        <v>46161</v>
      </c>
      <c r="D353">
        <v>2267.7200000000003</v>
      </c>
    </row>
    <row r="354" spans="1:4" x14ac:dyDescent="0.3">
      <c r="A354" s="61" t="s">
        <v>27</v>
      </c>
      <c r="B354" s="61"/>
      <c r="C354" s="16">
        <v>46161</v>
      </c>
      <c r="D354">
        <v>3349.94</v>
      </c>
    </row>
    <row r="355" spans="1:4" x14ac:dyDescent="0.3">
      <c r="A355" s="61" t="s">
        <v>28</v>
      </c>
      <c r="B355" s="61"/>
      <c r="C355" s="16">
        <v>46161</v>
      </c>
      <c r="D355">
        <v>1968.99</v>
      </c>
    </row>
    <row r="356" spans="1:4" x14ac:dyDescent="0.3">
      <c r="A356" s="61" t="s">
        <v>29</v>
      </c>
      <c r="B356" s="61"/>
      <c r="C356" s="16">
        <v>46161</v>
      </c>
      <c r="D356">
        <v>901.34</v>
      </c>
    </row>
    <row r="357" spans="1:4" x14ac:dyDescent="0.3">
      <c r="A357" s="61" t="s">
        <v>30</v>
      </c>
      <c r="B357" s="61"/>
      <c r="C357" s="16">
        <v>46161</v>
      </c>
      <c r="D357">
        <v>1444.08</v>
      </c>
    </row>
    <row r="358" spans="1:4" x14ac:dyDescent="0.3">
      <c r="A358" s="61" t="s">
        <v>31</v>
      </c>
      <c r="B358" s="61"/>
      <c r="C358" s="16">
        <v>46161</v>
      </c>
      <c r="D358">
        <v>15463.59999999996</v>
      </c>
    </row>
    <row r="359" spans="1:4" x14ac:dyDescent="0.3">
      <c r="A359" s="61" t="s">
        <v>32</v>
      </c>
      <c r="B359" s="61"/>
      <c r="C359" s="16">
        <v>46161</v>
      </c>
      <c r="D359">
        <v>15120.060000000001</v>
      </c>
    </row>
    <row r="360" spans="1:4" x14ac:dyDescent="0.3">
      <c r="A360" s="61" t="s">
        <v>33</v>
      </c>
      <c r="B360" s="61"/>
      <c r="C360" s="16">
        <v>46161</v>
      </c>
      <c r="D360">
        <v>27006.27</v>
      </c>
    </row>
    <row r="361" spans="1:4" x14ac:dyDescent="0.3">
      <c r="A361" s="61" t="s">
        <v>34</v>
      </c>
      <c r="B361" s="61"/>
      <c r="C361" s="16">
        <v>46161</v>
      </c>
      <c r="D361">
        <v>345</v>
      </c>
    </row>
    <row r="362" spans="1:4" x14ac:dyDescent="0.3">
      <c r="A362" s="61" t="s">
        <v>35</v>
      </c>
      <c r="B362" s="61"/>
      <c r="C362" s="16">
        <v>46161</v>
      </c>
      <c r="D362">
        <v>18941.21</v>
      </c>
    </row>
    <row r="363" spans="1:4" x14ac:dyDescent="0.3">
      <c r="A363" s="61" t="s">
        <v>17</v>
      </c>
      <c r="B363" s="61"/>
      <c r="C363" s="16">
        <v>46162</v>
      </c>
      <c r="D363">
        <v>142321.80000000013</v>
      </c>
    </row>
    <row r="364" spans="1:4" x14ac:dyDescent="0.3">
      <c r="A364" s="61" t="s">
        <v>18</v>
      </c>
      <c r="B364" s="61"/>
      <c r="C364" s="16">
        <v>46162</v>
      </c>
      <c r="D364">
        <v>59760.159999999938</v>
      </c>
    </row>
    <row r="365" spans="1:4" x14ac:dyDescent="0.3">
      <c r="A365" s="61" t="s">
        <v>19</v>
      </c>
      <c r="B365" s="61"/>
      <c r="C365" s="16">
        <v>46162</v>
      </c>
      <c r="D365">
        <v>1669.89</v>
      </c>
    </row>
    <row r="366" spans="1:4" x14ac:dyDescent="0.3">
      <c r="A366" s="61" t="s">
        <v>20</v>
      </c>
      <c r="B366" s="61"/>
      <c r="C366" s="16">
        <v>46162</v>
      </c>
      <c r="D366">
        <v>832076.20999999985</v>
      </c>
    </row>
    <row r="367" spans="1:4" x14ac:dyDescent="0.3">
      <c r="A367" s="61" t="s">
        <v>21</v>
      </c>
      <c r="B367" s="61"/>
      <c r="C367" s="16">
        <v>46162</v>
      </c>
      <c r="D367">
        <v>981189.87999999931</v>
      </c>
    </row>
    <row r="368" spans="1:4" x14ac:dyDescent="0.3">
      <c r="A368" s="61" t="s">
        <v>22</v>
      </c>
      <c r="B368" s="61"/>
      <c r="C368" s="16">
        <v>46162</v>
      </c>
      <c r="D368">
        <v>141496.38</v>
      </c>
    </row>
    <row r="369" spans="1:4" x14ac:dyDescent="0.3">
      <c r="A369" s="61" t="s">
        <v>23</v>
      </c>
      <c r="B369" s="61"/>
      <c r="C369" s="16">
        <v>46162</v>
      </c>
      <c r="D369">
        <v>13090.369999999997</v>
      </c>
    </row>
    <row r="370" spans="1:4" x14ac:dyDescent="0.3">
      <c r="A370" s="61" t="s">
        <v>24</v>
      </c>
      <c r="B370" s="61"/>
      <c r="C370" s="16">
        <v>46162</v>
      </c>
      <c r="D370">
        <v>2498.3999999999996</v>
      </c>
    </row>
    <row r="371" spans="1:4" x14ac:dyDescent="0.3">
      <c r="A371" s="61" t="s">
        <v>25</v>
      </c>
      <c r="B371" s="61"/>
      <c r="C371" s="16">
        <v>46162</v>
      </c>
      <c r="D371">
        <v>114.3</v>
      </c>
    </row>
    <row r="372" spans="1:4" x14ac:dyDescent="0.3">
      <c r="A372" s="61" t="s">
        <v>26</v>
      </c>
      <c r="B372" s="61"/>
      <c r="C372" s="16">
        <v>46162</v>
      </c>
      <c r="D372">
        <v>2267.7200000000003</v>
      </c>
    </row>
    <row r="373" spans="1:4" x14ac:dyDescent="0.3">
      <c r="A373" s="61" t="s">
        <v>27</v>
      </c>
      <c r="B373" s="61"/>
      <c r="C373" s="16">
        <v>46162</v>
      </c>
      <c r="D373">
        <v>3349.94</v>
      </c>
    </row>
    <row r="374" spans="1:4" x14ac:dyDescent="0.3">
      <c r="A374" s="61" t="s">
        <v>28</v>
      </c>
      <c r="B374" s="61"/>
      <c r="C374" s="16">
        <v>46162</v>
      </c>
      <c r="D374">
        <v>1968.99</v>
      </c>
    </row>
    <row r="375" spans="1:4" x14ac:dyDescent="0.3">
      <c r="A375" s="61" t="s">
        <v>29</v>
      </c>
      <c r="B375" s="61"/>
      <c r="C375" s="16">
        <v>46162</v>
      </c>
      <c r="D375">
        <v>901.34</v>
      </c>
    </row>
    <row r="376" spans="1:4" x14ac:dyDescent="0.3">
      <c r="A376" s="61" t="s">
        <v>30</v>
      </c>
      <c r="B376" s="61"/>
      <c r="C376" s="16">
        <v>46162</v>
      </c>
      <c r="D376">
        <v>1444.08</v>
      </c>
    </row>
    <row r="377" spans="1:4" x14ac:dyDescent="0.3">
      <c r="A377" s="61" t="s">
        <v>31</v>
      </c>
      <c r="B377" s="61"/>
      <c r="C377" s="16">
        <v>46162</v>
      </c>
      <c r="D377">
        <v>15463.59999999996</v>
      </c>
    </row>
    <row r="378" spans="1:4" x14ac:dyDescent="0.3">
      <c r="A378" s="61" t="s">
        <v>32</v>
      </c>
      <c r="B378" s="61"/>
      <c r="C378" s="16">
        <v>46162</v>
      </c>
      <c r="D378">
        <v>15120.060000000001</v>
      </c>
    </row>
    <row r="379" spans="1:4" x14ac:dyDescent="0.3">
      <c r="A379" s="61" t="s">
        <v>33</v>
      </c>
      <c r="B379" s="61"/>
      <c r="C379" s="16">
        <v>46162</v>
      </c>
      <c r="D379">
        <v>29206.27</v>
      </c>
    </row>
    <row r="380" spans="1:4" x14ac:dyDescent="0.3">
      <c r="A380" s="61" t="s">
        <v>34</v>
      </c>
      <c r="B380" s="61"/>
      <c r="C380" s="16">
        <v>46162</v>
      </c>
      <c r="D380">
        <v>345</v>
      </c>
    </row>
    <row r="381" spans="1:4" x14ac:dyDescent="0.3">
      <c r="A381" s="61" t="s">
        <v>35</v>
      </c>
      <c r="B381" s="61"/>
      <c r="C381" s="16">
        <v>46162</v>
      </c>
      <c r="D381">
        <v>8168.0700000000006</v>
      </c>
    </row>
    <row r="382" spans="1:4" x14ac:dyDescent="0.3">
      <c r="A382" s="61" t="s">
        <v>17</v>
      </c>
      <c r="B382" s="61"/>
      <c r="C382" s="16">
        <v>46163</v>
      </c>
      <c r="D382">
        <v>142321.80000000013</v>
      </c>
    </row>
    <row r="383" spans="1:4" x14ac:dyDescent="0.3">
      <c r="A383" s="61" t="s">
        <v>18</v>
      </c>
      <c r="B383" s="61"/>
      <c r="C383" s="16">
        <v>46163</v>
      </c>
      <c r="D383">
        <v>659760.15999999992</v>
      </c>
    </row>
    <row r="384" spans="1:4" x14ac:dyDescent="0.3">
      <c r="A384" s="61" t="s">
        <v>19</v>
      </c>
      <c r="B384" s="61"/>
      <c r="C384" s="16">
        <v>46163</v>
      </c>
      <c r="D384">
        <v>1669.89</v>
      </c>
    </row>
    <row r="385" spans="1:4" x14ac:dyDescent="0.3">
      <c r="A385" s="61" t="s">
        <v>20</v>
      </c>
      <c r="B385" s="61"/>
      <c r="C385" s="16">
        <v>46163</v>
      </c>
      <c r="D385">
        <v>497076.20999999985</v>
      </c>
    </row>
    <row r="386" spans="1:4" x14ac:dyDescent="0.3">
      <c r="A386" s="61" t="s">
        <v>21</v>
      </c>
      <c r="B386" s="61"/>
      <c r="C386" s="16">
        <v>46163</v>
      </c>
      <c r="D386">
        <v>981189.87999999931</v>
      </c>
    </row>
    <row r="387" spans="1:4" x14ac:dyDescent="0.3">
      <c r="A387" s="61" t="s">
        <v>22</v>
      </c>
      <c r="B387" s="61"/>
      <c r="C387" s="16">
        <v>46163</v>
      </c>
      <c r="D387">
        <v>141496.38</v>
      </c>
    </row>
    <row r="388" spans="1:4" x14ac:dyDescent="0.3">
      <c r="A388" s="61" t="s">
        <v>23</v>
      </c>
      <c r="B388" s="61"/>
      <c r="C388" s="16">
        <v>46163</v>
      </c>
      <c r="D388">
        <v>88090.37</v>
      </c>
    </row>
    <row r="389" spans="1:4" x14ac:dyDescent="0.3">
      <c r="A389" s="61" t="s">
        <v>24</v>
      </c>
      <c r="B389" s="61"/>
      <c r="C389" s="16">
        <v>46163</v>
      </c>
      <c r="D389">
        <v>2498.3999999999996</v>
      </c>
    </row>
    <row r="390" spans="1:4" x14ac:dyDescent="0.3">
      <c r="A390" s="61" t="s">
        <v>25</v>
      </c>
      <c r="B390" s="61"/>
      <c r="C390" s="16">
        <v>46163</v>
      </c>
      <c r="D390">
        <v>114.3</v>
      </c>
    </row>
    <row r="391" spans="1:4" x14ac:dyDescent="0.3">
      <c r="A391" s="61" t="s">
        <v>26</v>
      </c>
      <c r="B391" s="61"/>
      <c r="C391" s="16">
        <v>46163</v>
      </c>
      <c r="D391">
        <v>2267.7200000000003</v>
      </c>
    </row>
    <row r="392" spans="1:4" x14ac:dyDescent="0.3">
      <c r="A392" s="61" t="s">
        <v>27</v>
      </c>
      <c r="B392" s="61"/>
      <c r="C392" s="16">
        <v>46163</v>
      </c>
      <c r="D392">
        <v>3349.94</v>
      </c>
    </row>
    <row r="393" spans="1:4" x14ac:dyDescent="0.3">
      <c r="A393" s="61" t="s">
        <v>28</v>
      </c>
      <c r="B393" s="61"/>
      <c r="C393" s="16">
        <v>46163</v>
      </c>
      <c r="D393">
        <v>1968.99</v>
      </c>
    </row>
    <row r="394" spans="1:4" x14ac:dyDescent="0.3">
      <c r="A394" s="61" t="s">
        <v>29</v>
      </c>
      <c r="B394" s="61"/>
      <c r="C394" s="16">
        <v>46163</v>
      </c>
      <c r="D394">
        <v>901.34</v>
      </c>
    </row>
    <row r="395" spans="1:4" x14ac:dyDescent="0.3">
      <c r="A395" s="61" t="s">
        <v>30</v>
      </c>
      <c r="B395" s="61"/>
      <c r="C395" s="16">
        <v>46163</v>
      </c>
      <c r="D395">
        <v>1444.08</v>
      </c>
    </row>
    <row r="396" spans="1:4" x14ac:dyDescent="0.3">
      <c r="A396" s="61" t="s">
        <v>31</v>
      </c>
      <c r="B396" s="61"/>
      <c r="C396" s="16">
        <v>46163</v>
      </c>
      <c r="D396">
        <v>15463.59999999996</v>
      </c>
    </row>
    <row r="397" spans="1:4" x14ac:dyDescent="0.3">
      <c r="A397" s="61" t="s">
        <v>32</v>
      </c>
      <c r="B397" s="61"/>
      <c r="C397" s="16">
        <v>46163</v>
      </c>
      <c r="D397">
        <v>15120.060000000001</v>
      </c>
    </row>
    <row r="398" spans="1:4" x14ac:dyDescent="0.3">
      <c r="A398" s="61" t="s">
        <v>33</v>
      </c>
      <c r="B398" s="61"/>
      <c r="C398" s="16">
        <v>46163</v>
      </c>
      <c r="D398">
        <v>29206.27</v>
      </c>
    </row>
    <row r="399" spans="1:4" x14ac:dyDescent="0.3">
      <c r="A399" s="61" t="s">
        <v>34</v>
      </c>
      <c r="B399" s="61"/>
      <c r="C399" s="16">
        <v>46163</v>
      </c>
      <c r="D399">
        <v>345</v>
      </c>
    </row>
    <row r="400" spans="1:4" x14ac:dyDescent="0.3">
      <c r="A400" s="61" t="s">
        <v>35</v>
      </c>
      <c r="B400" s="61"/>
      <c r="C400" s="16">
        <v>46163</v>
      </c>
      <c r="D400">
        <v>8168.0700000000006</v>
      </c>
    </row>
    <row r="401" spans="1:4" x14ac:dyDescent="0.3">
      <c r="A401" s="61" t="s">
        <v>17</v>
      </c>
      <c r="B401" s="61"/>
      <c r="C401" s="16">
        <v>46164</v>
      </c>
      <c r="D401">
        <v>142321.80000000013</v>
      </c>
    </row>
    <row r="402" spans="1:4" x14ac:dyDescent="0.3">
      <c r="A402" s="61" t="s">
        <v>18</v>
      </c>
      <c r="B402" s="61"/>
      <c r="C402" s="16">
        <v>46164</v>
      </c>
      <c r="D402">
        <v>659760.15999999992</v>
      </c>
    </row>
    <row r="403" spans="1:4" x14ac:dyDescent="0.3">
      <c r="A403" s="61" t="s">
        <v>19</v>
      </c>
      <c r="B403" s="61"/>
      <c r="C403" s="16">
        <v>46164</v>
      </c>
      <c r="D403">
        <v>1669.89</v>
      </c>
    </row>
    <row r="404" spans="1:4" x14ac:dyDescent="0.3">
      <c r="A404" s="61" t="s">
        <v>20</v>
      </c>
      <c r="B404" s="61"/>
      <c r="C404" s="16">
        <v>46164</v>
      </c>
      <c r="D404">
        <v>497076.20999999985</v>
      </c>
    </row>
    <row r="405" spans="1:4" x14ac:dyDescent="0.3">
      <c r="A405" s="61" t="s">
        <v>21</v>
      </c>
      <c r="B405" s="61"/>
      <c r="C405" s="16">
        <v>46164</v>
      </c>
      <c r="D405">
        <v>980426.88999999932</v>
      </c>
    </row>
    <row r="406" spans="1:4" x14ac:dyDescent="0.3">
      <c r="A406" s="61" t="s">
        <v>22</v>
      </c>
      <c r="B406" s="61"/>
      <c r="C406" s="16">
        <v>46164</v>
      </c>
      <c r="D406">
        <v>141496.38</v>
      </c>
    </row>
    <row r="407" spans="1:4" x14ac:dyDescent="0.3">
      <c r="A407" s="61" t="s">
        <v>23</v>
      </c>
      <c r="B407" s="61"/>
      <c r="C407" s="16">
        <v>46164</v>
      </c>
      <c r="D407">
        <v>88090.37</v>
      </c>
    </row>
    <row r="408" spans="1:4" x14ac:dyDescent="0.3">
      <c r="A408" s="61" t="s">
        <v>24</v>
      </c>
      <c r="B408" s="61"/>
      <c r="C408" s="16">
        <v>46164</v>
      </c>
      <c r="D408">
        <v>2498.3999999999996</v>
      </c>
    </row>
    <row r="409" spans="1:4" x14ac:dyDescent="0.3">
      <c r="A409" s="61" t="s">
        <v>25</v>
      </c>
      <c r="B409" s="61"/>
      <c r="C409" s="16">
        <v>46164</v>
      </c>
      <c r="D409">
        <v>114.3</v>
      </c>
    </row>
    <row r="410" spans="1:4" x14ac:dyDescent="0.3">
      <c r="A410" s="61" t="s">
        <v>26</v>
      </c>
      <c r="B410" s="61"/>
      <c r="C410" s="16">
        <v>46164</v>
      </c>
      <c r="D410">
        <v>2267.7200000000003</v>
      </c>
    </row>
    <row r="411" spans="1:4" x14ac:dyDescent="0.3">
      <c r="A411" s="61" t="s">
        <v>27</v>
      </c>
      <c r="B411" s="61"/>
      <c r="C411" s="16">
        <v>46164</v>
      </c>
      <c r="D411">
        <v>3349.94</v>
      </c>
    </row>
    <row r="412" spans="1:4" x14ac:dyDescent="0.3">
      <c r="A412" s="61" t="s">
        <v>28</v>
      </c>
      <c r="B412" s="61"/>
      <c r="C412" s="16">
        <v>46164</v>
      </c>
      <c r="D412">
        <v>1968.99</v>
      </c>
    </row>
    <row r="413" spans="1:4" x14ac:dyDescent="0.3">
      <c r="A413" s="61" t="s">
        <v>29</v>
      </c>
      <c r="B413" s="61"/>
      <c r="C413" s="16">
        <v>46164</v>
      </c>
      <c r="D413">
        <v>901.34</v>
      </c>
    </row>
    <row r="414" spans="1:4" x14ac:dyDescent="0.3">
      <c r="A414" s="61" t="s">
        <v>30</v>
      </c>
      <c r="B414" s="61"/>
      <c r="C414" s="16">
        <v>46164</v>
      </c>
      <c r="D414">
        <v>1444.08</v>
      </c>
    </row>
    <row r="415" spans="1:4" x14ac:dyDescent="0.3">
      <c r="A415" s="61" t="s">
        <v>31</v>
      </c>
      <c r="B415" s="61"/>
      <c r="C415" s="16">
        <v>46164</v>
      </c>
      <c r="D415">
        <v>15463.59999999996</v>
      </c>
    </row>
    <row r="416" spans="1:4" x14ac:dyDescent="0.3">
      <c r="A416" s="61" t="s">
        <v>32</v>
      </c>
      <c r="B416" s="61"/>
      <c r="C416" s="16">
        <v>46164</v>
      </c>
      <c r="D416">
        <v>15120.060000000001</v>
      </c>
    </row>
    <row r="417" spans="1:4" x14ac:dyDescent="0.3">
      <c r="A417" s="61" t="s">
        <v>33</v>
      </c>
      <c r="B417" s="61"/>
      <c r="C417" s="16">
        <v>46164</v>
      </c>
      <c r="D417">
        <v>29206.27</v>
      </c>
    </row>
    <row r="418" spans="1:4" x14ac:dyDescent="0.3">
      <c r="A418" s="61" t="s">
        <v>34</v>
      </c>
      <c r="B418" s="61"/>
      <c r="C418" s="16">
        <v>46164</v>
      </c>
      <c r="D418">
        <v>345</v>
      </c>
    </row>
    <row r="419" spans="1:4" x14ac:dyDescent="0.3">
      <c r="A419" s="61" t="s">
        <v>35</v>
      </c>
      <c r="B419" s="61"/>
      <c r="C419" s="16">
        <v>46164</v>
      </c>
      <c r="D419">
        <v>8168.0700000000006</v>
      </c>
    </row>
    <row r="420" spans="1:4" x14ac:dyDescent="0.3">
      <c r="A420" s="61" t="s">
        <v>17</v>
      </c>
      <c r="B420" s="61"/>
      <c r="C420" s="16">
        <v>46165</v>
      </c>
      <c r="D420">
        <v>142321.80000000013</v>
      </c>
    </row>
    <row r="421" spans="1:4" x14ac:dyDescent="0.3">
      <c r="A421" s="61" t="s">
        <v>18</v>
      </c>
      <c r="B421" s="61"/>
      <c r="C421" s="16">
        <v>46165</v>
      </c>
      <c r="D421">
        <v>659760.15999999992</v>
      </c>
    </row>
    <row r="422" spans="1:4" x14ac:dyDescent="0.3">
      <c r="A422" s="61" t="s">
        <v>19</v>
      </c>
      <c r="B422" s="61"/>
      <c r="C422" s="16">
        <v>46165</v>
      </c>
      <c r="D422">
        <v>1669.89</v>
      </c>
    </row>
    <row r="423" spans="1:4" x14ac:dyDescent="0.3">
      <c r="A423" s="61" t="s">
        <v>20</v>
      </c>
      <c r="B423" s="61"/>
      <c r="C423" s="16">
        <v>46165</v>
      </c>
      <c r="D423">
        <v>497076.20999999985</v>
      </c>
    </row>
    <row r="424" spans="1:4" x14ac:dyDescent="0.3">
      <c r="A424" s="61" t="s">
        <v>21</v>
      </c>
      <c r="B424" s="61"/>
      <c r="C424" s="16">
        <v>46165</v>
      </c>
      <c r="D424">
        <v>980426.88999999932</v>
      </c>
    </row>
    <row r="425" spans="1:4" x14ac:dyDescent="0.3">
      <c r="A425" s="61" t="s">
        <v>22</v>
      </c>
      <c r="B425" s="61"/>
      <c r="C425" s="16">
        <v>46165</v>
      </c>
      <c r="D425">
        <v>141496.38</v>
      </c>
    </row>
    <row r="426" spans="1:4" x14ac:dyDescent="0.3">
      <c r="A426" s="61" t="s">
        <v>23</v>
      </c>
      <c r="B426" s="61"/>
      <c r="C426" s="16">
        <v>46165</v>
      </c>
      <c r="D426">
        <v>88090.37</v>
      </c>
    </row>
    <row r="427" spans="1:4" x14ac:dyDescent="0.3">
      <c r="A427" s="61" t="s">
        <v>24</v>
      </c>
      <c r="B427" s="61"/>
      <c r="C427" s="16">
        <v>46165</v>
      </c>
      <c r="D427">
        <v>2498.3999999999996</v>
      </c>
    </row>
    <row r="428" spans="1:4" x14ac:dyDescent="0.3">
      <c r="A428" s="61" t="s">
        <v>25</v>
      </c>
      <c r="B428" s="61"/>
      <c r="C428" s="16">
        <v>46165</v>
      </c>
      <c r="D428">
        <v>114.3</v>
      </c>
    </row>
    <row r="429" spans="1:4" x14ac:dyDescent="0.3">
      <c r="A429" s="61" t="s">
        <v>26</v>
      </c>
      <c r="B429" s="61"/>
      <c r="C429" s="16">
        <v>46165</v>
      </c>
      <c r="D429">
        <v>2267.7200000000003</v>
      </c>
    </row>
    <row r="430" spans="1:4" x14ac:dyDescent="0.3">
      <c r="A430" s="61" t="s">
        <v>27</v>
      </c>
      <c r="B430" s="61"/>
      <c r="C430" s="16">
        <v>46165</v>
      </c>
      <c r="D430">
        <v>3349.94</v>
      </c>
    </row>
    <row r="431" spans="1:4" x14ac:dyDescent="0.3">
      <c r="A431" s="61" t="s">
        <v>28</v>
      </c>
      <c r="B431" s="61"/>
      <c r="C431" s="16">
        <v>46165</v>
      </c>
      <c r="D431">
        <v>1968.99</v>
      </c>
    </row>
    <row r="432" spans="1:4" x14ac:dyDescent="0.3">
      <c r="A432" s="61" t="s">
        <v>29</v>
      </c>
      <c r="B432" s="61"/>
      <c r="C432" s="16">
        <v>46165</v>
      </c>
      <c r="D432">
        <v>901.34</v>
      </c>
    </row>
    <row r="433" spans="1:4" x14ac:dyDescent="0.3">
      <c r="A433" s="61" t="s">
        <v>30</v>
      </c>
      <c r="B433" s="61"/>
      <c r="C433" s="16">
        <v>46165</v>
      </c>
      <c r="D433">
        <v>1444.08</v>
      </c>
    </row>
    <row r="434" spans="1:4" x14ac:dyDescent="0.3">
      <c r="A434" s="61" t="s">
        <v>31</v>
      </c>
      <c r="B434" s="61"/>
      <c r="C434" s="16">
        <v>46165</v>
      </c>
      <c r="D434">
        <v>15463.59999999996</v>
      </c>
    </row>
    <row r="435" spans="1:4" x14ac:dyDescent="0.3">
      <c r="A435" s="61" t="s">
        <v>32</v>
      </c>
      <c r="B435" s="61"/>
      <c r="C435" s="16">
        <v>46165</v>
      </c>
      <c r="D435">
        <v>15120.060000000001</v>
      </c>
    </row>
    <row r="436" spans="1:4" x14ac:dyDescent="0.3">
      <c r="A436" s="61" t="s">
        <v>33</v>
      </c>
      <c r="B436" s="61"/>
      <c r="C436" s="16">
        <v>46165</v>
      </c>
      <c r="D436">
        <v>29206.27</v>
      </c>
    </row>
    <row r="437" spans="1:4" x14ac:dyDescent="0.3">
      <c r="A437" s="61" t="s">
        <v>34</v>
      </c>
      <c r="B437" s="61"/>
      <c r="C437" s="16">
        <v>46165</v>
      </c>
      <c r="D437">
        <v>345</v>
      </c>
    </row>
    <row r="438" spans="1:4" x14ac:dyDescent="0.3">
      <c r="A438" s="61" t="s">
        <v>35</v>
      </c>
      <c r="B438" s="61"/>
      <c r="C438" s="16">
        <v>46165</v>
      </c>
      <c r="D438">
        <v>8168.0700000000006</v>
      </c>
    </row>
    <row r="439" spans="1:4" x14ac:dyDescent="0.3">
      <c r="A439" s="61" t="s">
        <v>17</v>
      </c>
      <c r="B439" s="61"/>
      <c r="C439" s="16">
        <v>46166</v>
      </c>
      <c r="D439">
        <v>142321.80000000013</v>
      </c>
    </row>
    <row r="440" spans="1:4" x14ac:dyDescent="0.3">
      <c r="A440" s="61" t="s">
        <v>18</v>
      </c>
      <c r="B440" s="61"/>
      <c r="C440" s="16">
        <v>46166</v>
      </c>
      <c r="D440">
        <v>659760.15999999992</v>
      </c>
    </row>
    <row r="441" spans="1:4" x14ac:dyDescent="0.3">
      <c r="A441" s="61" t="s">
        <v>19</v>
      </c>
      <c r="B441" s="61"/>
      <c r="C441" s="16">
        <v>46166</v>
      </c>
      <c r="D441">
        <v>1669.89</v>
      </c>
    </row>
    <row r="442" spans="1:4" x14ac:dyDescent="0.3">
      <c r="A442" s="61" t="s">
        <v>20</v>
      </c>
      <c r="B442" s="61"/>
      <c r="C442" s="16">
        <v>46166</v>
      </c>
      <c r="D442">
        <v>497076.20999999985</v>
      </c>
    </row>
    <row r="443" spans="1:4" x14ac:dyDescent="0.3">
      <c r="A443" s="61" t="s">
        <v>21</v>
      </c>
      <c r="B443" s="61"/>
      <c r="C443" s="16">
        <v>46166</v>
      </c>
      <c r="D443">
        <v>980426.88999999932</v>
      </c>
    </row>
    <row r="444" spans="1:4" x14ac:dyDescent="0.3">
      <c r="A444" s="61" t="s">
        <v>22</v>
      </c>
      <c r="B444" s="61"/>
      <c r="C444" s="16">
        <v>46166</v>
      </c>
      <c r="D444">
        <v>141496.38</v>
      </c>
    </row>
    <row r="445" spans="1:4" x14ac:dyDescent="0.3">
      <c r="A445" s="61" t="s">
        <v>23</v>
      </c>
      <c r="B445" s="61"/>
      <c r="C445" s="16">
        <v>46166</v>
      </c>
      <c r="D445">
        <v>88090.37</v>
      </c>
    </row>
    <row r="446" spans="1:4" x14ac:dyDescent="0.3">
      <c r="A446" s="61" t="s">
        <v>24</v>
      </c>
      <c r="B446" s="61"/>
      <c r="C446" s="16">
        <v>46166</v>
      </c>
      <c r="D446">
        <v>2498.3999999999996</v>
      </c>
    </row>
    <row r="447" spans="1:4" x14ac:dyDescent="0.3">
      <c r="A447" s="61" t="s">
        <v>25</v>
      </c>
      <c r="B447" s="61"/>
      <c r="C447" s="16">
        <v>46166</v>
      </c>
      <c r="D447">
        <v>114.3</v>
      </c>
    </row>
    <row r="448" spans="1:4" x14ac:dyDescent="0.3">
      <c r="A448" s="61" t="s">
        <v>26</v>
      </c>
      <c r="B448" s="61"/>
      <c r="C448" s="16">
        <v>46166</v>
      </c>
      <c r="D448">
        <v>2267.7200000000003</v>
      </c>
    </row>
    <row r="449" spans="1:4" x14ac:dyDescent="0.3">
      <c r="A449" s="61" t="s">
        <v>27</v>
      </c>
      <c r="B449" s="61"/>
      <c r="C449" s="16">
        <v>46166</v>
      </c>
      <c r="D449">
        <v>3349.94</v>
      </c>
    </row>
    <row r="450" spans="1:4" x14ac:dyDescent="0.3">
      <c r="A450" s="61" t="s">
        <v>28</v>
      </c>
      <c r="B450" s="61"/>
      <c r="C450" s="16">
        <v>46166</v>
      </c>
      <c r="D450">
        <v>1968.99</v>
      </c>
    </row>
    <row r="451" spans="1:4" x14ac:dyDescent="0.3">
      <c r="A451" s="61" t="s">
        <v>29</v>
      </c>
      <c r="B451" s="61"/>
      <c r="C451" s="16">
        <v>46166</v>
      </c>
      <c r="D451">
        <v>901.34</v>
      </c>
    </row>
    <row r="452" spans="1:4" x14ac:dyDescent="0.3">
      <c r="A452" s="61" t="s">
        <v>30</v>
      </c>
      <c r="B452" s="61"/>
      <c r="C452" s="16">
        <v>46166</v>
      </c>
      <c r="D452">
        <v>1444.08</v>
      </c>
    </row>
    <row r="453" spans="1:4" x14ac:dyDescent="0.3">
      <c r="A453" s="61" t="s">
        <v>31</v>
      </c>
      <c r="B453" s="61"/>
      <c r="C453" s="16">
        <v>46166</v>
      </c>
      <c r="D453">
        <v>15463.59999999996</v>
      </c>
    </row>
    <row r="454" spans="1:4" x14ac:dyDescent="0.3">
      <c r="A454" s="61" t="s">
        <v>32</v>
      </c>
      <c r="B454" s="61"/>
      <c r="C454" s="16">
        <v>46166</v>
      </c>
      <c r="D454">
        <v>15120.060000000001</v>
      </c>
    </row>
    <row r="455" spans="1:4" x14ac:dyDescent="0.3">
      <c r="A455" s="61" t="s">
        <v>33</v>
      </c>
      <c r="B455" s="61"/>
      <c r="C455" s="16">
        <v>46166</v>
      </c>
      <c r="D455">
        <v>29206.27</v>
      </c>
    </row>
    <row r="456" spans="1:4" x14ac:dyDescent="0.3">
      <c r="A456" s="61" t="s">
        <v>34</v>
      </c>
      <c r="B456" s="61"/>
      <c r="C456" s="16">
        <v>46166</v>
      </c>
      <c r="D456">
        <v>345</v>
      </c>
    </row>
    <row r="457" spans="1:4" x14ac:dyDescent="0.3">
      <c r="A457" s="61" t="s">
        <v>35</v>
      </c>
      <c r="B457" s="61"/>
      <c r="C457" s="16">
        <v>46166</v>
      </c>
      <c r="D457">
        <v>8168.0700000000006</v>
      </c>
    </row>
    <row r="458" spans="1:4" x14ac:dyDescent="0.3">
      <c r="A458" s="61" t="s">
        <v>17</v>
      </c>
      <c r="B458" s="61"/>
      <c r="C458" s="16">
        <v>46167</v>
      </c>
      <c r="D458">
        <v>142321.80000000013</v>
      </c>
    </row>
    <row r="459" spans="1:4" x14ac:dyDescent="0.3">
      <c r="A459" s="61" t="s">
        <v>18</v>
      </c>
      <c r="B459" s="61"/>
      <c r="C459" s="16">
        <v>46167</v>
      </c>
      <c r="D459">
        <v>659760.15999999992</v>
      </c>
    </row>
    <row r="460" spans="1:4" x14ac:dyDescent="0.3">
      <c r="A460" s="61" t="s">
        <v>19</v>
      </c>
      <c r="B460" s="61"/>
      <c r="C460" s="16">
        <v>46167</v>
      </c>
      <c r="D460">
        <v>1669.89</v>
      </c>
    </row>
    <row r="461" spans="1:4" x14ac:dyDescent="0.3">
      <c r="A461" s="61" t="s">
        <v>20</v>
      </c>
      <c r="B461" s="61"/>
      <c r="C461" s="16">
        <v>46167</v>
      </c>
      <c r="D461">
        <v>497076.20999999985</v>
      </c>
    </row>
    <row r="462" spans="1:4" x14ac:dyDescent="0.3">
      <c r="A462" s="61" t="s">
        <v>21</v>
      </c>
      <c r="B462" s="61"/>
      <c r="C462" s="16">
        <v>46167</v>
      </c>
      <c r="D462">
        <v>980426.88999999932</v>
      </c>
    </row>
    <row r="463" spans="1:4" x14ac:dyDescent="0.3">
      <c r="A463" s="61" t="s">
        <v>22</v>
      </c>
      <c r="B463" s="61"/>
      <c r="C463" s="16">
        <v>46167</v>
      </c>
      <c r="D463">
        <v>141496.38</v>
      </c>
    </row>
    <row r="464" spans="1:4" x14ac:dyDescent="0.3">
      <c r="A464" s="61" t="s">
        <v>23</v>
      </c>
      <c r="B464" s="61"/>
      <c r="C464" s="16">
        <v>46167</v>
      </c>
      <c r="D464">
        <v>88090.37</v>
      </c>
    </row>
    <row r="465" spans="1:4" x14ac:dyDescent="0.3">
      <c r="A465" s="61" t="s">
        <v>24</v>
      </c>
      <c r="B465" s="61"/>
      <c r="C465" s="16">
        <v>46167</v>
      </c>
      <c r="D465">
        <v>2498.3999999999996</v>
      </c>
    </row>
    <row r="466" spans="1:4" x14ac:dyDescent="0.3">
      <c r="A466" s="61" t="s">
        <v>25</v>
      </c>
      <c r="B466" s="61"/>
      <c r="C466" s="16">
        <v>46167</v>
      </c>
      <c r="D466">
        <v>114.3</v>
      </c>
    </row>
    <row r="467" spans="1:4" x14ac:dyDescent="0.3">
      <c r="A467" s="61" t="s">
        <v>26</v>
      </c>
      <c r="B467" s="61"/>
      <c r="C467" s="16">
        <v>46167</v>
      </c>
      <c r="D467">
        <v>2267.7200000000003</v>
      </c>
    </row>
    <row r="468" spans="1:4" x14ac:dyDescent="0.3">
      <c r="A468" s="61" t="s">
        <v>27</v>
      </c>
      <c r="B468" s="61"/>
      <c r="C468" s="16">
        <v>46167</v>
      </c>
      <c r="D468">
        <v>3349.94</v>
      </c>
    </row>
    <row r="469" spans="1:4" x14ac:dyDescent="0.3">
      <c r="A469" s="61" t="s">
        <v>28</v>
      </c>
      <c r="B469" s="61"/>
      <c r="C469" s="16">
        <v>46167</v>
      </c>
      <c r="D469">
        <v>1968.99</v>
      </c>
    </row>
    <row r="470" spans="1:4" x14ac:dyDescent="0.3">
      <c r="A470" s="61" t="s">
        <v>29</v>
      </c>
      <c r="B470" s="61"/>
      <c r="C470" s="16">
        <v>46167</v>
      </c>
      <c r="D470">
        <v>901.34</v>
      </c>
    </row>
    <row r="471" spans="1:4" x14ac:dyDescent="0.3">
      <c r="A471" s="61" t="s">
        <v>30</v>
      </c>
      <c r="B471" s="61"/>
      <c r="C471" s="16">
        <v>46167</v>
      </c>
      <c r="D471">
        <v>1444.08</v>
      </c>
    </row>
    <row r="472" spans="1:4" x14ac:dyDescent="0.3">
      <c r="A472" s="61" t="s">
        <v>31</v>
      </c>
      <c r="B472" s="61"/>
      <c r="C472" s="16">
        <v>46167</v>
      </c>
      <c r="D472">
        <v>15463.59999999996</v>
      </c>
    </row>
    <row r="473" spans="1:4" x14ac:dyDescent="0.3">
      <c r="A473" s="61" t="s">
        <v>32</v>
      </c>
      <c r="B473" s="61"/>
      <c r="C473" s="16">
        <v>46167</v>
      </c>
      <c r="D473">
        <v>15120.060000000001</v>
      </c>
    </row>
    <row r="474" spans="1:4" x14ac:dyDescent="0.3">
      <c r="A474" s="61" t="s">
        <v>33</v>
      </c>
      <c r="B474" s="61"/>
      <c r="C474" s="16">
        <v>46167</v>
      </c>
      <c r="D474">
        <v>29206.27</v>
      </c>
    </row>
    <row r="475" spans="1:4" x14ac:dyDescent="0.3">
      <c r="A475" s="61" t="s">
        <v>34</v>
      </c>
      <c r="B475" s="61"/>
      <c r="C475" s="16">
        <v>46167</v>
      </c>
      <c r="D475">
        <v>345</v>
      </c>
    </row>
    <row r="476" spans="1:4" x14ac:dyDescent="0.3">
      <c r="A476" s="61" t="s">
        <v>35</v>
      </c>
      <c r="B476" s="61"/>
      <c r="C476" s="16">
        <v>46167</v>
      </c>
      <c r="D476">
        <v>8168.0700000000006</v>
      </c>
    </row>
    <row r="477" spans="1:4" x14ac:dyDescent="0.3">
      <c r="A477" s="61" t="s">
        <v>17</v>
      </c>
      <c r="B477" s="61"/>
      <c r="C477" s="16">
        <v>46168</v>
      </c>
      <c r="D477">
        <v>253154.33000000013</v>
      </c>
    </row>
    <row r="478" spans="1:4" x14ac:dyDescent="0.3">
      <c r="A478" s="61" t="s">
        <v>18</v>
      </c>
      <c r="B478" s="61"/>
      <c r="C478" s="16">
        <v>46168</v>
      </c>
      <c r="D478">
        <v>1259760.1600000001</v>
      </c>
    </row>
    <row r="479" spans="1:4" x14ac:dyDescent="0.3">
      <c r="A479" s="61" t="s">
        <v>19</v>
      </c>
      <c r="B479" s="61"/>
      <c r="C479" s="16">
        <v>46168</v>
      </c>
      <c r="D479">
        <v>1669.89</v>
      </c>
    </row>
    <row r="480" spans="1:4" x14ac:dyDescent="0.3">
      <c r="A480" s="61" t="s">
        <v>20</v>
      </c>
      <c r="B480" s="61"/>
      <c r="C480" s="16">
        <v>46168</v>
      </c>
      <c r="D480">
        <v>497076.20999999985</v>
      </c>
    </row>
    <row r="481" spans="1:4" x14ac:dyDescent="0.3">
      <c r="A481" s="61" t="s">
        <v>21</v>
      </c>
      <c r="B481" s="61"/>
      <c r="C481" s="16">
        <v>46168</v>
      </c>
      <c r="D481">
        <v>980426.88999999932</v>
      </c>
    </row>
    <row r="482" spans="1:4" x14ac:dyDescent="0.3">
      <c r="A482" s="61" t="s">
        <v>22</v>
      </c>
      <c r="B482" s="61"/>
      <c r="C482" s="16">
        <v>46168</v>
      </c>
      <c r="D482">
        <v>141496.38</v>
      </c>
    </row>
    <row r="483" spans="1:4" x14ac:dyDescent="0.3">
      <c r="A483" s="61" t="s">
        <v>23</v>
      </c>
      <c r="B483" s="61"/>
      <c r="C483" s="16">
        <v>46168</v>
      </c>
      <c r="D483">
        <v>88090.37</v>
      </c>
    </row>
    <row r="484" spans="1:4" x14ac:dyDescent="0.3">
      <c r="A484" s="61" t="s">
        <v>24</v>
      </c>
      <c r="B484" s="61"/>
      <c r="C484" s="16">
        <v>46168</v>
      </c>
      <c r="D484">
        <v>2498.3999999999996</v>
      </c>
    </row>
    <row r="485" spans="1:4" x14ac:dyDescent="0.3">
      <c r="A485" s="61" t="s">
        <v>25</v>
      </c>
      <c r="B485" s="61"/>
      <c r="C485" s="16">
        <v>46168</v>
      </c>
      <c r="D485">
        <v>114.3</v>
      </c>
    </row>
    <row r="486" spans="1:4" x14ac:dyDescent="0.3">
      <c r="A486" s="61" t="s">
        <v>26</v>
      </c>
      <c r="B486" s="61"/>
      <c r="C486" s="16">
        <v>46168</v>
      </c>
      <c r="D486">
        <v>2267.7200000000003</v>
      </c>
    </row>
    <row r="487" spans="1:4" x14ac:dyDescent="0.3">
      <c r="A487" s="61" t="s">
        <v>27</v>
      </c>
      <c r="B487" s="61"/>
      <c r="C487" s="16">
        <v>46168</v>
      </c>
      <c r="D487">
        <v>3349.94</v>
      </c>
    </row>
    <row r="488" spans="1:4" x14ac:dyDescent="0.3">
      <c r="A488" s="61" t="s">
        <v>28</v>
      </c>
      <c r="B488" s="61"/>
      <c r="C488" s="16">
        <v>46168</v>
      </c>
      <c r="D488">
        <v>1968.99</v>
      </c>
    </row>
    <row r="489" spans="1:4" x14ac:dyDescent="0.3">
      <c r="A489" s="61" t="s">
        <v>29</v>
      </c>
      <c r="B489" s="61"/>
      <c r="C489" s="16">
        <v>46168</v>
      </c>
      <c r="D489">
        <v>901.34</v>
      </c>
    </row>
    <row r="490" spans="1:4" x14ac:dyDescent="0.3">
      <c r="A490" s="61" t="s">
        <v>30</v>
      </c>
      <c r="B490" s="61"/>
      <c r="C490" s="16">
        <v>46168</v>
      </c>
      <c r="D490">
        <v>1444.08</v>
      </c>
    </row>
    <row r="491" spans="1:4" x14ac:dyDescent="0.3">
      <c r="A491" s="61" t="s">
        <v>31</v>
      </c>
      <c r="B491" s="61"/>
      <c r="C491" s="16">
        <v>46168</v>
      </c>
      <c r="D491">
        <v>15463.59999999996</v>
      </c>
    </row>
    <row r="492" spans="1:4" x14ac:dyDescent="0.3">
      <c r="A492" s="61" t="s">
        <v>32</v>
      </c>
      <c r="B492" s="61"/>
      <c r="C492" s="16">
        <v>46168</v>
      </c>
      <c r="D492">
        <v>15120.060000000001</v>
      </c>
    </row>
    <row r="493" spans="1:4" x14ac:dyDescent="0.3">
      <c r="A493" s="61" t="s">
        <v>33</v>
      </c>
      <c r="B493" s="61"/>
      <c r="C493" s="16">
        <v>46168</v>
      </c>
      <c r="D493">
        <v>29206.27</v>
      </c>
    </row>
    <row r="494" spans="1:4" x14ac:dyDescent="0.3">
      <c r="A494" s="61" t="s">
        <v>34</v>
      </c>
      <c r="B494" s="61"/>
      <c r="C494" s="16">
        <v>46168</v>
      </c>
      <c r="D494">
        <v>345</v>
      </c>
    </row>
    <row r="495" spans="1:4" x14ac:dyDescent="0.3">
      <c r="A495" s="61" t="s">
        <v>35</v>
      </c>
      <c r="B495" s="61"/>
      <c r="C495" s="16">
        <v>46168</v>
      </c>
      <c r="D495">
        <v>8168.0700000000006</v>
      </c>
    </row>
    <row r="496" spans="1:4" x14ac:dyDescent="0.3">
      <c r="A496" s="61" t="s">
        <v>17</v>
      </c>
      <c r="B496" s="61"/>
      <c r="C496" s="16">
        <v>46169</v>
      </c>
      <c r="D496">
        <v>259371.70000000013</v>
      </c>
    </row>
    <row r="497" spans="1:4" x14ac:dyDescent="0.3">
      <c r="A497" s="61" t="s">
        <v>18</v>
      </c>
      <c r="B497" s="61"/>
      <c r="C497" s="16">
        <v>46169</v>
      </c>
      <c r="D497">
        <v>1259760.1600000001</v>
      </c>
    </row>
    <row r="498" spans="1:4" x14ac:dyDescent="0.3">
      <c r="A498" s="61" t="s">
        <v>19</v>
      </c>
      <c r="B498" s="61"/>
      <c r="C498" s="16">
        <v>46169</v>
      </c>
      <c r="D498">
        <v>1669.89</v>
      </c>
    </row>
    <row r="499" spans="1:4" x14ac:dyDescent="0.3">
      <c r="A499" s="61" t="s">
        <v>20</v>
      </c>
      <c r="B499" s="61"/>
      <c r="C499" s="16">
        <v>46169</v>
      </c>
      <c r="D499">
        <v>514616.73999999987</v>
      </c>
    </row>
    <row r="500" spans="1:4" x14ac:dyDescent="0.3">
      <c r="A500" s="61" t="s">
        <v>21</v>
      </c>
      <c r="B500" s="61"/>
      <c r="C500" s="16">
        <v>46169</v>
      </c>
      <c r="D500">
        <v>980426.88999999932</v>
      </c>
    </row>
    <row r="501" spans="1:4" x14ac:dyDescent="0.3">
      <c r="A501" s="61" t="s">
        <v>22</v>
      </c>
      <c r="B501" s="61"/>
      <c r="C501" s="16">
        <v>46169</v>
      </c>
      <c r="D501">
        <v>131496.38</v>
      </c>
    </row>
    <row r="502" spans="1:4" x14ac:dyDescent="0.3">
      <c r="A502" s="61" t="s">
        <v>23</v>
      </c>
      <c r="B502" s="61"/>
      <c r="C502" s="16">
        <v>46169</v>
      </c>
      <c r="D502">
        <v>88090.37</v>
      </c>
    </row>
    <row r="503" spans="1:4" x14ac:dyDescent="0.3">
      <c r="A503" s="61" t="s">
        <v>24</v>
      </c>
      <c r="B503" s="61"/>
      <c r="C503" s="16">
        <v>46169</v>
      </c>
      <c r="D503">
        <v>2498.3999999999996</v>
      </c>
    </row>
    <row r="504" spans="1:4" x14ac:dyDescent="0.3">
      <c r="A504" s="61" t="s">
        <v>25</v>
      </c>
      <c r="B504" s="61"/>
      <c r="C504" s="16">
        <v>46169</v>
      </c>
      <c r="D504">
        <v>114.3</v>
      </c>
    </row>
    <row r="505" spans="1:4" x14ac:dyDescent="0.3">
      <c r="A505" s="61" t="s">
        <v>26</v>
      </c>
      <c r="B505" s="61"/>
      <c r="C505" s="16">
        <v>46169</v>
      </c>
      <c r="D505">
        <v>2267.7200000000003</v>
      </c>
    </row>
    <row r="506" spans="1:4" x14ac:dyDescent="0.3">
      <c r="A506" s="61" t="s">
        <v>27</v>
      </c>
      <c r="B506" s="61"/>
      <c r="C506" s="16">
        <v>46169</v>
      </c>
      <c r="D506">
        <v>3349.94</v>
      </c>
    </row>
    <row r="507" spans="1:4" x14ac:dyDescent="0.3">
      <c r="A507" s="61" t="s">
        <v>28</v>
      </c>
      <c r="B507" s="61"/>
      <c r="C507" s="16">
        <v>46169</v>
      </c>
      <c r="D507">
        <v>1968.99</v>
      </c>
    </row>
    <row r="508" spans="1:4" x14ac:dyDescent="0.3">
      <c r="A508" s="61" t="s">
        <v>29</v>
      </c>
      <c r="B508" s="61"/>
      <c r="C508" s="16">
        <v>46169</v>
      </c>
      <c r="D508">
        <v>901.34</v>
      </c>
    </row>
    <row r="509" spans="1:4" x14ac:dyDescent="0.3">
      <c r="A509" s="61" t="s">
        <v>30</v>
      </c>
      <c r="B509" s="61"/>
      <c r="C509" s="16">
        <v>46169</v>
      </c>
      <c r="D509">
        <v>1444.08</v>
      </c>
    </row>
    <row r="510" spans="1:4" x14ac:dyDescent="0.3">
      <c r="A510" s="61" t="s">
        <v>31</v>
      </c>
      <c r="B510" s="61"/>
      <c r="C510" s="16">
        <v>46169</v>
      </c>
      <c r="D510">
        <v>15463.59999999996</v>
      </c>
    </row>
    <row r="511" spans="1:4" x14ac:dyDescent="0.3">
      <c r="A511" s="61" t="s">
        <v>32</v>
      </c>
      <c r="B511" s="61"/>
      <c r="C511" s="16">
        <v>46169</v>
      </c>
      <c r="D511">
        <v>15120.060000000001</v>
      </c>
    </row>
    <row r="512" spans="1:4" x14ac:dyDescent="0.3">
      <c r="A512" s="61" t="s">
        <v>33</v>
      </c>
      <c r="B512" s="61"/>
      <c r="C512" s="16">
        <v>46169</v>
      </c>
      <c r="D512">
        <v>33606.270000000004</v>
      </c>
    </row>
    <row r="513" spans="1:4" x14ac:dyDescent="0.3">
      <c r="A513" s="61" t="s">
        <v>34</v>
      </c>
      <c r="B513" s="61"/>
      <c r="C513" s="16">
        <v>46169</v>
      </c>
      <c r="D513">
        <v>345</v>
      </c>
    </row>
    <row r="514" spans="1:4" x14ac:dyDescent="0.3">
      <c r="A514" s="61" t="s">
        <v>35</v>
      </c>
      <c r="B514" s="61"/>
      <c r="C514" s="16">
        <v>46169</v>
      </c>
      <c r="D514">
        <v>17588.03</v>
      </c>
    </row>
    <row r="515" spans="1:4" x14ac:dyDescent="0.3">
      <c r="A515" s="61" t="s">
        <v>17</v>
      </c>
      <c r="B515" s="61"/>
      <c r="C515" s="16">
        <v>46170</v>
      </c>
      <c r="D515">
        <v>986983.19000000006</v>
      </c>
    </row>
    <row r="516" spans="1:4" x14ac:dyDescent="0.3">
      <c r="A516" s="61" t="s">
        <v>18</v>
      </c>
      <c r="B516" s="61"/>
      <c r="C516" s="16">
        <v>46170</v>
      </c>
      <c r="D516">
        <v>62397.280000000173</v>
      </c>
    </row>
    <row r="517" spans="1:4" x14ac:dyDescent="0.3">
      <c r="A517" s="61" t="s">
        <v>19</v>
      </c>
      <c r="B517" s="61"/>
      <c r="C517" s="16">
        <v>46170</v>
      </c>
      <c r="D517">
        <v>1669.89</v>
      </c>
    </row>
    <row r="518" spans="1:4" x14ac:dyDescent="0.3">
      <c r="A518" s="61" t="s">
        <v>20</v>
      </c>
      <c r="B518" s="61"/>
      <c r="C518" s="16">
        <v>46170</v>
      </c>
      <c r="D518">
        <v>376595.84999999986</v>
      </c>
    </row>
    <row r="519" spans="1:4" x14ac:dyDescent="0.3">
      <c r="A519" s="61" t="s">
        <v>21</v>
      </c>
      <c r="B519" s="61"/>
      <c r="C519" s="16">
        <v>46170</v>
      </c>
      <c r="D519">
        <v>1090396.4799999993</v>
      </c>
    </row>
    <row r="520" spans="1:4" x14ac:dyDescent="0.3">
      <c r="A520" s="61" t="s">
        <v>22</v>
      </c>
      <c r="B520" s="61"/>
      <c r="C520" s="16">
        <v>46170</v>
      </c>
      <c r="D520">
        <v>131496.38</v>
      </c>
    </row>
    <row r="521" spans="1:4" x14ac:dyDescent="0.3">
      <c r="A521" s="61" t="s">
        <v>23</v>
      </c>
      <c r="B521" s="61"/>
      <c r="C521" s="16">
        <v>46170</v>
      </c>
      <c r="D521">
        <v>88090.37</v>
      </c>
    </row>
    <row r="522" spans="1:4" x14ac:dyDescent="0.3">
      <c r="A522" s="61" t="s">
        <v>24</v>
      </c>
      <c r="B522" s="61"/>
      <c r="C522" s="16">
        <v>46170</v>
      </c>
      <c r="D522">
        <v>2498.3999999999996</v>
      </c>
    </row>
    <row r="523" spans="1:4" x14ac:dyDescent="0.3">
      <c r="A523" s="61" t="s">
        <v>25</v>
      </c>
      <c r="B523" s="61"/>
      <c r="C523" s="16">
        <v>46170</v>
      </c>
      <c r="D523">
        <v>114.3</v>
      </c>
    </row>
    <row r="524" spans="1:4" x14ac:dyDescent="0.3">
      <c r="A524" s="61" t="s">
        <v>26</v>
      </c>
      <c r="B524" s="61"/>
      <c r="C524" s="16">
        <v>46170</v>
      </c>
      <c r="D524">
        <v>2267.7200000000003</v>
      </c>
    </row>
    <row r="525" spans="1:4" x14ac:dyDescent="0.3">
      <c r="A525" s="61" t="s">
        <v>27</v>
      </c>
      <c r="B525" s="61"/>
      <c r="C525" s="16">
        <v>46170</v>
      </c>
      <c r="D525">
        <v>3349.94</v>
      </c>
    </row>
    <row r="526" spans="1:4" x14ac:dyDescent="0.3">
      <c r="A526" s="61" t="s">
        <v>28</v>
      </c>
      <c r="B526" s="61"/>
      <c r="C526" s="16">
        <v>46170</v>
      </c>
      <c r="D526">
        <v>1968.99</v>
      </c>
    </row>
    <row r="527" spans="1:4" x14ac:dyDescent="0.3">
      <c r="A527" s="61" t="s">
        <v>29</v>
      </c>
      <c r="B527" s="61"/>
      <c r="C527" s="16">
        <v>46170</v>
      </c>
      <c r="D527">
        <v>901.34</v>
      </c>
    </row>
    <row r="528" spans="1:4" x14ac:dyDescent="0.3">
      <c r="A528" s="61" t="s">
        <v>30</v>
      </c>
      <c r="B528" s="61"/>
      <c r="C528" s="16">
        <v>46170</v>
      </c>
      <c r="D528">
        <v>1444.08</v>
      </c>
    </row>
    <row r="529" spans="1:4" x14ac:dyDescent="0.3">
      <c r="A529" s="61" t="s">
        <v>31</v>
      </c>
      <c r="B529" s="61"/>
      <c r="C529" s="16">
        <v>46170</v>
      </c>
      <c r="D529">
        <v>35463.599999999962</v>
      </c>
    </row>
    <row r="530" spans="1:4" x14ac:dyDescent="0.3">
      <c r="A530" s="61" t="s">
        <v>32</v>
      </c>
      <c r="B530" s="61"/>
      <c r="C530" s="16">
        <v>46170</v>
      </c>
      <c r="D530">
        <v>15120.060000000001</v>
      </c>
    </row>
    <row r="531" spans="1:4" x14ac:dyDescent="0.3">
      <c r="A531" s="61" t="s">
        <v>33</v>
      </c>
      <c r="B531" s="61"/>
      <c r="C531" s="16">
        <v>46170</v>
      </c>
      <c r="D531">
        <v>33606.270000000004</v>
      </c>
    </row>
    <row r="532" spans="1:4" x14ac:dyDescent="0.3">
      <c r="A532" s="61" t="s">
        <v>34</v>
      </c>
      <c r="B532" s="61"/>
      <c r="C532" s="16">
        <v>46170</v>
      </c>
      <c r="D532">
        <v>345</v>
      </c>
    </row>
    <row r="533" spans="1:4" x14ac:dyDescent="0.3">
      <c r="A533" s="61" t="s">
        <v>35</v>
      </c>
      <c r="B533" s="61"/>
      <c r="C533" s="16">
        <v>46170</v>
      </c>
      <c r="D533">
        <v>9076.2400000000016</v>
      </c>
    </row>
    <row r="534" spans="1:4" x14ac:dyDescent="0.3">
      <c r="A534" s="61" t="s">
        <v>17</v>
      </c>
      <c r="B534" s="61"/>
      <c r="C534" s="16">
        <v>46171</v>
      </c>
      <c r="D534">
        <v>983394.14000000013</v>
      </c>
    </row>
    <row r="535" spans="1:4" x14ac:dyDescent="0.3">
      <c r="A535" s="61" t="s">
        <v>18</v>
      </c>
      <c r="B535" s="61"/>
      <c r="C535" s="16">
        <v>46171</v>
      </c>
      <c r="D535">
        <v>62397.280000000173</v>
      </c>
    </row>
    <row r="536" spans="1:4" x14ac:dyDescent="0.3">
      <c r="A536" s="61" t="s">
        <v>19</v>
      </c>
      <c r="B536" s="61"/>
      <c r="C536" s="16">
        <v>46171</v>
      </c>
      <c r="D536">
        <v>1669.89</v>
      </c>
    </row>
    <row r="537" spans="1:4" x14ac:dyDescent="0.3">
      <c r="A537" s="61" t="s">
        <v>20</v>
      </c>
      <c r="B537" s="61"/>
      <c r="C537" s="16">
        <v>46171</v>
      </c>
      <c r="D537">
        <v>424853.11999999988</v>
      </c>
    </row>
    <row r="538" spans="1:4" x14ac:dyDescent="0.3">
      <c r="A538" s="61" t="s">
        <v>21</v>
      </c>
      <c r="B538" s="61"/>
      <c r="C538" s="16">
        <v>46171</v>
      </c>
      <c r="D538">
        <v>1015901.6699999992</v>
      </c>
    </row>
    <row r="539" spans="1:4" x14ac:dyDescent="0.3">
      <c r="A539" s="61" t="s">
        <v>22</v>
      </c>
      <c r="B539" s="61"/>
      <c r="C539" s="16">
        <v>46171</v>
      </c>
      <c r="D539">
        <v>131496.38</v>
      </c>
    </row>
    <row r="540" spans="1:4" x14ac:dyDescent="0.3">
      <c r="A540" s="61" t="s">
        <v>23</v>
      </c>
      <c r="B540" s="61"/>
      <c r="C540" s="16">
        <v>46171</v>
      </c>
      <c r="D540">
        <v>88090.37</v>
      </c>
    </row>
    <row r="541" spans="1:4" x14ac:dyDescent="0.3">
      <c r="A541" s="61" t="s">
        <v>24</v>
      </c>
      <c r="B541" s="61"/>
      <c r="C541" s="16">
        <v>46171</v>
      </c>
      <c r="D541">
        <v>1227.9699999999998</v>
      </c>
    </row>
    <row r="542" spans="1:4" x14ac:dyDescent="0.3">
      <c r="A542" s="61" t="s">
        <v>25</v>
      </c>
      <c r="B542" s="61"/>
      <c r="C542" s="16">
        <v>46171</v>
      </c>
      <c r="D542">
        <v>114.3</v>
      </c>
    </row>
    <row r="543" spans="1:4" x14ac:dyDescent="0.3">
      <c r="A543" s="61" t="s">
        <v>26</v>
      </c>
      <c r="B543" s="61"/>
      <c r="C543" s="16">
        <v>46171</v>
      </c>
      <c r="D543">
        <v>2267.7200000000003</v>
      </c>
    </row>
    <row r="544" spans="1:4" x14ac:dyDescent="0.3">
      <c r="A544" s="61" t="s">
        <v>27</v>
      </c>
      <c r="B544" s="61"/>
      <c r="C544" s="16">
        <v>46171</v>
      </c>
      <c r="D544">
        <v>3349.94</v>
      </c>
    </row>
    <row r="545" spans="1:4" x14ac:dyDescent="0.3">
      <c r="A545" s="61" t="s">
        <v>28</v>
      </c>
      <c r="B545" s="61"/>
      <c r="C545" s="16">
        <v>46171</v>
      </c>
      <c r="D545">
        <v>1968.99</v>
      </c>
    </row>
    <row r="546" spans="1:4" x14ac:dyDescent="0.3">
      <c r="A546" s="61" t="s">
        <v>29</v>
      </c>
      <c r="B546" s="61"/>
      <c r="C546" s="16">
        <v>46171</v>
      </c>
      <c r="D546">
        <v>901.34</v>
      </c>
    </row>
    <row r="547" spans="1:4" x14ac:dyDescent="0.3">
      <c r="A547" s="61" t="s">
        <v>30</v>
      </c>
      <c r="B547" s="61"/>
      <c r="C547" s="16">
        <v>46171</v>
      </c>
      <c r="D547">
        <v>1444.08</v>
      </c>
    </row>
    <row r="548" spans="1:4" x14ac:dyDescent="0.3">
      <c r="A548" s="61" t="s">
        <v>31</v>
      </c>
      <c r="B548" s="61"/>
      <c r="C548" s="16">
        <v>46171</v>
      </c>
      <c r="D548">
        <v>35448.599999999962</v>
      </c>
    </row>
    <row r="549" spans="1:4" x14ac:dyDescent="0.3">
      <c r="A549" s="61" t="s">
        <v>32</v>
      </c>
      <c r="B549" s="61"/>
      <c r="C549" s="16">
        <v>46171</v>
      </c>
      <c r="D549">
        <v>15120.060000000001</v>
      </c>
    </row>
    <row r="550" spans="1:4" x14ac:dyDescent="0.3">
      <c r="A550" s="61" t="s">
        <v>33</v>
      </c>
      <c r="B550" s="61"/>
      <c r="C550" s="16">
        <v>46171</v>
      </c>
      <c r="D550">
        <v>33606.270000000004</v>
      </c>
    </row>
    <row r="551" spans="1:4" x14ac:dyDescent="0.3">
      <c r="A551" s="61" t="s">
        <v>34</v>
      </c>
      <c r="B551" s="61"/>
      <c r="C551" s="16">
        <v>46171</v>
      </c>
      <c r="D551">
        <v>345</v>
      </c>
    </row>
    <row r="552" spans="1:4" x14ac:dyDescent="0.3">
      <c r="A552" s="61" t="s">
        <v>35</v>
      </c>
      <c r="B552" s="61"/>
      <c r="C552" s="16">
        <v>46171</v>
      </c>
      <c r="D552">
        <v>9076.2400000000016</v>
      </c>
    </row>
    <row r="553" spans="1:4" x14ac:dyDescent="0.3">
      <c r="A553" s="61" t="s">
        <v>17</v>
      </c>
      <c r="B553" s="61"/>
      <c r="C553" s="16">
        <v>46172</v>
      </c>
      <c r="D553">
        <v>983394.14000000013</v>
      </c>
    </row>
    <row r="554" spans="1:4" x14ac:dyDescent="0.3">
      <c r="A554" s="61" t="s">
        <v>18</v>
      </c>
      <c r="B554" s="61"/>
      <c r="C554" s="16">
        <v>46172</v>
      </c>
      <c r="D554">
        <v>62397.280000000173</v>
      </c>
    </row>
    <row r="555" spans="1:4" x14ac:dyDescent="0.3">
      <c r="A555" s="61" t="s">
        <v>19</v>
      </c>
      <c r="B555" s="61"/>
      <c r="C555" s="16">
        <v>46172</v>
      </c>
      <c r="D555">
        <v>1669.89</v>
      </c>
    </row>
    <row r="556" spans="1:4" x14ac:dyDescent="0.3">
      <c r="A556" s="61" t="s">
        <v>20</v>
      </c>
      <c r="B556" s="61"/>
      <c r="C556" s="16">
        <v>46172</v>
      </c>
      <c r="D556">
        <v>424853.11999999988</v>
      </c>
    </row>
    <row r="557" spans="1:4" x14ac:dyDescent="0.3">
      <c r="A557" s="61" t="s">
        <v>21</v>
      </c>
      <c r="B557" s="61"/>
      <c r="C557" s="16">
        <v>46172</v>
      </c>
      <c r="D557">
        <v>1015901.6699999992</v>
      </c>
    </row>
    <row r="558" spans="1:4" x14ac:dyDescent="0.3">
      <c r="A558" s="61" t="s">
        <v>22</v>
      </c>
      <c r="B558" s="61"/>
      <c r="C558" s="16">
        <v>46172</v>
      </c>
      <c r="D558">
        <v>131496.38</v>
      </c>
    </row>
    <row r="559" spans="1:4" x14ac:dyDescent="0.3">
      <c r="A559" s="61" t="s">
        <v>23</v>
      </c>
      <c r="B559" s="61"/>
      <c r="C559" s="16">
        <v>46172</v>
      </c>
      <c r="D559">
        <v>88090.37</v>
      </c>
    </row>
    <row r="560" spans="1:4" x14ac:dyDescent="0.3">
      <c r="A560" s="61" t="s">
        <v>24</v>
      </c>
      <c r="B560" s="61"/>
      <c r="C560" s="16">
        <v>46172</v>
      </c>
      <c r="D560">
        <v>1227.9699999999998</v>
      </c>
    </row>
    <row r="561" spans="1:4" x14ac:dyDescent="0.3">
      <c r="A561" s="61" t="s">
        <v>25</v>
      </c>
      <c r="B561" s="61"/>
      <c r="C561" s="16">
        <v>46172</v>
      </c>
      <c r="D561">
        <v>114.3</v>
      </c>
    </row>
    <row r="562" spans="1:4" x14ac:dyDescent="0.3">
      <c r="A562" s="61" t="s">
        <v>26</v>
      </c>
      <c r="B562" s="61"/>
      <c r="C562" s="16">
        <v>46172</v>
      </c>
      <c r="D562">
        <v>2267.7200000000003</v>
      </c>
    </row>
    <row r="563" spans="1:4" x14ac:dyDescent="0.3">
      <c r="A563" s="61" t="s">
        <v>27</v>
      </c>
      <c r="B563" s="61"/>
      <c r="C563" s="16">
        <v>46172</v>
      </c>
      <c r="D563">
        <v>3349.94</v>
      </c>
    </row>
    <row r="564" spans="1:4" x14ac:dyDescent="0.3">
      <c r="A564" s="61" t="s">
        <v>28</v>
      </c>
      <c r="B564" s="61"/>
      <c r="C564" s="16">
        <v>46172</v>
      </c>
      <c r="D564">
        <v>1968.99</v>
      </c>
    </row>
    <row r="565" spans="1:4" x14ac:dyDescent="0.3">
      <c r="A565" s="61" t="s">
        <v>29</v>
      </c>
      <c r="B565" s="61"/>
      <c r="C565" s="16">
        <v>46172</v>
      </c>
      <c r="D565">
        <v>901.34</v>
      </c>
    </row>
    <row r="566" spans="1:4" x14ac:dyDescent="0.3">
      <c r="A566" s="61" t="s">
        <v>30</v>
      </c>
      <c r="B566" s="61"/>
      <c r="C566" s="16">
        <v>46172</v>
      </c>
      <c r="D566">
        <v>1444.08</v>
      </c>
    </row>
    <row r="567" spans="1:4" x14ac:dyDescent="0.3">
      <c r="A567" s="61" t="s">
        <v>31</v>
      </c>
      <c r="B567" s="61"/>
      <c r="C567" s="16">
        <v>46172</v>
      </c>
      <c r="D567">
        <v>35448.599999999962</v>
      </c>
    </row>
    <row r="568" spans="1:4" x14ac:dyDescent="0.3">
      <c r="A568" s="61" t="s">
        <v>32</v>
      </c>
      <c r="B568" s="61"/>
      <c r="C568" s="16">
        <v>46172</v>
      </c>
      <c r="D568">
        <v>15120.060000000001</v>
      </c>
    </row>
    <row r="569" spans="1:4" x14ac:dyDescent="0.3">
      <c r="A569" s="61" t="s">
        <v>33</v>
      </c>
      <c r="B569" s="61"/>
      <c r="C569" s="16">
        <v>46172</v>
      </c>
      <c r="D569">
        <v>33606.270000000004</v>
      </c>
    </row>
    <row r="570" spans="1:4" x14ac:dyDescent="0.3">
      <c r="A570" s="61" t="s">
        <v>34</v>
      </c>
      <c r="B570" s="61"/>
      <c r="C570" s="16">
        <v>46172</v>
      </c>
      <c r="D570">
        <v>345</v>
      </c>
    </row>
    <row r="571" spans="1:4" x14ac:dyDescent="0.3">
      <c r="A571" s="61" t="s">
        <v>35</v>
      </c>
      <c r="B571" s="61"/>
      <c r="C571" s="16">
        <v>46172</v>
      </c>
      <c r="D571">
        <v>9076.2400000000016</v>
      </c>
    </row>
    <row r="572" spans="1:4" x14ac:dyDescent="0.3">
      <c r="A572" s="61" t="s">
        <v>17</v>
      </c>
      <c r="B572" s="61"/>
      <c r="C572" s="16">
        <v>46173</v>
      </c>
      <c r="D572">
        <v>983394.14000000013</v>
      </c>
    </row>
    <row r="573" spans="1:4" x14ac:dyDescent="0.3">
      <c r="A573" s="61" t="s">
        <v>18</v>
      </c>
      <c r="B573" s="61"/>
      <c r="C573" s="16">
        <v>46173</v>
      </c>
      <c r="D573">
        <v>62397.280000000173</v>
      </c>
    </row>
    <row r="574" spans="1:4" x14ac:dyDescent="0.3">
      <c r="A574" s="61" t="s">
        <v>19</v>
      </c>
      <c r="B574" s="61"/>
      <c r="C574" s="16">
        <v>46173</v>
      </c>
      <c r="D574">
        <v>1669.89</v>
      </c>
    </row>
    <row r="575" spans="1:4" x14ac:dyDescent="0.3">
      <c r="A575" s="61" t="s">
        <v>20</v>
      </c>
      <c r="B575" s="61"/>
      <c r="C575" s="16">
        <v>46173</v>
      </c>
      <c r="D575">
        <v>424853.11999999988</v>
      </c>
    </row>
    <row r="576" spans="1:4" x14ac:dyDescent="0.3">
      <c r="A576" s="61" t="s">
        <v>21</v>
      </c>
      <c r="B576" s="61"/>
      <c r="C576" s="16">
        <v>46173</v>
      </c>
      <c r="D576">
        <v>1015901.6699999992</v>
      </c>
    </row>
    <row r="577" spans="1:4" x14ac:dyDescent="0.3">
      <c r="A577" s="61" t="s">
        <v>22</v>
      </c>
      <c r="B577" s="61"/>
      <c r="C577" s="16">
        <v>46173</v>
      </c>
      <c r="D577">
        <v>131496.38</v>
      </c>
    </row>
    <row r="578" spans="1:4" x14ac:dyDescent="0.3">
      <c r="A578" s="61" t="s">
        <v>23</v>
      </c>
      <c r="B578" s="61"/>
      <c r="C578" s="16">
        <v>46173</v>
      </c>
      <c r="D578">
        <v>88090.37</v>
      </c>
    </row>
    <row r="579" spans="1:4" x14ac:dyDescent="0.3">
      <c r="A579" s="61" t="s">
        <v>24</v>
      </c>
      <c r="B579" s="61"/>
      <c r="C579" s="16">
        <v>46173</v>
      </c>
      <c r="D579">
        <v>1227.9699999999998</v>
      </c>
    </row>
    <row r="580" spans="1:4" x14ac:dyDescent="0.3">
      <c r="A580" s="61" t="s">
        <v>25</v>
      </c>
      <c r="B580" s="61"/>
      <c r="C580" s="16">
        <v>46173</v>
      </c>
      <c r="D580">
        <v>114.3</v>
      </c>
    </row>
    <row r="581" spans="1:4" x14ac:dyDescent="0.3">
      <c r="A581" s="61" t="s">
        <v>26</v>
      </c>
      <c r="B581" s="61"/>
      <c r="C581" s="16">
        <v>46173</v>
      </c>
      <c r="D581">
        <v>2267.7200000000003</v>
      </c>
    </row>
    <row r="582" spans="1:4" x14ac:dyDescent="0.3">
      <c r="A582" s="61" t="s">
        <v>27</v>
      </c>
      <c r="B582" s="61"/>
      <c r="C582" s="16">
        <v>46173</v>
      </c>
      <c r="D582">
        <v>3349.94</v>
      </c>
    </row>
    <row r="583" spans="1:4" x14ac:dyDescent="0.3">
      <c r="A583" s="61" t="s">
        <v>28</v>
      </c>
      <c r="B583" s="61"/>
      <c r="C583" s="16">
        <v>46173</v>
      </c>
      <c r="D583">
        <v>1968.99</v>
      </c>
    </row>
    <row r="584" spans="1:4" x14ac:dyDescent="0.3">
      <c r="A584" s="61" t="s">
        <v>29</v>
      </c>
      <c r="B584" s="61"/>
      <c r="C584" s="16">
        <v>46173</v>
      </c>
      <c r="D584">
        <v>901.34</v>
      </c>
    </row>
    <row r="585" spans="1:4" x14ac:dyDescent="0.3">
      <c r="A585" s="61" t="s">
        <v>30</v>
      </c>
      <c r="B585" s="61"/>
      <c r="C585" s="16">
        <v>46173</v>
      </c>
      <c r="D585">
        <v>1444.08</v>
      </c>
    </row>
    <row r="586" spans="1:4" x14ac:dyDescent="0.3">
      <c r="A586" s="61" t="s">
        <v>31</v>
      </c>
      <c r="B586" s="61"/>
      <c r="C586" s="16">
        <v>46173</v>
      </c>
      <c r="D586">
        <v>35448.599999999962</v>
      </c>
    </row>
    <row r="587" spans="1:4" x14ac:dyDescent="0.3">
      <c r="A587" s="61" t="s">
        <v>32</v>
      </c>
      <c r="B587" s="61"/>
      <c r="C587" s="16">
        <v>46173</v>
      </c>
      <c r="D587">
        <v>15120.060000000001</v>
      </c>
    </row>
    <row r="588" spans="1:4" x14ac:dyDescent="0.3">
      <c r="A588" s="61" t="s">
        <v>33</v>
      </c>
      <c r="B588" s="61"/>
      <c r="C588" s="16">
        <v>46173</v>
      </c>
      <c r="D588">
        <v>33606.270000000004</v>
      </c>
    </row>
    <row r="589" spans="1:4" x14ac:dyDescent="0.3">
      <c r="A589" s="61" t="s">
        <v>34</v>
      </c>
      <c r="B589" s="61"/>
      <c r="C589" s="16">
        <v>46173</v>
      </c>
      <c r="D589">
        <v>345</v>
      </c>
    </row>
    <row r="590" spans="1:4" x14ac:dyDescent="0.3">
      <c r="A590" s="61" t="s">
        <v>35</v>
      </c>
      <c r="B590" s="61"/>
      <c r="C590" s="16">
        <v>46173</v>
      </c>
      <c r="D590">
        <v>9076.2400000000016</v>
      </c>
    </row>
    <row r="591" spans="1:4" x14ac:dyDescent="0.3">
      <c r="A591" s="61" t="s">
        <v>17</v>
      </c>
      <c r="B591" s="61"/>
      <c r="C591" s="16">
        <v>46174</v>
      </c>
      <c r="D591">
        <v>983394.14000000013</v>
      </c>
    </row>
    <row r="592" spans="1:4" x14ac:dyDescent="0.3">
      <c r="A592" s="61" t="s">
        <v>18</v>
      </c>
      <c r="B592" s="61"/>
      <c r="C592" s="16">
        <v>46174</v>
      </c>
      <c r="D592">
        <v>69376.390000000174</v>
      </c>
    </row>
    <row r="593" spans="1:4" x14ac:dyDescent="0.3">
      <c r="A593" s="61" t="s">
        <v>19</v>
      </c>
      <c r="B593" s="61"/>
      <c r="C593" s="16">
        <v>46174</v>
      </c>
      <c r="D593">
        <v>1669.89</v>
      </c>
    </row>
    <row r="594" spans="1:4" x14ac:dyDescent="0.3">
      <c r="A594" s="61" t="s">
        <v>20</v>
      </c>
      <c r="B594" s="61"/>
      <c r="C594" s="16">
        <v>46174</v>
      </c>
      <c r="D594">
        <v>804853.11999999988</v>
      </c>
    </row>
    <row r="595" spans="1:4" x14ac:dyDescent="0.3">
      <c r="A595" s="61" t="s">
        <v>21</v>
      </c>
      <c r="B595" s="61"/>
      <c r="C595" s="16">
        <v>46174</v>
      </c>
      <c r="D595">
        <v>1015901.6699999992</v>
      </c>
    </row>
    <row r="596" spans="1:4" x14ac:dyDescent="0.3">
      <c r="A596" s="61" t="s">
        <v>22</v>
      </c>
      <c r="B596" s="61"/>
      <c r="C596" s="16">
        <v>46174</v>
      </c>
      <c r="D596">
        <v>131496.38</v>
      </c>
    </row>
    <row r="597" spans="1:4" x14ac:dyDescent="0.3">
      <c r="A597" s="61" t="s">
        <v>23</v>
      </c>
      <c r="B597" s="61"/>
      <c r="C597" s="16">
        <v>46174</v>
      </c>
      <c r="D597">
        <v>88090.37</v>
      </c>
    </row>
    <row r="598" spans="1:4" x14ac:dyDescent="0.3">
      <c r="A598" s="61" t="s">
        <v>24</v>
      </c>
      <c r="B598" s="61"/>
      <c r="C598" s="16">
        <v>46174</v>
      </c>
      <c r="D598">
        <v>1227.9699999999998</v>
      </c>
    </row>
    <row r="599" spans="1:4" x14ac:dyDescent="0.3">
      <c r="A599" s="61" t="s">
        <v>25</v>
      </c>
      <c r="B599" s="61"/>
      <c r="C599" s="16">
        <v>46174</v>
      </c>
      <c r="D599">
        <v>84.35</v>
      </c>
    </row>
    <row r="600" spans="1:4" x14ac:dyDescent="0.3">
      <c r="A600" s="61" t="s">
        <v>26</v>
      </c>
      <c r="B600" s="61"/>
      <c r="C600" s="16">
        <v>46174</v>
      </c>
      <c r="D600">
        <v>2237.77</v>
      </c>
    </row>
    <row r="601" spans="1:4" x14ac:dyDescent="0.3">
      <c r="A601" s="61" t="s">
        <v>27</v>
      </c>
      <c r="B601" s="61"/>
      <c r="C601" s="16">
        <v>46174</v>
      </c>
      <c r="D601">
        <v>3349.94</v>
      </c>
    </row>
    <row r="602" spans="1:4" x14ac:dyDescent="0.3">
      <c r="A602" s="61" t="s">
        <v>28</v>
      </c>
      <c r="B602" s="61"/>
      <c r="C602" s="16">
        <v>46174</v>
      </c>
      <c r="D602">
        <v>1968.99</v>
      </c>
    </row>
    <row r="603" spans="1:4" x14ac:dyDescent="0.3">
      <c r="A603" s="61" t="s">
        <v>29</v>
      </c>
      <c r="B603" s="61"/>
      <c r="C603" s="16">
        <v>46174</v>
      </c>
      <c r="D603">
        <v>901.34</v>
      </c>
    </row>
    <row r="604" spans="1:4" x14ac:dyDescent="0.3">
      <c r="A604" s="61" t="s">
        <v>30</v>
      </c>
      <c r="B604" s="61"/>
      <c r="C604" s="16">
        <v>46174</v>
      </c>
      <c r="D604">
        <v>1428.08</v>
      </c>
    </row>
    <row r="605" spans="1:4" x14ac:dyDescent="0.3">
      <c r="A605" s="61" t="s">
        <v>31</v>
      </c>
      <c r="B605" s="61"/>
      <c r="C605" s="16">
        <v>46174</v>
      </c>
      <c r="D605">
        <v>26416.26999999996</v>
      </c>
    </row>
    <row r="606" spans="1:4" x14ac:dyDescent="0.3">
      <c r="A606" s="61" t="s">
        <v>32</v>
      </c>
      <c r="B606" s="61"/>
      <c r="C606" s="16">
        <v>46174</v>
      </c>
      <c r="D606">
        <v>5321.4300000000021</v>
      </c>
    </row>
    <row r="607" spans="1:4" x14ac:dyDescent="0.3">
      <c r="A607" s="61" t="s">
        <v>33</v>
      </c>
      <c r="B607" s="61"/>
      <c r="C607" s="16">
        <v>46174</v>
      </c>
      <c r="D607">
        <v>24833.23</v>
      </c>
    </row>
    <row r="608" spans="1:4" x14ac:dyDescent="0.3">
      <c r="A608" s="61" t="s">
        <v>34</v>
      </c>
      <c r="B608" s="61"/>
      <c r="C608" s="16">
        <v>46174</v>
      </c>
      <c r="D608">
        <v>345</v>
      </c>
    </row>
    <row r="609" spans="1:4" x14ac:dyDescent="0.3">
      <c r="A609" s="61" t="s">
        <v>35</v>
      </c>
      <c r="B609" s="61"/>
      <c r="C609" s="16">
        <v>46174</v>
      </c>
      <c r="D609">
        <v>6824.47</v>
      </c>
    </row>
    <row r="610" spans="1:4" x14ac:dyDescent="0.3">
      <c r="A610" s="61" t="s">
        <v>17</v>
      </c>
      <c r="B610" s="61"/>
      <c r="C610" s="16">
        <v>46175</v>
      </c>
      <c r="D610">
        <v>983394.14000000013</v>
      </c>
    </row>
    <row r="611" spans="1:4" x14ac:dyDescent="0.3">
      <c r="A611" s="61" t="s">
        <v>18</v>
      </c>
      <c r="B611" s="61"/>
      <c r="C611" s="16">
        <v>46175</v>
      </c>
      <c r="D611">
        <v>69376.390000000174</v>
      </c>
    </row>
    <row r="612" spans="1:4" x14ac:dyDescent="0.3">
      <c r="A612" s="61" t="s">
        <v>19</v>
      </c>
      <c r="B612" s="61"/>
      <c r="C612" s="16">
        <v>46175</v>
      </c>
      <c r="D612">
        <v>1669.89</v>
      </c>
    </row>
    <row r="613" spans="1:4" x14ac:dyDescent="0.3">
      <c r="A613" s="61" t="s">
        <v>20</v>
      </c>
      <c r="B613" s="61"/>
      <c r="C613" s="16">
        <v>46175</v>
      </c>
      <c r="D613">
        <v>804853.11999999988</v>
      </c>
    </row>
    <row r="614" spans="1:4" x14ac:dyDescent="0.3">
      <c r="A614" s="61" t="s">
        <v>21</v>
      </c>
      <c r="B614" s="61"/>
      <c r="C614" s="16">
        <v>46175</v>
      </c>
      <c r="D614">
        <v>1015901.6699999992</v>
      </c>
    </row>
    <row r="615" spans="1:4" x14ac:dyDescent="0.3">
      <c r="A615" s="61" t="s">
        <v>22</v>
      </c>
      <c r="B615" s="61"/>
      <c r="C615" s="16">
        <v>46175</v>
      </c>
      <c r="D615">
        <v>131496.38</v>
      </c>
    </row>
    <row r="616" spans="1:4" x14ac:dyDescent="0.3">
      <c r="A616" s="61" t="s">
        <v>23</v>
      </c>
      <c r="B616" s="61"/>
      <c r="C616" s="16">
        <v>46175</v>
      </c>
      <c r="D616">
        <v>88090.37</v>
      </c>
    </row>
    <row r="617" spans="1:4" x14ac:dyDescent="0.3">
      <c r="A617" s="61" t="s">
        <v>24</v>
      </c>
      <c r="B617" s="61"/>
      <c r="C617" s="16">
        <v>46175</v>
      </c>
      <c r="D617">
        <v>1227.9699999999998</v>
      </c>
    </row>
    <row r="618" spans="1:4" x14ac:dyDescent="0.3">
      <c r="A618" s="61" t="s">
        <v>25</v>
      </c>
      <c r="B618" s="61"/>
      <c r="C618" s="16">
        <v>46175</v>
      </c>
      <c r="D618">
        <v>84.35</v>
      </c>
    </row>
    <row r="619" spans="1:4" x14ac:dyDescent="0.3">
      <c r="A619" s="61" t="s">
        <v>26</v>
      </c>
      <c r="B619" s="61"/>
      <c r="C619" s="16">
        <v>46175</v>
      </c>
      <c r="D619">
        <v>2237.77</v>
      </c>
    </row>
    <row r="620" spans="1:4" x14ac:dyDescent="0.3">
      <c r="A620" s="61" t="s">
        <v>27</v>
      </c>
      <c r="B620" s="61"/>
      <c r="C620" s="16">
        <v>46175</v>
      </c>
      <c r="D620">
        <v>3349.94</v>
      </c>
    </row>
    <row r="621" spans="1:4" x14ac:dyDescent="0.3">
      <c r="A621" s="61" t="s">
        <v>28</v>
      </c>
      <c r="B621" s="61"/>
      <c r="C621" s="16">
        <v>46175</v>
      </c>
      <c r="D621">
        <v>1968.99</v>
      </c>
    </row>
    <row r="622" spans="1:4" x14ac:dyDescent="0.3">
      <c r="A622" s="61" t="s">
        <v>29</v>
      </c>
      <c r="B622" s="61"/>
      <c r="C622" s="16">
        <v>46175</v>
      </c>
      <c r="D622">
        <v>901.34</v>
      </c>
    </row>
    <row r="623" spans="1:4" x14ac:dyDescent="0.3">
      <c r="A623" s="61" t="s">
        <v>30</v>
      </c>
      <c r="B623" s="61"/>
      <c r="C623" s="16">
        <v>46175</v>
      </c>
      <c r="D623">
        <v>1428.08</v>
      </c>
    </row>
    <row r="624" spans="1:4" x14ac:dyDescent="0.3">
      <c r="A624" s="61" t="s">
        <v>31</v>
      </c>
      <c r="B624" s="61"/>
      <c r="C624" s="16">
        <v>46175</v>
      </c>
      <c r="D624">
        <v>25789.969999999961</v>
      </c>
    </row>
    <row r="625" spans="1:4" x14ac:dyDescent="0.3">
      <c r="A625" s="61" t="s">
        <v>32</v>
      </c>
      <c r="B625" s="61"/>
      <c r="C625" s="16">
        <v>46175</v>
      </c>
      <c r="D625">
        <v>5321.4300000000021</v>
      </c>
    </row>
    <row r="626" spans="1:4" x14ac:dyDescent="0.3">
      <c r="A626" s="61" t="s">
        <v>33</v>
      </c>
      <c r="B626" s="61"/>
      <c r="C626" s="16">
        <v>46175</v>
      </c>
      <c r="D626">
        <v>24833.23</v>
      </c>
    </row>
    <row r="627" spans="1:4" x14ac:dyDescent="0.3">
      <c r="A627" s="61" t="s">
        <v>34</v>
      </c>
      <c r="B627" s="61"/>
      <c r="C627" s="16">
        <v>46175</v>
      </c>
      <c r="D627">
        <v>345</v>
      </c>
    </row>
    <row r="628" spans="1:4" x14ac:dyDescent="0.3">
      <c r="A628" s="61" t="s">
        <v>35</v>
      </c>
      <c r="B628" s="61"/>
      <c r="C628" s="16">
        <v>46175</v>
      </c>
      <c r="D628">
        <v>3514.8900000000012</v>
      </c>
    </row>
    <row r="629" spans="1:4" x14ac:dyDescent="0.3">
      <c r="A629" s="61" t="s">
        <v>17</v>
      </c>
      <c r="B629" s="61"/>
      <c r="C629" s="16">
        <v>46176</v>
      </c>
      <c r="D629">
        <v>983394.14000000013</v>
      </c>
    </row>
    <row r="630" spans="1:4" x14ac:dyDescent="0.3">
      <c r="A630" s="61" t="s">
        <v>18</v>
      </c>
      <c r="B630" s="61"/>
      <c r="C630" s="16">
        <v>46176</v>
      </c>
      <c r="D630">
        <v>69376.390000000174</v>
      </c>
    </row>
    <row r="631" spans="1:4" x14ac:dyDescent="0.3">
      <c r="A631" s="61" t="s">
        <v>19</v>
      </c>
      <c r="B631" s="61"/>
      <c r="C631" s="16">
        <v>46176</v>
      </c>
      <c r="D631">
        <v>1669.89</v>
      </c>
    </row>
    <row r="632" spans="1:4" x14ac:dyDescent="0.3">
      <c r="A632" s="61" t="s">
        <v>20</v>
      </c>
      <c r="B632" s="61"/>
      <c r="C632" s="16">
        <v>46176</v>
      </c>
      <c r="D632">
        <v>804853.11999999988</v>
      </c>
    </row>
    <row r="633" spans="1:4" x14ac:dyDescent="0.3">
      <c r="A633" s="61" t="s">
        <v>21</v>
      </c>
      <c r="B633" s="61"/>
      <c r="C633" s="16">
        <v>46176</v>
      </c>
      <c r="D633">
        <v>1015611.6599999993</v>
      </c>
    </row>
    <row r="634" spans="1:4" x14ac:dyDescent="0.3">
      <c r="A634" s="61" t="s">
        <v>22</v>
      </c>
      <c r="B634" s="61"/>
      <c r="C634" s="16">
        <v>46176</v>
      </c>
      <c r="D634">
        <v>125496.38</v>
      </c>
    </row>
    <row r="635" spans="1:4" x14ac:dyDescent="0.3">
      <c r="A635" s="61" t="s">
        <v>23</v>
      </c>
      <c r="B635" s="61"/>
      <c r="C635" s="16">
        <v>46176</v>
      </c>
      <c r="D635">
        <v>88090.37</v>
      </c>
    </row>
    <row r="636" spans="1:4" x14ac:dyDescent="0.3">
      <c r="A636" s="61" t="s">
        <v>24</v>
      </c>
      <c r="B636" s="61"/>
      <c r="C636" s="16">
        <v>46176</v>
      </c>
      <c r="D636">
        <v>1227.9699999999998</v>
      </c>
    </row>
    <row r="637" spans="1:4" x14ac:dyDescent="0.3">
      <c r="A637" s="61" t="s">
        <v>25</v>
      </c>
      <c r="B637" s="61"/>
      <c r="C637" s="16">
        <v>46176</v>
      </c>
      <c r="D637">
        <v>84.35</v>
      </c>
    </row>
    <row r="638" spans="1:4" x14ac:dyDescent="0.3">
      <c r="A638" s="61" t="s">
        <v>26</v>
      </c>
      <c r="B638" s="61"/>
      <c r="C638" s="16">
        <v>46176</v>
      </c>
      <c r="D638">
        <v>2237.77</v>
      </c>
    </row>
    <row r="639" spans="1:4" x14ac:dyDescent="0.3">
      <c r="A639" s="61" t="s">
        <v>27</v>
      </c>
      <c r="B639" s="61"/>
      <c r="C639" s="16">
        <v>46176</v>
      </c>
      <c r="D639">
        <v>3349.94</v>
      </c>
    </row>
    <row r="640" spans="1:4" x14ac:dyDescent="0.3">
      <c r="A640" s="61" t="s">
        <v>28</v>
      </c>
      <c r="B640" s="61"/>
      <c r="C640" s="16">
        <v>46176</v>
      </c>
      <c r="D640">
        <v>1968.99</v>
      </c>
    </row>
    <row r="641" spans="1:4" x14ac:dyDescent="0.3">
      <c r="A641" s="61" t="s">
        <v>29</v>
      </c>
      <c r="B641" s="61"/>
      <c r="C641" s="16">
        <v>46176</v>
      </c>
      <c r="D641">
        <v>901.34</v>
      </c>
    </row>
    <row r="642" spans="1:4" x14ac:dyDescent="0.3">
      <c r="A642" s="61" t="s">
        <v>30</v>
      </c>
      <c r="B642" s="61"/>
      <c r="C642" s="16">
        <v>46176</v>
      </c>
      <c r="D642">
        <v>1428.08</v>
      </c>
    </row>
    <row r="643" spans="1:4" x14ac:dyDescent="0.3">
      <c r="A643" s="61" t="s">
        <v>31</v>
      </c>
      <c r="B643" s="61"/>
      <c r="C643" s="16">
        <v>46176</v>
      </c>
      <c r="D643">
        <v>25789.969999999961</v>
      </c>
    </row>
    <row r="644" spans="1:4" x14ac:dyDescent="0.3">
      <c r="A644" s="61" t="s">
        <v>32</v>
      </c>
      <c r="B644" s="61"/>
      <c r="C644" s="16">
        <v>46176</v>
      </c>
      <c r="D644">
        <v>5321.4300000000021</v>
      </c>
    </row>
    <row r="645" spans="1:4" x14ac:dyDescent="0.3">
      <c r="A645" s="61" t="s">
        <v>33</v>
      </c>
      <c r="B645" s="61"/>
      <c r="C645" s="16">
        <v>46176</v>
      </c>
      <c r="D645">
        <v>24833.23</v>
      </c>
    </row>
    <row r="646" spans="1:4" x14ac:dyDescent="0.3">
      <c r="A646" s="61" t="s">
        <v>34</v>
      </c>
      <c r="B646" s="61"/>
      <c r="C646" s="16">
        <v>46176</v>
      </c>
      <c r="D646">
        <v>345</v>
      </c>
    </row>
    <row r="647" spans="1:4" x14ac:dyDescent="0.3">
      <c r="A647" s="61" t="s">
        <v>35</v>
      </c>
      <c r="B647" s="61"/>
      <c r="C647" s="16">
        <v>46176</v>
      </c>
      <c r="D647">
        <v>3514.8900000000012</v>
      </c>
    </row>
    <row r="648" spans="1:4" x14ac:dyDescent="0.3">
      <c r="A648" s="61" t="s">
        <v>17</v>
      </c>
      <c r="B648" s="61"/>
      <c r="C648" s="16">
        <v>46177</v>
      </c>
      <c r="D648">
        <v>733394.14000000013</v>
      </c>
    </row>
    <row r="649" spans="1:4" x14ac:dyDescent="0.3">
      <c r="A649" s="61" t="s">
        <v>18</v>
      </c>
      <c r="B649" s="61"/>
      <c r="C649" s="16">
        <v>46177</v>
      </c>
      <c r="D649">
        <v>69376.390000000174</v>
      </c>
    </row>
    <row r="650" spans="1:4" x14ac:dyDescent="0.3">
      <c r="A650" s="61" t="s">
        <v>19</v>
      </c>
      <c r="B650" s="61"/>
      <c r="C650" s="16">
        <v>46177</v>
      </c>
      <c r="D650">
        <v>1669.89</v>
      </c>
    </row>
    <row r="651" spans="1:4" x14ac:dyDescent="0.3">
      <c r="A651" s="61" t="s">
        <v>20</v>
      </c>
      <c r="B651" s="61"/>
      <c r="C651" s="16">
        <v>46177</v>
      </c>
      <c r="D651">
        <v>729545.23999999987</v>
      </c>
    </row>
    <row r="652" spans="1:4" x14ac:dyDescent="0.3">
      <c r="A652" s="61" t="s">
        <v>21</v>
      </c>
      <c r="B652" s="61"/>
      <c r="C652" s="16">
        <v>46177</v>
      </c>
      <c r="D652">
        <v>1171714.4499999993</v>
      </c>
    </row>
    <row r="653" spans="1:4" x14ac:dyDescent="0.3">
      <c r="A653" s="61" t="s">
        <v>22</v>
      </c>
      <c r="B653" s="61"/>
      <c r="C653" s="16">
        <v>46177</v>
      </c>
      <c r="D653">
        <v>116496.38</v>
      </c>
    </row>
    <row r="654" spans="1:4" x14ac:dyDescent="0.3">
      <c r="A654" s="61" t="s">
        <v>23</v>
      </c>
      <c r="B654" s="61"/>
      <c r="C654" s="16">
        <v>46177</v>
      </c>
      <c r="D654">
        <v>88090.37</v>
      </c>
    </row>
    <row r="655" spans="1:4" x14ac:dyDescent="0.3">
      <c r="A655" s="61" t="s">
        <v>24</v>
      </c>
      <c r="B655" s="61"/>
      <c r="C655" s="16">
        <v>46177</v>
      </c>
      <c r="D655">
        <v>1227.9699999999998</v>
      </c>
    </row>
    <row r="656" spans="1:4" x14ac:dyDescent="0.3">
      <c r="A656" s="61" t="s">
        <v>25</v>
      </c>
      <c r="B656" s="61"/>
      <c r="C656" s="16">
        <v>46177</v>
      </c>
      <c r="D656">
        <v>84.35</v>
      </c>
    </row>
    <row r="657" spans="1:4" x14ac:dyDescent="0.3">
      <c r="A657" s="61" t="s">
        <v>26</v>
      </c>
      <c r="B657" s="61"/>
      <c r="C657" s="16">
        <v>46177</v>
      </c>
      <c r="D657">
        <v>2237.77</v>
      </c>
    </row>
    <row r="658" spans="1:4" x14ac:dyDescent="0.3">
      <c r="A658" s="61" t="s">
        <v>27</v>
      </c>
      <c r="B658" s="61"/>
      <c r="C658" s="16">
        <v>46177</v>
      </c>
      <c r="D658">
        <v>3349.94</v>
      </c>
    </row>
    <row r="659" spans="1:4" x14ac:dyDescent="0.3">
      <c r="A659" s="61" t="s">
        <v>28</v>
      </c>
      <c r="B659" s="61"/>
      <c r="C659" s="16">
        <v>46177</v>
      </c>
      <c r="D659">
        <v>1968.99</v>
      </c>
    </row>
    <row r="660" spans="1:4" x14ac:dyDescent="0.3">
      <c r="A660" s="61" t="s">
        <v>29</v>
      </c>
      <c r="B660" s="61"/>
      <c r="C660" s="16">
        <v>46177</v>
      </c>
      <c r="D660">
        <v>382.69000000000005</v>
      </c>
    </row>
    <row r="661" spans="1:4" x14ac:dyDescent="0.3">
      <c r="A661" s="61" t="s">
        <v>30</v>
      </c>
      <c r="B661" s="61"/>
      <c r="C661" s="16">
        <v>46177</v>
      </c>
      <c r="D661">
        <v>1428.08</v>
      </c>
    </row>
    <row r="662" spans="1:4" x14ac:dyDescent="0.3">
      <c r="A662" s="61" t="s">
        <v>31</v>
      </c>
      <c r="B662" s="61"/>
      <c r="C662" s="16">
        <v>46177</v>
      </c>
      <c r="D662">
        <v>25789.969999999961</v>
      </c>
    </row>
    <row r="663" spans="1:4" x14ac:dyDescent="0.3">
      <c r="A663" s="61" t="s">
        <v>32</v>
      </c>
      <c r="B663" s="61"/>
      <c r="C663" s="16">
        <v>46177</v>
      </c>
      <c r="D663">
        <v>5321.4300000000021</v>
      </c>
    </row>
    <row r="664" spans="1:4" x14ac:dyDescent="0.3">
      <c r="A664" s="61" t="s">
        <v>33</v>
      </c>
      <c r="B664" s="61"/>
      <c r="C664" s="16">
        <v>46177</v>
      </c>
      <c r="D664">
        <v>24833.23</v>
      </c>
    </row>
    <row r="665" spans="1:4" x14ac:dyDescent="0.3">
      <c r="A665" s="61" t="s">
        <v>34</v>
      </c>
      <c r="B665" s="61"/>
      <c r="C665" s="16">
        <v>46177</v>
      </c>
      <c r="D665">
        <v>345</v>
      </c>
    </row>
    <row r="666" spans="1:4" x14ac:dyDescent="0.3">
      <c r="A666" s="61" t="s">
        <v>35</v>
      </c>
      <c r="B666" s="61"/>
      <c r="C666" s="16">
        <v>46177</v>
      </c>
      <c r="D666">
        <v>2422.7400000000016</v>
      </c>
    </row>
    <row r="667" spans="1:4" x14ac:dyDescent="0.3">
      <c r="A667" s="61" t="s">
        <v>17</v>
      </c>
      <c r="B667" s="61"/>
      <c r="C667" s="16">
        <v>46178</v>
      </c>
      <c r="D667">
        <v>733394.14000000013</v>
      </c>
    </row>
    <row r="668" spans="1:4" x14ac:dyDescent="0.3">
      <c r="A668" s="61" t="s">
        <v>18</v>
      </c>
      <c r="B668" s="61"/>
      <c r="C668" s="16">
        <v>46178</v>
      </c>
      <c r="D668">
        <v>69376.390000000174</v>
      </c>
    </row>
    <row r="669" spans="1:4" x14ac:dyDescent="0.3">
      <c r="A669" s="61" t="s">
        <v>19</v>
      </c>
      <c r="B669" s="61"/>
      <c r="C669" s="16">
        <v>46178</v>
      </c>
      <c r="D669">
        <v>1669.89</v>
      </c>
    </row>
    <row r="670" spans="1:4" x14ac:dyDescent="0.3">
      <c r="A670" s="61" t="s">
        <v>20</v>
      </c>
      <c r="B670" s="61"/>
      <c r="C670" s="16">
        <v>46178</v>
      </c>
      <c r="D670">
        <v>729545.23999999987</v>
      </c>
    </row>
    <row r="671" spans="1:4" x14ac:dyDescent="0.3">
      <c r="A671" s="61" t="s">
        <v>21</v>
      </c>
      <c r="B671" s="61"/>
      <c r="C671" s="16">
        <v>46178</v>
      </c>
      <c r="D671">
        <v>1164028.3199999994</v>
      </c>
    </row>
    <row r="672" spans="1:4" x14ac:dyDescent="0.3">
      <c r="A672" s="61" t="s">
        <v>22</v>
      </c>
      <c r="B672" s="61"/>
      <c r="C672" s="16">
        <v>46178</v>
      </c>
      <c r="D672">
        <v>116496.38</v>
      </c>
    </row>
    <row r="673" spans="1:4" x14ac:dyDescent="0.3">
      <c r="A673" s="61" t="s">
        <v>23</v>
      </c>
      <c r="B673" s="61"/>
      <c r="C673" s="16">
        <v>46178</v>
      </c>
      <c r="D673">
        <v>88090.37</v>
      </c>
    </row>
    <row r="674" spans="1:4" x14ac:dyDescent="0.3">
      <c r="A674" s="61" t="s">
        <v>24</v>
      </c>
      <c r="B674" s="61"/>
      <c r="C674" s="16">
        <v>46178</v>
      </c>
      <c r="D674">
        <v>1227.9699999999998</v>
      </c>
    </row>
    <row r="675" spans="1:4" x14ac:dyDescent="0.3">
      <c r="A675" s="61" t="s">
        <v>25</v>
      </c>
      <c r="B675" s="61"/>
      <c r="C675" s="16">
        <v>46178</v>
      </c>
      <c r="D675">
        <v>84.35</v>
      </c>
    </row>
    <row r="676" spans="1:4" x14ac:dyDescent="0.3">
      <c r="A676" s="61" t="s">
        <v>26</v>
      </c>
      <c r="B676" s="61"/>
      <c r="C676" s="16">
        <v>46178</v>
      </c>
      <c r="D676">
        <v>2237.77</v>
      </c>
    </row>
    <row r="677" spans="1:4" x14ac:dyDescent="0.3">
      <c r="A677" s="61" t="s">
        <v>27</v>
      </c>
      <c r="B677" s="61"/>
      <c r="C677" s="16">
        <v>46178</v>
      </c>
      <c r="D677">
        <v>3349.94</v>
      </c>
    </row>
    <row r="678" spans="1:4" x14ac:dyDescent="0.3">
      <c r="A678" s="61" t="s">
        <v>28</v>
      </c>
      <c r="B678" s="61"/>
      <c r="C678" s="16">
        <v>46178</v>
      </c>
      <c r="D678">
        <v>1968.99</v>
      </c>
    </row>
    <row r="679" spans="1:4" x14ac:dyDescent="0.3">
      <c r="A679" s="61" t="s">
        <v>29</v>
      </c>
      <c r="B679" s="61"/>
      <c r="C679" s="16">
        <v>46178</v>
      </c>
      <c r="D679">
        <v>382.69000000000005</v>
      </c>
    </row>
    <row r="680" spans="1:4" x14ac:dyDescent="0.3">
      <c r="A680" s="61" t="s">
        <v>30</v>
      </c>
      <c r="B680" s="61"/>
      <c r="C680" s="16">
        <v>46178</v>
      </c>
      <c r="D680">
        <v>1428.08</v>
      </c>
    </row>
    <row r="681" spans="1:4" x14ac:dyDescent="0.3">
      <c r="A681" s="61" t="s">
        <v>31</v>
      </c>
      <c r="B681" s="61"/>
      <c r="C681" s="16">
        <v>46178</v>
      </c>
      <c r="D681">
        <v>25789.969999999961</v>
      </c>
    </row>
    <row r="682" spans="1:4" x14ac:dyDescent="0.3">
      <c r="A682" s="61" t="s">
        <v>32</v>
      </c>
      <c r="B682" s="61"/>
      <c r="C682" s="16">
        <v>46178</v>
      </c>
      <c r="D682">
        <v>5321.4300000000021</v>
      </c>
    </row>
    <row r="683" spans="1:4" x14ac:dyDescent="0.3">
      <c r="A683" s="61" t="s">
        <v>33</v>
      </c>
      <c r="B683" s="61"/>
      <c r="C683" s="16">
        <v>46178</v>
      </c>
      <c r="D683">
        <v>24833.23</v>
      </c>
    </row>
    <row r="684" spans="1:4" x14ac:dyDescent="0.3">
      <c r="A684" s="61" t="s">
        <v>34</v>
      </c>
      <c r="B684" s="61"/>
      <c r="C684" s="16">
        <v>46178</v>
      </c>
      <c r="D684">
        <v>345</v>
      </c>
    </row>
    <row r="685" spans="1:4" x14ac:dyDescent="0.3">
      <c r="A685" s="61" t="s">
        <v>35</v>
      </c>
      <c r="B685" s="61"/>
      <c r="C685" s="16">
        <v>46178</v>
      </c>
      <c r="D685">
        <v>2422.7400000000016</v>
      </c>
    </row>
    <row r="686" spans="1:4" x14ac:dyDescent="0.3">
      <c r="A686" s="61" t="s">
        <v>17</v>
      </c>
      <c r="B686" s="61"/>
      <c r="C686" s="16">
        <v>46179</v>
      </c>
      <c r="D686">
        <v>733394.14000000013</v>
      </c>
    </row>
    <row r="687" spans="1:4" x14ac:dyDescent="0.3">
      <c r="A687" s="61" t="s">
        <v>18</v>
      </c>
      <c r="B687" s="61"/>
      <c r="C687" s="16">
        <v>46179</v>
      </c>
      <c r="D687">
        <v>69376.390000000174</v>
      </c>
    </row>
    <row r="688" spans="1:4" x14ac:dyDescent="0.3">
      <c r="A688" s="61" t="s">
        <v>19</v>
      </c>
      <c r="B688" s="61"/>
      <c r="C688" s="16">
        <v>46179</v>
      </c>
      <c r="D688">
        <v>1669.89</v>
      </c>
    </row>
    <row r="689" spans="1:4" x14ac:dyDescent="0.3">
      <c r="A689" s="61" t="s">
        <v>20</v>
      </c>
      <c r="B689" s="61"/>
      <c r="C689" s="16">
        <v>46179</v>
      </c>
      <c r="D689">
        <v>729545.23999999987</v>
      </c>
    </row>
    <row r="690" spans="1:4" x14ac:dyDescent="0.3">
      <c r="A690" s="61" t="s">
        <v>21</v>
      </c>
      <c r="B690" s="61"/>
      <c r="C690" s="16">
        <v>46179</v>
      </c>
      <c r="D690">
        <v>1164028.3199999994</v>
      </c>
    </row>
    <row r="691" spans="1:4" x14ac:dyDescent="0.3">
      <c r="A691" s="61" t="s">
        <v>22</v>
      </c>
      <c r="B691" s="61"/>
      <c r="C691" s="16">
        <v>46179</v>
      </c>
      <c r="D691">
        <v>116496.38</v>
      </c>
    </row>
    <row r="692" spans="1:4" x14ac:dyDescent="0.3">
      <c r="A692" s="61" t="s">
        <v>23</v>
      </c>
      <c r="B692" s="61"/>
      <c r="C692" s="16">
        <v>46179</v>
      </c>
      <c r="D692">
        <v>88090.37</v>
      </c>
    </row>
    <row r="693" spans="1:4" x14ac:dyDescent="0.3">
      <c r="A693" s="61" t="s">
        <v>24</v>
      </c>
      <c r="B693" s="61"/>
      <c r="C693" s="16">
        <v>46179</v>
      </c>
      <c r="D693">
        <v>1227.9699999999998</v>
      </c>
    </row>
    <row r="694" spans="1:4" x14ac:dyDescent="0.3">
      <c r="A694" s="61" t="s">
        <v>25</v>
      </c>
      <c r="B694" s="61"/>
      <c r="C694" s="16">
        <v>46179</v>
      </c>
      <c r="D694">
        <v>84.35</v>
      </c>
    </row>
    <row r="695" spans="1:4" x14ac:dyDescent="0.3">
      <c r="A695" s="61" t="s">
        <v>26</v>
      </c>
      <c r="B695" s="61"/>
      <c r="C695" s="16">
        <v>46179</v>
      </c>
      <c r="D695">
        <v>2237.77</v>
      </c>
    </row>
    <row r="696" spans="1:4" x14ac:dyDescent="0.3">
      <c r="A696" s="61" t="s">
        <v>27</v>
      </c>
      <c r="B696" s="61"/>
      <c r="C696" s="16">
        <v>46179</v>
      </c>
      <c r="D696">
        <v>3349.94</v>
      </c>
    </row>
    <row r="697" spans="1:4" x14ac:dyDescent="0.3">
      <c r="A697" s="61" t="s">
        <v>28</v>
      </c>
      <c r="B697" s="61"/>
      <c r="C697" s="16">
        <v>46179</v>
      </c>
      <c r="D697">
        <v>1968.99</v>
      </c>
    </row>
    <row r="698" spans="1:4" x14ac:dyDescent="0.3">
      <c r="A698" s="61" t="s">
        <v>29</v>
      </c>
      <c r="B698" s="61"/>
      <c r="C698" s="16">
        <v>46179</v>
      </c>
      <c r="D698">
        <v>382.69000000000005</v>
      </c>
    </row>
    <row r="699" spans="1:4" x14ac:dyDescent="0.3">
      <c r="A699" s="61" t="s">
        <v>30</v>
      </c>
      <c r="B699" s="61"/>
      <c r="C699" s="16">
        <v>46179</v>
      </c>
      <c r="D699">
        <v>1428.08</v>
      </c>
    </row>
    <row r="700" spans="1:4" x14ac:dyDescent="0.3">
      <c r="A700" s="61" t="s">
        <v>31</v>
      </c>
      <c r="B700" s="61"/>
      <c r="C700" s="16">
        <v>46179</v>
      </c>
      <c r="D700">
        <v>25789.969999999961</v>
      </c>
    </row>
    <row r="701" spans="1:4" x14ac:dyDescent="0.3">
      <c r="A701" s="61" t="s">
        <v>32</v>
      </c>
      <c r="B701" s="61"/>
      <c r="C701" s="16">
        <v>46179</v>
      </c>
      <c r="D701">
        <v>5321.4300000000021</v>
      </c>
    </row>
    <row r="702" spans="1:4" x14ac:dyDescent="0.3">
      <c r="A702" s="61" t="s">
        <v>33</v>
      </c>
      <c r="B702" s="61"/>
      <c r="C702" s="16">
        <v>46179</v>
      </c>
      <c r="D702">
        <v>24833.23</v>
      </c>
    </row>
    <row r="703" spans="1:4" x14ac:dyDescent="0.3">
      <c r="A703" s="61" t="s">
        <v>34</v>
      </c>
      <c r="B703" s="61"/>
      <c r="C703" s="16">
        <v>46179</v>
      </c>
      <c r="D703">
        <v>345</v>
      </c>
    </row>
    <row r="704" spans="1:4" x14ac:dyDescent="0.3">
      <c r="A704" s="61" t="s">
        <v>35</v>
      </c>
      <c r="B704" s="61"/>
      <c r="C704" s="16">
        <v>46179</v>
      </c>
      <c r="D704">
        <v>2422.7400000000016</v>
      </c>
    </row>
    <row r="705" spans="1:4" x14ac:dyDescent="0.3">
      <c r="A705" s="61" t="s">
        <v>17</v>
      </c>
      <c r="B705" s="61"/>
      <c r="C705" s="16">
        <v>46180</v>
      </c>
      <c r="D705">
        <v>733394.14000000013</v>
      </c>
    </row>
    <row r="706" spans="1:4" x14ac:dyDescent="0.3">
      <c r="A706" s="61" t="s">
        <v>18</v>
      </c>
      <c r="B706" s="61"/>
      <c r="C706" s="16">
        <v>46180</v>
      </c>
      <c r="D706">
        <v>69376.390000000174</v>
      </c>
    </row>
    <row r="707" spans="1:4" x14ac:dyDescent="0.3">
      <c r="A707" s="61" t="s">
        <v>19</v>
      </c>
      <c r="B707" s="61"/>
      <c r="C707" s="16">
        <v>46180</v>
      </c>
      <c r="D707">
        <v>1669.89</v>
      </c>
    </row>
    <row r="708" spans="1:4" x14ac:dyDescent="0.3">
      <c r="A708" s="61" t="s">
        <v>20</v>
      </c>
      <c r="B708" s="61"/>
      <c r="C708" s="16">
        <v>46180</v>
      </c>
      <c r="D708">
        <v>729545.23999999987</v>
      </c>
    </row>
    <row r="709" spans="1:4" x14ac:dyDescent="0.3">
      <c r="A709" s="61" t="s">
        <v>21</v>
      </c>
      <c r="B709" s="61"/>
      <c r="C709" s="16">
        <v>46180</v>
      </c>
      <c r="D709">
        <v>1164028.3199999994</v>
      </c>
    </row>
    <row r="710" spans="1:4" x14ac:dyDescent="0.3">
      <c r="A710" s="61" t="s">
        <v>22</v>
      </c>
      <c r="B710" s="61"/>
      <c r="C710" s="16">
        <v>46180</v>
      </c>
      <c r="D710">
        <v>116496.38</v>
      </c>
    </row>
    <row r="711" spans="1:4" x14ac:dyDescent="0.3">
      <c r="A711" s="61" t="s">
        <v>23</v>
      </c>
      <c r="B711" s="61"/>
      <c r="C711" s="16">
        <v>46180</v>
      </c>
      <c r="D711">
        <v>88090.37</v>
      </c>
    </row>
    <row r="712" spans="1:4" x14ac:dyDescent="0.3">
      <c r="A712" s="61" t="s">
        <v>24</v>
      </c>
      <c r="B712" s="61"/>
      <c r="C712" s="16">
        <v>46180</v>
      </c>
      <c r="D712">
        <v>1227.9699999999998</v>
      </c>
    </row>
    <row r="713" spans="1:4" x14ac:dyDescent="0.3">
      <c r="A713" s="61" t="s">
        <v>25</v>
      </c>
      <c r="B713" s="61"/>
      <c r="C713" s="16">
        <v>46180</v>
      </c>
      <c r="D713">
        <v>84.35</v>
      </c>
    </row>
    <row r="714" spans="1:4" x14ac:dyDescent="0.3">
      <c r="A714" s="61" t="s">
        <v>26</v>
      </c>
      <c r="B714" s="61"/>
      <c r="C714" s="16">
        <v>46180</v>
      </c>
      <c r="D714">
        <v>2237.77</v>
      </c>
    </row>
    <row r="715" spans="1:4" x14ac:dyDescent="0.3">
      <c r="A715" s="61" t="s">
        <v>27</v>
      </c>
      <c r="B715" s="61"/>
      <c r="C715" s="16">
        <v>46180</v>
      </c>
      <c r="D715">
        <v>3349.94</v>
      </c>
    </row>
    <row r="716" spans="1:4" x14ac:dyDescent="0.3">
      <c r="A716" s="61" t="s">
        <v>28</v>
      </c>
      <c r="B716" s="61"/>
      <c r="C716" s="16">
        <v>46180</v>
      </c>
      <c r="D716">
        <v>1968.99</v>
      </c>
    </row>
    <row r="717" spans="1:4" x14ac:dyDescent="0.3">
      <c r="A717" s="61" t="s">
        <v>29</v>
      </c>
      <c r="B717" s="61"/>
      <c r="C717" s="16">
        <v>46180</v>
      </c>
      <c r="D717">
        <v>382.69000000000005</v>
      </c>
    </row>
    <row r="718" spans="1:4" x14ac:dyDescent="0.3">
      <c r="A718" s="61" t="s">
        <v>30</v>
      </c>
      <c r="B718" s="61"/>
      <c r="C718" s="16">
        <v>46180</v>
      </c>
      <c r="D718">
        <v>1428.08</v>
      </c>
    </row>
    <row r="719" spans="1:4" x14ac:dyDescent="0.3">
      <c r="A719" s="61" t="s">
        <v>31</v>
      </c>
      <c r="B719" s="61"/>
      <c r="C719" s="16">
        <v>46180</v>
      </c>
      <c r="D719">
        <v>25789.969999999961</v>
      </c>
    </row>
    <row r="720" spans="1:4" x14ac:dyDescent="0.3">
      <c r="A720" s="61" t="s">
        <v>32</v>
      </c>
      <c r="B720" s="61"/>
      <c r="C720" s="16">
        <v>46180</v>
      </c>
      <c r="D720">
        <v>5321.4300000000021</v>
      </c>
    </row>
    <row r="721" spans="1:4" x14ac:dyDescent="0.3">
      <c r="A721" s="61" t="s">
        <v>33</v>
      </c>
      <c r="B721" s="61"/>
      <c r="C721" s="16">
        <v>46180</v>
      </c>
      <c r="D721">
        <v>24833.23</v>
      </c>
    </row>
    <row r="722" spans="1:4" x14ac:dyDescent="0.3">
      <c r="A722" s="61" t="s">
        <v>34</v>
      </c>
      <c r="B722" s="61"/>
      <c r="C722" s="16">
        <v>46180</v>
      </c>
      <c r="D722">
        <v>345</v>
      </c>
    </row>
    <row r="723" spans="1:4" x14ac:dyDescent="0.3">
      <c r="A723" s="61" t="s">
        <v>35</v>
      </c>
      <c r="B723" s="61"/>
      <c r="C723" s="16">
        <v>46180</v>
      </c>
      <c r="D723">
        <v>2422.7400000000016</v>
      </c>
    </row>
    <row r="724" spans="1:4" x14ac:dyDescent="0.3">
      <c r="A724" s="61" t="s">
        <v>17</v>
      </c>
      <c r="B724" s="61"/>
      <c r="C724" s="16">
        <v>46181</v>
      </c>
      <c r="D724">
        <v>733394.14000000013</v>
      </c>
    </row>
    <row r="725" spans="1:4" x14ac:dyDescent="0.3">
      <c r="A725" s="61" t="s">
        <v>18</v>
      </c>
      <c r="B725" s="61"/>
      <c r="C725" s="16">
        <v>46181</v>
      </c>
      <c r="D725">
        <v>69376.390000000174</v>
      </c>
    </row>
    <row r="726" spans="1:4" x14ac:dyDescent="0.3">
      <c r="A726" s="61" t="s">
        <v>19</v>
      </c>
      <c r="B726" s="61"/>
      <c r="C726" s="16">
        <v>46181</v>
      </c>
      <c r="D726">
        <v>1669.89</v>
      </c>
    </row>
    <row r="727" spans="1:4" x14ac:dyDescent="0.3">
      <c r="A727" s="61" t="s">
        <v>20</v>
      </c>
      <c r="B727" s="61"/>
      <c r="C727" s="16">
        <v>46181</v>
      </c>
      <c r="D727">
        <v>729545.23999999987</v>
      </c>
    </row>
    <row r="728" spans="1:4" x14ac:dyDescent="0.3">
      <c r="A728" s="61" t="s">
        <v>21</v>
      </c>
      <c r="B728" s="61"/>
      <c r="C728" s="16">
        <v>46181</v>
      </c>
      <c r="D728">
        <v>1164028.3199999994</v>
      </c>
    </row>
    <row r="729" spans="1:4" x14ac:dyDescent="0.3">
      <c r="A729" s="61" t="s">
        <v>22</v>
      </c>
      <c r="B729" s="61"/>
      <c r="C729" s="16">
        <v>46181</v>
      </c>
      <c r="D729">
        <v>116496.38</v>
      </c>
    </row>
    <row r="730" spans="1:4" x14ac:dyDescent="0.3">
      <c r="A730" s="61" t="s">
        <v>23</v>
      </c>
      <c r="B730" s="61"/>
      <c r="C730" s="16">
        <v>46181</v>
      </c>
      <c r="D730">
        <v>88090.37</v>
      </c>
    </row>
    <row r="731" spans="1:4" x14ac:dyDescent="0.3">
      <c r="A731" s="61" t="s">
        <v>24</v>
      </c>
      <c r="B731" s="61"/>
      <c r="C731" s="16">
        <v>46181</v>
      </c>
      <c r="D731">
        <v>1227.9699999999998</v>
      </c>
    </row>
    <row r="732" spans="1:4" x14ac:dyDescent="0.3">
      <c r="A732" s="61" t="s">
        <v>25</v>
      </c>
      <c r="B732" s="61"/>
      <c r="C732" s="16">
        <v>46181</v>
      </c>
      <c r="D732">
        <v>84.35</v>
      </c>
    </row>
    <row r="733" spans="1:4" x14ac:dyDescent="0.3">
      <c r="A733" s="61" t="s">
        <v>26</v>
      </c>
      <c r="B733" s="61"/>
      <c r="C733" s="16">
        <v>46181</v>
      </c>
      <c r="D733">
        <v>2237.77</v>
      </c>
    </row>
    <row r="734" spans="1:4" x14ac:dyDescent="0.3">
      <c r="A734" s="61" t="s">
        <v>27</v>
      </c>
      <c r="B734" s="61"/>
      <c r="C734" s="16">
        <v>46181</v>
      </c>
      <c r="D734">
        <v>3349.94</v>
      </c>
    </row>
    <row r="735" spans="1:4" x14ac:dyDescent="0.3">
      <c r="A735" s="61" t="s">
        <v>28</v>
      </c>
      <c r="B735" s="61"/>
      <c r="C735" s="16">
        <v>46181</v>
      </c>
      <c r="D735">
        <v>1968.99</v>
      </c>
    </row>
    <row r="736" spans="1:4" x14ac:dyDescent="0.3">
      <c r="A736" s="61" t="s">
        <v>29</v>
      </c>
      <c r="B736" s="61"/>
      <c r="C736" s="16">
        <v>46181</v>
      </c>
      <c r="D736">
        <v>382.69000000000005</v>
      </c>
    </row>
    <row r="737" spans="1:4" x14ac:dyDescent="0.3">
      <c r="A737" s="61" t="s">
        <v>30</v>
      </c>
      <c r="B737" s="61"/>
      <c r="C737" s="16">
        <v>46181</v>
      </c>
      <c r="D737">
        <v>1428.08</v>
      </c>
    </row>
    <row r="738" spans="1:4" x14ac:dyDescent="0.3">
      <c r="A738" s="61" t="s">
        <v>31</v>
      </c>
      <c r="B738" s="61"/>
      <c r="C738" s="16">
        <v>46181</v>
      </c>
      <c r="D738">
        <v>25789.969999999961</v>
      </c>
    </row>
    <row r="739" spans="1:4" x14ac:dyDescent="0.3">
      <c r="A739" s="61" t="s">
        <v>32</v>
      </c>
      <c r="B739" s="61"/>
      <c r="C739" s="16">
        <v>46181</v>
      </c>
      <c r="D739">
        <v>5321.4300000000021</v>
      </c>
    </row>
    <row r="740" spans="1:4" x14ac:dyDescent="0.3">
      <c r="A740" s="61" t="s">
        <v>33</v>
      </c>
      <c r="B740" s="61"/>
      <c r="C740" s="16">
        <v>46181</v>
      </c>
      <c r="D740">
        <v>24833.23</v>
      </c>
    </row>
    <row r="741" spans="1:4" x14ac:dyDescent="0.3">
      <c r="A741" s="61" t="s">
        <v>34</v>
      </c>
      <c r="B741" s="61"/>
      <c r="C741" s="16">
        <v>46181</v>
      </c>
      <c r="D741">
        <v>345</v>
      </c>
    </row>
    <row r="742" spans="1:4" x14ac:dyDescent="0.3">
      <c r="A742" s="61" t="s">
        <v>35</v>
      </c>
      <c r="B742" s="61"/>
      <c r="C742" s="16">
        <v>46181</v>
      </c>
      <c r="D742">
        <v>1451.1500000000015</v>
      </c>
    </row>
    <row r="743" spans="1:4" x14ac:dyDescent="0.3">
      <c r="A743" s="61" t="s">
        <v>17</v>
      </c>
      <c r="B743" s="61"/>
      <c r="C743" s="16">
        <v>46182</v>
      </c>
      <c r="D743">
        <v>847381.29000000015</v>
      </c>
    </row>
    <row r="744" spans="1:4" x14ac:dyDescent="0.3">
      <c r="A744" s="61" t="s">
        <v>18</v>
      </c>
      <c r="B744" s="61"/>
      <c r="C744" s="16">
        <v>46182</v>
      </c>
      <c r="D744">
        <v>69376.390000000174</v>
      </c>
    </row>
    <row r="745" spans="1:4" x14ac:dyDescent="0.3">
      <c r="A745" s="61" t="s">
        <v>19</v>
      </c>
      <c r="B745" s="61"/>
      <c r="C745" s="16">
        <v>46182</v>
      </c>
      <c r="D745">
        <v>1669.89</v>
      </c>
    </row>
    <row r="746" spans="1:4" x14ac:dyDescent="0.3">
      <c r="A746" s="61" t="s">
        <v>20</v>
      </c>
      <c r="B746" s="61"/>
      <c r="C746" s="16">
        <v>46182</v>
      </c>
      <c r="D746">
        <v>729545.23999999987</v>
      </c>
    </row>
    <row r="747" spans="1:4" x14ac:dyDescent="0.3">
      <c r="A747" s="61" t="s">
        <v>21</v>
      </c>
      <c r="B747" s="61"/>
      <c r="C747" s="16">
        <v>46182</v>
      </c>
      <c r="D747">
        <v>1160274.0499999993</v>
      </c>
    </row>
    <row r="748" spans="1:4" x14ac:dyDescent="0.3">
      <c r="A748" s="61" t="s">
        <v>22</v>
      </c>
      <c r="B748" s="61"/>
      <c r="C748" s="16">
        <v>46182</v>
      </c>
      <c r="D748">
        <v>116496.38</v>
      </c>
    </row>
    <row r="749" spans="1:4" x14ac:dyDescent="0.3">
      <c r="A749" s="61" t="s">
        <v>23</v>
      </c>
      <c r="B749" s="61"/>
      <c r="C749" s="16">
        <v>46182</v>
      </c>
      <c r="D749">
        <v>88090.37</v>
      </c>
    </row>
    <row r="750" spans="1:4" x14ac:dyDescent="0.3">
      <c r="A750" s="61" t="s">
        <v>24</v>
      </c>
      <c r="B750" s="61"/>
      <c r="C750" s="16">
        <v>46182</v>
      </c>
      <c r="D750">
        <v>1227.9699999999998</v>
      </c>
    </row>
    <row r="751" spans="1:4" x14ac:dyDescent="0.3">
      <c r="A751" s="61" t="s">
        <v>25</v>
      </c>
      <c r="B751" s="61"/>
      <c r="C751" s="16">
        <v>46182</v>
      </c>
      <c r="D751">
        <v>84.35</v>
      </c>
    </row>
    <row r="752" spans="1:4" x14ac:dyDescent="0.3">
      <c r="A752" s="61" t="s">
        <v>26</v>
      </c>
      <c r="B752" s="61"/>
      <c r="C752" s="16">
        <v>46182</v>
      </c>
      <c r="D752">
        <v>2237.77</v>
      </c>
    </row>
    <row r="753" spans="1:4" x14ac:dyDescent="0.3">
      <c r="A753" s="61" t="s">
        <v>27</v>
      </c>
      <c r="B753" s="61"/>
      <c r="C753" s="16">
        <v>46182</v>
      </c>
      <c r="D753">
        <v>3349.94</v>
      </c>
    </row>
    <row r="754" spans="1:4" x14ac:dyDescent="0.3">
      <c r="A754" s="61" t="s">
        <v>28</v>
      </c>
      <c r="B754" s="61"/>
      <c r="C754" s="16">
        <v>46182</v>
      </c>
      <c r="D754">
        <v>1968.99</v>
      </c>
    </row>
    <row r="755" spans="1:4" x14ac:dyDescent="0.3">
      <c r="A755" s="61" t="s">
        <v>29</v>
      </c>
      <c r="B755" s="61"/>
      <c r="C755" s="16">
        <v>46182</v>
      </c>
      <c r="D755">
        <v>382.69000000000005</v>
      </c>
    </row>
    <row r="756" spans="1:4" x14ac:dyDescent="0.3">
      <c r="A756" s="61" t="s">
        <v>30</v>
      </c>
      <c r="B756" s="61"/>
      <c r="C756" s="16">
        <v>46182</v>
      </c>
      <c r="D756">
        <v>1428.08</v>
      </c>
    </row>
    <row r="757" spans="1:4" x14ac:dyDescent="0.3">
      <c r="A757" s="61" t="s">
        <v>31</v>
      </c>
      <c r="B757" s="61"/>
      <c r="C757" s="16">
        <v>46182</v>
      </c>
      <c r="D757">
        <v>25789.969999999961</v>
      </c>
    </row>
    <row r="758" spans="1:4" x14ac:dyDescent="0.3">
      <c r="A758" s="61" t="s">
        <v>32</v>
      </c>
      <c r="B758" s="61"/>
      <c r="C758" s="16">
        <v>46182</v>
      </c>
      <c r="D758">
        <v>5321.4300000000021</v>
      </c>
    </row>
    <row r="759" spans="1:4" x14ac:dyDescent="0.3">
      <c r="A759" s="61" t="s">
        <v>33</v>
      </c>
      <c r="B759" s="61"/>
      <c r="C759" s="16">
        <v>46182</v>
      </c>
      <c r="D759">
        <v>24833.23</v>
      </c>
    </row>
    <row r="760" spans="1:4" x14ac:dyDescent="0.3">
      <c r="A760" s="61" t="s">
        <v>34</v>
      </c>
      <c r="B760" s="61"/>
      <c r="C760" s="16">
        <v>46182</v>
      </c>
      <c r="D760">
        <v>345</v>
      </c>
    </row>
    <row r="761" spans="1:4" x14ac:dyDescent="0.3">
      <c r="A761" s="61" t="s">
        <v>35</v>
      </c>
      <c r="B761" s="61"/>
      <c r="C761" s="16">
        <v>46182</v>
      </c>
      <c r="D761">
        <v>1289.7300000000014</v>
      </c>
    </row>
    <row r="762" spans="1:4" x14ac:dyDescent="0.3">
      <c r="A762" s="61" t="s">
        <v>17</v>
      </c>
      <c r="B762" s="61"/>
      <c r="C762" s="16">
        <v>46183</v>
      </c>
      <c r="D762">
        <v>2288745.9500000002</v>
      </c>
    </row>
    <row r="763" spans="1:4" x14ac:dyDescent="0.3">
      <c r="A763" s="61" t="s">
        <v>18</v>
      </c>
      <c r="B763" s="61"/>
      <c r="C763" s="16">
        <v>46183</v>
      </c>
      <c r="D763">
        <v>69376.390000000174</v>
      </c>
    </row>
    <row r="764" spans="1:4" x14ac:dyDescent="0.3">
      <c r="A764" s="61" t="s">
        <v>19</v>
      </c>
      <c r="B764" s="61"/>
      <c r="C764" s="16">
        <v>46183</v>
      </c>
      <c r="D764">
        <v>1669.89</v>
      </c>
    </row>
    <row r="765" spans="1:4" x14ac:dyDescent="0.3">
      <c r="A765" s="61" t="s">
        <v>20</v>
      </c>
      <c r="B765" s="61"/>
      <c r="C765" s="16">
        <v>46183</v>
      </c>
      <c r="D765">
        <v>744306.80999999982</v>
      </c>
    </row>
    <row r="766" spans="1:4" x14ac:dyDescent="0.3">
      <c r="A766" s="61" t="s">
        <v>21</v>
      </c>
      <c r="B766" s="61"/>
      <c r="C766" s="16">
        <v>46183</v>
      </c>
      <c r="D766">
        <v>1160274.0499999993</v>
      </c>
    </row>
    <row r="767" spans="1:4" x14ac:dyDescent="0.3">
      <c r="A767" s="61" t="s">
        <v>22</v>
      </c>
      <c r="B767" s="61"/>
      <c r="C767" s="16">
        <v>46183</v>
      </c>
      <c r="D767">
        <v>116496.38</v>
      </c>
    </row>
    <row r="768" spans="1:4" x14ac:dyDescent="0.3">
      <c r="A768" s="61" t="s">
        <v>23</v>
      </c>
      <c r="B768" s="61"/>
      <c r="C768" s="16">
        <v>46183</v>
      </c>
      <c r="D768">
        <v>88090.37</v>
      </c>
    </row>
    <row r="769" spans="1:4" x14ac:dyDescent="0.3">
      <c r="A769" s="61" t="s">
        <v>24</v>
      </c>
      <c r="B769" s="61"/>
      <c r="C769" s="16">
        <v>46183</v>
      </c>
      <c r="D769">
        <v>1227.9699999999998</v>
      </c>
    </row>
    <row r="770" spans="1:4" x14ac:dyDescent="0.3">
      <c r="A770" s="61" t="s">
        <v>25</v>
      </c>
      <c r="B770" s="61"/>
      <c r="C770" s="16">
        <v>46183</v>
      </c>
      <c r="D770">
        <v>84.35</v>
      </c>
    </row>
    <row r="771" spans="1:4" x14ac:dyDescent="0.3">
      <c r="A771" s="61" t="s">
        <v>26</v>
      </c>
      <c r="B771" s="61"/>
      <c r="C771" s="16">
        <v>46183</v>
      </c>
      <c r="D771">
        <v>2237.77</v>
      </c>
    </row>
    <row r="772" spans="1:4" x14ac:dyDescent="0.3">
      <c r="A772" s="61" t="s">
        <v>27</v>
      </c>
      <c r="B772" s="61"/>
      <c r="C772" s="16">
        <v>46183</v>
      </c>
      <c r="D772">
        <v>3349.94</v>
      </c>
    </row>
    <row r="773" spans="1:4" x14ac:dyDescent="0.3">
      <c r="A773" s="61" t="s">
        <v>28</v>
      </c>
      <c r="B773" s="61"/>
      <c r="C773" s="16">
        <v>46183</v>
      </c>
      <c r="D773">
        <v>1968.99</v>
      </c>
    </row>
    <row r="774" spans="1:4" x14ac:dyDescent="0.3">
      <c r="A774" s="61" t="s">
        <v>29</v>
      </c>
      <c r="B774" s="61"/>
      <c r="C774" s="16">
        <v>46183</v>
      </c>
      <c r="D774">
        <v>382.69000000000005</v>
      </c>
    </row>
    <row r="775" spans="1:4" x14ac:dyDescent="0.3">
      <c r="A775" s="61" t="s">
        <v>30</v>
      </c>
      <c r="B775" s="61"/>
      <c r="C775" s="16">
        <v>46183</v>
      </c>
      <c r="D775">
        <v>1428.08</v>
      </c>
    </row>
    <row r="776" spans="1:4" x14ac:dyDescent="0.3">
      <c r="A776" s="61" t="s">
        <v>31</v>
      </c>
      <c r="B776" s="61"/>
      <c r="C776" s="16">
        <v>46183</v>
      </c>
      <c r="D776">
        <v>25789.969999999961</v>
      </c>
    </row>
    <row r="777" spans="1:4" x14ac:dyDescent="0.3">
      <c r="A777" s="61" t="s">
        <v>32</v>
      </c>
      <c r="B777" s="61"/>
      <c r="C777" s="16">
        <v>46183</v>
      </c>
      <c r="D777">
        <v>5321.4300000000021</v>
      </c>
    </row>
    <row r="778" spans="1:4" x14ac:dyDescent="0.3">
      <c r="A778" s="61" t="s">
        <v>33</v>
      </c>
      <c r="B778" s="61"/>
      <c r="C778" s="16">
        <v>46183</v>
      </c>
      <c r="D778">
        <v>24743.98</v>
      </c>
    </row>
    <row r="779" spans="1:4" x14ac:dyDescent="0.3">
      <c r="A779" s="61" t="s">
        <v>34</v>
      </c>
      <c r="B779" s="61"/>
      <c r="C779" s="16">
        <v>46183</v>
      </c>
      <c r="D779">
        <v>345</v>
      </c>
    </row>
    <row r="780" spans="1:4" x14ac:dyDescent="0.3">
      <c r="A780" s="61" t="s">
        <v>35</v>
      </c>
      <c r="B780" s="61"/>
      <c r="C780" s="16">
        <v>46183</v>
      </c>
      <c r="D780">
        <v>1289.7300000000014</v>
      </c>
    </row>
    <row r="781" spans="1:4" x14ac:dyDescent="0.3">
      <c r="A781" s="61" t="s">
        <v>17</v>
      </c>
      <c r="B781" s="61"/>
      <c r="C781" s="16">
        <v>46184</v>
      </c>
      <c r="D781">
        <v>1837784.84</v>
      </c>
    </row>
    <row r="782" spans="1:4" x14ac:dyDescent="0.3">
      <c r="A782" s="61" t="s">
        <v>18</v>
      </c>
      <c r="B782" s="61"/>
      <c r="C782" s="16">
        <v>46184</v>
      </c>
      <c r="D782">
        <v>69376.390000000174</v>
      </c>
    </row>
    <row r="783" spans="1:4" x14ac:dyDescent="0.3">
      <c r="A783" s="61" t="s">
        <v>19</v>
      </c>
      <c r="B783" s="61"/>
      <c r="C783" s="16">
        <v>46184</v>
      </c>
      <c r="D783">
        <v>1669.89</v>
      </c>
    </row>
    <row r="784" spans="1:4" x14ac:dyDescent="0.3">
      <c r="A784" s="61" t="s">
        <v>20</v>
      </c>
      <c r="B784" s="61"/>
      <c r="C784" s="16">
        <v>46184</v>
      </c>
      <c r="D784">
        <v>564626.20999999985</v>
      </c>
    </row>
    <row r="785" spans="1:4" x14ac:dyDescent="0.3">
      <c r="A785" s="61" t="s">
        <v>21</v>
      </c>
      <c r="B785" s="61"/>
      <c r="C785" s="16">
        <v>46184</v>
      </c>
      <c r="D785">
        <v>794731.82999999926</v>
      </c>
    </row>
    <row r="786" spans="1:4" x14ac:dyDescent="0.3">
      <c r="A786" s="61" t="s">
        <v>22</v>
      </c>
      <c r="B786" s="61"/>
      <c r="C786" s="16">
        <v>46184</v>
      </c>
      <c r="D786">
        <v>116496.38</v>
      </c>
    </row>
    <row r="787" spans="1:4" x14ac:dyDescent="0.3">
      <c r="A787" s="61" t="s">
        <v>23</v>
      </c>
      <c r="B787" s="61"/>
      <c r="C787" s="16">
        <v>46184</v>
      </c>
      <c r="D787">
        <v>88090.37</v>
      </c>
    </row>
    <row r="788" spans="1:4" x14ac:dyDescent="0.3">
      <c r="A788" s="61" t="s">
        <v>24</v>
      </c>
      <c r="B788" s="61"/>
      <c r="C788" s="16">
        <v>46184</v>
      </c>
      <c r="D788">
        <v>1227.9699999999998</v>
      </c>
    </row>
    <row r="789" spans="1:4" x14ac:dyDescent="0.3">
      <c r="A789" s="61" t="s">
        <v>25</v>
      </c>
      <c r="B789" s="61"/>
      <c r="C789" s="16">
        <v>46184</v>
      </c>
      <c r="D789">
        <v>84.35</v>
      </c>
    </row>
    <row r="790" spans="1:4" x14ac:dyDescent="0.3">
      <c r="A790" s="61" t="s">
        <v>26</v>
      </c>
      <c r="B790" s="61"/>
      <c r="C790" s="16">
        <v>46184</v>
      </c>
      <c r="D790">
        <v>2237.77</v>
      </c>
    </row>
    <row r="791" spans="1:4" x14ac:dyDescent="0.3">
      <c r="A791" s="61" t="s">
        <v>27</v>
      </c>
      <c r="B791" s="61"/>
      <c r="C791" s="16">
        <v>46184</v>
      </c>
      <c r="D791">
        <v>3349.94</v>
      </c>
    </row>
    <row r="792" spans="1:4" x14ac:dyDescent="0.3">
      <c r="A792" s="61" t="s">
        <v>28</v>
      </c>
      <c r="B792" s="61"/>
      <c r="C792" s="16">
        <v>46184</v>
      </c>
      <c r="D792">
        <v>1968.99</v>
      </c>
    </row>
    <row r="793" spans="1:4" x14ac:dyDescent="0.3">
      <c r="A793" s="61" t="s">
        <v>29</v>
      </c>
      <c r="B793" s="61"/>
      <c r="C793" s="16">
        <v>46184</v>
      </c>
      <c r="D793">
        <v>382.69000000000005</v>
      </c>
    </row>
    <row r="794" spans="1:4" x14ac:dyDescent="0.3">
      <c r="A794" s="61" t="s">
        <v>30</v>
      </c>
      <c r="B794" s="61"/>
      <c r="C794" s="16">
        <v>46184</v>
      </c>
      <c r="D794">
        <v>1428.08</v>
      </c>
    </row>
    <row r="795" spans="1:4" x14ac:dyDescent="0.3">
      <c r="A795" s="61" t="s">
        <v>31</v>
      </c>
      <c r="B795" s="61"/>
      <c r="C795" s="16">
        <v>46184</v>
      </c>
      <c r="D795">
        <v>25789.969999999961</v>
      </c>
    </row>
    <row r="796" spans="1:4" x14ac:dyDescent="0.3">
      <c r="A796" s="61" t="s">
        <v>32</v>
      </c>
      <c r="B796" s="61"/>
      <c r="C796" s="16">
        <v>46184</v>
      </c>
      <c r="D796">
        <v>5321.4300000000021</v>
      </c>
    </row>
    <row r="797" spans="1:4" x14ac:dyDescent="0.3">
      <c r="A797" s="61" t="s">
        <v>33</v>
      </c>
      <c r="B797" s="61"/>
      <c r="C797" s="16">
        <v>46184</v>
      </c>
      <c r="D797">
        <v>24743.98</v>
      </c>
    </row>
    <row r="798" spans="1:4" x14ac:dyDescent="0.3">
      <c r="A798" s="61" t="s">
        <v>34</v>
      </c>
      <c r="B798" s="61"/>
      <c r="C798" s="16">
        <v>46184</v>
      </c>
      <c r="D798">
        <v>345</v>
      </c>
    </row>
    <row r="799" spans="1:4" x14ac:dyDescent="0.3">
      <c r="A799" s="61" t="s">
        <v>35</v>
      </c>
      <c r="B799" s="61"/>
      <c r="C799" s="16">
        <v>46184</v>
      </c>
      <c r="D799">
        <v>48774.73</v>
      </c>
    </row>
    <row r="800" spans="1:4" x14ac:dyDescent="0.3">
      <c r="A800" s="61" t="s">
        <v>17</v>
      </c>
      <c r="B800" s="61"/>
      <c r="C800" s="16">
        <v>46185</v>
      </c>
      <c r="D800">
        <v>1837784.84</v>
      </c>
    </row>
    <row r="801" spans="1:4" x14ac:dyDescent="0.3">
      <c r="A801" s="61" t="s">
        <v>18</v>
      </c>
      <c r="B801" s="61"/>
      <c r="C801" s="16">
        <v>46185</v>
      </c>
      <c r="D801">
        <v>69376.390000000174</v>
      </c>
    </row>
    <row r="802" spans="1:4" x14ac:dyDescent="0.3">
      <c r="A802" s="61" t="s">
        <v>19</v>
      </c>
      <c r="B802" s="61"/>
      <c r="C802" s="16">
        <v>46185</v>
      </c>
      <c r="D802">
        <v>1669.89</v>
      </c>
    </row>
    <row r="803" spans="1:4" x14ac:dyDescent="0.3">
      <c r="A803" s="61" t="s">
        <v>20</v>
      </c>
      <c r="B803" s="61"/>
      <c r="C803" s="16">
        <v>46185</v>
      </c>
      <c r="D803">
        <v>564626.20999999985</v>
      </c>
    </row>
    <row r="804" spans="1:4" x14ac:dyDescent="0.3">
      <c r="A804" s="61" t="s">
        <v>21</v>
      </c>
      <c r="B804" s="61"/>
      <c r="C804" s="16">
        <v>46185</v>
      </c>
      <c r="D804">
        <v>3763348.8299999996</v>
      </c>
    </row>
    <row r="805" spans="1:4" x14ac:dyDescent="0.3">
      <c r="A805" s="61" t="s">
        <v>22</v>
      </c>
      <c r="B805" s="61"/>
      <c r="C805" s="16">
        <v>46185</v>
      </c>
      <c r="D805">
        <v>116496.38</v>
      </c>
    </row>
    <row r="806" spans="1:4" x14ac:dyDescent="0.3">
      <c r="A806" s="61" t="s">
        <v>23</v>
      </c>
      <c r="B806" s="61"/>
      <c r="C806" s="16">
        <v>46185</v>
      </c>
      <c r="D806">
        <v>88090.37</v>
      </c>
    </row>
    <row r="807" spans="1:4" x14ac:dyDescent="0.3">
      <c r="A807" s="61" t="s">
        <v>24</v>
      </c>
      <c r="B807" s="61"/>
      <c r="C807" s="16">
        <v>46185</v>
      </c>
      <c r="D807">
        <v>1227.9699999999998</v>
      </c>
    </row>
    <row r="808" spans="1:4" x14ac:dyDescent="0.3">
      <c r="A808" s="61" t="s">
        <v>25</v>
      </c>
      <c r="B808" s="61"/>
      <c r="C808" s="16">
        <v>46185</v>
      </c>
      <c r="D808">
        <v>84.35</v>
      </c>
    </row>
    <row r="809" spans="1:4" x14ac:dyDescent="0.3">
      <c r="A809" s="61" t="s">
        <v>26</v>
      </c>
      <c r="B809" s="61"/>
      <c r="C809" s="16">
        <v>46185</v>
      </c>
      <c r="D809">
        <v>2237.77</v>
      </c>
    </row>
    <row r="810" spans="1:4" x14ac:dyDescent="0.3">
      <c r="A810" s="61" t="s">
        <v>27</v>
      </c>
      <c r="B810" s="61"/>
      <c r="C810" s="16">
        <v>46185</v>
      </c>
      <c r="D810">
        <v>3349.94</v>
      </c>
    </row>
    <row r="811" spans="1:4" x14ac:dyDescent="0.3">
      <c r="A811" s="61" t="s">
        <v>28</v>
      </c>
      <c r="B811" s="61"/>
      <c r="C811" s="16">
        <v>46185</v>
      </c>
      <c r="D811">
        <v>1968.99</v>
      </c>
    </row>
    <row r="812" spans="1:4" x14ac:dyDescent="0.3">
      <c r="A812" s="61" t="s">
        <v>29</v>
      </c>
      <c r="B812" s="61"/>
      <c r="C812" s="16">
        <v>46185</v>
      </c>
      <c r="D812">
        <v>382.69000000000005</v>
      </c>
    </row>
    <row r="813" spans="1:4" x14ac:dyDescent="0.3">
      <c r="A813" s="61" t="s">
        <v>30</v>
      </c>
      <c r="B813" s="61"/>
      <c r="C813" s="16">
        <v>46185</v>
      </c>
      <c r="D813">
        <v>1428.08</v>
      </c>
    </row>
    <row r="814" spans="1:4" x14ac:dyDescent="0.3">
      <c r="A814" s="61" t="s">
        <v>31</v>
      </c>
      <c r="B814" s="61"/>
      <c r="C814" s="16">
        <v>46185</v>
      </c>
      <c r="D814">
        <v>27789.969999999961</v>
      </c>
    </row>
    <row r="815" spans="1:4" x14ac:dyDescent="0.3">
      <c r="A815" s="61" t="s">
        <v>32</v>
      </c>
      <c r="B815" s="61"/>
      <c r="C815" s="16">
        <v>46185</v>
      </c>
      <c r="D815">
        <v>5321.4300000000021</v>
      </c>
    </row>
    <row r="816" spans="1:4" x14ac:dyDescent="0.3">
      <c r="A816" s="61" t="s">
        <v>33</v>
      </c>
      <c r="B816" s="61"/>
      <c r="C816" s="16">
        <v>46185</v>
      </c>
      <c r="D816">
        <v>24484.85</v>
      </c>
    </row>
    <row r="817" spans="1:4" x14ac:dyDescent="0.3">
      <c r="A817" s="61" t="s">
        <v>34</v>
      </c>
      <c r="B817" s="61"/>
      <c r="C817" s="16">
        <v>46185</v>
      </c>
      <c r="D817">
        <v>345</v>
      </c>
    </row>
    <row r="818" spans="1:4" x14ac:dyDescent="0.3">
      <c r="A818" s="61" t="s">
        <v>35</v>
      </c>
      <c r="B818" s="61"/>
      <c r="C818" s="16">
        <v>46185</v>
      </c>
      <c r="D818">
        <v>48774.73</v>
      </c>
    </row>
    <row r="819" spans="1:4" x14ac:dyDescent="0.3">
      <c r="A819" s="61" t="s">
        <v>17</v>
      </c>
      <c r="B819" s="61"/>
      <c r="C819" s="16">
        <v>46186</v>
      </c>
      <c r="D819">
        <v>1837784.84</v>
      </c>
    </row>
    <row r="820" spans="1:4" x14ac:dyDescent="0.3">
      <c r="A820" s="61" t="s">
        <v>18</v>
      </c>
      <c r="B820" s="61"/>
      <c r="C820" s="16">
        <v>46186</v>
      </c>
      <c r="D820">
        <v>69376.390000000174</v>
      </c>
    </row>
    <row r="821" spans="1:4" x14ac:dyDescent="0.3">
      <c r="A821" s="61" t="s">
        <v>19</v>
      </c>
      <c r="B821" s="61"/>
      <c r="C821" s="16">
        <v>46186</v>
      </c>
      <c r="D821">
        <v>1669.89</v>
      </c>
    </row>
    <row r="822" spans="1:4" x14ac:dyDescent="0.3">
      <c r="A822" s="61" t="s">
        <v>20</v>
      </c>
      <c r="B822" s="61"/>
      <c r="C822" s="16">
        <v>46186</v>
      </c>
      <c r="D822">
        <v>564626.20999999985</v>
      </c>
    </row>
    <row r="823" spans="1:4" x14ac:dyDescent="0.3">
      <c r="A823" s="61" t="s">
        <v>21</v>
      </c>
      <c r="B823" s="61"/>
      <c r="C823" s="16">
        <v>46186</v>
      </c>
      <c r="D823">
        <v>3763348.8299999996</v>
      </c>
    </row>
    <row r="824" spans="1:4" x14ac:dyDescent="0.3">
      <c r="A824" s="61" t="s">
        <v>22</v>
      </c>
      <c r="B824" s="61"/>
      <c r="C824" s="16">
        <v>46186</v>
      </c>
      <c r="D824">
        <v>116496.38</v>
      </c>
    </row>
    <row r="825" spans="1:4" x14ac:dyDescent="0.3">
      <c r="A825" s="61" t="s">
        <v>23</v>
      </c>
      <c r="B825" s="61"/>
      <c r="C825" s="16">
        <v>46186</v>
      </c>
      <c r="D825">
        <v>88090.37</v>
      </c>
    </row>
    <row r="826" spans="1:4" x14ac:dyDescent="0.3">
      <c r="A826" s="61" t="s">
        <v>24</v>
      </c>
      <c r="B826" s="61"/>
      <c r="C826" s="16">
        <v>46186</v>
      </c>
      <c r="D826">
        <v>1227.9699999999998</v>
      </c>
    </row>
    <row r="827" spans="1:4" x14ac:dyDescent="0.3">
      <c r="A827" s="61" t="s">
        <v>25</v>
      </c>
      <c r="B827" s="61"/>
      <c r="C827" s="16">
        <v>46186</v>
      </c>
      <c r="D827">
        <v>84.35</v>
      </c>
    </row>
    <row r="828" spans="1:4" x14ac:dyDescent="0.3">
      <c r="A828" s="61" t="s">
        <v>26</v>
      </c>
      <c r="B828" s="61"/>
      <c r="C828" s="16">
        <v>46186</v>
      </c>
      <c r="D828">
        <v>2237.77</v>
      </c>
    </row>
    <row r="829" spans="1:4" x14ac:dyDescent="0.3">
      <c r="A829" s="61" t="s">
        <v>27</v>
      </c>
      <c r="B829" s="61"/>
      <c r="C829" s="16">
        <v>46186</v>
      </c>
      <c r="D829">
        <v>3349.94</v>
      </c>
    </row>
    <row r="830" spans="1:4" x14ac:dyDescent="0.3">
      <c r="A830" s="61" t="s">
        <v>28</v>
      </c>
      <c r="B830" s="61"/>
      <c r="C830" s="16">
        <v>46186</v>
      </c>
      <c r="D830">
        <v>1968.99</v>
      </c>
    </row>
    <row r="831" spans="1:4" x14ac:dyDescent="0.3">
      <c r="A831" s="61" t="s">
        <v>29</v>
      </c>
      <c r="B831" s="61"/>
      <c r="C831" s="16">
        <v>46186</v>
      </c>
      <c r="D831">
        <v>382.69000000000005</v>
      </c>
    </row>
    <row r="832" spans="1:4" x14ac:dyDescent="0.3">
      <c r="A832" s="61" t="s">
        <v>30</v>
      </c>
      <c r="B832" s="61"/>
      <c r="C832" s="16">
        <v>46186</v>
      </c>
      <c r="D832">
        <v>1428.08</v>
      </c>
    </row>
    <row r="833" spans="1:4" x14ac:dyDescent="0.3">
      <c r="A833" s="61" t="s">
        <v>31</v>
      </c>
      <c r="B833" s="61"/>
      <c r="C833" s="16">
        <v>46186</v>
      </c>
      <c r="D833">
        <v>27789.969999999961</v>
      </c>
    </row>
    <row r="834" spans="1:4" x14ac:dyDescent="0.3">
      <c r="A834" s="61" t="s">
        <v>32</v>
      </c>
      <c r="B834" s="61"/>
      <c r="C834" s="16">
        <v>46186</v>
      </c>
      <c r="D834">
        <v>5321.4300000000021</v>
      </c>
    </row>
    <row r="835" spans="1:4" x14ac:dyDescent="0.3">
      <c r="A835" s="61" t="s">
        <v>33</v>
      </c>
      <c r="B835" s="61"/>
      <c r="C835" s="16">
        <v>46186</v>
      </c>
      <c r="D835">
        <v>24484.85</v>
      </c>
    </row>
    <row r="836" spans="1:4" x14ac:dyDescent="0.3">
      <c r="A836" s="61" t="s">
        <v>34</v>
      </c>
      <c r="B836" s="61"/>
      <c r="C836" s="16">
        <v>46186</v>
      </c>
      <c r="D836">
        <v>345</v>
      </c>
    </row>
    <row r="837" spans="1:4" x14ac:dyDescent="0.3">
      <c r="A837" s="61" t="s">
        <v>35</v>
      </c>
      <c r="B837" s="61"/>
      <c r="C837" s="16">
        <v>46186</v>
      </c>
      <c r="D837">
        <v>48774.73</v>
      </c>
    </row>
    <row r="838" spans="1:4" x14ac:dyDescent="0.3">
      <c r="A838" s="61" t="s">
        <v>17</v>
      </c>
      <c r="B838" s="61"/>
      <c r="C838" s="16">
        <v>46187</v>
      </c>
      <c r="D838">
        <v>1837784.84</v>
      </c>
    </row>
    <row r="839" spans="1:4" x14ac:dyDescent="0.3">
      <c r="A839" s="61" t="s">
        <v>18</v>
      </c>
      <c r="B839" s="61"/>
      <c r="C839" s="16">
        <v>46187</v>
      </c>
      <c r="D839">
        <v>69376.390000000174</v>
      </c>
    </row>
    <row r="840" spans="1:4" x14ac:dyDescent="0.3">
      <c r="A840" s="61" t="s">
        <v>19</v>
      </c>
      <c r="B840" s="61"/>
      <c r="C840" s="16">
        <v>46187</v>
      </c>
      <c r="D840">
        <v>1669.89</v>
      </c>
    </row>
    <row r="841" spans="1:4" x14ac:dyDescent="0.3">
      <c r="A841" s="61" t="s">
        <v>20</v>
      </c>
      <c r="B841" s="61"/>
      <c r="C841" s="16">
        <v>46187</v>
      </c>
      <c r="D841">
        <v>564626.20999999985</v>
      </c>
    </row>
    <row r="842" spans="1:4" x14ac:dyDescent="0.3">
      <c r="A842" s="61" t="s">
        <v>21</v>
      </c>
      <c r="B842" s="61"/>
      <c r="C842" s="16">
        <v>46187</v>
      </c>
      <c r="D842">
        <v>3763348.8299999996</v>
      </c>
    </row>
    <row r="843" spans="1:4" x14ac:dyDescent="0.3">
      <c r="A843" s="61" t="s">
        <v>22</v>
      </c>
      <c r="B843" s="61"/>
      <c r="C843" s="16">
        <v>46187</v>
      </c>
      <c r="D843">
        <v>116496.38</v>
      </c>
    </row>
    <row r="844" spans="1:4" x14ac:dyDescent="0.3">
      <c r="A844" s="61" t="s">
        <v>23</v>
      </c>
      <c r="B844" s="61"/>
      <c r="C844" s="16">
        <v>46187</v>
      </c>
      <c r="D844">
        <v>88090.37</v>
      </c>
    </row>
    <row r="845" spans="1:4" x14ac:dyDescent="0.3">
      <c r="A845" s="61" t="s">
        <v>24</v>
      </c>
      <c r="B845" s="61"/>
      <c r="C845" s="16">
        <v>46187</v>
      </c>
      <c r="D845">
        <v>1227.9699999999998</v>
      </c>
    </row>
    <row r="846" spans="1:4" x14ac:dyDescent="0.3">
      <c r="A846" s="61" t="s">
        <v>25</v>
      </c>
      <c r="B846" s="61"/>
      <c r="C846" s="16">
        <v>46187</v>
      </c>
      <c r="D846">
        <v>84.35</v>
      </c>
    </row>
    <row r="847" spans="1:4" x14ac:dyDescent="0.3">
      <c r="A847" s="61" t="s">
        <v>26</v>
      </c>
      <c r="B847" s="61"/>
      <c r="C847" s="16">
        <v>46187</v>
      </c>
      <c r="D847">
        <v>2237.77</v>
      </c>
    </row>
    <row r="848" spans="1:4" x14ac:dyDescent="0.3">
      <c r="A848" s="61" t="s">
        <v>27</v>
      </c>
      <c r="B848" s="61"/>
      <c r="C848" s="16">
        <v>46187</v>
      </c>
      <c r="D848">
        <v>3349.94</v>
      </c>
    </row>
    <row r="849" spans="1:4" x14ac:dyDescent="0.3">
      <c r="A849" s="61" t="s">
        <v>28</v>
      </c>
      <c r="B849" s="61"/>
      <c r="C849" s="16">
        <v>46187</v>
      </c>
      <c r="D849">
        <v>1968.99</v>
      </c>
    </row>
    <row r="850" spans="1:4" x14ac:dyDescent="0.3">
      <c r="A850" s="61" t="s">
        <v>29</v>
      </c>
      <c r="B850" s="61"/>
      <c r="C850" s="16">
        <v>46187</v>
      </c>
      <c r="D850">
        <v>382.69000000000005</v>
      </c>
    </row>
    <row r="851" spans="1:4" x14ac:dyDescent="0.3">
      <c r="A851" s="61" t="s">
        <v>30</v>
      </c>
      <c r="B851" s="61"/>
      <c r="C851" s="16">
        <v>46187</v>
      </c>
      <c r="D851">
        <v>1428.08</v>
      </c>
    </row>
    <row r="852" spans="1:4" x14ac:dyDescent="0.3">
      <c r="A852" s="61" t="s">
        <v>31</v>
      </c>
      <c r="B852" s="61"/>
      <c r="C852" s="16">
        <v>46187</v>
      </c>
      <c r="D852">
        <v>27789.969999999961</v>
      </c>
    </row>
    <row r="853" spans="1:4" x14ac:dyDescent="0.3">
      <c r="A853" s="61" t="s">
        <v>32</v>
      </c>
      <c r="B853" s="61"/>
      <c r="C853" s="16">
        <v>46187</v>
      </c>
      <c r="D853">
        <v>5321.4300000000021</v>
      </c>
    </row>
    <row r="854" spans="1:4" x14ac:dyDescent="0.3">
      <c r="A854" s="61" t="s">
        <v>33</v>
      </c>
      <c r="B854" s="61"/>
      <c r="C854" s="16">
        <v>46187</v>
      </c>
      <c r="D854">
        <v>24484.85</v>
      </c>
    </row>
    <row r="855" spans="1:4" x14ac:dyDescent="0.3">
      <c r="A855" s="61" t="s">
        <v>34</v>
      </c>
      <c r="B855" s="61"/>
      <c r="C855" s="16">
        <v>46187</v>
      </c>
      <c r="D855">
        <v>345</v>
      </c>
    </row>
    <row r="856" spans="1:4" x14ac:dyDescent="0.3">
      <c r="A856" s="61" t="s">
        <v>35</v>
      </c>
      <c r="B856" s="61"/>
      <c r="C856" s="16">
        <v>46187</v>
      </c>
      <c r="D856">
        <v>48774.73</v>
      </c>
    </row>
    <row r="857" spans="1:4" x14ac:dyDescent="0.3">
      <c r="A857" s="61" t="s">
        <v>17</v>
      </c>
      <c r="B857" s="61"/>
      <c r="C857" s="16">
        <v>46188</v>
      </c>
      <c r="D857">
        <v>985975.94000000029</v>
      </c>
    </row>
    <row r="858" spans="1:4" x14ac:dyDescent="0.3">
      <c r="A858" s="61" t="s">
        <v>18</v>
      </c>
      <c r="B858" s="61"/>
      <c r="C858" s="16">
        <v>46188</v>
      </c>
      <c r="D858">
        <v>69376.390000000174</v>
      </c>
    </row>
    <row r="859" spans="1:4" x14ac:dyDescent="0.3">
      <c r="A859" s="61" t="s">
        <v>19</v>
      </c>
      <c r="B859" s="61"/>
      <c r="C859" s="16">
        <v>46188</v>
      </c>
      <c r="D859">
        <v>1669.89</v>
      </c>
    </row>
    <row r="860" spans="1:4" x14ac:dyDescent="0.3">
      <c r="A860" s="61" t="s">
        <v>20</v>
      </c>
      <c r="B860" s="61"/>
      <c r="C860" s="16">
        <v>46188</v>
      </c>
      <c r="D860">
        <v>503904.80999999982</v>
      </c>
    </row>
    <row r="861" spans="1:4" x14ac:dyDescent="0.3">
      <c r="A861" s="61" t="s">
        <v>21</v>
      </c>
      <c r="B861" s="61"/>
      <c r="C861" s="16">
        <v>46188</v>
      </c>
      <c r="D861">
        <v>3277137.2399999998</v>
      </c>
    </row>
    <row r="862" spans="1:4" x14ac:dyDescent="0.3">
      <c r="A862" s="61" t="s">
        <v>22</v>
      </c>
      <c r="B862" s="61"/>
      <c r="C862" s="16">
        <v>46188</v>
      </c>
      <c r="D862">
        <v>116496.38</v>
      </c>
    </row>
    <row r="863" spans="1:4" x14ac:dyDescent="0.3">
      <c r="A863" s="61" t="s">
        <v>23</v>
      </c>
      <c r="B863" s="61"/>
      <c r="C863" s="16">
        <v>46188</v>
      </c>
      <c r="D863">
        <v>88090.37</v>
      </c>
    </row>
    <row r="864" spans="1:4" x14ac:dyDescent="0.3">
      <c r="A864" s="61" t="s">
        <v>24</v>
      </c>
      <c r="B864" s="61"/>
      <c r="C864" s="16">
        <v>46188</v>
      </c>
      <c r="D864">
        <v>1227.9699999999998</v>
      </c>
    </row>
    <row r="865" spans="1:4" x14ac:dyDescent="0.3">
      <c r="A865" s="61" t="s">
        <v>25</v>
      </c>
      <c r="B865" s="61"/>
      <c r="C865" s="16">
        <v>46188</v>
      </c>
      <c r="D865">
        <v>84.35</v>
      </c>
    </row>
    <row r="866" spans="1:4" x14ac:dyDescent="0.3">
      <c r="A866" s="61" t="s">
        <v>26</v>
      </c>
      <c r="B866" s="61"/>
      <c r="C866" s="16">
        <v>46188</v>
      </c>
      <c r="D866">
        <v>2237.77</v>
      </c>
    </row>
    <row r="867" spans="1:4" x14ac:dyDescent="0.3">
      <c r="A867" s="61" t="s">
        <v>27</v>
      </c>
      <c r="B867" s="61"/>
      <c r="C867" s="16">
        <v>46188</v>
      </c>
      <c r="D867">
        <v>3349.94</v>
      </c>
    </row>
    <row r="868" spans="1:4" x14ac:dyDescent="0.3">
      <c r="A868" s="61" t="s">
        <v>28</v>
      </c>
      <c r="B868" s="61"/>
      <c r="C868" s="16">
        <v>46188</v>
      </c>
      <c r="D868">
        <v>1968.99</v>
      </c>
    </row>
    <row r="869" spans="1:4" x14ac:dyDescent="0.3">
      <c r="A869" s="61" t="s">
        <v>29</v>
      </c>
      <c r="B869" s="61"/>
      <c r="C869" s="16">
        <v>46188</v>
      </c>
      <c r="D869">
        <v>382.69000000000005</v>
      </c>
    </row>
    <row r="870" spans="1:4" x14ac:dyDescent="0.3">
      <c r="A870" s="61" t="s">
        <v>30</v>
      </c>
      <c r="B870" s="61"/>
      <c r="C870" s="16">
        <v>46188</v>
      </c>
      <c r="D870">
        <v>1428.08</v>
      </c>
    </row>
    <row r="871" spans="1:4" x14ac:dyDescent="0.3">
      <c r="A871" s="61" t="s">
        <v>31</v>
      </c>
      <c r="B871" s="61"/>
      <c r="C871" s="16">
        <v>46188</v>
      </c>
      <c r="D871">
        <v>29789.969999999961</v>
      </c>
    </row>
    <row r="872" spans="1:4" x14ac:dyDescent="0.3">
      <c r="A872" s="61" t="s">
        <v>32</v>
      </c>
      <c r="B872" s="61"/>
      <c r="C872" s="16">
        <v>46188</v>
      </c>
      <c r="D872">
        <v>5321.4300000000021</v>
      </c>
    </row>
    <row r="873" spans="1:4" x14ac:dyDescent="0.3">
      <c r="A873" s="61" t="s">
        <v>33</v>
      </c>
      <c r="B873" s="61"/>
      <c r="C873" s="16">
        <v>46188</v>
      </c>
      <c r="D873">
        <v>24484.85</v>
      </c>
    </row>
    <row r="874" spans="1:4" x14ac:dyDescent="0.3">
      <c r="A874" s="61" t="s">
        <v>34</v>
      </c>
      <c r="B874" s="61"/>
      <c r="C874" s="16">
        <v>46188</v>
      </c>
      <c r="D874">
        <v>345</v>
      </c>
    </row>
    <row r="875" spans="1:4" x14ac:dyDescent="0.3">
      <c r="A875" s="61" t="s">
        <v>35</v>
      </c>
      <c r="B875" s="61"/>
      <c r="C875" s="16">
        <v>46188</v>
      </c>
      <c r="D875">
        <v>48724.73</v>
      </c>
    </row>
    <row r="876" spans="1:4" x14ac:dyDescent="0.3">
      <c r="A876" s="61" t="s">
        <v>17</v>
      </c>
      <c r="B876" s="61"/>
      <c r="C876" s="16">
        <v>46189</v>
      </c>
      <c r="D876">
        <v>985975.94000000029</v>
      </c>
    </row>
    <row r="877" spans="1:4" x14ac:dyDescent="0.3">
      <c r="A877" s="61" t="s">
        <v>18</v>
      </c>
      <c r="B877" s="61"/>
      <c r="C877" s="16">
        <v>46189</v>
      </c>
      <c r="D877">
        <v>69376.390000000174</v>
      </c>
    </row>
    <row r="878" spans="1:4" x14ac:dyDescent="0.3">
      <c r="A878" s="61" t="s">
        <v>19</v>
      </c>
      <c r="B878" s="61"/>
      <c r="C878" s="16">
        <v>46189</v>
      </c>
      <c r="D878">
        <v>1669.89</v>
      </c>
    </row>
    <row r="879" spans="1:4" x14ac:dyDescent="0.3">
      <c r="A879" s="61" t="s">
        <v>20</v>
      </c>
      <c r="B879" s="61"/>
      <c r="C879" s="16">
        <v>46189</v>
      </c>
      <c r="D879">
        <v>503904.80999999982</v>
      </c>
    </row>
    <row r="880" spans="1:4" x14ac:dyDescent="0.3">
      <c r="A880" s="61" t="s">
        <v>21</v>
      </c>
      <c r="B880" s="61"/>
      <c r="C880" s="16">
        <v>46189</v>
      </c>
      <c r="D880">
        <v>3277137.2399999998</v>
      </c>
    </row>
    <row r="881" spans="1:4" x14ac:dyDescent="0.3">
      <c r="A881" s="61" t="s">
        <v>22</v>
      </c>
      <c r="B881" s="61"/>
      <c r="C881" s="16">
        <v>46189</v>
      </c>
      <c r="D881">
        <v>116496.38</v>
      </c>
    </row>
    <row r="882" spans="1:4" x14ac:dyDescent="0.3">
      <c r="A882" s="61" t="s">
        <v>23</v>
      </c>
      <c r="B882" s="61"/>
      <c r="C882" s="16">
        <v>46189</v>
      </c>
      <c r="D882">
        <v>88090.37</v>
      </c>
    </row>
    <row r="883" spans="1:4" x14ac:dyDescent="0.3">
      <c r="A883" s="61" t="s">
        <v>24</v>
      </c>
      <c r="B883" s="61"/>
      <c r="C883" s="16">
        <v>46189</v>
      </c>
      <c r="D883">
        <v>1227.9699999999998</v>
      </c>
    </row>
    <row r="884" spans="1:4" x14ac:dyDescent="0.3">
      <c r="A884" s="61" t="s">
        <v>25</v>
      </c>
      <c r="B884" s="61"/>
      <c r="C884" s="16">
        <v>46189</v>
      </c>
      <c r="D884">
        <v>84.35</v>
      </c>
    </row>
    <row r="885" spans="1:4" x14ac:dyDescent="0.3">
      <c r="A885" s="61" t="s">
        <v>26</v>
      </c>
      <c r="B885" s="61"/>
      <c r="C885" s="16">
        <v>46189</v>
      </c>
      <c r="D885">
        <v>2237.77</v>
      </c>
    </row>
    <row r="886" spans="1:4" x14ac:dyDescent="0.3">
      <c r="A886" s="61" t="s">
        <v>27</v>
      </c>
      <c r="B886" s="61"/>
      <c r="C886" s="16">
        <v>46189</v>
      </c>
      <c r="D886">
        <v>3349.94</v>
      </c>
    </row>
    <row r="887" spans="1:4" x14ac:dyDescent="0.3">
      <c r="A887" s="61" t="s">
        <v>28</v>
      </c>
      <c r="B887" s="61"/>
      <c r="C887" s="16">
        <v>46189</v>
      </c>
      <c r="D887">
        <v>1968.99</v>
      </c>
    </row>
    <row r="888" spans="1:4" x14ac:dyDescent="0.3">
      <c r="A888" s="61" t="s">
        <v>29</v>
      </c>
      <c r="B888" s="61"/>
      <c r="C888" s="16">
        <v>46189</v>
      </c>
      <c r="D888">
        <v>382.69000000000005</v>
      </c>
    </row>
    <row r="889" spans="1:4" x14ac:dyDescent="0.3">
      <c r="A889" s="61" t="s">
        <v>30</v>
      </c>
      <c r="B889" s="61"/>
      <c r="C889" s="16">
        <v>46189</v>
      </c>
      <c r="D889">
        <v>1428.08</v>
      </c>
    </row>
    <row r="890" spans="1:4" x14ac:dyDescent="0.3">
      <c r="A890" s="61" t="s">
        <v>31</v>
      </c>
      <c r="B890" s="61"/>
      <c r="C890" s="16">
        <v>46189</v>
      </c>
      <c r="D890">
        <v>29789.969999999961</v>
      </c>
    </row>
    <row r="891" spans="1:4" x14ac:dyDescent="0.3">
      <c r="A891" s="61" t="s">
        <v>32</v>
      </c>
      <c r="B891" s="61"/>
      <c r="C891" s="16">
        <v>46189</v>
      </c>
      <c r="D891">
        <v>5321.4300000000021</v>
      </c>
    </row>
    <row r="892" spans="1:4" x14ac:dyDescent="0.3">
      <c r="A892" s="61" t="s">
        <v>33</v>
      </c>
      <c r="B892" s="61"/>
      <c r="C892" s="16">
        <v>46189</v>
      </c>
      <c r="D892">
        <v>24484.85</v>
      </c>
    </row>
    <row r="893" spans="1:4" x14ac:dyDescent="0.3">
      <c r="A893" s="61" t="s">
        <v>34</v>
      </c>
      <c r="B893" s="61"/>
      <c r="C893" s="16">
        <v>46189</v>
      </c>
      <c r="D893">
        <v>345</v>
      </c>
    </row>
    <row r="894" spans="1:4" x14ac:dyDescent="0.3">
      <c r="A894" s="61" t="s">
        <v>35</v>
      </c>
      <c r="B894" s="61"/>
      <c r="C894" s="16">
        <v>46189</v>
      </c>
      <c r="D894">
        <v>45519.01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2026-06-16T15:14:48Z</dcterms:modified>
  <dc:language>en-US</dc:language>
</cp:coreProperties>
</file>