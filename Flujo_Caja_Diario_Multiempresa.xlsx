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781" documentId="8_{BBC9EA4E-7F3B-475F-B61B-890F681C3A1C}" xr6:coauthVersionLast="47" xr6:coauthVersionMax="47" xr10:uidLastSave="{A4972551-F766-4B26-9E45-4D542E2A0671}"/>
  <bookViews>
    <workbookView xWindow="-108" yWindow="-108" windowWidth="23256" windowHeight="12576" tabRatio="597" firstSheet="1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diaria'!$A$1:$D$2889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53" i="6" l="1"/>
  <c r="C153" i="6"/>
  <c r="D153" i="6"/>
  <c r="E153" i="6"/>
  <c r="F153" i="6"/>
  <c r="G153" i="6"/>
  <c r="H153" i="6"/>
  <c r="V153" i="6" s="1"/>
  <c r="I153" i="6"/>
  <c r="J153" i="6"/>
  <c r="K153" i="6"/>
  <c r="L153" i="6"/>
  <c r="M153" i="6"/>
  <c r="N153" i="6"/>
  <c r="O153" i="6"/>
  <c r="P153" i="6"/>
  <c r="Q153" i="6"/>
  <c r="R153" i="6"/>
  <c r="S153" i="6"/>
  <c r="T153" i="6"/>
  <c r="U153" i="6"/>
  <c r="M1027" i="1"/>
  <c r="M1028" i="1"/>
  <c r="M1029" i="1"/>
  <c r="M1030" i="1"/>
  <c r="M1031" i="1"/>
  <c r="M1032" i="1"/>
  <c r="M1033" i="1"/>
  <c r="K1027" i="1"/>
  <c r="K1028" i="1"/>
  <c r="K1029" i="1"/>
  <c r="K1030" i="1"/>
  <c r="K1031" i="1"/>
  <c r="K1032" i="1"/>
  <c r="K1033" i="1"/>
  <c r="I1027" i="1"/>
  <c r="I1028" i="1"/>
  <c r="I1029" i="1"/>
  <c r="I1030" i="1"/>
  <c r="I1031" i="1"/>
  <c r="I1032" i="1"/>
  <c r="I1033" i="1"/>
  <c r="H1027" i="1"/>
  <c r="H1028" i="1"/>
  <c r="H1029" i="1"/>
  <c r="H1030" i="1"/>
  <c r="H1031" i="1"/>
  <c r="H1032" i="1"/>
  <c r="H1033" i="1"/>
  <c r="E1033" i="1"/>
  <c r="C1027" i="1"/>
  <c r="C1028" i="1"/>
  <c r="C1029" i="1"/>
  <c r="C1030" i="1"/>
  <c r="C1031" i="1"/>
  <c r="C1032" i="1"/>
  <c r="C1033" i="1"/>
  <c r="E1028" i="1"/>
  <c r="E1029" i="1"/>
  <c r="E1030" i="1"/>
  <c r="E1031" i="1"/>
  <c r="E1032" i="1"/>
  <c r="N1028" i="1"/>
  <c r="N1029" i="1"/>
  <c r="N1030" i="1"/>
  <c r="N1031" i="1"/>
  <c r="P1031" i="1" s="1"/>
  <c r="N1032" i="1"/>
  <c r="N1033" i="1"/>
  <c r="O1028" i="1"/>
  <c r="O1029" i="1"/>
  <c r="O1030" i="1"/>
  <c r="P1030" i="1" s="1"/>
  <c r="O1031" i="1"/>
  <c r="O1032" i="1"/>
  <c r="P1032" i="1" s="1"/>
  <c r="O1033" i="1"/>
  <c r="P1033" i="1" s="1"/>
  <c r="P1028" i="1"/>
  <c r="P1029" i="1"/>
  <c r="A152" i="6"/>
  <c r="K1020" i="1"/>
  <c r="K1021" i="1"/>
  <c r="K1022" i="1"/>
  <c r="K1023" i="1"/>
  <c r="K1024" i="1"/>
  <c r="K1025" i="1"/>
  <c r="K1026" i="1"/>
  <c r="E1027" i="1"/>
  <c r="I1020" i="1"/>
  <c r="I1021" i="1"/>
  <c r="I1022" i="1"/>
  <c r="I1023" i="1"/>
  <c r="I1024" i="1"/>
  <c r="I1025" i="1"/>
  <c r="I1026" i="1"/>
  <c r="C1020" i="1"/>
  <c r="C1021" i="1"/>
  <c r="C1022" i="1"/>
  <c r="C1023" i="1"/>
  <c r="C1024" i="1"/>
  <c r="C1025" i="1"/>
  <c r="C1026" i="1"/>
  <c r="E1020" i="1"/>
  <c r="E1021" i="1"/>
  <c r="E1022" i="1"/>
  <c r="E1023" i="1"/>
  <c r="E1024" i="1"/>
  <c r="E1025" i="1"/>
  <c r="E1026" i="1"/>
  <c r="H1020" i="1"/>
  <c r="H1021" i="1"/>
  <c r="H1022" i="1"/>
  <c r="H1023" i="1"/>
  <c r="H1024" i="1"/>
  <c r="H1025" i="1"/>
  <c r="H1026" i="1"/>
  <c r="N1020" i="1"/>
  <c r="P1020" i="1" s="1"/>
  <c r="N1021" i="1"/>
  <c r="N1022" i="1"/>
  <c r="N1023" i="1"/>
  <c r="N1024" i="1"/>
  <c r="N1025" i="1"/>
  <c r="N1026" i="1"/>
  <c r="O1020" i="1"/>
  <c r="O1021" i="1"/>
  <c r="O1022" i="1"/>
  <c r="P1022" i="1" s="1"/>
  <c r="O1023" i="1"/>
  <c r="P1023" i="1" s="1"/>
  <c r="O1024" i="1"/>
  <c r="P1024" i="1" s="1"/>
  <c r="O1025" i="1"/>
  <c r="P1025" i="1" s="1"/>
  <c r="O1026" i="1"/>
  <c r="P1026" i="1" s="1"/>
  <c r="A149" i="6"/>
  <c r="A150" i="6"/>
  <c r="A151" i="6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N999" i="1"/>
  <c r="N1000" i="1"/>
  <c r="N1001" i="1"/>
  <c r="P1001" i="1" s="1"/>
  <c r="N1002" i="1"/>
  <c r="P1002" i="1" s="1"/>
  <c r="N1003" i="1"/>
  <c r="N1004" i="1"/>
  <c r="N1005" i="1"/>
  <c r="N1006" i="1"/>
  <c r="N1007" i="1"/>
  <c r="N1008" i="1"/>
  <c r="N1009" i="1"/>
  <c r="N1010" i="1"/>
  <c r="N1011" i="1"/>
  <c r="P1011" i="1" s="1"/>
  <c r="N1012" i="1"/>
  <c r="N1013" i="1"/>
  <c r="N1014" i="1"/>
  <c r="N1015" i="1"/>
  <c r="N1016" i="1"/>
  <c r="N1017" i="1"/>
  <c r="N1018" i="1"/>
  <c r="N1019" i="1"/>
  <c r="O999" i="1"/>
  <c r="P999" i="1" s="1"/>
  <c r="O1000" i="1"/>
  <c r="P1000" i="1" s="1"/>
  <c r="O1001" i="1"/>
  <c r="O1002" i="1"/>
  <c r="O1003" i="1"/>
  <c r="P1003" i="1" s="1"/>
  <c r="O1004" i="1"/>
  <c r="P1004" i="1" s="1"/>
  <c r="O1005" i="1"/>
  <c r="P1005" i="1" s="1"/>
  <c r="O1006" i="1"/>
  <c r="P1006" i="1" s="1"/>
  <c r="O1007" i="1"/>
  <c r="P1007" i="1" s="1"/>
  <c r="O1008" i="1"/>
  <c r="P1008" i="1" s="1"/>
  <c r="O1009" i="1"/>
  <c r="P1009" i="1" s="1"/>
  <c r="O1010" i="1"/>
  <c r="P1010" i="1" s="1"/>
  <c r="O1011" i="1"/>
  <c r="O1012" i="1"/>
  <c r="P1012" i="1" s="1"/>
  <c r="O1013" i="1"/>
  <c r="P1013" i="1" s="1"/>
  <c r="O1014" i="1"/>
  <c r="P1014" i="1" s="1"/>
  <c r="O1015" i="1"/>
  <c r="P1015" i="1" s="1"/>
  <c r="O1016" i="1"/>
  <c r="P1016" i="1" s="1"/>
  <c r="O1017" i="1"/>
  <c r="P1017" i="1" s="1"/>
  <c r="O1018" i="1"/>
  <c r="P1018" i="1" s="1"/>
  <c r="O1019" i="1"/>
  <c r="P1019" i="1" s="1"/>
  <c r="A148" i="6"/>
  <c r="A147" i="6"/>
  <c r="A146" i="6"/>
  <c r="K992" i="1"/>
  <c r="K993" i="1"/>
  <c r="K994" i="1"/>
  <c r="K995" i="1"/>
  <c r="K996" i="1"/>
  <c r="K997" i="1"/>
  <c r="K998" i="1"/>
  <c r="I992" i="1"/>
  <c r="I993" i="1"/>
  <c r="I994" i="1"/>
  <c r="I995" i="1"/>
  <c r="I996" i="1"/>
  <c r="I997" i="1"/>
  <c r="I998" i="1"/>
  <c r="C992" i="1"/>
  <c r="C993" i="1"/>
  <c r="C994" i="1"/>
  <c r="C995" i="1"/>
  <c r="C996" i="1"/>
  <c r="C997" i="1"/>
  <c r="C998" i="1"/>
  <c r="E992" i="1"/>
  <c r="E993" i="1"/>
  <c r="E994" i="1"/>
  <c r="E995" i="1"/>
  <c r="E996" i="1"/>
  <c r="E997" i="1"/>
  <c r="E998" i="1"/>
  <c r="H992" i="1"/>
  <c r="H993" i="1"/>
  <c r="H994" i="1"/>
  <c r="H995" i="1"/>
  <c r="H996" i="1"/>
  <c r="H997" i="1"/>
  <c r="H998" i="1"/>
  <c r="N992" i="1"/>
  <c r="N993" i="1"/>
  <c r="N994" i="1"/>
  <c r="N995" i="1"/>
  <c r="N996" i="1"/>
  <c r="N997" i="1"/>
  <c r="N998" i="1"/>
  <c r="O992" i="1"/>
  <c r="P992" i="1" s="1"/>
  <c r="O993" i="1"/>
  <c r="P993" i="1" s="1"/>
  <c r="O994" i="1"/>
  <c r="P994" i="1" s="1"/>
  <c r="O995" i="1"/>
  <c r="P995" i="1" s="1"/>
  <c r="O996" i="1"/>
  <c r="P996" i="1" s="1"/>
  <c r="O997" i="1"/>
  <c r="P997" i="1" s="1"/>
  <c r="O998" i="1"/>
  <c r="P998" i="1" s="1"/>
  <c r="A145" i="6"/>
  <c r="K986" i="1"/>
  <c r="K987" i="1"/>
  <c r="K988" i="1"/>
  <c r="K989" i="1"/>
  <c r="K990" i="1"/>
  <c r="K991" i="1"/>
  <c r="H986" i="1"/>
  <c r="I986" i="1"/>
  <c r="H987" i="1"/>
  <c r="I987" i="1"/>
  <c r="H988" i="1"/>
  <c r="I988" i="1"/>
  <c r="H989" i="1"/>
  <c r="I989" i="1"/>
  <c r="H990" i="1"/>
  <c r="I990" i="1"/>
  <c r="H991" i="1"/>
  <c r="I991" i="1"/>
  <c r="C986" i="1"/>
  <c r="C987" i="1"/>
  <c r="C988" i="1"/>
  <c r="C989" i="1"/>
  <c r="C990" i="1"/>
  <c r="C991" i="1"/>
  <c r="E986" i="1"/>
  <c r="E987" i="1"/>
  <c r="E988" i="1"/>
  <c r="E989" i="1"/>
  <c r="E990" i="1"/>
  <c r="E991" i="1"/>
  <c r="N986" i="1"/>
  <c r="N987" i="1"/>
  <c r="N988" i="1"/>
  <c r="N989" i="1"/>
  <c r="N990" i="1"/>
  <c r="N991" i="1"/>
  <c r="P991" i="1" s="1"/>
  <c r="O986" i="1"/>
  <c r="P986" i="1" s="1"/>
  <c r="O987" i="1"/>
  <c r="P987" i="1" s="1"/>
  <c r="O988" i="1"/>
  <c r="P988" i="1" s="1"/>
  <c r="O989" i="1"/>
  <c r="P989" i="1" s="1"/>
  <c r="O990" i="1"/>
  <c r="P990" i="1" s="1"/>
  <c r="O991" i="1"/>
  <c r="K982" i="1"/>
  <c r="K983" i="1"/>
  <c r="K984" i="1"/>
  <c r="K985" i="1"/>
  <c r="I982" i="1"/>
  <c r="I983" i="1"/>
  <c r="I984" i="1"/>
  <c r="I985" i="1"/>
  <c r="H982" i="1"/>
  <c r="H983" i="1"/>
  <c r="H984" i="1"/>
  <c r="H985" i="1"/>
  <c r="C982" i="1"/>
  <c r="C983" i="1"/>
  <c r="C984" i="1"/>
  <c r="C985" i="1"/>
  <c r="E982" i="1"/>
  <c r="E983" i="1"/>
  <c r="E984" i="1"/>
  <c r="E985" i="1"/>
  <c r="N982" i="1"/>
  <c r="N983" i="1"/>
  <c r="P983" i="1" s="1"/>
  <c r="N984" i="1"/>
  <c r="N985" i="1"/>
  <c r="O982" i="1"/>
  <c r="P982" i="1" s="1"/>
  <c r="O983" i="1"/>
  <c r="O984" i="1"/>
  <c r="O985" i="1"/>
  <c r="N968" i="1"/>
  <c r="O968" i="1"/>
  <c r="P968" i="1" s="1"/>
  <c r="N969" i="1"/>
  <c r="O969" i="1"/>
  <c r="P969" i="1" s="1"/>
  <c r="N970" i="1"/>
  <c r="O970" i="1"/>
  <c r="P970" i="1" s="1"/>
  <c r="N971" i="1"/>
  <c r="O971" i="1"/>
  <c r="P971" i="1" s="1"/>
  <c r="N972" i="1"/>
  <c r="O972" i="1"/>
  <c r="P972" i="1" s="1"/>
  <c r="N973" i="1"/>
  <c r="O973" i="1"/>
  <c r="P973" i="1" s="1"/>
  <c r="N974" i="1"/>
  <c r="O974" i="1"/>
  <c r="P974" i="1" s="1"/>
  <c r="N975" i="1"/>
  <c r="O975" i="1"/>
  <c r="P975" i="1" s="1"/>
  <c r="N976" i="1"/>
  <c r="O976" i="1"/>
  <c r="P976" i="1" s="1"/>
  <c r="N977" i="1"/>
  <c r="O977" i="1"/>
  <c r="P977" i="1" s="1"/>
  <c r="N978" i="1"/>
  <c r="O978" i="1"/>
  <c r="P978" i="1" s="1"/>
  <c r="N979" i="1"/>
  <c r="O979" i="1"/>
  <c r="P979" i="1" s="1"/>
  <c r="N980" i="1"/>
  <c r="O980" i="1"/>
  <c r="P980" i="1" s="1"/>
  <c r="N981" i="1"/>
  <c r="O981" i="1"/>
  <c r="P981" i="1" s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N946" i="1"/>
  <c r="N947" i="1"/>
  <c r="P947" i="1" s="1"/>
  <c r="N948" i="1"/>
  <c r="P948" i="1" s="1"/>
  <c r="N949" i="1"/>
  <c r="N950" i="1"/>
  <c r="N951" i="1"/>
  <c r="N952" i="1"/>
  <c r="N953" i="1"/>
  <c r="P953" i="1" s="1"/>
  <c r="N954" i="1"/>
  <c r="N955" i="1"/>
  <c r="P955" i="1" s="1"/>
  <c r="N956" i="1"/>
  <c r="N957" i="1"/>
  <c r="N958" i="1"/>
  <c r="N959" i="1"/>
  <c r="N960" i="1"/>
  <c r="P960" i="1" s="1"/>
  <c r="N961" i="1"/>
  <c r="N962" i="1"/>
  <c r="N963" i="1"/>
  <c r="N964" i="1"/>
  <c r="N965" i="1"/>
  <c r="N966" i="1"/>
  <c r="N967" i="1"/>
  <c r="O946" i="1"/>
  <c r="P946" i="1" s="1"/>
  <c r="O947" i="1"/>
  <c r="O948" i="1"/>
  <c r="O949" i="1"/>
  <c r="P949" i="1" s="1"/>
  <c r="O950" i="1"/>
  <c r="P950" i="1" s="1"/>
  <c r="O951" i="1"/>
  <c r="P951" i="1" s="1"/>
  <c r="O952" i="1"/>
  <c r="P952" i="1" s="1"/>
  <c r="O953" i="1"/>
  <c r="O954" i="1"/>
  <c r="P954" i="1" s="1"/>
  <c r="O955" i="1"/>
  <c r="O956" i="1"/>
  <c r="O957" i="1"/>
  <c r="O958" i="1"/>
  <c r="P958" i="1" s="1"/>
  <c r="O959" i="1"/>
  <c r="P959" i="1" s="1"/>
  <c r="O960" i="1"/>
  <c r="O961" i="1"/>
  <c r="P961" i="1" s="1"/>
  <c r="O962" i="1"/>
  <c r="P962" i="1" s="1"/>
  <c r="O963" i="1"/>
  <c r="P963" i="1" s="1"/>
  <c r="O964" i="1"/>
  <c r="P964" i="1" s="1"/>
  <c r="O965" i="1"/>
  <c r="O966" i="1"/>
  <c r="P966" i="1" s="1"/>
  <c r="O967" i="1"/>
  <c r="P967" i="1" s="1"/>
  <c r="N924" i="1"/>
  <c r="O924" i="1"/>
  <c r="P924" i="1" s="1"/>
  <c r="N925" i="1"/>
  <c r="O925" i="1"/>
  <c r="P925" i="1" s="1"/>
  <c r="N926" i="1"/>
  <c r="O926" i="1"/>
  <c r="P926" i="1" s="1"/>
  <c r="N927" i="1"/>
  <c r="O927" i="1"/>
  <c r="P927" i="1" s="1"/>
  <c r="N928" i="1"/>
  <c r="P928" i="1" s="1"/>
  <c r="O928" i="1"/>
  <c r="N929" i="1"/>
  <c r="O929" i="1"/>
  <c r="P929" i="1" s="1"/>
  <c r="N930" i="1"/>
  <c r="O930" i="1"/>
  <c r="P930" i="1" s="1"/>
  <c r="N931" i="1"/>
  <c r="O931" i="1"/>
  <c r="P931" i="1" s="1"/>
  <c r="N932" i="1"/>
  <c r="O932" i="1"/>
  <c r="P932" i="1" s="1"/>
  <c r="N933" i="1"/>
  <c r="O933" i="1"/>
  <c r="P933" i="1" s="1"/>
  <c r="N934" i="1"/>
  <c r="O934" i="1"/>
  <c r="P934" i="1" s="1"/>
  <c r="N935" i="1"/>
  <c r="O935" i="1"/>
  <c r="P935" i="1" s="1"/>
  <c r="N936" i="1"/>
  <c r="O936" i="1"/>
  <c r="P936" i="1" s="1"/>
  <c r="N937" i="1"/>
  <c r="O937" i="1"/>
  <c r="P937" i="1" s="1"/>
  <c r="N938" i="1"/>
  <c r="O938" i="1"/>
  <c r="P938" i="1" s="1"/>
  <c r="N939" i="1"/>
  <c r="O939" i="1"/>
  <c r="P939" i="1" s="1"/>
  <c r="N940" i="1"/>
  <c r="O940" i="1"/>
  <c r="P940" i="1" s="1"/>
  <c r="N941" i="1"/>
  <c r="O941" i="1"/>
  <c r="P941" i="1" s="1"/>
  <c r="N942" i="1"/>
  <c r="O942" i="1"/>
  <c r="P942" i="1" s="1"/>
  <c r="N943" i="1"/>
  <c r="O943" i="1"/>
  <c r="P943" i="1" s="1"/>
  <c r="N944" i="1"/>
  <c r="O944" i="1"/>
  <c r="P944" i="1" s="1"/>
  <c r="N945" i="1"/>
  <c r="O945" i="1"/>
  <c r="P945" i="1" s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N911" i="1"/>
  <c r="O911" i="1"/>
  <c r="P911" i="1" s="1"/>
  <c r="N912" i="1"/>
  <c r="P912" i="1" s="1"/>
  <c r="O912" i="1"/>
  <c r="N913" i="1"/>
  <c r="P913" i="1" s="1"/>
  <c r="O913" i="1"/>
  <c r="N914" i="1"/>
  <c r="O914" i="1"/>
  <c r="P914" i="1" s="1"/>
  <c r="N915" i="1"/>
  <c r="P915" i="1" s="1"/>
  <c r="O915" i="1"/>
  <c r="N916" i="1"/>
  <c r="P916" i="1" s="1"/>
  <c r="O916" i="1"/>
  <c r="N917" i="1"/>
  <c r="P917" i="1" s="1"/>
  <c r="O917" i="1"/>
  <c r="N918" i="1"/>
  <c r="O918" i="1"/>
  <c r="P918" i="1" s="1"/>
  <c r="N919" i="1"/>
  <c r="O919" i="1"/>
  <c r="P919" i="1" s="1"/>
  <c r="N920" i="1"/>
  <c r="O920" i="1"/>
  <c r="P920" i="1" s="1"/>
  <c r="N921" i="1"/>
  <c r="P921" i="1" s="1"/>
  <c r="O921" i="1"/>
  <c r="N922" i="1"/>
  <c r="O922" i="1"/>
  <c r="P922" i="1" s="1"/>
  <c r="N923" i="1"/>
  <c r="P923" i="1" s="1"/>
  <c r="O923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N891" i="1"/>
  <c r="O891" i="1"/>
  <c r="P891" i="1" s="1"/>
  <c r="N892" i="1"/>
  <c r="O892" i="1"/>
  <c r="P892" i="1" s="1"/>
  <c r="N893" i="1"/>
  <c r="P893" i="1" s="1"/>
  <c r="O893" i="1"/>
  <c r="N894" i="1"/>
  <c r="O894" i="1"/>
  <c r="P894" i="1" s="1"/>
  <c r="N895" i="1"/>
  <c r="O895" i="1"/>
  <c r="P895" i="1" s="1"/>
  <c r="N896" i="1"/>
  <c r="O896" i="1"/>
  <c r="P896" i="1" s="1"/>
  <c r="N897" i="1"/>
  <c r="O897" i="1"/>
  <c r="P897" i="1" s="1"/>
  <c r="N898" i="1"/>
  <c r="O898" i="1"/>
  <c r="P898" i="1" s="1"/>
  <c r="N899" i="1"/>
  <c r="P899" i="1" s="1"/>
  <c r="O899" i="1"/>
  <c r="N900" i="1"/>
  <c r="O900" i="1"/>
  <c r="P900" i="1" s="1"/>
  <c r="N901" i="1"/>
  <c r="O901" i="1"/>
  <c r="P901" i="1" s="1"/>
  <c r="N902" i="1"/>
  <c r="O902" i="1"/>
  <c r="P902" i="1" s="1"/>
  <c r="N903" i="1"/>
  <c r="O903" i="1"/>
  <c r="P903" i="1" s="1"/>
  <c r="N904" i="1"/>
  <c r="O904" i="1"/>
  <c r="P904" i="1" s="1"/>
  <c r="N905" i="1"/>
  <c r="O905" i="1"/>
  <c r="P905" i="1" s="1"/>
  <c r="N906" i="1"/>
  <c r="O906" i="1"/>
  <c r="P906" i="1" s="1"/>
  <c r="N907" i="1"/>
  <c r="O907" i="1"/>
  <c r="P907" i="1" s="1"/>
  <c r="N908" i="1"/>
  <c r="O908" i="1"/>
  <c r="P908" i="1" s="1"/>
  <c r="N909" i="1"/>
  <c r="P909" i="1" s="1"/>
  <c r="O909" i="1"/>
  <c r="N910" i="1"/>
  <c r="P910" i="1" s="1"/>
  <c r="O910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K696" i="1"/>
  <c r="N696" i="1"/>
  <c r="P696" i="1" s="1"/>
  <c r="O696" i="1"/>
  <c r="K697" i="1"/>
  <c r="N697" i="1"/>
  <c r="P697" i="1" s="1"/>
  <c r="O697" i="1"/>
  <c r="K698" i="1"/>
  <c r="N698" i="1"/>
  <c r="O698" i="1"/>
  <c r="P698" i="1" s="1"/>
  <c r="K699" i="1"/>
  <c r="N699" i="1"/>
  <c r="O699" i="1"/>
  <c r="P699" i="1" s="1"/>
  <c r="K700" i="1"/>
  <c r="N700" i="1"/>
  <c r="O700" i="1"/>
  <c r="P700" i="1" s="1"/>
  <c r="K701" i="1"/>
  <c r="N701" i="1"/>
  <c r="O701" i="1"/>
  <c r="P701" i="1" s="1"/>
  <c r="K702" i="1"/>
  <c r="N702" i="1"/>
  <c r="O702" i="1"/>
  <c r="P702" i="1" s="1"/>
  <c r="K703" i="1"/>
  <c r="N703" i="1"/>
  <c r="O703" i="1"/>
  <c r="P703" i="1" s="1"/>
  <c r="K704" i="1"/>
  <c r="N704" i="1"/>
  <c r="O704" i="1"/>
  <c r="P704" i="1" s="1"/>
  <c r="K705" i="1"/>
  <c r="N705" i="1"/>
  <c r="O705" i="1"/>
  <c r="P705" i="1" s="1"/>
  <c r="K706" i="1"/>
  <c r="N706" i="1"/>
  <c r="O706" i="1"/>
  <c r="P706" i="1" s="1"/>
  <c r="K707" i="1"/>
  <c r="N707" i="1"/>
  <c r="O707" i="1"/>
  <c r="P707" i="1" s="1"/>
  <c r="K708" i="1"/>
  <c r="N708" i="1"/>
  <c r="O708" i="1"/>
  <c r="P708" i="1" s="1"/>
  <c r="K709" i="1"/>
  <c r="N709" i="1"/>
  <c r="O709" i="1"/>
  <c r="P709" i="1" s="1"/>
  <c r="K710" i="1"/>
  <c r="N710" i="1"/>
  <c r="O710" i="1"/>
  <c r="P710" i="1" s="1"/>
  <c r="K711" i="1"/>
  <c r="N711" i="1"/>
  <c r="O711" i="1"/>
  <c r="P711" i="1" s="1"/>
  <c r="K712" i="1"/>
  <c r="N712" i="1"/>
  <c r="P712" i="1" s="1"/>
  <c r="O712" i="1"/>
  <c r="K713" i="1"/>
  <c r="N713" i="1"/>
  <c r="O713" i="1"/>
  <c r="P713" i="1" s="1"/>
  <c r="K714" i="1"/>
  <c r="N714" i="1"/>
  <c r="O714" i="1"/>
  <c r="P714" i="1" s="1"/>
  <c r="K715" i="1"/>
  <c r="N715" i="1"/>
  <c r="O715" i="1"/>
  <c r="P715" i="1" s="1"/>
  <c r="K716" i="1"/>
  <c r="N716" i="1"/>
  <c r="O716" i="1"/>
  <c r="P716" i="1" s="1"/>
  <c r="K717" i="1"/>
  <c r="N717" i="1"/>
  <c r="P717" i="1" s="1"/>
  <c r="O717" i="1"/>
  <c r="K718" i="1"/>
  <c r="N718" i="1"/>
  <c r="O718" i="1"/>
  <c r="P718" i="1" s="1"/>
  <c r="K719" i="1"/>
  <c r="N719" i="1"/>
  <c r="P719" i="1" s="1"/>
  <c r="O719" i="1"/>
  <c r="K720" i="1"/>
  <c r="N720" i="1"/>
  <c r="O720" i="1"/>
  <c r="P720" i="1" s="1"/>
  <c r="K721" i="1"/>
  <c r="N721" i="1"/>
  <c r="O721" i="1"/>
  <c r="P721" i="1" s="1"/>
  <c r="K722" i="1"/>
  <c r="N722" i="1"/>
  <c r="O722" i="1"/>
  <c r="P722" i="1" s="1"/>
  <c r="K723" i="1"/>
  <c r="N723" i="1"/>
  <c r="O723" i="1"/>
  <c r="P723" i="1" s="1"/>
  <c r="K724" i="1"/>
  <c r="N724" i="1"/>
  <c r="O724" i="1"/>
  <c r="P724" i="1" s="1"/>
  <c r="K725" i="1"/>
  <c r="N725" i="1"/>
  <c r="O725" i="1"/>
  <c r="P725" i="1" s="1"/>
  <c r="K726" i="1"/>
  <c r="N726" i="1"/>
  <c r="O726" i="1"/>
  <c r="P726" i="1" s="1"/>
  <c r="K727" i="1"/>
  <c r="N727" i="1"/>
  <c r="P727" i="1" s="1"/>
  <c r="O727" i="1"/>
  <c r="K728" i="1"/>
  <c r="N728" i="1"/>
  <c r="P728" i="1" s="1"/>
  <c r="O728" i="1"/>
  <c r="K729" i="1"/>
  <c r="N729" i="1"/>
  <c r="O729" i="1"/>
  <c r="P729" i="1" s="1"/>
  <c r="K730" i="1"/>
  <c r="N730" i="1"/>
  <c r="O730" i="1"/>
  <c r="P730" i="1" s="1"/>
  <c r="K731" i="1"/>
  <c r="N731" i="1"/>
  <c r="P731" i="1" s="1"/>
  <c r="O731" i="1"/>
  <c r="K732" i="1"/>
  <c r="N732" i="1"/>
  <c r="O732" i="1"/>
  <c r="P732" i="1" s="1"/>
  <c r="K733" i="1"/>
  <c r="N733" i="1"/>
  <c r="P733" i="1" s="1"/>
  <c r="O733" i="1"/>
  <c r="K734" i="1"/>
  <c r="N734" i="1"/>
  <c r="O734" i="1"/>
  <c r="P734" i="1" s="1"/>
  <c r="K735" i="1"/>
  <c r="N735" i="1"/>
  <c r="O735" i="1"/>
  <c r="P735" i="1" s="1"/>
  <c r="K736" i="1"/>
  <c r="N736" i="1"/>
  <c r="O736" i="1"/>
  <c r="P736" i="1" s="1"/>
  <c r="K737" i="1"/>
  <c r="N737" i="1"/>
  <c r="O737" i="1"/>
  <c r="P737" i="1" s="1"/>
  <c r="K738" i="1"/>
  <c r="N738" i="1"/>
  <c r="O738" i="1"/>
  <c r="P738" i="1" s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O744" i="1"/>
  <c r="P744" i="1" s="1"/>
  <c r="K745" i="1"/>
  <c r="N745" i="1"/>
  <c r="O745" i="1"/>
  <c r="P745" i="1" s="1"/>
  <c r="K746" i="1"/>
  <c r="N746" i="1"/>
  <c r="O746" i="1"/>
  <c r="P746" i="1" s="1"/>
  <c r="K747" i="1"/>
  <c r="N747" i="1"/>
  <c r="P747" i="1" s="1"/>
  <c r="O747" i="1"/>
  <c r="K748" i="1"/>
  <c r="N748" i="1"/>
  <c r="O748" i="1"/>
  <c r="P748" i="1" s="1"/>
  <c r="K749" i="1"/>
  <c r="N749" i="1"/>
  <c r="O749" i="1"/>
  <c r="P749" i="1" s="1"/>
  <c r="K750" i="1"/>
  <c r="N750" i="1"/>
  <c r="O750" i="1"/>
  <c r="P750" i="1" s="1"/>
  <c r="K751" i="1"/>
  <c r="N751" i="1"/>
  <c r="P751" i="1" s="1"/>
  <c r="O751" i="1"/>
  <c r="K752" i="1"/>
  <c r="N752" i="1"/>
  <c r="O752" i="1"/>
  <c r="P752" i="1" s="1"/>
  <c r="K753" i="1"/>
  <c r="N753" i="1"/>
  <c r="O753" i="1"/>
  <c r="P753" i="1" s="1"/>
  <c r="K754" i="1"/>
  <c r="N754" i="1"/>
  <c r="O754" i="1"/>
  <c r="P754" i="1" s="1"/>
  <c r="K755" i="1"/>
  <c r="N755" i="1"/>
  <c r="O755" i="1"/>
  <c r="P755" i="1" s="1"/>
  <c r="K756" i="1"/>
  <c r="N756" i="1"/>
  <c r="O756" i="1"/>
  <c r="P756" i="1" s="1"/>
  <c r="K757" i="1"/>
  <c r="N757" i="1"/>
  <c r="O757" i="1"/>
  <c r="P757" i="1" s="1"/>
  <c r="K758" i="1"/>
  <c r="N758" i="1"/>
  <c r="O758" i="1"/>
  <c r="P758" i="1" s="1"/>
  <c r="K759" i="1"/>
  <c r="N759" i="1"/>
  <c r="P759" i="1" s="1"/>
  <c r="O759" i="1"/>
  <c r="K760" i="1"/>
  <c r="N760" i="1"/>
  <c r="P760" i="1" s="1"/>
  <c r="O760" i="1"/>
  <c r="K761" i="1"/>
  <c r="N761" i="1"/>
  <c r="P761" i="1" s="1"/>
  <c r="O761" i="1"/>
  <c r="K762" i="1"/>
  <c r="N762" i="1"/>
  <c r="P762" i="1" s="1"/>
  <c r="O762" i="1"/>
  <c r="K763" i="1"/>
  <c r="N763" i="1"/>
  <c r="O763" i="1"/>
  <c r="P763" i="1" s="1"/>
  <c r="K764" i="1"/>
  <c r="N764" i="1"/>
  <c r="O764" i="1"/>
  <c r="P764" i="1" s="1"/>
  <c r="K765" i="1"/>
  <c r="N765" i="1"/>
  <c r="O765" i="1"/>
  <c r="P765" i="1" s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O769" i="1"/>
  <c r="P769" i="1" s="1"/>
  <c r="K770" i="1"/>
  <c r="N770" i="1"/>
  <c r="O770" i="1"/>
  <c r="P770" i="1" s="1"/>
  <c r="K771" i="1"/>
  <c r="N771" i="1"/>
  <c r="O771" i="1"/>
  <c r="P771" i="1" s="1"/>
  <c r="K772" i="1"/>
  <c r="N772" i="1"/>
  <c r="O772" i="1"/>
  <c r="P772" i="1" s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O776" i="1"/>
  <c r="P776" i="1" s="1"/>
  <c r="K777" i="1"/>
  <c r="N777" i="1"/>
  <c r="O777" i="1"/>
  <c r="P777" i="1" s="1"/>
  <c r="K778" i="1"/>
  <c r="N778" i="1"/>
  <c r="O778" i="1"/>
  <c r="P778" i="1" s="1"/>
  <c r="K779" i="1"/>
  <c r="N779" i="1"/>
  <c r="O779" i="1"/>
  <c r="P779" i="1" s="1"/>
  <c r="K780" i="1"/>
  <c r="N780" i="1"/>
  <c r="O780" i="1"/>
  <c r="P780" i="1" s="1"/>
  <c r="K781" i="1"/>
  <c r="N781" i="1"/>
  <c r="O781" i="1"/>
  <c r="P781" i="1" s="1"/>
  <c r="K782" i="1"/>
  <c r="N782" i="1"/>
  <c r="O782" i="1"/>
  <c r="P782" i="1" s="1"/>
  <c r="K783" i="1"/>
  <c r="N783" i="1"/>
  <c r="P783" i="1" s="1"/>
  <c r="O783" i="1"/>
  <c r="K784" i="1"/>
  <c r="N784" i="1"/>
  <c r="O784" i="1"/>
  <c r="P784" i="1" s="1"/>
  <c r="K785" i="1"/>
  <c r="N785" i="1"/>
  <c r="P785" i="1" s="1"/>
  <c r="O785" i="1"/>
  <c r="K786" i="1"/>
  <c r="N786" i="1"/>
  <c r="O786" i="1"/>
  <c r="P786" i="1" s="1"/>
  <c r="K787" i="1"/>
  <c r="N787" i="1"/>
  <c r="O787" i="1"/>
  <c r="P787" i="1" s="1"/>
  <c r="K788" i="1"/>
  <c r="N788" i="1"/>
  <c r="O788" i="1"/>
  <c r="P788" i="1" s="1"/>
  <c r="K789" i="1"/>
  <c r="N789" i="1"/>
  <c r="O789" i="1"/>
  <c r="P789" i="1" s="1"/>
  <c r="K790" i="1"/>
  <c r="N790" i="1"/>
  <c r="O790" i="1"/>
  <c r="P790" i="1" s="1"/>
  <c r="K791" i="1"/>
  <c r="N791" i="1"/>
  <c r="O791" i="1"/>
  <c r="P791" i="1" s="1"/>
  <c r="K792" i="1"/>
  <c r="N792" i="1"/>
  <c r="O792" i="1"/>
  <c r="P792" i="1" s="1"/>
  <c r="K793" i="1"/>
  <c r="N793" i="1"/>
  <c r="O793" i="1"/>
  <c r="P793" i="1" s="1"/>
  <c r="K794" i="1"/>
  <c r="N794" i="1"/>
  <c r="P794" i="1" s="1"/>
  <c r="O794" i="1"/>
  <c r="K795" i="1"/>
  <c r="N795" i="1"/>
  <c r="O795" i="1"/>
  <c r="P795" i="1" s="1"/>
  <c r="K796" i="1"/>
  <c r="N796" i="1"/>
  <c r="O796" i="1"/>
  <c r="P796" i="1" s="1"/>
  <c r="K797" i="1"/>
  <c r="N797" i="1"/>
  <c r="O797" i="1"/>
  <c r="P797" i="1" s="1"/>
  <c r="K798" i="1"/>
  <c r="N798" i="1"/>
  <c r="O798" i="1"/>
  <c r="P798" i="1" s="1"/>
  <c r="K799" i="1"/>
  <c r="N799" i="1"/>
  <c r="O799" i="1"/>
  <c r="P799" i="1" s="1"/>
  <c r="K800" i="1"/>
  <c r="N800" i="1"/>
  <c r="P800" i="1" s="1"/>
  <c r="O800" i="1"/>
  <c r="K801" i="1"/>
  <c r="N801" i="1"/>
  <c r="O801" i="1"/>
  <c r="P801" i="1" s="1"/>
  <c r="K802" i="1"/>
  <c r="N802" i="1"/>
  <c r="O802" i="1"/>
  <c r="P802" i="1" s="1"/>
  <c r="K803" i="1"/>
  <c r="N803" i="1"/>
  <c r="P803" i="1" s="1"/>
  <c r="O803" i="1"/>
  <c r="K804" i="1"/>
  <c r="N804" i="1"/>
  <c r="O804" i="1"/>
  <c r="P804" i="1" s="1"/>
  <c r="K805" i="1"/>
  <c r="N805" i="1"/>
  <c r="O805" i="1"/>
  <c r="P805" i="1" s="1"/>
  <c r="K806" i="1"/>
  <c r="N806" i="1"/>
  <c r="O806" i="1"/>
  <c r="P806" i="1" s="1"/>
  <c r="K807" i="1"/>
  <c r="N807" i="1"/>
  <c r="O807" i="1"/>
  <c r="P807" i="1" s="1"/>
  <c r="K808" i="1"/>
  <c r="N808" i="1"/>
  <c r="O808" i="1"/>
  <c r="P808" i="1" s="1"/>
  <c r="K809" i="1"/>
  <c r="N809" i="1"/>
  <c r="O809" i="1"/>
  <c r="P809" i="1" s="1"/>
  <c r="K810" i="1"/>
  <c r="N810" i="1"/>
  <c r="O810" i="1"/>
  <c r="P810" i="1" s="1"/>
  <c r="K811" i="1"/>
  <c r="N811" i="1"/>
  <c r="O811" i="1"/>
  <c r="P811" i="1" s="1"/>
  <c r="K812" i="1"/>
  <c r="N812" i="1"/>
  <c r="O812" i="1"/>
  <c r="P812" i="1" s="1"/>
  <c r="K813" i="1"/>
  <c r="N813" i="1"/>
  <c r="O813" i="1"/>
  <c r="P813" i="1" s="1"/>
  <c r="K814" i="1"/>
  <c r="N814" i="1"/>
  <c r="O814" i="1"/>
  <c r="P814" i="1" s="1"/>
  <c r="K815" i="1"/>
  <c r="N815" i="1"/>
  <c r="O815" i="1"/>
  <c r="P815" i="1" s="1"/>
  <c r="K816" i="1"/>
  <c r="N816" i="1"/>
  <c r="O816" i="1"/>
  <c r="P816" i="1" s="1"/>
  <c r="K817" i="1"/>
  <c r="N817" i="1"/>
  <c r="O817" i="1"/>
  <c r="P817" i="1" s="1"/>
  <c r="K818" i="1"/>
  <c r="N818" i="1"/>
  <c r="O818" i="1"/>
  <c r="P818" i="1" s="1"/>
  <c r="K819" i="1"/>
  <c r="N819" i="1"/>
  <c r="P819" i="1" s="1"/>
  <c r="O819" i="1"/>
  <c r="K820" i="1"/>
  <c r="N820" i="1"/>
  <c r="P820" i="1" s="1"/>
  <c r="O820" i="1"/>
  <c r="K821" i="1"/>
  <c r="N821" i="1"/>
  <c r="O821" i="1"/>
  <c r="P821" i="1" s="1"/>
  <c r="K822" i="1"/>
  <c r="N822" i="1"/>
  <c r="O822" i="1"/>
  <c r="P822" i="1" s="1"/>
  <c r="K823" i="1"/>
  <c r="N823" i="1"/>
  <c r="O823" i="1"/>
  <c r="P823" i="1" s="1"/>
  <c r="K824" i="1"/>
  <c r="N824" i="1"/>
  <c r="O824" i="1"/>
  <c r="P824" i="1" s="1"/>
  <c r="K825" i="1"/>
  <c r="N825" i="1"/>
  <c r="P825" i="1" s="1"/>
  <c r="O825" i="1"/>
  <c r="K826" i="1"/>
  <c r="N826" i="1"/>
  <c r="P826" i="1" s="1"/>
  <c r="O826" i="1"/>
  <c r="K827" i="1"/>
  <c r="N827" i="1"/>
  <c r="P827" i="1" s="1"/>
  <c r="O827" i="1"/>
  <c r="K828" i="1"/>
  <c r="N828" i="1"/>
  <c r="P828" i="1" s="1"/>
  <c r="O828" i="1"/>
  <c r="K829" i="1"/>
  <c r="N829" i="1"/>
  <c r="P829" i="1" s="1"/>
  <c r="O829" i="1"/>
  <c r="K830" i="1"/>
  <c r="N830" i="1"/>
  <c r="O830" i="1"/>
  <c r="P830" i="1" s="1"/>
  <c r="K831" i="1"/>
  <c r="N831" i="1"/>
  <c r="O831" i="1"/>
  <c r="P831" i="1" s="1"/>
  <c r="K832" i="1"/>
  <c r="N832" i="1"/>
  <c r="P832" i="1" s="1"/>
  <c r="O832" i="1"/>
  <c r="K833" i="1"/>
  <c r="N833" i="1"/>
  <c r="O833" i="1"/>
  <c r="P833" i="1" s="1"/>
  <c r="K834" i="1"/>
  <c r="N834" i="1"/>
  <c r="P834" i="1" s="1"/>
  <c r="O834" i="1"/>
  <c r="K835" i="1"/>
  <c r="N835" i="1"/>
  <c r="O835" i="1"/>
  <c r="P835" i="1" s="1"/>
  <c r="K836" i="1"/>
  <c r="N836" i="1"/>
  <c r="O836" i="1"/>
  <c r="P836" i="1" s="1"/>
  <c r="K837" i="1"/>
  <c r="N837" i="1"/>
  <c r="P837" i="1" s="1"/>
  <c r="O837" i="1"/>
  <c r="K838" i="1"/>
  <c r="N838" i="1"/>
  <c r="P838" i="1" s="1"/>
  <c r="O838" i="1"/>
  <c r="K839" i="1"/>
  <c r="N839" i="1"/>
  <c r="P839" i="1" s="1"/>
  <c r="O839" i="1"/>
  <c r="K840" i="1"/>
  <c r="N840" i="1"/>
  <c r="O840" i="1"/>
  <c r="P840" i="1" s="1"/>
  <c r="K841" i="1"/>
  <c r="N841" i="1"/>
  <c r="O841" i="1"/>
  <c r="P841" i="1" s="1"/>
  <c r="K842" i="1"/>
  <c r="N842" i="1"/>
  <c r="O842" i="1"/>
  <c r="P842" i="1" s="1"/>
  <c r="K843" i="1"/>
  <c r="N843" i="1"/>
  <c r="O843" i="1"/>
  <c r="P843" i="1" s="1"/>
  <c r="K844" i="1"/>
  <c r="N844" i="1"/>
  <c r="O844" i="1"/>
  <c r="P844" i="1" s="1"/>
  <c r="K845" i="1"/>
  <c r="N845" i="1"/>
  <c r="O845" i="1"/>
  <c r="P845" i="1" s="1"/>
  <c r="K846" i="1"/>
  <c r="N846" i="1"/>
  <c r="O846" i="1"/>
  <c r="P846" i="1" s="1"/>
  <c r="K847" i="1"/>
  <c r="N847" i="1"/>
  <c r="O847" i="1"/>
  <c r="P847" i="1" s="1"/>
  <c r="K848" i="1"/>
  <c r="N848" i="1"/>
  <c r="O848" i="1"/>
  <c r="P848" i="1" s="1"/>
  <c r="K849" i="1"/>
  <c r="N849" i="1"/>
  <c r="O849" i="1"/>
  <c r="P849" i="1" s="1"/>
  <c r="K850" i="1"/>
  <c r="N850" i="1"/>
  <c r="O850" i="1"/>
  <c r="P850" i="1" s="1"/>
  <c r="K851" i="1"/>
  <c r="N851" i="1"/>
  <c r="O851" i="1"/>
  <c r="P851" i="1" s="1"/>
  <c r="K852" i="1"/>
  <c r="N852" i="1"/>
  <c r="P852" i="1" s="1"/>
  <c r="O852" i="1"/>
  <c r="K853" i="1"/>
  <c r="N853" i="1"/>
  <c r="P853" i="1" s="1"/>
  <c r="O853" i="1"/>
  <c r="K854" i="1"/>
  <c r="N854" i="1"/>
  <c r="O854" i="1"/>
  <c r="P854" i="1" s="1"/>
  <c r="K855" i="1"/>
  <c r="N855" i="1"/>
  <c r="O855" i="1"/>
  <c r="P855" i="1" s="1"/>
  <c r="K856" i="1"/>
  <c r="N856" i="1"/>
  <c r="O856" i="1"/>
  <c r="P856" i="1" s="1"/>
  <c r="K857" i="1"/>
  <c r="N857" i="1"/>
  <c r="P857" i="1" s="1"/>
  <c r="O857" i="1"/>
  <c r="K858" i="1"/>
  <c r="N858" i="1"/>
  <c r="O858" i="1"/>
  <c r="P858" i="1" s="1"/>
  <c r="K859" i="1"/>
  <c r="N859" i="1"/>
  <c r="P859" i="1" s="1"/>
  <c r="O859" i="1"/>
  <c r="K860" i="1"/>
  <c r="N860" i="1"/>
  <c r="O860" i="1"/>
  <c r="P860" i="1" s="1"/>
  <c r="K861" i="1"/>
  <c r="N861" i="1"/>
  <c r="O861" i="1"/>
  <c r="P861" i="1" s="1"/>
  <c r="K862" i="1"/>
  <c r="N862" i="1"/>
  <c r="P862" i="1" s="1"/>
  <c r="O862" i="1"/>
  <c r="K863" i="1"/>
  <c r="N863" i="1"/>
  <c r="O863" i="1"/>
  <c r="P863" i="1" s="1"/>
  <c r="K864" i="1"/>
  <c r="N864" i="1"/>
  <c r="O864" i="1"/>
  <c r="P864" i="1" s="1"/>
  <c r="K865" i="1"/>
  <c r="N865" i="1"/>
  <c r="O865" i="1"/>
  <c r="P865" i="1" s="1"/>
  <c r="K866" i="1"/>
  <c r="N866" i="1"/>
  <c r="O866" i="1"/>
  <c r="P866" i="1" s="1"/>
  <c r="K867" i="1"/>
  <c r="N867" i="1"/>
  <c r="P867" i="1" s="1"/>
  <c r="O867" i="1"/>
  <c r="K868" i="1"/>
  <c r="N868" i="1"/>
  <c r="P868" i="1" s="1"/>
  <c r="O868" i="1"/>
  <c r="K869" i="1"/>
  <c r="N869" i="1"/>
  <c r="O869" i="1"/>
  <c r="P869" i="1" s="1"/>
  <c r="K870" i="1"/>
  <c r="N870" i="1"/>
  <c r="O870" i="1"/>
  <c r="P870" i="1" s="1"/>
  <c r="K871" i="1"/>
  <c r="N871" i="1"/>
  <c r="O871" i="1"/>
  <c r="P871" i="1" s="1"/>
  <c r="K872" i="1"/>
  <c r="N872" i="1"/>
  <c r="O872" i="1"/>
  <c r="P872" i="1" s="1"/>
  <c r="K873" i="1"/>
  <c r="N873" i="1"/>
  <c r="O873" i="1"/>
  <c r="P873" i="1" s="1"/>
  <c r="K874" i="1"/>
  <c r="N874" i="1"/>
  <c r="O874" i="1"/>
  <c r="P874" i="1" s="1"/>
  <c r="K875" i="1"/>
  <c r="N875" i="1"/>
  <c r="O875" i="1"/>
  <c r="P875" i="1" s="1"/>
  <c r="K876" i="1"/>
  <c r="N876" i="1"/>
  <c r="O876" i="1"/>
  <c r="P876" i="1" s="1"/>
  <c r="K877" i="1"/>
  <c r="N877" i="1"/>
  <c r="O877" i="1"/>
  <c r="P877" i="1" s="1"/>
  <c r="K878" i="1"/>
  <c r="N878" i="1"/>
  <c r="P878" i="1" s="1"/>
  <c r="O878" i="1"/>
  <c r="K879" i="1"/>
  <c r="N879" i="1"/>
  <c r="O879" i="1"/>
  <c r="P879" i="1" s="1"/>
  <c r="K880" i="1"/>
  <c r="N880" i="1"/>
  <c r="O880" i="1"/>
  <c r="P880" i="1" s="1"/>
  <c r="K881" i="1"/>
  <c r="N881" i="1"/>
  <c r="P881" i="1" s="1"/>
  <c r="O881" i="1"/>
  <c r="K882" i="1"/>
  <c r="N882" i="1"/>
  <c r="O882" i="1"/>
  <c r="P882" i="1" s="1"/>
  <c r="K883" i="1"/>
  <c r="N883" i="1"/>
  <c r="O883" i="1"/>
  <c r="P883" i="1" s="1"/>
  <c r="K884" i="1"/>
  <c r="N884" i="1"/>
  <c r="O884" i="1"/>
  <c r="P884" i="1" s="1"/>
  <c r="K885" i="1"/>
  <c r="N885" i="1"/>
  <c r="P885" i="1" s="1"/>
  <c r="O885" i="1"/>
  <c r="K886" i="1"/>
  <c r="N886" i="1"/>
  <c r="P886" i="1" s="1"/>
  <c r="O886" i="1"/>
  <c r="K887" i="1"/>
  <c r="N887" i="1"/>
  <c r="O887" i="1"/>
  <c r="P887" i="1" s="1"/>
  <c r="K888" i="1"/>
  <c r="N888" i="1"/>
  <c r="O888" i="1"/>
  <c r="P888" i="1" s="1"/>
  <c r="K889" i="1"/>
  <c r="N889" i="1"/>
  <c r="O889" i="1"/>
  <c r="P889" i="1" s="1"/>
  <c r="K890" i="1"/>
  <c r="N890" i="1"/>
  <c r="O890" i="1"/>
  <c r="P890" i="1" s="1"/>
  <c r="K891" i="1"/>
  <c r="K892" i="1"/>
  <c r="K671" i="1"/>
  <c r="N671" i="1"/>
  <c r="O671" i="1"/>
  <c r="P671" i="1" s="1"/>
  <c r="K672" i="1"/>
  <c r="N672" i="1"/>
  <c r="O672" i="1"/>
  <c r="P672" i="1" s="1"/>
  <c r="K673" i="1"/>
  <c r="N673" i="1"/>
  <c r="O673" i="1"/>
  <c r="P673" i="1" s="1"/>
  <c r="K674" i="1"/>
  <c r="N674" i="1"/>
  <c r="O674" i="1"/>
  <c r="P674" i="1" s="1"/>
  <c r="K675" i="1"/>
  <c r="N675" i="1"/>
  <c r="O675" i="1"/>
  <c r="P675" i="1" s="1"/>
  <c r="K676" i="1"/>
  <c r="N676" i="1"/>
  <c r="O676" i="1"/>
  <c r="P676" i="1" s="1"/>
  <c r="K677" i="1"/>
  <c r="N677" i="1"/>
  <c r="O677" i="1"/>
  <c r="P677" i="1" s="1"/>
  <c r="K678" i="1"/>
  <c r="N678" i="1"/>
  <c r="O678" i="1"/>
  <c r="P678" i="1" s="1"/>
  <c r="K679" i="1"/>
  <c r="N679" i="1"/>
  <c r="O679" i="1"/>
  <c r="P679" i="1" s="1"/>
  <c r="K680" i="1"/>
  <c r="N680" i="1"/>
  <c r="O680" i="1"/>
  <c r="P680" i="1" s="1"/>
  <c r="K681" i="1"/>
  <c r="N681" i="1"/>
  <c r="O681" i="1"/>
  <c r="P681" i="1" s="1"/>
  <c r="K682" i="1"/>
  <c r="N682" i="1"/>
  <c r="O682" i="1"/>
  <c r="P682" i="1" s="1"/>
  <c r="K683" i="1"/>
  <c r="N683" i="1"/>
  <c r="O683" i="1"/>
  <c r="P683" i="1" s="1"/>
  <c r="K684" i="1"/>
  <c r="N684" i="1"/>
  <c r="O684" i="1"/>
  <c r="P684" i="1" s="1"/>
  <c r="K685" i="1"/>
  <c r="N685" i="1"/>
  <c r="O685" i="1"/>
  <c r="P685" i="1" s="1"/>
  <c r="K686" i="1"/>
  <c r="N686" i="1"/>
  <c r="O686" i="1"/>
  <c r="P686" i="1" s="1"/>
  <c r="K687" i="1"/>
  <c r="N687" i="1"/>
  <c r="O687" i="1"/>
  <c r="P687" i="1" s="1"/>
  <c r="K688" i="1"/>
  <c r="N688" i="1"/>
  <c r="O688" i="1"/>
  <c r="P688" i="1" s="1"/>
  <c r="K689" i="1"/>
  <c r="N689" i="1"/>
  <c r="O689" i="1"/>
  <c r="P689" i="1" s="1"/>
  <c r="K690" i="1"/>
  <c r="N690" i="1"/>
  <c r="P690" i="1" s="1"/>
  <c r="O690" i="1"/>
  <c r="K691" i="1"/>
  <c r="N691" i="1"/>
  <c r="P691" i="1" s="1"/>
  <c r="O691" i="1"/>
  <c r="K692" i="1"/>
  <c r="N692" i="1"/>
  <c r="O692" i="1"/>
  <c r="P692" i="1" s="1"/>
  <c r="K693" i="1"/>
  <c r="N693" i="1"/>
  <c r="O693" i="1"/>
  <c r="P693" i="1" s="1"/>
  <c r="K694" i="1"/>
  <c r="N694" i="1"/>
  <c r="O694" i="1"/>
  <c r="P694" i="1" s="1"/>
  <c r="K695" i="1"/>
  <c r="N695" i="1"/>
  <c r="O695" i="1"/>
  <c r="P695" i="1" s="1"/>
  <c r="I860" i="1"/>
  <c r="I861" i="1"/>
  <c r="I794" i="1"/>
  <c r="I725" i="1"/>
  <c r="I790" i="1"/>
  <c r="I791" i="1"/>
  <c r="I753" i="1"/>
  <c r="I754" i="1"/>
  <c r="I755" i="1"/>
  <c r="I726" i="1"/>
  <c r="I695" i="1"/>
  <c r="C860" i="1"/>
  <c r="C861" i="1"/>
  <c r="C794" i="1"/>
  <c r="C725" i="1"/>
  <c r="C790" i="1"/>
  <c r="C791" i="1"/>
  <c r="C753" i="1"/>
  <c r="C754" i="1"/>
  <c r="C755" i="1"/>
  <c r="C726" i="1"/>
  <c r="C695" i="1"/>
  <c r="E860" i="1"/>
  <c r="E861" i="1"/>
  <c r="E794" i="1"/>
  <c r="E725" i="1"/>
  <c r="E790" i="1"/>
  <c r="E791" i="1"/>
  <c r="E753" i="1"/>
  <c r="E754" i="1"/>
  <c r="E755" i="1"/>
  <c r="E726" i="1"/>
  <c r="E695" i="1"/>
  <c r="H860" i="1"/>
  <c r="H861" i="1"/>
  <c r="H794" i="1"/>
  <c r="H725" i="1"/>
  <c r="H790" i="1"/>
  <c r="H791" i="1"/>
  <c r="H753" i="1"/>
  <c r="H754" i="1"/>
  <c r="H755" i="1"/>
  <c r="H726" i="1"/>
  <c r="H695" i="1"/>
  <c r="K669" i="1"/>
  <c r="I870" i="1"/>
  <c r="I871" i="1"/>
  <c r="I872" i="1"/>
  <c r="I873" i="1"/>
  <c r="I874" i="1"/>
  <c r="I875" i="1"/>
  <c r="I876" i="1"/>
  <c r="I877" i="1"/>
  <c r="I881" i="1"/>
  <c r="I882" i="1"/>
  <c r="I883" i="1"/>
  <c r="I884" i="1"/>
  <c r="I878" i="1"/>
  <c r="I879" i="1"/>
  <c r="I880" i="1"/>
  <c r="I885" i="1"/>
  <c r="I886" i="1"/>
  <c r="I887" i="1"/>
  <c r="I888" i="1"/>
  <c r="I889" i="1"/>
  <c r="I890" i="1"/>
  <c r="I891" i="1"/>
  <c r="I892" i="1"/>
  <c r="C869" i="1"/>
  <c r="C870" i="1"/>
  <c r="C871" i="1"/>
  <c r="C872" i="1"/>
  <c r="C873" i="1"/>
  <c r="C874" i="1"/>
  <c r="C875" i="1"/>
  <c r="C876" i="1"/>
  <c r="C877" i="1"/>
  <c r="C881" i="1"/>
  <c r="C882" i="1"/>
  <c r="C883" i="1"/>
  <c r="C884" i="1"/>
  <c r="C878" i="1"/>
  <c r="C879" i="1"/>
  <c r="C880" i="1"/>
  <c r="C885" i="1"/>
  <c r="C886" i="1"/>
  <c r="C887" i="1"/>
  <c r="C888" i="1"/>
  <c r="C889" i="1"/>
  <c r="C890" i="1"/>
  <c r="C891" i="1"/>
  <c r="C892" i="1"/>
  <c r="E870" i="1"/>
  <c r="E871" i="1"/>
  <c r="E872" i="1"/>
  <c r="E873" i="1"/>
  <c r="E874" i="1"/>
  <c r="E875" i="1"/>
  <c r="E876" i="1"/>
  <c r="E877" i="1"/>
  <c r="E881" i="1"/>
  <c r="E882" i="1"/>
  <c r="E883" i="1"/>
  <c r="E884" i="1"/>
  <c r="E878" i="1"/>
  <c r="E879" i="1"/>
  <c r="E880" i="1"/>
  <c r="E885" i="1"/>
  <c r="E886" i="1"/>
  <c r="E887" i="1"/>
  <c r="E888" i="1"/>
  <c r="E889" i="1"/>
  <c r="E890" i="1"/>
  <c r="E891" i="1"/>
  <c r="E892" i="1"/>
  <c r="H870" i="1"/>
  <c r="H871" i="1"/>
  <c r="H872" i="1"/>
  <c r="H873" i="1"/>
  <c r="H874" i="1"/>
  <c r="H875" i="1"/>
  <c r="H876" i="1"/>
  <c r="H877" i="1"/>
  <c r="H881" i="1"/>
  <c r="H882" i="1"/>
  <c r="H883" i="1"/>
  <c r="H884" i="1"/>
  <c r="H878" i="1"/>
  <c r="H879" i="1"/>
  <c r="H880" i="1"/>
  <c r="H885" i="1"/>
  <c r="H886" i="1"/>
  <c r="H887" i="1"/>
  <c r="H888" i="1"/>
  <c r="H889" i="1"/>
  <c r="H890" i="1"/>
  <c r="H891" i="1"/>
  <c r="H892" i="1"/>
  <c r="E869" i="1"/>
  <c r="H869" i="1"/>
  <c r="I862" i="1"/>
  <c r="I863" i="1"/>
  <c r="I864" i="1"/>
  <c r="I865" i="1"/>
  <c r="I866" i="1"/>
  <c r="I867" i="1"/>
  <c r="I868" i="1"/>
  <c r="I869" i="1"/>
  <c r="E868" i="1"/>
  <c r="C862" i="1"/>
  <c r="C863" i="1"/>
  <c r="C864" i="1"/>
  <c r="C865" i="1"/>
  <c r="C866" i="1"/>
  <c r="C867" i="1"/>
  <c r="C868" i="1"/>
  <c r="E862" i="1"/>
  <c r="E863" i="1"/>
  <c r="E864" i="1"/>
  <c r="E865" i="1"/>
  <c r="E866" i="1"/>
  <c r="E867" i="1"/>
  <c r="H862" i="1"/>
  <c r="H863" i="1"/>
  <c r="H864" i="1"/>
  <c r="H865" i="1"/>
  <c r="H866" i="1"/>
  <c r="H867" i="1"/>
  <c r="H868" i="1"/>
  <c r="I849" i="1"/>
  <c r="I850" i="1"/>
  <c r="I851" i="1"/>
  <c r="I852" i="1"/>
  <c r="I853" i="1"/>
  <c r="I854" i="1"/>
  <c r="I855" i="1"/>
  <c r="I856" i="1"/>
  <c r="I857" i="1"/>
  <c r="I858" i="1"/>
  <c r="I859" i="1"/>
  <c r="C850" i="1"/>
  <c r="C851" i="1"/>
  <c r="C852" i="1"/>
  <c r="C853" i="1"/>
  <c r="C854" i="1"/>
  <c r="C855" i="1"/>
  <c r="C856" i="1"/>
  <c r="C857" i="1"/>
  <c r="C858" i="1"/>
  <c r="C859" i="1"/>
  <c r="E850" i="1"/>
  <c r="E851" i="1"/>
  <c r="E852" i="1"/>
  <c r="E853" i="1"/>
  <c r="E854" i="1"/>
  <c r="E855" i="1"/>
  <c r="E856" i="1"/>
  <c r="E857" i="1"/>
  <c r="E858" i="1"/>
  <c r="E859" i="1"/>
  <c r="H850" i="1"/>
  <c r="H851" i="1"/>
  <c r="H852" i="1"/>
  <c r="H853" i="1"/>
  <c r="H854" i="1"/>
  <c r="H855" i="1"/>
  <c r="H856" i="1"/>
  <c r="H857" i="1"/>
  <c r="H858" i="1"/>
  <c r="H85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E842" i="1"/>
  <c r="E843" i="1"/>
  <c r="E844" i="1"/>
  <c r="E845" i="1"/>
  <c r="E846" i="1"/>
  <c r="E847" i="1"/>
  <c r="E848" i="1"/>
  <c r="E84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I829" i="1"/>
  <c r="C829" i="1"/>
  <c r="E829" i="1"/>
  <c r="H829" i="1"/>
  <c r="I825" i="1"/>
  <c r="I826" i="1"/>
  <c r="I827" i="1"/>
  <c r="I828" i="1"/>
  <c r="C825" i="1"/>
  <c r="C826" i="1"/>
  <c r="C827" i="1"/>
  <c r="C828" i="1"/>
  <c r="E825" i="1"/>
  <c r="E826" i="1"/>
  <c r="E827" i="1"/>
  <c r="E828" i="1"/>
  <c r="H825" i="1"/>
  <c r="H826" i="1"/>
  <c r="H827" i="1"/>
  <c r="H828" i="1"/>
  <c r="K470" i="1"/>
  <c r="N470" i="1"/>
  <c r="O470" i="1"/>
  <c r="P470" i="1" s="1"/>
  <c r="K471" i="1"/>
  <c r="N471" i="1"/>
  <c r="P471" i="1" s="1"/>
  <c r="O471" i="1"/>
  <c r="K472" i="1"/>
  <c r="N472" i="1"/>
  <c r="O472" i="1"/>
  <c r="P472" i="1" s="1"/>
  <c r="K473" i="1"/>
  <c r="N473" i="1"/>
  <c r="O473" i="1"/>
  <c r="P473" i="1" s="1"/>
  <c r="K474" i="1"/>
  <c r="N474" i="1"/>
  <c r="O474" i="1"/>
  <c r="P474" i="1" s="1"/>
  <c r="K475" i="1"/>
  <c r="N475" i="1"/>
  <c r="O475" i="1"/>
  <c r="P475" i="1" s="1"/>
  <c r="K476" i="1"/>
  <c r="N476" i="1"/>
  <c r="O476" i="1"/>
  <c r="P476" i="1" s="1"/>
  <c r="K477" i="1"/>
  <c r="N477" i="1"/>
  <c r="O477" i="1"/>
  <c r="P477" i="1" s="1"/>
  <c r="K478" i="1"/>
  <c r="N478" i="1"/>
  <c r="O478" i="1"/>
  <c r="P478" i="1" s="1"/>
  <c r="K479" i="1"/>
  <c r="N479" i="1"/>
  <c r="O479" i="1"/>
  <c r="P479" i="1" s="1"/>
  <c r="K480" i="1"/>
  <c r="N480" i="1"/>
  <c r="O480" i="1"/>
  <c r="P480" i="1" s="1"/>
  <c r="K481" i="1"/>
  <c r="N481" i="1"/>
  <c r="O481" i="1"/>
  <c r="P481" i="1" s="1"/>
  <c r="K482" i="1"/>
  <c r="N482" i="1"/>
  <c r="O482" i="1"/>
  <c r="P482" i="1" s="1"/>
  <c r="K483" i="1"/>
  <c r="N483" i="1"/>
  <c r="O483" i="1"/>
  <c r="P483" i="1" s="1"/>
  <c r="K484" i="1"/>
  <c r="N484" i="1"/>
  <c r="O484" i="1"/>
  <c r="P484" i="1" s="1"/>
  <c r="K485" i="1"/>
  <c r="N485" i="1"/>
  <c r="O485" i="1"/>
  <c r="P485" i="1" s="1"/>
  <c r="K486" i="1"/>
  <c r="N486" i="1"/>
  <c r="O486" i="1"/>
  <c r="P486" i="1" s="1"/>
  <c r="K487" i="1"/>
  <c r="N487" i="1"/>
  <c r="O487" i="1"/>
  <c r="P487" i="1" s="1"/>
  <c r="K488" i="1"/>
  <c r="N488" i="1"/>
  <c r="O488" i="1"/>
  <c r="P488" i="1" s="1"/>
  <c r="K489" i="1"/>
  <c r="N489" i="1"/>
  <c r="O489" i="1"/>
  <c r="P489" i="1" s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 s="1"/>
  <c r="K502" i="1"/>
  <c r="N502" i="1"/>
  <c r="O502" i="1"/>
  <c r="P502" i="1" s="1"/>
  <c r="K503" i="1"/>
  <c r="N503" i="1"/>
  <c r="O503" i="1"/>
  <c r="P503" i="1" s="1"/>
  <c r="K504" i="1"/>
  <c r="N504" i="1"/>
  <c r="O504" i="1"/>
  <c r="P504" i="1" s="1"/>
  <c r="K505" i="1"/>
  <c r="N505" i="1"/>
  <c r="P505" i="1" s="1"/>
  <c r="O505" i="1"/>
  <c r="K506" i="1"/>
  <c r="N506" i="1"/>
  <c r="O506" i="1"/>
  <c r="P506" i="1" s="1"/>
  <c r="K507" i="1"/>
  <c r="N507" i="1"/>
  <c r="O507" i="1"/>
  <c r="P507" i="1" s="1"/>
  <c r="K508" i="1"/>
  <c r="N508" i="1"/>
  <c r="O508" i="1"/>
  <c r="P508" i="1" s="1"/>
  <c r="K509" i="1"/>
  <c r="N509" i="1"/>
  <c r="O509" i="1"/>
  <c r="P509" i="1" s="1"/>
  <c r="K510" i="1"/>
  <c r="N510" i="1"/>
  <c r="P510" i="1" s="1"/>
  <c r="O510" i="1"/>
  <c r="K511" i="1"/>
  <c r="N511" i="1"/>
  <c r="O511" i="1"/>
  <c r="P511" i="1" s="1"/>
  <c r="K512" i="1"/>
  <c r="N512" i="1"/>
  <c r="P512" i="1" s="1"/>
  <c r="O512" i="1"/>
  <c r="K513" i="1"/>
  <c r="N513" i="1"/>
  <c r="O513" i="1"/>
  <c r="P513" i="1" s="1"/>
  <c r="K514" i="1"/>
  <c r="N514" i="1"/>
  <c r="O514" i="1"/>
  <c r="P514" i="1" s="1"/>
  <c r="K515" i="1"/>
  <c r="N515" i="1"/>
  <c r="P515" i="1" s="1"/>
  <c r="O515" i="1"/>
  <c r="K516" i="1"/>
  <c r="N516" i="1"/>
  <c r="P516" i="1" s="1"/>
  <c r="O516" i="1"/>
  <c r="K517" i="1"/>
  <c r="N517" i="1"/>
  <c r="O517" i="1"/>
  <c r="P517" i="1" s="1"/>
  <c r="K518" i="1"/>
  <c r="N518" i="1"/>
  <c r="O518" i="1"/>
  <c r="P518" i="1" s="1"/>
  <c r="K519" i="1"/>
  <c r="N519" i="1"/>
  <c r="O519" i="1"/>
  <c r="P519" i="1" s="1"/>
  <c r="K520" i="1"/>
  <c r="N520" i="1"/>
  <c r="P520" i="1" s="1"/>
  <c r="O520" i="1"/>
  <c r="K521" i="1"/>
  <c r="N521" i="1"/>
  <c r="O521" i="1"/>
  <c r="P521" i="1" s="1"/>
  <c r="K522" i="1"/>
  <c r="N522" i="1"/>
  <c r="O522" i="1"/>
  <c r="P522" i="1" s="1"/>
  <c r="K523" i="1"/>
  <c r="N523" i="1"/>
  <c r="O523" i="1"/>
  <c r="P523" i="1" s="1"/>
  <c r="K524" i="1"/>
  <c r="N524" i="1"/>
  <c r="O524" i="1"/>
  <c r="P524" i="1" s="1"/>
  <c r="K525" i="1"/>
  <c r="N525" i="1"/>
  <c r="O525" i="1"/>
  <c r="P525" i="1" s="1"/>
  <c r="K526" i="1"/>
  <c r="N526" i="1"/>
  <c r="O526" i="1"/>
  <c r="P526" i="1" s="1"/>
  <c r="K527" i="1"/>
  <c r="N527" i="1"/>
  <c r="O527" i="1"/>
  <c r="P527" i="1" s="1"/>
  <c r="K528" i="1"/>
  <c r="N528" i="1"/>
  <c r="O528" i="1"/>
  <c r="P528" i="1" s="1"/>
  <c r="K529" i="1"/>
  <c r="N529" i="1"/>
  <c r="O529" i="1"/>
  <c r="P529" i="1" s="1"/>
  <c r="K530" i="1"/>
  <c r="N530" i="1"/>
  <c r="O530" i="1"/>
  <c r="P530" i="1" s="1"/>
  <c r="K531" i="1"/>
  <c r="N531" i="1"/>
  <c r="O531" i="1"/>
  <c r="P531" i="1" s="1"/>
  <c r="K532" i="1"/>
  <c r="N532" i="1"/>
  <c r="O532" i="1"/>
  <c r="P532" i="1" s="1"/>
  <c r="K533" i="1"/>
  <c r="N533" i="1"/>
  <c r="O533" i="1"/>
  <c r="P533" i="1" s="1"/>
  <c r="K534" i="1"/>
  <c r="N534" i="1"/>
  <c r="O534" i="1"/>
  <c r="P534" i="1" s="1"/>
  <c r="K535" i="1"/>
  <c r="N535" i="1"/>
  <c r="O535" i="1"/>
  <c r="P535" i="1" s="1"/>
  <c r="K536" i="1"/>
  <c r="N536" i="1"/>
  <c r="P536" i="1" s="1"/>
  <c r="O536" i="1"/>
  <c r="K537" i="1"/>
  <c r="N537" i="1"/>
  <c r="O537" i="1"/>
  <c r="P537" i="1" s="1"/>
  <c r="K538" i="1"/>
  <c r="N538" i="1"/>
  <c r="O538" i="1"/>
  <c r="P538" i="1" s="1"/>
  <c r="K539" i="1"/>
  <c r="N539" i="1"/>
  <c r="O539" i="1"/>
  <c r="P539" i="1" s="1"/>
  <c r="K540" i="1"/>
  <c r="N540" i="1"/>
  <c r="P540" i="1" s="1"/>
  <c r="O540" i="1"/>
  <c r="K541" i="1"/>
  <c r="N541" i="1"/>
  <c r="O541" i="1"/>
  <c r="P541" i="1" s="1"/>
  <c r="K542" i="1"/>
  <c r="N542" i="1"/>
  <c r="O542" i="1"/>
  <c r="P542" i="1" s="1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O549" i="1"/>
  <c r="P549" i="1" s="1"/>
  <c r="K550" i="1"/>
  <c r="N550" i="1"/>
  <c r="P550" i="1" s="1"/>
  <c r="O550" i="1"/>
  <c r="K551" i="1"/>
  <c r="N551" i="1"/>
  <c r="O551" i="1"/>
  <c r="P551" i="1" s="1"/>
  <c r="K552" i="1"/>
  <c r="N552" i="1"/>
  <c r="O552" i="1"/>
  <c r="P552" i="1" s="1"/>
  <c r="K553" i="1"/>
  <c r="N553" i="1"/>
  <c r="O553" i="1"/>
  <c r="P553" i="1" s="1"/>
  <c r="K554" i="1"/>
  <c r="N554" i="1"/>
  <c r="P554" i="1" s="1"/>
  <c r="O554" i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O574" i="1"/>
  <c r="P574" i="1" s="1"/>
  <c r="K575" i="1"/>
  <c r="N575" i="1"/>
  <c r="P575" i="1" s="1"/>
  <c r="O575" i="1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K581" i="1"/>
  <c r="N581" i="1"/>
  <c r="O581" i="1"/>
  <c r="P581" i="1" s="1"/>
  <c r="K582" i="1"/>
  <c r="N582" i="1"/>
  <c r="O582" i="1"/>
  <c r="P582" i="1" s="1"/>
  <c r="K583" i="1"/>
  <c r="N583" i="1"/>
  <c r="O583" i="1"/>
  <c r="P583" i="1" s="1"/>
  <c r="K584" i="1"/>
  <c r="N584" i="1"/>
  <c r="P584" i="1" s="1"/>
  <c r="O584" i="1"/>
  <c r="K585" i="1"/>
  <c r="N585" i="1"/>
  <c r="O585" i="1"/>
  <c r="P585" i="1" s="1"/>
  <c r="K586" i="1"/>
  <c r="N586" i="1"/>
  <c r="O586" i="1"/>
  <c r="P586" i="1" s="1"/>
  <c r="K587" i="1"/>
  <c r="N587" i="1"/>
  <c r="P587" i="1" s="1"/>
  <c r="O587" i="1"/>
  <c r="K588" i="1"/>
  <c r="N588" i="1"/>
  <c r="O588" i="1"/>
  <c r="P588" i="1" s="1"/>
  <c r="K589" i="1"/>
  <c r="N589" i="1"/>
  <c r="O589" i="1"/>
  <c r="P589" i="1" s="1"/>
  <c r="K590" i="1"/>
  <c r="N590" i="1"/>
  <c r="O590" i="1"/>
  <c r="P590" i="1" s="1"/>
  <c r="K591" i="1"/>
  <c r="N591" i="1"/>
  <c r="O591" i="1"/>
  <c r="P591" i="1" s="1"/>
  <c r="K592" i="1"/>
  <c r="N592" i="1"/>
  <c r="O592" i="1"/>
  <c r="P592" i="1" s="1"/>
  <c r="K593" i="1"/>
  <c r="N593" i="1"/>
  <c r="O593" i="1"/>
  <c r="P593" i="1" s="1"/>
  <c r="K594" i="1"/>
  <c r="N594" i="1"/>
  <c r="O594" i="1"/>
  <c r="P594" i="1" s="1"/>
  <c r="K595" i="1"/>
  <c r="N595" i="1"/>
  <c r="O595" i="1"/>
  <c r="P595" i="1" s="1"/>
  <c r="K596" i="1"/>
  <c r="N596" i="1"/>
  <c r="O596" i="1"/>
  <c r="P596" i="1" s="1"/>
  <c r="K597" i="1"/>
  <c r="N597" i="1"/>
  <c r="O597" i="1"/>
  <c r="P597" i="1" s="1"/>
  <c r="K598" i="1"/>
  <c r="N598" i="1"/>
  <c r="P598" i="1" s="1"/>
  <c r="O598" i="1"/>
  <c r="K599" i="1"/>
  <c r="N599" i="1"/>
  <c r="O599" i="1"/>
  <c r="P599" i="1" s="1"/>
  <c r="K600" i="1"/>
  <c r="N600" i="1"/>
  <c r="O600" i="1"/>
  <c r="P600" i="1" s="1"/>
  <c r="K601" i="1"/>
  <c r="N601" i="1"/>
  <c r="O601" i="1"/>
  <c r="P601" i="1" s="1"/>
  <c r="K602" i="1"/>
  <c r="N602" i="1"/>
  <c r="O602" i="1"/>
  <c r="P602" i="1" s="1"/>
  <c r="K603" i="1"/>
  <c r="N603" i="1"/>
  <c r="O603" i="1"/>
  <c r="P603" i="1" s="1"/>
  <c r="K604" i="1"/>
  <c r="N604" i="1"/>
  <c r="O604" i="1"/>
  <c r="P604" i="1" s="1"/>
  <c r="K605" i="1"/>
  <c r="N605" i="1"/>
  <c r="O605" i="1"/>
  <c r="P605" i="1" s="1"/>
  <c r="K606" i="1"/>
  <c r="N606" i="1"/>
  <c r="O606" i="1"/>
  <c r="P606" i="1" s="1"/>
  <c r="K607" i="1"/>
  <c r="N607" i="1"/>
  <c r="O607" i="1"/>
  <c r="P607" i="1" s="1"/>
  <c r="K608" i="1"/>
  <c r="N608" i="1"/>
  <c r="O608" i="1"/>
  <c r="P608" i="1" s="1"/>
  <c r="K609" i="1"/>
  <c r="N609" i="1"/>
  <c r="O609" i="1"/>
  <c r="P609" i="1" s="1"/>
  <c r="K610" i="1"/>
  <c r="N610" i="1"/>
  <c r="O610" i="1"/>
  <c r="P610" i="1" s="1"/>
  <c r="K611" i="1"/>
  <c r="N611" i="1"/>
  <c r="P611" i="1" s="1"/>
  <c r="O611" i="1"/>
  <c r="K612" i="1"/>
  <c r="N612" i="1"/>
  <c r="O612" i="1"/>
  <c r="P612" i="1" s="1"/>
  <c r="K613" i="1"/>
  <c r="N613" i="1"/>
  <c r="P613" i="1" s="1"/>
  <c r="O613" i="1"/>
  <c r="K614" i="1"/>
  <c r="N614" i="1"/>
  <c r="O614" i="1"/>
  <c r="P614" i="1" s="1"/>
  <c r="K615" i="1"/>
  <c r="N615" i="1"/>
  <c r="O615" i="1"/>
  <c r="P615" i="1" s="1"/>
  <c r="K616" i="1"/>
  <c r="N616" i="1"/>
  <c r="O616" i="1"/>
  <c r="P616" i="1" s="1"/>
  <c r="K617" i="1"/>
  <c r="N617" i="1"/>
  <c r="O617" i="1"/>
  <c r="P617" i="1" s="1"/>
  <c r="K618" i="1"/>
  <c r="N618" i="1"/>
  <c r="P618" i="1" s="1"/>
  <c r="O618" i="1"/>
  <c r="K619" i="1"/>
  <c r="N619" i="1"/>
  <c r="P619" i="1" s="1"/>
  <c r="O619" i="1"/>
  <c r="K620" i="1"/>
  <c r="N620" i="1"/>
  <c r="O620" i="1"/>
  <c r="P620" i="1" s="1"/>
  <c r="K621" i="1"/>
  <c r="N621" i="1"/>
  <c r="O621" i="1"/>
  <c r="P621" i="1" s="1"/>
  <c r="K622" i="1"/>
  <c r="N622" i="1"/>
  <c r="O622" i="1"/>
  <c r="P622" i="1" s="1"/>
  <c r="K623" i="1"/>
  <c r="N623" i="1"/>
  <c r="O623" i="1"/>
  <c r="P623" i="1" s="1"/>
  <c r="K624" i="1"/>
  <c r="N624" i="1"/>
  <c r="O624" i="1"/>
  <c r="P624" i="1" s="1"/>
  <c r="K625" i="1"/>
  <c r="N625" i="1"/>
  <c r="O625" i="1"/>
  <c r="P625" i="1" s="1"/>
  <c r="K626" i="1"/>
  <c r="N626" i="1"/>
  <c r="O626" i="1"/>
  <c r="P626" i="1" s="1"/>
  <c r="K627" i="1"/>
  <c r="N627" i="1"/>
  <c r="O627" i="1"/>
  <c r="P627" i="1" s="1"/>
  <c r="K628" i="1"/>
  <c r="N628" i="1"/>
  <c r="O628" i="1"/>
  <c r="P628" i="1" s="1"/>
  <c r="K629" i="1"/>
  <c r="N629" i="1"/>
  <c r="O629" i="1"/>
  <c r="P629" i="1" s="1"/>
  <c r="K630" i="1"/>
  <c r="N630" i="1"/>
  <c r="P630" i="1" s="1"/>
  <c r="O630" i="1"/>
  <c r="K631" i="1"/>
  <c r="N631" i="1"/>
  <c r="O631" i="1"/>
  <c r="P631" i="1" s="1"/>
  <c r="K632" i="1"/>
  <c r="N632" i="1"/>
  <c r="P632" i="1" s="1"/>
  <c r="O632" i="1"/>
  <c r="K633" i="1"/>
  <c r="N633" i="1"/>
  <c r="O633" i="1"/>
  <c r="P633" i="1" s="1"/>
  <c r="K634" i="1"/>
  <c r="N634" i="1"/>
  <c r="O634" i="1"/>
  <c r="P634" i="1" s="1"/>
  <c r="K635" i="1"/>
  <c r="N635" i="1"/>
  <c r="O635" i="1"/>
  <c r="P635" i="1" s="1"/>
  <c r="K636" i="1"/>
  <c r="N636" i="1"/>
  <c r="P636" i="1" s="1"/>
  <c r="O636" i="1"/>
  <c r="K637" i="1"/>
  <c r="N637" i="1"/>
  <c r="P637" i="1" s="1"/>
  <c r="O637" i="1"/>
  <c r="K638" i="1"/>
  <c r="N638" i="1"/>
  <c r="P638" i="1" s="1"/>
  <c r="O638" i="1"/>
  <c r="K639" i="1"/>
  <c r="N639" i="1"/>
  <c r="P639" i="1" s="1"/>
  <c r="O639" i="1"/>
  <c r="K640" i="1"/>
  <c r="N640" i="1"/>
  <c r="O640" i="1"/>
  <c r="P640" i="1" s="1"/>
  <c r="K641" i="1"/>
  <c r="N641" i="1"/>
  <c r="O641" i="1"/>
  <c r="P641" i="1" s="1"/>
  <c r="K642" i="1"/>
  <c r="N642" i="1"/>
  <c r="O642" i="1"/>
  <c r="P642" i="1" s="1"/>
  <c r="K643" i="1"/>
  <c r="N643" i="1"/>
  <c r="P643" i="1" s="1"/>
  <c r="O643" i="1"/>
  <c r="K644" i="1"/>
  <c r="N644" i="1"/>
  <c r="P644" i="1" s="1"/>
  <c r="O644" i="1"/>
  <c r="K645" i="1"/>
  <c r="N645" i="1"/>
  <c r="P645" i="1" s="1"/>
  <c r="O645" i="1"/>
  <c r="K646" i="1"/>
  <c r="N646" i="1"/>
  <c r="P646" i="1" s="1"/>
  <c r="O646" i="1"/>
  <c r="K647" i="1"/>
  <c r="N647" i="1"/>
  <c r="P647" i="1" s="1"/>
  <c r="O647" i="1"/>
  <c r="K648" i="1"/>
  <c r="N648" i="1"/>
  <c r="O648" i="1"/>
  <c r="P648" i="1" s="1"/>
  <c r="K649" i="1"/>
  <c r="N649" i="1"/>
  <c r="O649" i="1"/>
  <c r="P649" i="1" s="1"/>
  <c r="K650" i="1"/>
  <c r="N650" i="1"/>
  <c r="O650" i="1"/>
  <c r="P650" i="1" s="1"/>
  <c r="K651" i="1"/>
  <c r="N651" i="1"/>
  <c r="O651" i="1"/>
  <c r="P651" i="1" s="1"/>
  <c r="K652" i="1"/>
  <c r="N652" i="1"/>
  <c r="O652" i="1"/>
  <c r="P652" i="1" s="1"/>
  <c r="K653" i="1"/>
  <c r="N653" i="1"/>
  <c r="P653" i="1" s="1"/>
  <c r="O653" i="1"/>
  <c r="K654" i="1"/>
  <c r="N654" i="1"/>
  <c r="P654" i="1" s="1"/>
  <c r="O654" i="1"/>
  <c r="K655" i="1"/>
  <c r="N655" i="1"/>
  <c r="P655" i="1" s="1"/>
  <c r="O655" i="1"/>
  <c r="K656" i="1"/>
  <c r="N656" i="1"/>
  <c r="O656" i="1"/>
  <c r="P656" i="1" s="1"/>
  <c r="K657" i="1"/>
  <c r="N657" i="1"/>
  <c r="O657" i="1"/>
  <c r="P657" i="1" s="1"/>
  <c r="K658" i="1"/>
  <c r="N658" i="1"/>
  <c r="P658" i="1" s="1"/>
  <c r="O658" i="1"/>
  <c r="K659" i="1"/>
  <c r="N659" i="1"/>
  <c r="O659" i="1"/>
  <c r="P659" i="1" s="1"/>
  <c r="K660" i="1"/>
  <c r="N660" i="1"/>
  <c r="O660" i="1"/>
  <c r="P660" i="1" s="1"/>
  <c r="K661" i="1"/>
  <c r="N661" i="1"/>
  <c r="O661" i="1"/>
  <c r="P661" i="1" s="1"/>
  <c r="K662" i="1"/>
  <c r="N662" i="1"/>
  <c r="O662" i="1"/>
  <c r="P662" i="1" s="1"/>
  <c r="K663" i="1"/>
  <c r="N663" i="1"/>
  <c r="O663" i="1"/>
  <c r="P663" i="1" s="1"/>
  <c r="K664" i="1"/>
  <c r="N664" i="1"/>
  <c r="P664" i="1" s="1"/>
  <c r="O664" i="1"/>
  <c r="K665" i="1"/>
  <c r="N665" i="1"/>
  <c r="O665" i="1"/>
  <c r="P665" i="1" s="1"/>
  <c r="K666" i="1"/>
  <c r="N666" i="1"/>
  <c r="O666" i="1"/>
  <c r="P666" i="1" s="1"/>
  <c r="K667" i="1"/>
  <c r="N667" i="1"/>
  <c r="P667" i="1" s="1"/>
  <c r="O667" i="1"/>
  <c r="K668" i="1"/>
  <c r="N668" i="1"/>
  <c r="O668" i="1"/>
  <c r="P668" i="1" s="1"/>
  <c r="N669" i="1"/>
  <c r="O669" i="1"/>
  <c r="P669" i="1" s="1"/>
  <c r="K670" i="1"/>
  <c r="N670" i="1"/>
  <c r="O670" i="1"/>
  <c r="P670" i="1" s="1"/>
  <c r="I818" i="1"/>
  <c r="I819" i="1"/>
  <c r="I820" i="1"/>
  <c r="I821" i="1"/>
  <c r="I822" i="1"/>
  <c r="I823" i="1"/>
  <c r="I824" i="1"/>
  <c r="C818" i="1"/>
  <c r="C819" i="1"/>
  <c r="C820" i="1"/>
  <c r="C821" i="1"/>
  <c r="C822" i="1"/>
  <c r="C823" i="1"/>
  <c r="C824" i="1"/>
  <c r="E818" i="1"/>
  <c r="E819" i="1"/>
  <c r="E820" i="1"/>
  <c r="E821" i="1"/>
  <c r="E822" i="1"/>
  <c r="E823" i="1"/>
  <c r="E824" i="1"/>
  <c r="H818" i="1"/>
  <c r="H819" i="1"/>
  <c r="H820" i="1"/>
  <c r="H821" i="1"/>
  <c r="H822" i="1"/>
  <c r="H823" i="1"/>
  <c r="H824" i="1"/>
  <c r="I817" i="1"/>
  <c r="C817" i="1"/>
  <c r="E817" i="1"/>
  <c r="H817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I798" i="1"/>
  <c r="I799" i="1"/>
  <c r="I800" i="1"/>
  <c r="I748" i="1"/>
  <c r="I749" i="1"/>
  <c r="I750" i="1"/>
  <c r="I751" i="1"/>
  <c r="C799" i="1"/>
  <c r="C800" i="1"/>
  <c r="C748" i="1"/>
  <c r="C749" i="1"/>
  <c r="C750" i="1"/>
  <c r="C751" i="1"/>
  <c r="E799" i="1"/>
  <c r="E800" i="1"/>
  <c r="E748" i="1"/>
  <c r="E749" i="1"/>
  <c r="E750" i="1"/>
  <c r="E751" i="1"/>
  <c r="H799" i="1"/>
  <c r="H800" i="1"/>
  <c r="H748" i="1"/>
  <c r="H749" i="1"/>
  <c r="H750" i="1"/>
  <c r="H751" i="1"/>
  <c r="I792" i="1"/>
  <c r="I793" i="1"/>
  <c r="I795" i="1"/>
  <c r="I796" i="1"/>
  <c r="I797" i="1"/>
  <c r="M898" i="1" l="1"/>
  <c r="M895" i="1"/>
  <c r="Y26" i="3"/>
  <c r="M909" i="1"/>
  <c r="M901" i="1"/>
  <c r="M893" i="1"/>
  <c r="M900" i="1"/>
  <c r="P1021" i="1"/>
  <c r="P984" i="1"/>
  <c r="P985" i="1"/>
  <c r="P965" i="1"/>
  <c r="P957" i="1"/>
  <c r="P956" i="1"/>
  <c r="C789" i="1"/>
  <c r="C792" i="1"/>
  <c r="C793" i="1"/>
  <c r="C795" i="1"/>
  <c r="C796" i="1"/>
  <c r="C797" i="1"/>
  <c r="C798" i="1"/>
  <c r="E792" i="1"/>
  <c r="E793" i="1"/>
  <c r="E795" i="1"/>
  <c r="E796" i="1"/>
  <c r="E797" i="1"/>
  <c r="E798" i="1"/>
  <c r="H792" i="1"/>
  <c r="H793" i="1"/>
  <c r="H795" i="1"/>
  <c r="H796" i="1"/>
  <c r="H797" i="1"/>
  <c r="H798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I745" i="1"/>
  <c r="I740" i="1"/>
  <c r="I741" i="1"/>
  <c r="I742" i="1"/>
  <c r="I743" i="1"/>
  <c r="I744" i="1"/>
  <c r="I746" i="1"/>
  <c r="I752" i="1"/>
  <c r="I747" i="1"/>
  <c r="H745" i="1"/>
  <c r="C745" i="1"/>
  <c r="C740" i="1"/>
  <c r="C741" i="1"/>
  <c r="C742" i="1"/>
  <c r="C743" i="1"/>
  <c r="C744" i="1"/>
  <c r="C746" i="1"/>
  <c r="C752" i="1"/>
  <c r="C747" i="1"/>
  <c r="E740" i="1"/>
  <c r="E741" i="1"/>
  <c r="E742" i="1"/>
  <c r="E743" i="1"/>
  <c r="E744" i="1"/>
  <c r="E746" i="1"/>
  <c r="E752" i="1"/>
  <c r="E747" i="1"/>
  <c r="H740" i="1"/>
  <c r="H741" i="1"/>
  <c r="H742" i="1"/>
  <c r="H743" i="1"/>
  <c r="H744" i="1"/>
  <c r="H746" i="1"/>
  <c r="H752" i="1"/>
  <c r="H747" i="1"/>
  <c r="E745" i="1"/>
  <c r="I724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I690" i="1"/>
  <c r="I691" i="1"/>
  <c r="I692" i="1"/>
  <c r="I693" i="1"/>
  <c r="I694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C724" i="1"/>
  <c r="C690" i="1"/>
  <c r="C691" i="1"/>
  <c r="C692" i="1"/>
  <c r="C693" i="1"/>
  <c r="C694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E690" i="1"/>
  <c r="E691" i="1"/>
  <c r="E692" i="1"/>
  <c r="E693" i="1"/>
  <c r="E694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H690" i="1"/>
  <c r="H691" i="1"/>
  <c r="H692" i="1"/>
  <c r="H693" i="1"/>
  <c r="H694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I689" i="1"/>
  <c r="I687" i="1"/>
  <c r="I688" i="1"/>
  <c r="E687" i="1"/>
  <c r="E688" i="1"/>
  <c r="E689" i="1"/>
  <c r="H687" i="1"/>
  <c r="H688" i="1"/>
  <c r="H689" i="1"/>
  <c r="C687" i="1"/>
  <c r="C688" i="1"/>
  <c r="C689" i="1"/>
  <c r="U2" i="3" l="1"/>
  <c r="T3" i="3"/>
  <c r="T33" i="3"/>
  <c r="T12" i="3"/>
  <c r="T34" i="3"/>
  <c r="T24" i="3"/>
  <c r="T5" i="3"/>
  <c r="T29" i="3"/>
  <c r="T32" i="3"/>
  <c r="T9" i="3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6" i="1"/>
  <c r="I684" i="1"/>
  <c r="I685" i="1"/>
  <c r="C669" i="1"/>
  <c r="C670" i="1"/>
  <c r="C671" i="1"/>
  <c r="C672" i="1"/>
  <c r="C673" i="1"/>
  <c r="C674" i="1"/>
  <c r="T31" i="3" s="1"/>
  <c r="C675" i="1"/>
  <c r="C676" i="1"/>
  <c r="C677" i="1"/>
  <c r="C678" i="1"/>
  <c r="C679" i="1"/>
  <c r="C680" i="1"/>
  <c r="C681" i="1"/>
  <c r="C682" i="1"/>
  <c r="C683" i="1"/>
  <c r="C686" i="1"/>
  <c r="C684" i="1"/>
  <c r="C685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6" i="1"/>
  <c r="E684" i="1"/>
  <c r="E685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6" i="1"/>
  <c r="H684" i="1"/>
  <c r="H685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I581" i="1"/>
  <c r="I582" i="1"/>
  <c r="I583" i="1"/>
  <c r="E582" i="1"/>
  <c r="E583" i="1"/>
  <c r="H582" i="1"/>
  <c r="H583" i="1"/>
  <c r="C582" i="1"/>
  <c r="C583" i="1"/>
  <c r="I577" i="1"/>
  <c r="I578" i="1"/>
  <c r="I579" i="1"/>
  <c r="I580" i="1"/>
  <c r="C577" i="1"/>
  <c r="C578" i="1"/>
  <c r="C579" i="1"/>
  <c r="C580" i="1"/>
  <c r="C581" i="1"/>
  <c r="E577" i="1"/>
  <c r="E578" i="1"/>
  <c r="E579" i="1"/>
  <c r="E580" i="1"/>
  <c r="E581" i="1"/>
  <c r="H577" i="1"/>
  <c r="H578" i="1"/>
  <c r="H579" i="1"/>
  <c r="H580" i="1"/>
  <c r="H581" i="1"/>
  <c r="I572" i="1"/>
  <c r="I573" i="1"/>
  <c r="I574" i="1"/>
  <c r="I575" i="1"/>
  <c r="I576" i="1"/>
  <c r="C572" i="1"/>
  <c r="C573" i="1"/>
  <c r="C574" i="1"/>
  <c r="C575" i="1"/>
  <c r="C576" i="1"/>
  <c r="E572" i="1"/>
  <c r="E573" i="1"/>
  <c r="E574" i="1"/>
  <c r="E575" i="1"/>
  <c r="E576" i="1"/>
  <c r="H572" i="1"/>
  <c r="H573" i="1"/>
  <c r="H574" i="1"/>
  <c r="H575" i="1"/>
  <c r="H57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H544" i="1"/>
  <c r="I544" i="1"/>
  <c r="H545" i="1"/>
  <c r="I545" i="1"/>
  <c r="H546" i="1"/>
  <c r="I546" i="1"/>
  <c r="C544" i="1"/>
  <c r="C545" i="1"/>
  <c r="C546" i="1"/>
  <c r="I540" i="1"/>
  <c r="I541" i="1"/>
  <c r="I542" i="1"/>
  <c r="I543" i="1"/>
  <c r="C540" i="1"/>
  <c r="C541" i="1"/>
  <c r="C542" i="1"/>
  <c r="C543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9" i="1"/>
  <c r="I516" i="1"/>
  <c r="I530" i="1"/>
  <c r="C489" i="1"/>
  <c r="C516" i="1"/>
  <c r="M516" i="1" s="1"/>
  <c r="C530" i="1"/>
  <c r="I476" i="1"/>
  <c r="I515" i="1"/>
  <c r="I529" i="1"/>
  <c r="C476" i="1"/>
  <c r="T21" i="3" s="1"/>
  <c r="C515" i="1"/>
  <c r="C529" i="1"/>
  <c r="H533" i="1"/>
  <c r="H534" i="1"/>
  <c r="H535" i="1"/>
  <c r="H536" i="1"/>
  <c r="H537" i="1"/>
  <c r="H538" i="1"/>
  <c r="H539" i="1"/>
  <c r="H531" i="1"/>
  <c r="I531" i="1"/>
  <c r="I532" i="1"/>
  <c r="I533" i="1"/>
  <c r="I534" i="1"/>
  <c r="I535" i="1"/>
  <c r="I536" i="1"/>
  <c r="I537" i="1"/>
  <c r="I538" i="1"/>
  <c r="I539" i="1"/>
  <c r="C531" i="1"/>
  <c r="C532" i="1"/>
  <c r="C533" i="1"/>
  <c r="C534" i="1"/>
  <c r="C535" i="1"/>
  <c r="C536" i="1"/>
  <c r="C537" i="1"/>
  <c r="C538" i="1"/>
  <c r="C539" i="1"/>
  <c r="I444" i="1"/>
  <c r="I473" i="1"/>
  <c r="I474" i="1"/>
  <c r="I475" i="1"/>
  <c r="I479" i="1"/>
  <c r="I480" i="1"/>
  <c r="I481" i="1"/>
  <c r="I482" i="1"/>
  <c r="I483" i="1"/>
  <c r="I485" i="1"/>
  <c r="C444" i="1"/>
  <c r="C473" i="1"/>
  <c r="C474" i="1"/>
  <c r="C475" i="1"/>
  <c r="C479" i="1"/>
  <c r="M479" i="1" s="1"/>
  <c r="C480" i="1"/>
  <c r="C481" i="1"/>
  <c r="C482" i="1"/>
  <c r="C483" i="1"/>
  <c r="C485" i="1"/>
  <c r="M475" i="1" l="1"/>
  <c r="M480" i="1"/>
  <c r="M529" i="1"/>
  <c r="M474" i="1"/>
  <c r="M483" i="1"/>
  <c r="M444" i="1"/>
  <c r="M473" i="1"/>
  <c r="U19" i="3"/>
  <c r="U33" i="3"/>
  <c r="U9" i="3"/>
  <c r="U26" i="3"/>
  <c r="U8" i="3"/>
  <c r="U32" i="3"/>
  <c r="U31" i="3"/>
  <c r="U11" i="3"/>
  <c r="U5" i="3"/>
  <c r="U24" i="3"/>
  <c r="U13" i="3"/>
  <c r="U3" i="3"/>
  <c r="U12" i="3"/>
  <c r="M536" i="1"/>
  <c r="K27" i="3"/>
  <c r="P27" i="3"/>
  <c r="J27" i="3"/>
  <c r="Y27" i="3"/>
  <c r="M482" i="1"/>
  <c r="M481" i="1"/>
  <c r="M530" i="1"/>
  <c r="M515" i="1"/>
  <c r="O3" i="3"/>
  <c r="M489" i="1"/>
  <c r="M750" i="1"/>
  <c r="M890" i="1"/>
  <c r="M753" i="1"/>
  <c r="M891" i="1"/>
  <c r="M754" i="1"/>
  <c r="M892" i="1"/>
  <c r="M748" i="1"/>
  <c r="M749" i="1"/>
  <c r="M755" i="1"/>
  <c r="M485" i="1"/>
  <c r="M476" i="1"/>
  <c r="K21" i="3"/>
  <c r="O21" i="3"/>
  <c r="Z21" i="3"/>
  <c r="M695" i="1"/>
  <c r="M72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I486" i="1"/>
  <c r="I490" i="1"/>
  <c r="I491" i="1"/>
  <c r="I487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488" i="1"/>
  <c r="I505" i="1"/>
  <c r="I506" i="1"/>
  <c r="I507" i="1"/>
  <c r="I508" i="1"/>
  <c r="I509" i="1"/>
  <c r="I510" i="1"/>
  <c r="I511" i="1"/>
  <c r="I512" i="1"/>
  <c r="I513" i="1"/>
  <c r="I514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444" i="1"/>
  <c r="E473" i="1"/>
  <c r="E474" i="1"/>
  <c r="E475" i="1"/>
  <c r="E479" i="1"/>
  <c r="E480" i="1"/>
  <c r="E481" i="1"/>
  <c r="E482" i="1"/>
  <c r="E483" i="1"/>
  <c r="E485" i="1"/>
  <c r="E531" i="1"/>
  <c r="E532" i="1"/>
  <c r="E533" i="1"/>
  <c r="E534" i="1"/>
  <c r="E535" i="1"/>
  <c r="E536" i="1"/>
  <c r="E537" i="1"/>
  <c r="E538" i="1"/>
  <c r="E539" i="1"/>
  <c r="E476" i="1"/>
  <c r="E515" i="1"/>
  <c r="E529" i="1"/>
  <c r="E489" i="1"/>
  <c r="E516" i="1"/>
  <c r="E530" i="1"/>
  <c r="E540" i="1"/>
  <c r="E541" i="1"/>
  <c r="E542" i="1"/>
  <c r="E543" i="1"/>
  <c r="E544" i="1"/>
  <c r="E545" i="1"/>
  <c r="E54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444" i="1"/>
  <c r="H473" i="1"/>
  <c r="H474" i="1"/>
  <c r="H475" i="1"/>
  <c r="H479" i="1"/>
  <c r="H480" i="1"/>
  <c r="H481" i="1"/>
  <c r="H482" i="1"/>
  <c r="H483" i="1"/>
  <c r="H485" i="1"/>
  <c r="H532" i="1"/>
  <c r="H476" i="1"/>
  <c r="H515" i="1"/>
  <c r="H529" i="1"/>
  <c r="H489" i="1"/>
  <c r="H516" i="1"/>
  <c r="H530" i="1"/>
  <c r="H540" i="1"/>
  <c r="H541" i="1"/>
  <c r="H542" i="1"/>
  <c r="H543" i="1"/>
  <c r="C486" i="1"/>
  <c r="C490" i="1"/>
  <c r="C491" i="1"/>
  <c r="C487" i="1"/>
  <c r="C492" i="1"/>
  <c r="C493" i="1"/>
  <c r="C494" i="1"/>
  <c r="M494" i="1" s="1"/>
  <c r="C495" i="1"/>
  <c r="C496" i="1"/>
  <c r="C497" i="1"/>
  <c r="C498" i="1"/>
  <c r="C499" i="1"/>
  <c r="C500" i="1"/>
  <c r="C501" i="1"/>
  <c r="C502" i="1"/>
  <c r="C503" i="1"/>
  <c r="C504" i="1"/>
  <c r="C488" i="1"/>
  <c r="C505" i="1"/>
  <c r="C506" i="1"/>
  <c r="C507" i="1"/>
  <c r="C508" i="1"/>
  <c r="C509" i="1"/>
  <c r="C510" i="1"/>
  <c r="C511" i="1"/>
  <c r="C512" i="1"/>
  <c r="C513" i="1"/>
  <c r="C514" i="1"/>
  <c r="E486" i="1"/>
  <c r="E490" i="1"/>
  <c r="E491" i="1"/>
  <c r="E487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488" i="1"/>
  <c r="E505" i="1"/>
  <c r="E506" i="1"/>
  <c r="E507" i="1"/>
  <c r="E508" i="1"/>
  <c r="E509" i="1"/>
  <c r="E510" i="1"/>
  <c r="E511" i="1"/>
  <c r="E512" i="1"/>
  <c r="E513" i="1"/>
  <c r="E514" i="1"/>
  <c r="H486" i="1"/>
  <c r="H490" i="1"/>
  <c r="H491" i="1"/>
  <c r="H487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488" i="1"/>
  <c r="H505" i="1"/>
  <c r="H506" i="1"/>
  <c r="H507" i="1"/>
  <c r="H508" i="1"/>
  <c r="H509" i="1"/>
  <c r="H510" i="1"/>
  <c r="H511" i="1"/>
  <c r="H512" i="1"/>
  <c r="H513" i="1"/>
  <c r="H514" i="1"/>
  <c r="H35" i="3"/>
  <c r="I35" i="3" s="1"/>
  <c r="I484" i="1"/>
  <c r="C484" i="1"/>
  <c r="E484" i="1"/>
  <c r="H484" i="1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493" i="1" l="1"/>
  <c r="M623" i="1"/>
  <c r="M640" i="1"/>
  <c r="M573" i="1"/>
  <c r="M625" i="1"/>
  <c r="M619" i="1"/>
  <c r="M532" i="1"/>
  <c r="M551" i="1"/>
  <c r="M621" i="1"/>
  <c r="M821" i="1"/>
  <c r="M986" i="1"/>
  <c r="M553" i="1"/>
  <c r="M535" i="1"/>
  <c r="M648" i="1"/>
  <c r="M588" i="1"/>
  <c r="M627" i="1"/>
  <c r="M660" i="1"/>
  <c r="M615" i="1"/>
  <c r="M928" i="1"/>
  <c r="M987" i="1"/>
  <c r="M581" i="1"/>
  <c r="M641" i="1"/>
  <c r="M574" i="1"/>
  <c r="M533" i="1"/>
  <c r="M582" i="1"/>
  <c r="M952" i="1"/>
  <c r="M957" i="1"/>
  <c r="M520" i="1"/>
  <c r="O35" i="3"/>
  <c r="M572" i="1"/>
  <c r="M649" i="1"/>
  <c r="M626" i="1"/>
  <c r="M817" i="1"/>
  <c r="M958" i="1"/>
  <c r="O2" i="3"/>
  <c r="M531" i="1"/>
  <c r="M651" i="1"/>
  <c r="M620" i="1"/>
  <c r="M689" i="1"/>
  <c r="M552" i="1"/>
  <c r="M971" i="1"/>
  <c r="O5" i="3"/>
  <c r="M622" i="1"/>
  <c r="M616" i="1"/>
  <c r="M659" i="1"/>
  <c r="M550" i="1"/>
  <c r="M628" i="1"/>
  <c r="M661" i="1"/>
  <c r="M929" i="1"/>
  <c r="M624" i="1"/>
  <c r="M587" i="1"/>
  <c r="M650" i="1"/>
  <c r="M614" i="1"/>
  <c r="M968" i="1"/>
  <c r="M583" i="1"/>
  <c r="M617" i="1"/>
  <c r="M658" i="1"/>
  <c r="M589" i="1"/>
  <c r="M534" i="1"/>
  <c r="M959" i="1"/>
  <c r="I477" i="1"/>
  <c r="I478" i="1"/>
  <c r="C477" i="1"/>
  <c r="C478" i="1"/>
  <c r="E477" i="1"/>
  <c r="E478" i="1"/>
  <c r="H477" i="1"/>
  <c r="H478" i="1"/>
  <c r="H472" i="1"/>
  <c r="I472" i="1"/>
  <c r="C472" i="1"/>
  <c r="E472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M510" i="1" s="1"/>
  <c r="C463" i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M463" i="1" l="1"/>
  <c r="M441" i="1"/>
  <c r="P30" i="3"/>
  <c r="J30" i="3"/>
  <c r="Y30" i="3"/>
  <c r="M875" i="1"/>
  <c r="T30" i="3"/>
  <c r="M673" i="1"/>
  <c r="O9" i="3"/>
  <c r="O33" i="3"/>
  <c r="O11" i="3"/>
  <c r="O22" i="3"/>
  <c r="O27" i="3"/>
  <c r="O32" i="3"/>
  <c r="O12" i="3"/>
  <c r="O24" i="3"/>
  <c r="O30" i="3"/>
  <c r="O8" i="3"/>
  <c r="P13" i="3"/>
  <c r="P4" i="3"/>
  <c r="P19" i="3"/>
  <c r="P23" i="3"/>
  <c r="P28" i="3"/>
  <c r="P32" i="3"/>
  <c r="P34" i="3"/>
  <c r="P26" i="3"/>
  <c r="P22" i="3"/>
  <c r="P3" i="3"/>
  <c r="P35" i="3"/>
  <c r="P24" i="3"/>
  <c r="P5" i="3"/>
  <c r="O29" i="3"/>
  <c r="K28" i="3"/>
  <c r="M439" i="1"/>
  <c r="O28" i="3"/>
  <c r="J28" i="3"/>
  <c r="Y28" i="3"/>
  <c r="M873" i="1"/>
  <c r="T28" i="3"/>
  <c r="M671" i="1"/>
  <c r="M438" i="1"/>
  <c r="Y23" i="3"/>
  <c r="M872" i="1"/>
  <c r="M670" i="1"/>
  <c r="U23" i="3"/>
  <c r="O19" i="3"/>
  <c r="P9" i="3"/>
  <c r="M437" i="1"/>
  <c r="Y22" i="3"/>
  <c r="J22" i="3"/>
  <c r="T22" i="3"/>
  <c r="M837" i="1"/>
  <c r="M871" i="1"/>
  <c r="M669" i="1"/>
  <c r="U22" i="3"/>
  <c r="M511" i="1"/>
  <c r="O34" i="3"/>
  <c r="M462" i="1"/>
  <c r="P33" i="3"/>
  <c r="M921" i="1"/>
  <c r="M922" i="1"/>
  <c r="M784" i="1"/>
  <c r="M718" i="1"/>
  <c r="M717" i="1"/>
  <c r="M783" i="1"/>
  <c r="M630" i="1"/>
  <c r="M631" i="1"/>
  <c r="P8" i="3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P18" i="3" s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M459" i="1" s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387" i="1" l="1"/>
  <c r="M389" i="1"/>
  <c r="O18" i="3"/>
  <c r="M388" i="1"/>
  <c r="M458" i="1"/>
  <c r="M422" i="1"/>
  <c r="M386" i="1"/>
  <c r="J19" i="3"/>
  <c r="M886" i="1"/>
  <c r="M919" i="1"/>
  <c r="M778" i="1"/>
  <c r="M779" i="1"/>
  <c r="M711" i="1"/>
  <c r="M747" i="1"/>
  <c r="M629" i="1"/>
  <c r="M504" i="1"/>
  <c r="M415" i="1"/>
  <c r="J32" i="3"/>
  <c r="M433" i="1"/>
  <c r="K18" i="3"/>
  <c r="J18" i="3"/>
  <c r="T18" i="3"/>
  <c r="M870" i="1"/>
  <c r="M688" i="1"/>
  <c r="U18" i="3"/>
  <c r="I367" i="1"/>
  <c r="I369" i="1"/>
  <c r="I370" i="1"/>
  <c r="I371" i="1"/>
  <c r="I372" i="1"/>
  <c r="I373" i="1"/>
  <c r="C369" i="1"/>
  <c r="C370" i="1"/>
  <c r="C371" i="1"/>
  <c r="C372" i="1"/>
  <c r="M426" i="1" s="1"/>
  <c r="C373" i="1"/>
  <c r="E369" i="1"/>
  <c r="E370" i="1"/>
  <c r="E371" i="1"/>
  <c r="E372" i="1"/>
  <c r="E373" i="1"/>
  <c r="H369" i="1"/>
  <c r="H370" i="1"/>
  <c r="H371" i="1"/>
  <c r="H372" i="1"/>
  <c r="H373" i="1"/>
  <c r="M373" i="1" l="1"/>
  <c r="M372" i="1"/>
  <c r="M828" i="1"/>
  <c r="M915" i="1"/>
  <c r="M820" i="1"/>
  <c r="M857" i="1"/>
  <c r="M965" i="1"/>
  <c r="M638" i="1"/>
  <c r="M647" i="1"/>
  <c r="M639" i="1"/>
  <c r="M492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K25" i="3"/>
  <c r="J25" i="3"/>
  <c r="T25" i="3"/>
  <c r="O25" i="3"/>
  <c r="Y25" i="3"/>
  <c r="U25" i="3"/>
  <c r="P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O26" i="3" l="1"/>
  <c r="J26" i="3"/>
  <c r="Z11" i="3"/>
  <c r="M907" i="1"/>
  <c r="M861" i="1"/>
  <c r="M906" i="1"/>
  <c r="Y3" i="3"/>
  <c r="M902" i="1"/>
  <c r="U20" i="3"/>
  <c r="M899" i="1"/>
  <c r="M905" i="1"/>
  <c r="M725" i="1"/>
  <c r="Y2" i="3"/>
  <c r="M894" i="1"/>
  <c r="Y5" i="3"/>
  <c r="M897" i="1"/>
  <c r="T13" i="3"/>
  <c r="Y20" i="3"/>
  <c r="M751" i="1"/>
  <c r="Y4" i="3"/>
  <c r="M903" i="1"/>
  <c r="Y32" i="3"/>
  <c r="M790" i="1"/>
  <c r="Y19" i="3"/>
  <c r="Y9" i="3"/>
  <c r="Z5" i="3"/>
  <c r="M904" i="1"/>
  <c r="Y8" i="3"/>
  <c r="M794" i="1"/>
  <c r="M860" i="1"/>
  <c r="M791" i="1"/>
  <c r="Z4" i="3"/>
  <c r="M896" i="1"/>
  <c r="Y11" i="3"/>
  <c r="M910" i="1"/>
  <c r="M908" i="1"/>
  <c r="Y13" i="3"/>
  <c r="P16" i="3"/>
  <c r="M236" i="1"/>
  <c r="Y16" i="3"/>
  <c r="T16" i="3"/>
  <c r="O16" i="3"/>
  <c r="J16" i="3"/>
  <c r="U16" i="3"/>
  <c r="M235" i="1"/>
  <c r="Z15" i="3"/>
  <c r="U15" i="3"/>
  <c r="Y15" i="3"/>
  <c r="T15" i="3"/>
  <c r="P15" i="3"/>
  <c r="M238" i="1"/>
  <c r="Y7" i="3"/>
  <c r="Z7" i="3"/>
  <c r="T7" i="3"/>
  <c r="J7" i="3"/>
  <c r="U7" i="3"/>
  <c r="P7" i="3"/>
  <c r="O7" i="3"/>
  <c r="T26" i="3"/>
  <c r="J11" i="3"/>
  <c r="U4" i="3"/>
  <c r="U27" i="3"/>
  <c r="Z25" i="3"/>
  <c r="P33" i="6"/>
  <c r="O41" i="6"/>
  <c r="H37" i="6"/>
  <c r="J39" i="6"/>
  <c r="N42" i="6"/>
  <c r="P41" i="6"/>
  <c r="Z16" i="3"/>
  <c r="K7" i="3"/>
  <c r="I35" i="6"/>
  <c r="L38" i="6"/>
  <c r="Z22" i="3"/>
  <c r="L33" i="6"/>
  <c r="M41" i="6"/>
  <c r="N41" i="6"/>
  <c r="H40" i="6"/>
  <c r="H35" i="6"/>
  <c r="E36" i="6"/>
  <c r="C41" i="6"/>
  <c r="K22" i="3"/>
  <c r="C39" i="6"/>
  <c r="O35" i="6"/>
  <c r="H33" i="6"/>
  <c r="F41" i="6"/>
  <c r="S40" i="6"/>
  <c r="Z26" i="3"/>
  <c r="Z20" i="3"/>
  <c r="K33" i="6"/>
  <c r="R34" i="6"/>
  <c r="U37" i="6"/>
  <c r="Z29" i="3"/>
  <c r="M34" i="6"/>
  <c r="U38" i="6"/>
  <c r="Z31" i="3"/>
  <c r="S34" i="6"/>
  <c r="K40" i="6"/>
  <c r="S35" i="6"/>
  <c r="K23" i="3"/>
  <c r="K11" i="3"/>
  <c r="P42" i="6"/>
  <c r="D40" i="6"/>
  <c r="C36" i="6"/>
  <c r="D39" i="6"/>
  <c r="T38" i="6"/>
  <c r="D38" i="6"/>
  <c r="I33" i="6"/>
  <c r="G38" i="6"/>
  <c r="K41" i="6"/>
  <c r="R41" i="6"/>
  <c r="J33" i="6"/>
  <c r="K35" i="6"/>
  <c r="T11" i="3"/>
  <c r="Y33" i="3"/>
  <c r="J4" i="3"/>
  <c r="J20" i="3"/>
  <c r="T35" i="3"/>
  <c r="P21" i="3"/>
  <c r="U21" i="3"/>
  <c r="P2" i="3"/>
  <c r="T23" i="3"/>
  <c r="P12" i="3"/>
  <c r="P11" i="3"/>
  <c r="Y24" i="3"/>
  <c r="Z3" i="3"/>
  <c r="U35" i="3"/>
  <c r="Y21" i="3"/>
  <c r="AA21" i="3" s="1"/>
  <c r="U29" i="3"/>
  <c r="U28" i="3"/>
  <c r="P20" i="3"/>
  <c r="J23" i="3"/>
  <c r="P29" i="3"/>
  <c r="O23" i="3"/>
  <c r="Y18" i="3"/>
  <c r="J5" i="3"/>
  <c r="K4" i="3"/>
  <c r="I40" i="6"/>
  <c r="C40" i="6"/>
  <c r="Q38" i="6"/>
  <c r="R40" i="6"/>
  <c r="N35" i="6"/>
  <c r="Z33" i="3"/>
  <c r="J42" i="6"/>
  <c r="G35" i="6"/>
  <c r="P34" i="6"/>
  <c r="Z18" i="3"/>
  <c r="L37" i="6"/>
  <c r="K20" i="3"/>
  <c r="J40" i="6"/>
  <c r="L41" i="6"/>
  <c r="F38" i="6"/>
  <c r="K33" i="3"/>
  <c r="M36" i="6"/>
  <c r="U34" i="6"/>
  <c r="Q34" i="6"/>
  <c r="D42" i="6"/>
  <c r="T33" i="6"/>
  <c r="K36" i="6"/>
  <c r="K42" i="6"/>
  <c r="Q39" i="6"/>
  <c r="G37" i="6"/>
  <c r="D36" i="6"/>
  <c r="E37" i="6"/>
  <c r="K26" i="3"/>
  <c r="Y29" i="3"/>
  <c r="Y34" i="3"/>
  <c r="K19" i="3"/>
  <c r="Z23" i="3"/>
  <c r="J41" i="6"/>
  <c r="C35" i="6"/>
  <c r="R42" i="6"/>
  <c r="K34" i="6"/>
  <c r="Z30" i="3"/>
  <c r="L36" i="6"/>
  <c r="K13" i="3"/>
  <c r="R33" i="6"/>
  <c r="E40" i="6"/>
  <c r="Q33" i="6"/>
  <c r="Z17" i="3"/>
  <c r="M42" i="6"/>
  <c r="Z19" i="3"/>
  <c r="Z35" i="3"/>
  <c r="S42" i="6"/>
  <c r="Q40" i="6"/>
  <c r="K16" i="3"/>
  <c r="H39" i="6"/>
  <c r="Z24" i="3"/>
  <c r="H38" i="6"/>
  <c r="H41" i="6"/>
  <c r="P35" i="6"/>
  <c r="K38" i="6"/>
  <c r="K35" i="3"/>
  <c r="Z2" i="3"/>
  <c r="T20" i="3"/>
  <c r="Z27" i="3"/>
  <c r="U34" i="3"/>
  <c r="O31" i="3"/>
  <c r="P31" i="3"/>
  <c r="U30" i="3"/>
  <c r="N34" i="6"/>
  <c r="G42" i="6"/>
  <c r="S39" i="6"/>
  <c r="T42" i="6"/>
  <c r="K39" i="6"/>
  <c r="Q36" i="6"/>
  <c r="I39" i="6"/>
  <c r="K5" i="3"/>
  <c r="D35" i="6"/>
  <c r="N40" i="6"/>
  <c r="G39" i="6"/>
  <c r="Q42" i="6"/>
  <c r="H42" i="6"/>
  <c r="L39" i="6"/>
  <c r="N39" i="6"/>
  <c r="Q41" i="6"/>
  <c r="L34" i="6"/>
  <c r="U42" i="6"/>
  <c r="S33" i="6"/>
  <c r="T40" i="6"/>
  <c r="J36" i="6"/>
  <c r="N33" i="6"/>
  <c r="P39" i="6"/>
  <c r="O34" i="6"/>
  <c r="U35" i="6"/>
  <c r="U39" i="6"/>
  <c r="K37" i="6"/>
  <c r="K24" i="3"/>
  <c r="U41" i="6"/>
  <c r="K15" i="3"/>
  <c r="G36" i="6"/>
  <c r="I42" i="6"/>
  <c r="K30" i="3"/>
  <c r="E41" i="6"/>
  <c r="K17" i="3"/>
  <c r="G33" i="6"/>
  <c r="O40" i="6"/>
  <c r="D34" i="6"/>
  <c r="N36" i="6"/>
  <c r="Z13" i="3"/>
  <c r="D37" i="6"/>
  <c r="T41" i="6"/>
  <c r="E34" i="6"/>
  <c r="I41" i="6"/>
  <c r="F35" i="6"/>
  <c r="T39" i="6"/>
  <c r="Z28" i="3"/>
  <c r="M39" i="6"/>
  <c r="S41" i="6"/>
  <c r="G41" i="6"/>
  <c r="T36" i="6"/>
  <c r="G40" i="6"/>
  <c r="R38" i="6"/>
  <c r="G34" i="6"/>
  <c r="M38" i="6"/>
  <c r="J35" i="6"/>
  <c r="S36" i="6"/>
  <c r="O42" i="6"/>
  <c r="P37" i="6"/>
  <c r="Q37" i="6"/>
  <c r="C38" i="6"/>
  <c r="J34" i="6"/>
  <c r="I37" i="6"/>
  <c r="F36" i="6"/>
  <c r="H36" i="6"/>
  <c r="O39" i="6"/>
  <c r="O33" i="6"/>
  <c r="O36" i="6"/>
  <c r="E39" i="6"/>
  <c r="P40" i="6"/>
  <c r="N38" i="6"/>
  <c r="C33" i="6"/>
  <c r="E42" i="6"/>
  <c r="T35" i="6"/>
  <c r="E35" i="6"/>
  <c r="S37" i="6"/>
  <c r="L40" i="6"/>
  <c r="R35" i="6"/>
  <c r="C34" i="6"/>
  <c r="Y6" i="3"/>
  <c r="H34" i="6"/>
  <c r="M234" i="1"/>
  <c r="P36" i="6"/>
  <c r="J37" i="6"/>
  <c r="D33" i="6"/>
  <c r="F40" i="6"/>
  <c r="I34" i="6"/>
  <c r="U6" i="3"/>
  <c r="P38" i="6"/>
  <c r="U36" i="6"/>
  <c r="K6" i="3"/>
  <c r="U40" i="6"/>
  <c r="F42" i="6"/>
  <c r="N37" i="6"/>
  <c r="T37" i="6"/>
  <c r="J6" i="3"/>
  <c r="F39" i="6"/>
  <c r="Q35" i="6"/>
  <c r="F34" i="6"/>
  <c r="O37" i="6"/>
  <c r="E33" i="6"/>
  <c r="J38" i="6"/>
  <c r="I38" i="6"/>
  <c r="M35" i="6"/>
  <c r="M33" i="6"/>
  <c r="S38" i="6"/>
  <c r="U33" i="6"/>
  <c r="R36" i="6"/>
  <c r="C37" i="6"/>
  <c r="L35" i="6"/>
  <c r="R37" i="6"/>
  <c r="R39" i="6"/>
  <c r="F33" i="6"/>
  <c r="F37" i="6"/>
  <c r="C42" i="6"/>
  <c r="D41" i="6"/>
  <c r="I36" i="6"/>
  <c r="M40" i="6"/>
  <c r="E38" i="6"/>
  <c r="M37" i="6"/>
  <c r="O38" i="6"/>
  <c r="T6" i="3"/>
  <c r="T34" i="6"/>
  <c r="L42" i="6"/>
  <c r="P6" i="3"/>
  <c r="Z6" i="3"/>
  <c r="O6" i="3"/>
  <c r="M237" i="1"/>
  <c r="Y17" i="3"/>
  <c r="P17" i="3"/>
  <c r="J17" i="3"/>
  <c r="O17" i="3"/>
  <c r="T17" i="3"/>
  <c r="U17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12" i="1"/>
  <c r="C341" i="1"/>
  <c r="C342" i="1"/>
  <c r="C332" i="1"/>
  <c r="M358" i="1" s="1"/>
  <c r="C333" i="1"/>
  <c r="C334" i="1"/>
  <c r="M334" i="1" s="1"/>
  <c r="C335" i="1"/>
  <c r="C336" i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C311" i="1"/>
  <c r="C307" i="1"/>
  <c r="Y35" i="3" s="1"/>
  <c r="C306" i="1"/>
  <c r="C283" i="1"/>
  <c r="M338" i="1" l="1"/>
  <c r="J43" i="6"/>
  <c r="M337" i="1"/>
  <c r="F135" i="6"/>
  <c r="M325" i="1"/>
  <c r="M317" i="1"/>
  <c r="M339" i="1"/>
  <c r="M341" i="1"/>
  <c r="M312" i="1"/>
  <c r="F132" i="6"/>
  <c r="T136" i="6"/>
  <c r="M129" i="6"/>
  <c r="N50" i="6"/>
  <c r="M52" i="6"/>
  <c r="J104" i="6"/>
  <c r="K82" i="6"/>
  <c r="K99" i="6"/>
  <c r="H47" i="6"/>
  <c r="Q104" i="6"/>
  <c r="L82" i="6"/>
  <c r="U62" i="6"/>
  <c r="C130" i="6"/>
  <c r="H113" i="6"/>
  <c r="S138" i="6"/>
  <c r="L58" i="6"/>
  <c r="P99" i="6"/>
  <c r="E52" i="6"/>
  <c r="S45" i="6"/>
  <c r="O136" i="6"/>
  <c r="O84" i="6"/>
  <c r="F57" i="6"/>
  <c r="N106" i="6"/>
  <c r="T51" i="6"/>
  <c r="D44" i="6"/>
  <c r="M135" i="6"/>
  <c r="F116" i="6"/>
  <c r="I137" i="6"/>
  <c r="C102" i="6"/>
  <c r="Q145" i="6"/>
  <c r="L147" i="6"/>
  <c r="F51" i="6"/>
  <c r="K63" i="6"/>
  <c r="M113" i="6"/>
  <c r="T83" i="6"/>
  <c r="N74" i="6"/>
  <c r="I100" i="6"/>
  <c r="D58" i="6"/>
  <c r="L136" i="6"/>
  <c r="O151" i="6"/>
  <c r="D82" i="6"/>
  <c r="C78" i="6"/>
  <c r="S82" i="6"/>
  <c r="J44" i="6"/>
  <c r="T68" i="6"/>
  <c r="H136" i="6"/>
  <c r="Q84" i="6"/>
  <c r="N86" i="6"/>
  <c r="F100" i="6"/>
  <c r="M46" i="6"/>
  <c r="P117" i="6"/>
  <c r="E91" i="6"/>
  <c r="E143" i="6"/>
  <c r="S122" i="6"/>
  <c r="C133" i="6"/>
  <c r="U83" i="6"/>
  <c r="Q43" i="6"/>
  <c r="E112" i="6"/>
  <c r="D143" i="6"/>
  <c r="U145" i="6"/>
  <c r="U47" i="6"/>
  <c r="C47" i="6"/>
  <c r="M68" i="6"/>
  <c r="R142" i="6"/>
  <c r="G145" i="6"/>
  <c r="R54" i="6"/>
  <c r="C96" i="6"/>
  <c r="I65" i="6"/>
  <c r="E43" i="6"/>
  <c r="I140" i="6"/>
  <c r="H148" i="6"/>
  <c r="N55" i="6"/>
  <c r="H74" i="6"/>
  <c r="E90" i="6"/>
  <c r="O145" i="6"/>
  <c r="Q108" i="6"/>
  <c r="P54" i="6"/>
  <c r="T108" i="6"/>
  <c r="T72" i="6"/>
  <c r="N85" i="6"/>
  <c r="J140" i="6"/>
  <c r="C43" i="6"/>
  <c r="M83" i="6"/>
  <c r="H109" i="6"/>
  <c r="R82" i="6"/>
  <c r="T49" i="6"/>
  <c r="K65" i="6"/>
  <c r="F133" i="6"/>
  <c r="C117" i="6"/>
  <c r="E78" i="6"/>
  <c r="D108" i="6"/>
  <c r="M316" i="1"/>
  <c r="K31" i="3"/>
  <c r="J31" i="3"/>
  <c r="M347" i="1"/>
  <c r="M839" i="1"/>
  <c r="M866" i="1"/>
  <c r="M865" i="1"/>
  <c r="M1001" i="1"/>
  <c r="M995" i="1"/>
  <c r="M855" i="1"/>
  <c r="M949" i="1"/>
  <c r="M1022" i="1"/>
  <c r="M876" i="1"/>
  <c r="M549" i="1"/>
  <c r="M674" i="1"/>
  <c r="M613" i="1"/>
  <c r="M487" i="1"/>
  <c r="M442" i="1"/>
  <c r="U119" i="6"/>
  <c r="R131" i="6"/>
  <c r="M126" i="6"/>
  <c r="P60" i="6"/>
  <c r="T63" i="6"/>
  <c r="T102" i="6"/>
  <c r="O144" i="6"/>
  <c r="G59" i="6"/>
  <c r="Q92" i="6"/>
  <c r="E70" i="6"/>
  <c r="P77" i="6"/>
  <c r="G138" i="6"/>
  <c r="R68" i="6"/>
  <c r="S99" i="6"/>
  <c r="Q67" i="6"/>
  <c r="O103" i="6"/>
  <c r="H66" i="6"/>
  <c r="M306" i="1"/>
  <c r="M331" i="1"/>
  <c r="M315" i="1"/>
  <c r="O95" i="6"/>
  <c r="R123" i="6"/>
  <c r="D67" i="6"/>
  <c r="I123" i="6"/>
  <c r="I67" i="6"/>
  <c r="R73" i="6"/>
  <c r="Q151" i="6"/>
  <c r="L48" i="6"/>
  <c r="U71" i="6"/>
  <c r="I134" i="6"/>
  <c r="R148" i="6"/>
  <c r="N132" i="6"/>
  <c r="D88" i="6"/>
  <c r="U75" i="6"/>
  <c r="I148" i="6"/>
  <c r="T124" i="6"/>
  <c r="C145" i="6"/>
  <c r="K129" i="6"/>
  <c r="K118" i="6"/>
  <c r="F81" i="6"/>
  <c r="G65" i="6"/>
  <c r="G139" i="6"/>
  <c r="D71" i="6"/>
  <c r="I135" i="6"/>
  <c r="U129" i="6"/>
  <c r="H142" i="6"/>
  <c r="T115" i="6"/>
  <c r="Q82" i="6"/>
  <c r="Q100" i="6"/>
  <c r="R101" i="6"/>
  <c r="S124" i="6"/>
  <c r="S100" i="6"/>
  <c r="F122" i="6"/>
  <c r="O86" i="6"/>
  <c r="F85" i="6"/>
  <c r="D141" i="6"/>
  <c r="L73" i="6"/>
  <c r="H96" i="6"/>
  <c r="U57" i="6"/>
  <c r="Q83" i="6"/>
  <c r="I132" i="6"/>
  <c r="K84" i="6"/>
  <c r="P109" i="6"/>
  <c r="D49" i="6"/>
  <c r="L115" i="6"/>
  <c r="M94" i="6"/>
  <c r="Q56" i="6"/>
  <c r="M61" i="6"/>
  <c r="C65" i="6"/>
  <c r="D120" i="6"/>
  <c r="L133" i="6"/>
  <c r="J53" i="6"/>
  <c r="G149" i="6"/>
  <c r="C114" i="6"/>
  <c r="D76" i="6"/>
  <c r="O114" i="6"/>
  <c r="G69" i="6"/>
  <c r="R91" i="6"/>
  <c r="S59" i="6"/>
  <c r="T67" i="6"/>
  <c r="F136" i="6"/>
  <c r="N126" i="6"/>
  <c r="U135" i="6"/>
  <c r="F128" i="6"/>
  <c r="C111" i="6"/>
  <c r="R62" i="6"/>
  <c r="C135" i="6"/>
  <c r="M87" i="6"/>
  <c r="G101" i="6"/>
  <c r="U67" i="6"/>
  <c r="J57" i="6"/>
  <c r="G141" i="6"/>
  <c r="T103" i="6"/>
  <c r="K105" i="6"/>
  <c r="E71" i="6"/>
  <c r="F53" i="6"/>
  <c r="D79" i="6"/>
  <c r="L150" i="6"/>
  <c r="P111" i="6"/>
  <c r="R64" i="6"/>
  <c r="M43" i="6"/>
  <c r="S151" i="6"/>
  <c r="Q102" i="6"/>
  <c r="E103" i="6"/>
  <c r="L92" i="6"/>
  <c r="E110" i="6"/>
  <c r="J123" i="6"/>
  <c r="D63" i="6"/>
  <c r="N105" i="6"/>
  <c r="M137" i="6"/>
  <c r="C71" i="6"/>
  <c r="E48" i="6"/>
  <c r="P106" i="6"/>
  <c r="L66" i="6"/>
  <c r="H58" i="6"/>
  <c r="Z34" i="3"/>
  <c r="M283" i="1"/>
  <c r="K34" i="3"/>
  <c r="M888" i="1"/>
  <c r="M846" i="1"/>
  <c r="M945" i="1"/>
  <c r="M889" i="1"/>
  <c r="M848" i="1"/>
  <c r="M924" i="1"/>
  <c r="M923" i="1"/>
  <c r="M887" i="1"/>
  <c r="M1019" i="1"/>
  <c r="M1018" i="1"/>
  <c r="M944" i="1"/>
  <c r="M858" i="1"/>
  <c r="M942" i="1"/>
  <c r="M880" i="1"/>
  <c r="M962" i="1"/>
  <c r="M813" i="1"/>
  <c r="M849" i="1"/>
  <c r="M943" i="1"/>
  <c r="M814" i="1"/>
  <c r="M847" i="1"/>
  <c r="M966" i="1"/>
  <c r="M722" i="1"/>
  <c r="M788" i="1"/>
  <c r="M724" i="1"/>
  <c r="M723" i="1"/>
  <c r="M789" i="1"/>
  <c r="M719" i="1"/>
  <c r="M798" i="1"/>
  <c r="M721" i="1"/>
  <c r="M785" i="1"/>
  <c r="M786" i="1"/>
  <c r="M720" i="1"/>
  <c r="M787" i="1"/>
  <c r="M685" i="1"/>
  <c r="M610" i="1"/>
  <c r="M632" i="1"/>
  <c r="M608" i="1"/>
  <c r="M606" i="1"/>
  <c r="M539" i="1"/>
  <c r="M537" i="1"/>
  <c r="M576" i="1"/>
  <c r="M571" i="1"/>
  <c r="M684" i="1"/>
  <c r="M538" i="1"/>
  <c r="M662" i="1"/>
  <c r="M546" i="1"/>
  <c r="M633" i="1"/>
  <c r="M609" i="1"/>
  <c r="M607" i="1"/>
  <c r="M513" i="1"/>
  <c r="M514" i="1"/>
  <c r="M512" i="1"/>
  <c r="M484" i="1"/>
  <c r="M528" i="1"/>
  <c r="M468" i="1"/>
  <c r="M472" i="1"/>
  <c r="M464" i="1"/>
  <c r="M467" i="1"/>
  <c r="M465" i="1"/>
  <c r="M466" i="1"/>
  <c r="M434" i="1"/>
  <c r="M478" i="1"/>
  <c r="M469" i="1"/>
  <c r="M470" i="1"/>
  <c r="M407" i="1"/>
  <c r="M406" i="1"/>
  <c r="M402" i="1"/>
  <c r="M405" i="1"/>
  <c r="M424" i="1"/>
  <c r="M404" i="1"/>
  <c r="M403" i="1"/>
  <c r="M418" i="1"/>
  <c r="M425" i="1"/>
  <c r="M417" i="1"/>
  <c r="M416" i="1"/>
  <c r="M409" i="1"/>
  <c r="M408" i="1"/>
  <c r="M364" i="1"/>
  <c r="M367" i="1"/>
  <c r="M366" i="1"/>
  <c r="M365" i="1"/>
  <c r="M352" i="1"/>
  <c r="N152" i="6"/>
  <c r="C152" i="6"/>
  <c r="D152" i="6"/>
  <c r="K103" i="6"/>
  <c r="M143" i="6"/>
  <c r="I61" i="6"/>
  <c r="H102" i="6"/>
  <c r="F83" i="6"/>
  <c r="T74" i="6"/>
  <c r="T105" i="6"/>
  <c r="D45" i="6"/>
  <c r="R44" i="6"/>
  <c r="C100" i="6"/>
  <c r="O46" i="6"/>
  <c r="Q87" i="6"/>
  <c r="N53" i="6"/>
  <c r="P91" i="6"/>
  <c r="R45" i="6"/>
  <c r="H100" i="6"/>
  <c r="M109" i="6"/>
  <c r="R118" i="6"/>
  <c r="E72" i="6"/>
  <c r="L138" i="6"/>
  <c r="N128" i="6"/>
  <c r="C149" i="6"/>
  <c r="S76" i="6"/>
  <c r="T54" i="6"/>
  <c r="R85" i="6"/>
  <c r="S63" i="6"/>
  <c r="J96" i="6"/>
  <c r="G77" i="6"/>
  <c r="O147" i="6"/>
  <c r="J106" i="6"/>
  <c r="R78" i="6"/>
  <c r="H137" i="6"/>
  <c r="U151" i="6"/>
  <c r="Q150" i="6"/>
  <c r="K45" i="6"/>
  <c r="F46" i="6"/>
  <c r="E147" i="6"/>
  <c r="D102" i="6"/>
  <c r="E127" i="6"/>
  <c r="F55" i="6"/>
  <c r="L89" i="6"/>
  <c r="H79" i="6"/>
  <c r="R89" i="6"/>
  <c r="I52" i="6"/>
  <c r="U141" i="6"/>
  <c r="S104" i="6"/>
  <c r="F151" i="6"/>
  <c r="N94" i="6"/>
  <c r="Q125" i="6"/>
  <c r="E55" i="6"/>
  <c r="N97" i="6"/>
  <c r="T76" i="6"/>
  <c r="E100" i="6"/>
  <c r="K72" i="6"/>
  <c r="O111" i="6"/>
  <c r="F82" i="6"/>
  <c r="S79" i="6"/>
  <c r="L88" i="6"/>
  <c r="T66" i="6"/>
  <c r="H73" i="6"/>
  <c r="F112" i="6"/>
  <c r="H133" i="6"/>
  <c r="C137" i="6"/>
  <c r="J81" i="6"/>
  <c r="Q136" i="6"/>
  <c r="J119" i="6"/>
  <c r="S74" i="6"/>
  <c r="P119" i="6"/>
  <c r="N98" i="6"/>
  <c r="U87" i="6"/>
  <c r="M64" i="6"/>
  <c r="U102" i="6"/>
  <c r="H120" i="6"/>
  <c r="H152" i="6"/>
  <c r="J152" i="6"/>
  <c r="K152" i="6"/>
  <c r="L152" i="6"/>
  <c r="P74" i="6"/>
  <c r="E133" i="6"/>
  <c r="O116" i="6"/>
  <c r="L130" i="6"/>
  <c r="C82" i="6"/>
  <c r="U95" i="6"/>
  <c r="I116" i="6"/>
  <c r="G93" i="6"/>
  <c r="M103" i="6"/>
  <c r="H45" i="6"/>
  <c r="H149" i="6"/>
  <c r="K76" i="6"/>
  <c r="D110" i="6"/>
  <c r="C110" i="6"/>
  <c r="C76" i="6"/>
  <c r="J133" i="6"/>
  <c r="F127" i="6"/>
  <c r="D48" i="6"/>
  <c r="U74" i="6"/>
  <c r="R132" i="6"/>
  <c r="Q147" i="6"/>
  <c r="M122" i="6"/>
  <c r="Q65" i="6"/>
  <c r="G50" i="6"/>
  <c r="D43" i="6"/>
  <c r="O82" i="6"/>
  <c r="I54" i="6"/>
  <c r="U149" i="6"/>
  <c r="L111" i="6"/>
  <c r="I74" i="6"/>
  <c r="O122" i="6"/>
  <c r="O102" i="6"/>
  <c r="G61" i="6"/>
  <c r="S89" i="6"/>
  <c r="P70" i="6"/>
  <c r="T93" i="6"/>
  <c r="N139" i="6"/>
  <c r="J50" i="6"/>
  <c r="H89" i="6"/>
  <c r="C50" i="6"/>
  <c r="K95" i="6"/>
  <c r="P134" i="6"/>
  <c r="U84" i="6"/>
  <c r="J139" i="6"/>
  <c r="K113" i="6"/>
  <c r="T56" i="6"/>
  <c r="T149" i="6"/>
  <c r="M136" i="6"/>
  <c r="D135" i="6"/>
  <c r="J56" i="6"/>
  <c r="I117" i="6"/>
  <c r="M96" i="6"/>
  <c r="H117" i="6"/>
  <c r="U98" i="6"/>
  <c r="M58" i="6"/>
  <c r="U113" i="6"/>
  <c r="L51" i="6"/>
  <c r="Q46" i="6"/>
  <c r="K57" i="6"/>
  <c r="L67" i="6"/>
  <c r="O61" i="6"/>
  <c r="L116" i="6"/>
  <c r="G54" i="6"/>
  <c r="M148" i="6"/>
  <c r="L63" i="6"/>
  <c r="F131" i="6"/>
  <c r="K91" i="6"/>
  <c r="Q129" i="6"/>
  <c r="S44" i="6"/>
  <c r="K123" i="6"/>
  <c r="T43" i="6"/>
  <c r="R51" i="6"/>
  <c r="G128" i="6"/>
  <c r="D51" i="6"/>
  <c r="D80" i="6"/>
  <c r="L72" i="6"/>
  <c r="I115" i="6"/>
  <c r="O66" i="6"/>
  <c r="E87" i="6"/>
  <c r="I53" i="6"/>
  <c r="T142" i="6"/>
  <c r="S150" i="6"/>
  <c r="H127" i="6"/>
  <c r="M107" i="6"/>
  <c r="P152" i="6"/>
  <c r="R152" i="6"/>
  <c r="S152" i="6"/>
  <c r="T152" i="6"/>
  <c r="J124" i="6"/>
  <c r="J147" i="6"/>
  <c r="R96" i="6"/>
  <c r="J113" i="6"/>
  <c r="L120" i="6"/>
  <c r="Q139" i="6"/>
  <c r="F79" i="6"/>
  <c r="M78" i="6"/>
  <c r="O87" i="6"/>
  <c r="P143" i="6"/>
  <c r="S65" i="6"/>
  <c r="J67" i="6"/>
  <c r="R138" i="6"/>
  <c r="O94" i="6"/>
  <c r="H87" i="6"/>
  <c r="N67" i="6"/>
  <c r="Q80" i="6"/>
  <c r="R128" i="6"/>
  <c r="G82" i="6"/>
  <c r="I48" i="6"/>
  <c r="F98" i="6"/>
  <c r="I88" i="6"/>
  <c r="O60" i="6"/>
  <c r="R61" i="6"/>
  <c r="D54" i="6"/>
  <c r="M53" i="6"/>
  <c r="I56" i="6"/>
  <c r="U138" i="6"/>
  <c r="E130" i="6"/>
  <c r="O71" i="6"/>
  <c r="G136" i="6"/>
  <c r="S137" i="6"/>
  <c r="M73" i="6"/>
  <c r="J89" i="6"/>
  <c r="D78" i="6"/>
  <c r="H70" i="6"/>
  <c r="G127" i="6"/>
  <c r="R66" i="6"/>
  <c r="Q71" i="6"/>
  <c r="R146" i="6"/>
  <c r="D75" i="6"/>
  <c r="O77" i="6"/>
  <c r="N47" i="6"/>
  <c r="L47" i="6"/>
  <c r="R102" i="6"/>
  <c r="H51" i="6"/>
  <c r="D142" i="6"/>
  <c r="K73" i="6"/>
  <c r="G72" i="6"/>
  <c r="U116" i="6"/>
  <c r="F139" i="6"/>
  <c r="N88" i="6"/>
  <c r="D70" i="6"/>
  <c r="M146" i="6"/>
  <c r="J121" i="6"/>
  <c r="C150" i="6"/>
  <c r="T125" i="6"/>
  <c r="T138" i="6"/>
  <c r="G98" i="6"/>
  <c r="P98" i="6"/>
  <c r="H65" i="6"/>
  <c r="N77" i="6"/>
  <c r="D101" i="6"/>
  <c r="T104" i="6"/>
  <c r="U55" i="6"/>
  <c r="Q62" i="6"/>
  <c r="U136" i="6"/>
  <c r="F87" i="6"/>
  <c r="M100" i="6"/>
  <c r="J149" i="6"/>
  <c r="D151" i="6"/>
  <c r="N92" i="6"/>
  <c r="O47" i="6"/>
  <c r="L95" i="6"/>
  <c r="N87" i="6"/>
  <c r="E53" i="6"/>
  <c r="M125" i="6"/>
  <c r="Q97" i="6"/>
  <c r="U69" i="6"/>
  <c r="E152" i="6"/>
  <c r="K56" i="6"/>
  <c r="N71" i="6"/>
  <c r="L102" i="6"/>
  <c r="Q57" i="6"/>
  <c r="L110" i="6"/>
  <c r="E59" i="6"/>
  <c r="E118" i="6"/>
  <c r="O139" i="6"/>
  <c r="I62" i="6"/>
  <c r="G147" i="6"/>
  <c r="D107" i="6"/>
  <c r="U123" i="6"/>
  <c r="P110" i="6"/>
  <c r="C90" i="6"/>
  <c r="D96" i="6"/>
  <c r="J72" i="6"/>
  <c r="K133" i="6"/>
  <c r="O146" i="6"/>
  <c r="E95" i="6"/>
  <c r="C121" i="6"/>
  <c r="E93" i="6"/>
  <c r="P45" i="6"/>
  <c r="M93" i="6"/>
  <c r="O63" i="6"/>
  <c r="L100" i="6"/>
  <c r="O69" i="6"/>
  <c r="S51" i="6"/>
  <c r="U61" i="6"/>
  <c r="I73" i="6"/>
  <c r="S43" i="6"/>
  <c r="O50" i="6"/>
  <c r="I95" i="6"/>
  <c r="L118" i="6"/>
  <c r="R72" i="6"/>
  <c r="C72" i="6"/>
  <c r="T71" i="6"/>
  <c r="C101" i="6"/>
  <c r="G109" i="6"/>
  <c r="E135" i="6"/>
  <c r="U125" i="6"/>
  <c r="J82" i="6"/>
  <c r="L99" i="6"/>
  <c r="S88" i="6"/>
  <c r="Q76" i="6"/>
  <c r="P101" i="6"/>
  <c r="I146" i="6"/>
  <c r="L44" i="6"/>
  <c r="K54" i="6"/>
  <c r="S142" i="6"/>
  <c r="P133" i="6"/>
  <c r="I112" i="6"/>
  <c r="T128" i="6"/>
  <c r="R63" i="6"/>
  <c r="E141" i="6"/>
  <c r="F103" i="6"/>
  <c r="D87" i="6"/>
  <c r="C56" i="6"/>
  <c r="I58" i="6"/>
  <c r="Q106" i="6"/>
  <c r="K128" i="6"/>
  <c r="O56" i="6"/>
  <c r="I57" i="6"/>
  <c r="U144" i="6"/>
  <c r="Q86" i="6"/>
  <c r="D85" i="6"/>
  <c r="L53" i="6"/>
  <c r="D98" i="6"/>
  <c r="H108" i="6"/>
  <c r="L69" i="6"/>
  <c r="F59" i="6"/>
  <c r="C151" i="6"/>
  <c r="M142" i="6"/>
  <c r="M152" i="6"/>
  <c r="L98" i="6"/>
  <c r="N147" i="6"/>
  <c r="I70" i="6"/>
  <c r="K125" i="6"/>
  <c r="H131" i="6"/>
  <c r="P50" i="6"/>
  <c r="P71" i="6"/>
  <c r="C59" i="6"/>
  <c r="S121" i="6"/>
  <c r="I49" i="6"/>
  <c r="R92" i="6"/>
  <c r="C105" i="6"/>
  <c r="O110" i="6"/>
  <c r="O149" i="6"/>
  <c r="U70" i="6"/>
  <c r="H95" i="6"/>
  <c r="N80" i="6"/>
  <c r="K109" i="6"/>
  <c r="I145" i="6"/>
  <c r="E107" i="6"/>
  <c r="P79" i="6"/>
  <c r="J141" i="6"/>
  <c r="I72" i="6"/>
  <c r="P89" i="6"/>
  <c r="M117" i="6"/>
  <c r="U64" i="6"/>
  <c r="E114" i="6"/>
  <c r="I76" i="6"/>
  <c r="H54" i="6"/>
  <c r="C63" i="6"/>
  <c r="E137" i="6"/>
  <c r="I87" i="6"/>
  <c r="H145" i="6"/>
  <c r="S80" i="6"/>
  <c r="Q117" i="6"/>
  <c r="M82" i="6"/>
  <c r="O75" i="6"/>
  <c r="H107" i="6"/>
  <c r="O142" i="6"/>
  <c r="L64" i="6"/>
  <c r="T101" i="6"/>
  <c r="E123" i="6"/>
  <c r="R105" i="6"/>
  <c r="O49" i="6"/>
  <c r="L62" i="6"/>
  <c r="J65" i="6"/>
  <c r="T113" i="6"/>
  <c r="C122" i="6"/>
  <c r="P116" i="6"/>
  <c r="C142" i="6"/>
  <c r="M89" i="6"/>
  <c r="M139" i="6"/>
  <c r="C99" i="6"/>
  <c r="M101" i="6"/>
  <c r="P141" i="6"/>
  <c r="J62" i="6"/>
  <c r="U140" i="6"/>
  <c r="F125" i="6"/>
  <c r="G94" i="6"/>
  <c r="D57" i="6"/>
  <c r="R129" i="6"/>
  <c r="L139" i="6"/>
  <c r="M102" i="6"/>
  <c r="D111" i="6"/>
  <c r="L134" i="6"/>
  <c r="L126" i="6"/>
  <c r="F95" i="6"/>
  <c r="J112" i="6"/>
  <c r="I69" i="6"/>
  <c r="R55" i="6"/>
  <c r="E67" i="6"/>
  <c r="S75" i="6"/>
  <c r="L90" i="6"/>
  <c r="C84" i="6"/>
  <c r="E47" i="6"/>
  <c r="J69" i="6"/>
  <c r="E105" i="6"/>
  <c r="U115" i="6"/>
  <c r="U152" i="6"/>
  <c r="G152" i="6"/>
  <c r="I152" i="6"/>
  <c r="J66" i="6"/>
  <c r="S103" i="6"/>
  <c r="R76" i="6"/>
  <c r="D72" i="6"/>
  <c r="K124" i="6"/>
  <c r="O89" i="6"/>
  <c r="M105" i="6"/>
  <c r="J75" i="6"/>
  <c r="D77" i="6"/>
  <c r="S95" i="6"/>
  <c r="C144" i="6"/>
  <c r="O57" i="6"/>
  <c r="S55" i="6"/>
  <c r="R106" i="6"/>
  <c r="I86" i="6"/>
  <c r="T94" i="6"/>
  <c r="G80" i="6"/>
  <c r="O131" i="6"/>
  <c r="H59" i="6"/>
  <c r="S128" i="6"/>
  <c r="I139" i="6"/>
  <c r="J101" i="6"/>
  <c r="E99" i="6"/>
  <c r="O98" i="6"/>
  <c r="O64" i="6"/>
  <c r="F78" i="6"/>
  <c r="T117" i="6"/>
  <c r="J125" i="6"/>
  <c r="J64" i="6"/>
  <c r="I89" i="6"/>
  <c r="G51" i="6"/>
  <c r="J83" i="6"/>
  <c r="H97" i="6"/>
  <c r="C89" i="6"/>
  <c r="M86" i="6"/>
  <c r="E66" i="6"/>
  <c r="O148" i="6"/>
  <c r="H119" i="6"/>
  <c r="L57" i="6"/>
  <c r="J120" i="6"/>
  <c r="J146" i="6"/>
  <c r="R116" i="6"/>
  <c r="K92" i="6"/>
  <c r="U56" i="6"/>
  <c r="C124" i="6"/>
  <c r="P69" i="6"/>
  <c r="T92" i="6"/>
  <c r="N145" i="6"/>
  <c r="O55" i="6"/>
  <c r="Q45" i="6"/>
  <c r="E136" i="6"/>
  <c r="I143" i="6"/>
  <c r="D86" i="6"/>
  <c r="I92" i="6"/>
  <c r="O130" i="6"/>
  <c r="Q103" i="6"/>
  <c r="F69" i="6"/>
  <c r="R136" i="6"/>
  <c r="U128" i="6"/>
  <c r="D62" i="6"/>
  <c r="N141" i="6"/>
  <c r="R95" i="6"/>
  <c r="O92" i="6"/>
  <c r="E45" i="6"/>
  <c r="T50" i="6"/>
  <c r="P73" i="6"/>
  <c r="H75" i="6"/>
  <c r="N91" i="6"/>
  <c r="E142" i="6"/>
  <c r="D112" i="6"/>
  <c r="F68" i="6"/>
  <c r="F54" i="6"/>
  <c r="L78" i="6"/>
  <c r="M48" i="6"/>
  <c r="J102" i="6"/>
  <c r="O152" i="6"/>
  <c r="Q152" i="6"/>
  <c r="J77" i="6"/>
  <c r="M79" i="6"/>
  <c r="F129" i="6"/>
  <c r="P65" i="6"/>
  <c r="N133" i="6"/>
  <c r="E94" i="6"/>
  <c r="T131" i="6"/>
  <c r="C141" i="6"/>
  <c r="S56" i="6"/>
  <c r="F108" i="6"/>
  <c r="D95" i="6"/>
  <c r="G79" i="6"/>
  <c r="F70" i="6"/>
  <c r="M140" i="6"/>
  <c r="K110" i="6"/>
  <c r="K68" i="6"/>
  <c r="T110" i="6"/>
  <c r="J85" i="6"/>
  <c r="S81" i="6"/>
  <c r="Q114" i="6"/>
  <c r="U46" i="6"/>
  <c r="O138" i="6"/>
  <c r="K145" i="6"/>
  <c r="P93" i="6"/>
  <c r="D65" i="6"/>
  <c r="M81" i="6"/>
  <c r="D50" i="6"/>
  <c r="F141" i="6"/>
  <c r="K86" i="6"/>
  <c r="S105" i="6"/>
  <c r="F43" i="6"/>
  <c r="U66" i="6"/>
  <c r="R149" i="6"/>
  <c r="E132" i="6"/>
  <c r="N125" i="6"/>
  <c r="Q124" i="6"/>
  <c r="S72" i="6"/>
  <c r="P95" i="6"/>
  <c r="L61" i="6"/>
  <c r="P83" i="6"/>
  <c r="C116" i="6"/>
  <c r="K137" i="6"/>
  <c r="J143" i="6"/>
  <c r="G102" i="6"/>
  <c r="M108" i="6"/>
  <c r="R77" i="6"/>
  <c r="M85" i="6"/>
  <c r="S54" i="6"/>
  <c r="D116" i="6"/>
  <c r="R119" i="6"/>
  <c r="P59" i="6"/>
  <c r="C73" i="6"/>
  <c r="Q75" i="6"/>
  <c r="S94" i="6"/>
  <c r="L114" i="6"/>
  <c r="F152" i="6"/>
  <c r="N148" i="6"/>
  <c r="J148" i="6"/>
  <c r="J91" i="6"/>
  <c r="E126" i="6"/>
  <c r="P108" i="6"/>
  <c r="D137" i="6"/>
  <c r="T141" i="6"/>
  <c r="P124" i="6"/>
  <c r="O85" i="6"/>
  <c r="D74" i="6"/>
  <c r="C52" i="6"/>
  <c r="D59" i="6"/>
  <c r="C136" i="6"/>
  <c r="R127" i="6"/>
  <c r="T52" i="6"/>
  <c r="L105" i="6"/>
  <c r="S64" i="6"/>
  <c r="Q60" i="6"/>
  <c r="C98" i="6"/>
  <c r="M76" i="6"/>
  <c r="T79" i="6"/>
  <c r="T120" i="6"/>
  <c r="O108" i="6"/>
  <c r="C119" i="6"/>
  <c r="K94" i="6"/>
  <c r="G60" i="6"/>
  <c r="N138" i="6"/>
  <c r="J136" i="6"/>
  <c r="H46" i="6"/>
  <c r="O101" i="6"/>
  <c r="O107" i="6"/>
  <c r="T91" i="6"/>
  <c r="G115" i="6"/>
  <c r="O90" i="6"/>
  <c r="D61" i="6"/>
  <c r="L84" i="6"/>
  <c r="E122" i="6"/>
  <c r="N51" i="6"/>
  <c r="C97" i="6"/>
  <c r="I45" i="6"/>
  <c r="F123" i="6"/>
  <c r="F97" i="6"/>
  <c r="K52" i="6"/>
  <c r="J49" i="6"/>
  <c r="S111" i="6"/>
  <c r="I110" i="6"/>
  <c r="N46" i="6"/>
  <c r="U117" i="6"/>
  <c r="I98" i="6"/>
  <c r="H52" i="6"/>
  <c r="L80" i="6"/>
  <c r="N144" i="6"/>
  <c r="T85" i="6"/>
  <c r="E124" i="6"/>
  <c r="E74" i="6"/>
  <c r="D104" i="6"/>
  <c r="U112" i="6"/>
  <c r="M60" i="6"/>
  <c r="J98" i="6"/>
  <c r="E51" i="6"/>
  <c r="H138" i="6"/>
  <c r="F121" i="6"/>
  <c r="L151" i="6"/>
  <c r="H86" i="6"/>
  <c r="I96" i="6"/>
  <c r="H56" i="6"/>
  <c r="C87" i="6"/>
  <c r="K90" i="6"/>
  <c r="I107" i="6"/>
  <c r="I113" i="6"/>
  <c r="U73" i="6"/>
  <c r="K104" i="6"/>
  <c r="U76" i="6"/>
  <c r="C77" i="6"/>
  <c r="Q51" i="6"/>
  <c r="S47" i="6"/>
  <c r="U143" i="6"/>
  <c r="P139" i="6"/>
  <c r="N58" i="6"/>
  <c r="L85" i="6"/>
  <c r="F142" i="6"/>
  <c r="I105" i="6"/>
  <c r="C147" i="6"/>
  <c r="G52" i="6"/>
  <c r="G91" i="6"/>
  <c r="T100" i="6"/>
  <c r="J97" i="6"/>
  <c r="K77" i="6"/>
  <c r="H147" i="6"/>
  <c r="G133" i="6"/>
  <c r="N118" i="6"/>
  <c r="U82" i="6"/>
  <c r="T144" i="6"/>
  <c r="M145" i="6"/>
  <c r="Q130" i="6"/>
  <c r="F110" i="6"/>
  <c r="S140" i="6"/>
  <c r="U139" i="6"/>
  <c r="I46" i="6"/>
  <c r="U92" i="6"/>
  <c r="J110" i="6"/>
  <c r="F88" i="6"/>
  <c r="P72" i="6"/>
  <c r="R140" i="6"/>
  <c r="L93" i="6"/>
  <c r="P49" i="6"/>
  <c r="U53" i="6"/>
  <c r="I83" i="6"/>
  <c r="Q137" i="6"/>
  <c r="N109" i="6"/>
  <c r="O52" i="6"/>
  <c r="N82" i="6"/>
  <c r="G100" i="6"/>
  <c r="S87" i="6"/>
  <c r="K143" i="6"/>
  <c r="H110" i="6"/>
  <c r="E125" i="6"/>
  <c r="H121" i="6"/>
  <c r="O105" i="6"/>
  <c r="K83" i="6"/>
  <c r="J131" i="6"/>
  <c r="E75" i="6"/>
  <c r="R126" i="6"/>
  <c r="R143" i="6"/>
  <c r="O118" i="6"/>
  <c r="R151" i="6"/>
  <c r="I77" i="6"/>
  <c r="Q138" i="6"/>
  <c r="D92" i="6"/>
  <c r="U105" i="6"/>
  <c r="H78" i="6"/>
  <c r="K115" i="6"/>
  <c r="E69" i="6"/>
  <c r="E65" i="6"/>
  <c r="M130" i="6"/>
  <c r="D106" i="6"/>
  <c r="G150" i="6"/>
  <c r="O58" i="6"/>
  <c r="C48" i="6"/>
  <c r="N48" i="6"/>
  <c r="I94" i="6"/>
  <c r="M115" i="6"/>
  <c r="F120" i="6"/>
  <c r="M150" i="6"/>
  <c r="C113" i="6"/>
  <c r="G131" i="6"/>
  <c r="C61" i="6"/>
  <c r="J118" i="6"/>
  <c r="E146" i="6"/>
  <c r="I91" i="6"/>
  <c r="F134" i="6"/>
  <c r="F45" i="6"/>
  <c r="T60" i="6"/>
  <c r="J90" i="6"/>
  <c r="R97" i="6"/>
  <c r="I149" i="6"/>
  <c r="R59" i="6"/>
  <c r="R80" i="6"/>
  <c r="F119" i="6"/>
  <c r="J103" i="6"/>
  <c r="O113" i="6"/>
  <c r="C146" i="6"/>
  <c r="Q120" i="6"/>
  <c r="L59" i="6"/>
  <c r="O62" i="6"/>
  <c r="G76" i="6"/>
  <c r="C139" i="6"/>
  <c r="J115" i="6"/>
  <c r="K46" i="6"/>
  <c r="G130" i="6"/>
  <c r="T75" i="6"/>
  <c r="C83" i="6"/>
  <c r="H140" i="6"/>
  <c r="H92" i="6"/>
  <c r="L55" i="6"/>
  <c r="S110" i="6"/>
  <c r="U60" i="6"/>
  <c r="R109" i="6"/>
  <c r="P78" i="6"/>
  <c r="N142" i="6"/>
  <c r="R43" i="6"/>
  <c r="J107" i="6"/>
  <c r="G95" i="6"/>
  <c r="L121" i="6"/>
  <c r="G103" i="6"/>
  <c r="U109" i="6"/>
  <c r="D132" i="6"/>
  <c r="H129" i="6"/>
  <c r="O133" i="6"/>
  <c r="M90" i="6"/>
  <c r="S147" i="6"/>
  <c r="O143" i="6"/>
  <c r="E117" i="6"/>
  <c r="E63" i="6"/>
  <c r="E58" i="6"/>
  <c r="C118" i="6"/>
  <c r="R70" i="6"/>
  <c r="M149" i="6"/>
  <c r="Q88" i="6"/>
  <c r="L104" i="6"/>
  <c r="G144" i="6"/>
  <c r="I120" i="6"/>
  <c r="F115" i="6"/>
  <c r="T151" i="6"/>
  <c r="F86" i="6"/>
  <c r="K48" i="6"/>
  <c r="I84" i="6"/>
  <c r="O45" i="6"/>
  <c r="I68" i="6"/>
  <c r="L123" i="6"/>
  <c r="U45" i="6"/>
  <c r="P87" i="6"/>
  <c r="N100" i="6"/>
  <c r="O74" i="6"/>
  <c r="K151" i="6"/>
  <c r="N116" i="6"/>
  <c r="K138" i="6"/>
  <c r="F50" i="6"/>
  <c r="F150" i="6"/>
  <c r="H43" i="6"/>
  <c r="T73" i="6"/>
  <c r="H132" i="6"/>
  <c r="M121" i="6"/>
  <c r="M75" i="6"/>
  <c r="P142" i="6"/>
  <c r="N122" i="6"/>
  <c r="H67" i="6"/>
  <c r="Q90" i="6"/>
  <c r="R99" i="6"/>
  <c r="I85" i="6"/>
  <c r="I55" i="6"/>
  <c r="L128" i="6"/>
  <c r="D68" i="6"/>
  <c r="C85" i="6"/>
  <c r="H63" i="6"/>
  <c r="M104" i="6"/>
  <c r="T111" i="6"/>
  <c r="N63" i="6"/>
  <c r="I60" i="6"/>
  <c r="O99" i="6"/>
  <c r="C49" i="6"/>
  <c r="O79" i="6"/>
  <c r="G53" i="6"/>
  <c r="P44" i="6"/>
  <c r="M133" i="6"/>
  <c r="C108" i="6"/>
  <c r="Q131" i="6"/>
  <c r="D66" i="6"/>
  <c r="U89" i="6"/>
  <c r="U65" i="6"/>
  <c r="K111" i="6"/>
  <c r="I66" i="6"/>
  <c r="O78" i="6"/>
  <c r="P121" i="6"/>
  <c r="P48" i="6"/>
  <c r="I75" i="6"/>
  <c r="D129" i="6"/>
  <c r="R150" i="6"/>
  <c r="I136" i="6"/>
  <c r="G122" i="6"/>
  <c r="N43" i="6"/>
  <c r="N96" i="6"/>
  <c r="F52" i="6"/>
  <c r="P115" i="6"/>
  <c r="Q149" i="6"/>
  <c r="I133" i="6"/>
  <c r="F99" i="6"/>
  <c r="N60" i="6"/>
  <c r="T45" i="6"/>
  <c r="C95" i="6"/>
  <c r="U124" i="6"/>
  <c r="J71" i="6"/>
  <c r="K55" i="6"/>
  <c r="Q134" i="6"/>
  <c r="N119" i="6"/>
  <c r="L131" i="6"/>
  <c r="F48" i="6"/>
  <c r="J105" i="6"/>
  <c r="N101" i="6"/>
  <c r="D147" i="6"/>
  <c r="G96" i="6"/>
  <c r="P88" i="6"/>
  <c r="Q101" i="6"/>
  <c r="P129" i="6"/>
  <c r="D138" i="6"/>
  <c r="M69" i="6"/>
  <c r="L142" i="6"/>
  <c r="D99" i="6"/>
  <c r="S53" i="6"/>
  <c r="F62" i="6"/>
  <c r="P63" i="6"/>
  <c r="E44" i="6"/>
  <c r="T121" i="6"/>
  <c r="S67" i="6"/>
  <c r="C127" i="6"/>
  <c r="G126" i="6"/>
  <c r="N81" i="6"/>
  <c r="T65" i="6"/>
  <c r="M97" i="6"/>
  <c r="G62" i="6"/>
  <c r="G110" i="6"/>
  <c r="S126" i="6"/>
  <c r="R125" i="6"/>
  <c r="M144" i="6"/>
  <c r="K98" i="6"/>
  <c r="L125" i="6"/>
  <c r="K71" i="6"/>
  <c r="F92" i="6"/>
  <c r="L46" i="6"/>
  <c r="L91" i="6"/>
  <c r="J128" i="6"/>
  <c r="P58" i="6"/>
  <c r="U110" i="6"/>
  <c r="Q73" i="6"/>
  <c r="J95" i="6"/>
  <c r="N112" i="6"/>
  <c r="R79" i="6"/>
  <c r="F67" i="6"/>
  <c r="T148" i="6"/>
  <c r="K116" i="6"/>
  <c r="Q66" i="6"/>
  <c r="K64" i="6"/>
  <c r="O132" i="6"/>
  <c r="E49" i="6"/>
  <c r="K144" i="6"/>
  <c r="M110" i="6"/>
  <c r="K147" i="6"/>
  <c r="C109" i="6"/>
  <c r="R133" i="6"/>
  <c r="S149" i="6"/>
  <c r="D131" i="6"/>
  <c r="E60" i="6"/>
  <c r="K49" i="6"/>
  <c r="C140" i="6"/>
  <c r="N113" i="6"/>
  <c r="I151" i="6"/>
  <c r="J127" i="6"/>
  <c r="N135" i="6"/>
  <c r="U90" i="6"/>
  <c r="D140" i="6"/>
  <c r="H72" i="6"/>
  <c r="H112" i="6"/>
  <c r="C125" i="6"/>
  <c r="I122" i="6"/>
  <c r="Q107" i="6"/>
  <c r="O140" i="6"/>
  <c r="U63" i="6"/>
  <c r="U44" i="6"/>
  <c r="K79" i="6"/>
  <c r="I131" i="6"/>
  <c r="R93" i="6"/>
  <c r="E111" i="6"/>
  <c r="M151" i="6"/>
  <c r="K102" i="6"/>
  <c r="H53" i="6"/>
  <c r="P100" i="6"/>
  <c r="K134" i="6"/>
  <c r="M54" i="6"/>
  <c r="R47" i="6"/>
  <c r="M127" i="6"/>
  <c r="N121" i="6"/>
  <c r="U91" i="6"/>
  <c r="U106" i="6"/>
  <c r="Q133" i="6"/>
  <c r="L86" i="6"/>
  <c r="T82" i="6"/>
  <c r="Q95" i="6"/>
  <c r="S107" i="6"/>
  <c r="P85" i="6"/>
  <c r="G43" i="6"/>
  <c r="C66" i="6"/>
  <c r="D46" i="6"/>
  <c r="T140" i="6"/>
  <c r="C132" i="6"/>
  <c r="S109" i="6"/>
  <c r="F64" i="6"/>
  <c r="H151" i="6"/>
  <c r="I101" i="6"/>
  <c r="Q111" i="6"/>
  <c r="U100" i="6"/>
  <c r="J87" i="6"/>
  <c r="T146" i="6"/>
  <c r="E119" i="6"/>
  <c r="K122" i="6"/>
  <c r="M131" i="6"/>
  <c r="S48" i="6"/>
  <c r="I129" i="6"/>
  <c r="F118" i="6"/>
  <c r="S106" i="6"/>
  <c r="F109" i="6"/>
  <c r="R83" i="6"/>
  <c r="O123" i="6"/>
  <c r="U114" i="6"/>
  <c r="R53" i="6"/>
  <c r="D94" i="6"/>
  <c r="T143" i="6"/>
  <c r="U132" i="6"/>
  <c r="Q78" i="6"/>
  <c r="R145" i="6"/>
  <c r="N131" i="6"/>
  <c r="M84" i="6"/>
  <c r="K142" i="6"/>
  <c r="J151" i="6"/>
  <c r="L103" i="6"/>
  <c r="N115" i="6"/>
  <c r="C74" i="6"/>
  <c r="H57" i="6"/>
  <c r="F130" i="6"/>
  <c r="N75" i="6"/>
  <c r="L137" i="6"/>
  <c r="G137" i="6"/>
  <c r="H101" i="6"/>
  <c r="J59" i="6"/>
  <c r="D55" i="6"/>
  <c r="I130" i="6"/>
  <c r="H125" i="6"/>
  <c r="I50" i="6"/>
  <c r="R113" i="6"/>
  <c r="K108" i="6"/>
  <c r="T109" i="6"/>
  <c r="H68" i="6"/>
  <c r="P97" i="6"/>
  <c r="C93" i="6"/>
  <c r="Q55" i="6"/>
  <c r="Q52" i="6"/>
  <c r="I51" i="6"/>
  <c r="F73" i="6"/>
  <c r="S123" i="6"/>
  <c r="T80" i="6"/>
  <c r="H50" i="6"/>
  <c r="D69" i="6"/>
  <c r="G81" i="6"/>
  <c r="I111" i="6"/>
  <c r="L76" i="6"/>
  <c r="L87" i="6"/>
  <c r="N70" i="6"/>
  <c r="J116" i="6"/>
  <c r="K58" i="6"/>
  <c r="R100" i="6"/>
  <c r="I71" i="6"/>
  <c r="J61" i="6"/>
  <c r="R121" i="6"/>
  <c r="S139" i="6"/>
  <c r="S115" i="6"/>
  <c r="S52" i="6"/>
  <c r="P43" i="6"/>
  <c r="T84" i="6"/>
  <c r="G58" i="6"/>
  <c r="K74" i="6"/>
  <c r="N123" i="6"/>
  <c r="T96" i="6"/>
  <c r="D56" i="6"/>
  <c r="S144" i="6"/>
  <c r="N151" i="6"/>
  <c r="G142" i="6"/>
  <c r="D125" i="6"/>
  <c r="D149" i="6"/>
  <c r="I150" i="6"/>
  <c r="G68" i="6"/>
  <c r="D150" i="6"/>
  <c r="P46" i="6"/>
  <c r="M49" i="6"/>
  <c r="O97" i="6"/>
  <c r="O65" i="6"/>
  <c r="E76" i="6"/>
  <c r="I124" i="6"/>
  <c r="K89" i="6"/>
  <c r="L60" i="6"/>
  <c r="K93" i="6"/>
  <c r="O137" i="6"/>
  <c r="F63" i="6"/>
  <c r="R67" i="6"/>
  <c r="I102" i="6"/>
  <c r="O112" i="6"/>
  <c r="D93" i="6"/>
  <c r="G89" i="6"/>
  <c r="Q69" i="6"/>
  <c r="R112" i="6"/>
  <c r="H116" i="6"/>
  <c r="F144" i="6"/>
  <c r="N89" i="6"/>
  <c r="L43" i="6"/>
  <c r="T55" i="6"/>
  <c r="Q148" i="6"/>
  <c r="N103" i="6"/>
  <c r="U54" i="6"/>
  <c r="R107" i="6"/>
  <c r="T122" i="6"/>
  <c r="H55" i="6"/>
  <c r="U127" i="6"/>
  <c r="F148" i="6"/>
  <c r="P140" i="6"/>
  <c r="U43" i="6"/>
  <c r="N130" i="6"/>
  <c r="R137" i="6"/>
  <c r="L122" i="6"/>
  <c r="R56" i="6"/>
  <c r="R57" i="6"/>
  <c r="D64" i="6"/>
  <c r="J48" i="6"/>
  <c r="Q132" i="6"/>
  <c r="H124" i="6"/>
  <c r="L83" i="6"/>
  <c r="N68" i="6"/>
  <c r="G63" i="6"/>
  <c r="S120" i="6"/>
  <c r="Q143" i="6"/>
  <c r="F93" i="6"/>
  <c r="J74" i="6"/>
  <c r="R141" i="6"/>
  <c r="G118" i="6"/>
  <c r="D118" i="6"/>
  <c r="N65" i="6"/>
  <c r="Q121" i="6"/>
  <c r="I121" i="6"/>
  <c r="K97" i="6"/>
  <c r="S133" i="6"/>
  <c r="P132" i="6"/>
  <c r="I63" i="6"/>
  <c r="E145" i="6"/>
  <c r="D121" i="6"/>
  <c r="I90" i="6"/>
  <c r="R52" i="6"/>
  <c r="D97" i="6"/>
  <c r="U77" i="6"/>
  <c r="O115" i="6"/>
  <c r="G83" i="6"/>
  <c r="T57" i="6"/>
  <c r="L140" i="6"/>
  <c r="G46" i="6"/>
  <c r="Q112" i="6"/>
  <c r="G74" i="6"/>
  <c r="I127" i="6"/>
  <c r="R120" i="6"/>
  <c r="G151" i="6"/>
  <c r="E149" i="6"/>
  <c r="H61" i="6"/>
  <c r="H115" i="6"/>
  <c r="L117" i="6"/>
  <c r="G47" i="6"/>
  <c r="H139" i="6"/>
  <c r="G86" i="6"/>
  <c r="O120" i="6"/>
  <c r="P128" i="6"/>
  <c r="U130" i="6"/>
  <c r="I103" i="6"/>
  <c r="I125" i="6"/>
  <c r="N52" i="6"/>
  <c r="K44" i="6"/>
  <c r="P86" i="6"/>
  <c r="T107" i="6"/>
  <c r="I114" i="6"/>
  <c r="C107" i="6"/>
  <c r="L132" i="6"/>
  <c r="H80" i="6"/>
  <c r="K53" i="6"/>
  <c r="R84" i="6"/>
  <c r="D123" i="6"/>
  <c r="T53" i="6"/>
  <c r="N149" i="6"/>
  <c r="Q96" i="6"/>
  <c r="D128" i="6"/>
  <c r="H82" i="6"/>
  <c r="S113" i="6"/>
  <c r="P151" i="6"/>
  <c r="T99" i="6"/>
  <c r="F49" i="6"/>
  <c r="R110" i="6"/>
  <c r="D83" i="6"/>
  <c r="J73" i="6"/>
  <c r="U142" i="6"/>
  <c r="E109" i="6"/>
  <c r="Q99" i="6"/>
  <c r="M111" i="6"/>
  <c r="O134" i="6"/>
  <c r="J142" i="6"/>
  <c r="S119" i="6"/>
  <c r="P114" i="6"/>
  <c r="L112" i="6"/>
  <c r="L145" i="6"/>
  <c r="L94" i="6"/>
  <c r="K126" i="6"/>
  <c r="N62" i="6"/>
  <c r="O135" i="6"/>
  <c r="K51" i="6"/>
  <c r="S125" i="6"/>
  <c r="S143" i="6"/>
  <c r="F101" i="6"/>
  <c r="N59" i="6"/>
  <c r="G55" i="6"/>
  <c r="J76" i="6"/>
  <c r="E89" i="6"/>
  <c r="T123" i="6"/>
  <c r="U133" i="6"/>
  <c r="P102" i="6"/>
  <c r="N104" i="6"/>
  <c r="I97" i="6"/>
  <c r="H71" i="6"/>
  <c r="R108" i="6"/>
  <c r="O109" i="6"/>
  <c r="F77" i="6"/>
  <c r="F140" i="6"/>
  <c r="T95" i="6"/>
  <c r="K62" i="6"/>
  <c r="M118" i="6"/>
  <c r="H94" i="6"/>
  <c r="D148" i="6"/>
  <c r="U96" i="6"/>
  <c r="R60" i="6"/>
  <c r="R134" i="6"/>
  <c r="U150" i="6"/>
  <c r="M63" i="6"/>
  <c r="H104" i="6"/>
  <c r="N93" i="6"/>
  <c r="J45" i="6"/>
  <c r="C69" i="6"/>
  <c r="N136" i="6"/>
  <c r="D127" i="6"/>
  <c r="P82" i="6"/>
  <c r="C92" i="6"/>
  <c r="P150" i="6"/>
  <c r="G111" i="6"/>
  <c r="G108" i="6"/>
  <c r="E131" i="6"/>
  <c r="U78" i="6"/>
  <c r="E77" i="6"/>
  <c r="K81" i="6"/>
  <c r="T139" i="6"/>
  <c r="C58" i="6"/>
  <c r="S98" i="6"/>
  <c r="I44" i="6"/>
  <c r="M119" i="6"/>
  <c r="T118" i="6"/>
  <c r="D84" i="6"/>
  <c r="G134" i="6"/>
  <c r="H114" i="6"/>
  <c r="K140" i="6"/>
  <c r="H49" i="6"/>
  <c r="E106" i="6"/>
  <c r="C123" i="6"/>
  <c r="M95" i="6"/>
  <c r="F102" i="6"/>
  <c r="E50" i="6"/>
  <c r="E129" i="6"/>
  <c r="J60" i="6"/>
  <c r="O127" i="6"/>
  <c r="E88" i="6"/>
  <c r="S141" i="6"/>
  <c r="C70" i="6"/>
  <c r="R74" i="6"/>
  <c r="I59" i="6"/>
  <c r="T150" i="6"/>
  <c r="H143" i="6"/>
  <c r="M120" i="6"/>
  <c r="N73" i="6"/>
  <c r="S93" i="6"/>
  <c r="G129" i="6"/>
  <c r="F138" i="6"/>
  <c r="H90" i="6"/>
  <c r="U79" i="6"/>
  <c r="O125" i="6"/>
  <c r="S146" i="6"/>
  <c r="G119" i="6"/>
  <c r="U49" i="6"/>
  <c r="Q58" i="6"/>
  <c r="T132" i="6"/>
  <c r="G106" i="6"/>
  <c r="J58" i="6"/>
  <c r="O70" i="6"/>
  <c r="M99" i="6"/>
  <c r="K119" i="6"/>
  <c r="E80" i="6"/>
  <c r="O88" i="6"/>
  <c r="C53" i="6"/>
  <c r="U131" i="6"/>
  <c r="I128" i="6"/>
  <c r="F106" i="6"/>
  <c r="K87" i="6"/>
  <c r="G121" i="6"/>
  <c r="P57" i="6"/>
  <c r="I106" i="6"/>
  <c r="O121" i="6"/>
  <c r="M59" i="6"/>
  <c r="J138" i="6"/>
  <c r="D139" i="6"/>
  <c r="L141" i="6"/>
  <c r="C94" i="6"/>
  <c r="I119" i="6"/>
  <c r="P62" i="6"/>
  <c r="E102" i="6"/>
  <c r="G44" i="6"/>
  <c r="S60" i="6"/>
  <c r="P47" i="6"/>
  <c r="L74" i="6"/>
  <c r="E73" i="6"/>
  <c r="H64" i="6"/>
  <c r="R117" i="6"/>
  <c r="J109" i="6"/>
  <c r="Q63" i="6"/>
  <c r="H98" i="6"/>
  <c r="K101" i="6"/>
  <c r="G135" i="6"/>
  <c r="H144" i="6"/>
  <c r="G112" i="6"/>
  <c r="G90" i="6"/>
  <c r="K114" i="6"/>
  <c r="C64" i="6"/>
  <c r="U81" i="6"/>
  <c r="J145" i="6"/>
  <c r="F104" i="6"/>
  <c r="P53" i="6"/>
  <c r="P56" i="6"/>
  <c r="Q72" i="6"/>
  <c r="O44" i="6"/>
  <c r="F44" i="6"/>
  <c r="I99" i="6"/>
  <c r="R124" i="6"/>
  <c r="F84" i="6"/>
  <c r="M77" i="6"/>
  <c r="J117" i="6"/>
  <c r="E62" i="6"/>
  <c r="R75" i="6"/>
  <c r="S108" i="6"/>
  <c r="P149" i="6"/>
  <c r="D73" i="6"/>
  <c r="Q47" i="6"/>
  <c r="I109" i="6"/>
  <c r="U85" i="6"/>
  <c r="P84" i="6"/>
  <c r="O100" i="6"/>
  <c r="G45" i="6"/>
  <c r="M74" i="6"/>
  <c r="L97" i="6"/>
  <c r="E56" i="6"/>
  <c r="K112" i="6"/>
  <c r="I126" i="6"/>
  <c r="C45" i="6"/>
  <c r="N102" i="6"/>
  <c r="C106" i="6"/>
  <c r="G70" i="6"/>
  <c r="I108" i="6"/>
  <c r="K149" i="6"/>
  <c r="P92" i="6"/>
  <c r="U88" i="6"/>
  <c r="H99" i="6"/>
  <c r="T106" i="6"/>
  <c r="E68" i="6"/>
  <c r="H118" i="6"/>
  <c r="Q61" i="6"/>
  <c r="G140" i="6"/>
  <c r="C148" i="6"/>
  <c r="R122" i="6"/>
  <c r="Q89" i="6"/>
  <c r="G64" i="6"/>
  <c r="G97" i="6"/>
  <c r="K106" i="6"/>
  <c r="K61" i="6"/>
  <c r="K121" i="6"/>
  <c r="Q93" i="6"/>
  <c r="Q48" i="6"/>
  <c r="K148" i="6"/>
  <c r="P137" i="6"/>
  <c r="P94" i="6"/>
  <c r="S91" i="6"/>
  <c r="D133" i="6"/>
  <c r="N83" i="6"/>
  <c r="F143" i="6"/>
  <c r="L149" i="6"/>
  <c r="E121" i="6"/>
  <c r="R81" i="6"/>
  <c r="F105" i="6"/>
  <c r="K146" i="6"/>
  <c r="N99" i="6"/>
  <c r="F114" i="6"/>
  <c r="L124" i="6"/>
  <c r="U72" i="6"/>
  <c r="J144" i="6"/>
  <c r="N137" i="6"/>
  <c r="F145" i="6"/>
  <c r="L107" i="6"/>
  <c r="U107" i="6"/>
  <c r="L49" i="6"/>
  <c r="C60" i="6"/>
  <c r="T130" i="6"/>
  <c r="H134" i="6"/>
  <c r="C68" i="6"/>
  <c r="J94" i="6"/>
  <c r="F76" i="6"/>
  <c r="N124" i="6"/>
  <c r="P146" i="6"/>
  <c r="U58" i="6"/>
  <c r="Q115" i="6"/>
  <c r="G114" i="6"/>
  <c r="R147" i="6"/>
  <c r="U122" i="6"/>
  <c r="J108" i="6"/>
  <c r="T69" i="6"/>
  <c r="S145" i="6"/>
  <c r="E148" i="6"/>
  <c r="N79" i="6"/>
  <c r="C88" i="6"/>
  <c r="N66" i="6"/>
  <c r="M336" i="1"/>
  <c r="M323" i="1"/>
  <c r="M346" i="1"/>
  <c r="O128" i="6"/>
  <c r="Y31" i="3"/>
  <c r="O20" i="3"/>
  <c r="T19" i="3"/>
  <c r="O10" i="3"/>
  <c r="Y12" i="3"/>
  <c r="T4" i="3"/>
  <c r="V4" i="3" s="1"/>
  <c r="J21" i="3"/>
  <c r="J8" i="3"/>
  <c r="J35" i="3"/>
  <c r="O13" i="3"/>
  <c r="J9" i="3"/>
  <c r="J15" i="3"/>
  <c r="J24" i="3"/>
  <c r="J33" i="3"/>
  <c r="J13" i="3"/>
  <c r="O4" i="3"/>
  <c r="O15" i="3"/>
  <c r="T8" i="3"/>
  <c r="T2" i="3"/>
  <c r="T27" i="3"/>
  <c r="V27" i="3" s="1"/>
  <c r="M307" i="1"/>
  <c r="J34" i="3"/>
  <c r="K2" i="3"/>
  <c r="M335" i="1"/>
  <c r="M948" i="1"/>
  <c r="M826" i="1"/>
  <c r="M834" i="1"/>
  <c r="M835" i="1"/>
  <c r="M913" i="1"/>
  <c r="M881" i="1"/>
  <c r="M947" i="1"/>
  <c r="M827" i="1"/>
  <c r="M863" i="1"/>
  <c r="M800" i="1"/>
  <c r="M869" i="1"/>
  <c r="M836" i="1"/>
  <c r="M1021" i="1"/>
  <c r="M853" i="1"/>
  <c r="M758" i="1"/>
  <c r="M733" i="1"/>
  <c r="M757" i="1"/>
  <c r="M665" i="1"/>
  <c r="M612" i="1"/>
  <c r="M657" i="1"/>
  <c r="M586" i="1"/>
  <c r="M655" i="1"/>
  <c r="M645" i="1"/>
  <c r="M656" i="1"/>
  <c r="M654" i="1"/>
  <c r="M666" i="1"/>
  <c r="M646" i="1"/>
  <c r="M519" i="1"/>
  <c r="M432" i="1"/>
  <c r="M412" i="1"/>
  <c r="M431" i="1"/>
  <c r="M411" i="1"/>
  <c r="M376" i="1"/>
  <c r="M375" i="1"/>
  <c r="M421" i="1"/>
  <c r="M420" i="1"/>
  <c r="M371" i="1"/>
  <c r="M354" i="1"/>
  <c r="M330" i="1"/>
  <c r="M322" i="1"/>
  <c r="K3" i="3"/>
  <c r="M314" i="1"/>
  <c r="O14" i="3"/>
  <c r="J14" i="3"/>
  <c r="M340" i="1"/>
  <c r="Y14" i="3"/>
  <c r="K14" i="3"/>
  <c r="M868" i="1"/>
  <c r="T14" i="3"/>
  <c r="M667" i="1"/>
  <c r="U14" i="3"/>
  <c r="P14" i="3"/>
  <c r="M427" i="1"/>
  <c r="Z14" i="3"/>
  <c r="M345" i="1"/>
  <c r="M98" i="6"/>
  <c r="J129" i="6"/>
  <c r="S58" i="6"/>
  <c r="R87" i="6"/>
  <c r="M124" i="6"/>
  <c r="P96" i="6"/>
  <c r="R135" i="6"/>
  <c r="R69" i="6"/>
  <c r="J68" i="6"/>
  <c r="Q70" i="6"/>
  <c r="L77" i="6"/>
  <c r="M72" i="6"/>
  <c r="M106" i="6"/>
  <c r="I79" i="6"/>
  <c r="J100" i="6"/>
  <c r="I118" i="6"/>
  <c r="U104" i="6"/>
  <c r="P122" i="6"/>
  <c r="G117" i="6"/>
  <c r="F80" i="6"/>
  <c r="N111" i="6"/>
  <c r="K96" i="6"/>
  <c r="L113" i="6"/>
  <c r="R98" i="6"/>
  <c r="L127" i="6"/>
  <c r="S86" i="6"/>
  <c r="K150" i="6"/>
  <c r="T134" i="6"/>
  <c r="H93" i="6"/>
  <c r="J80" i="6"/>
  <c r="E57" i="6"/>
  <c r="L56" i="6"/>
  <c r="S134" i="6"/>
  <c r="H85" i="6"/>
  <c r="J126" i="6"/>
  <c r="E46" i="6"/>
  <c r="K50" i="6"/>
  <c r="M51" i="6"/>
  <c r="Q64" i="6"/>
  <c r="G148" i="6"/>
  <c r="U68" i="6"/>
  <c r="M56" i="6"/>
  <c r="Q123" i="6"/>
  <c r="E150" i="6"/>
  <c r="R144" i="6"/>
  <c r="S136" i="6"/>
  <c r="H62" i="6"/>
  <c r="G78" i="6"/>
  <c r="P68" i="6"/>
  <c r="S97" i="6"/>
  <c r="U52" i="6"/>
  <c r="K107" i="6"/>
  <c r="C131" i="6"/>
  <c r="C104" i="6"/>
  <c r="O59" i="6"/>
  <c r="S83" i="6"/>
  <c r="E101" i="6"/>
  <c r="C57" i="6"/>
  <c r="C129" i="6"/>
  <c r="S77" i="6"/>
  <c r="M62" i="6"/>
  <c r="D113" i="6"/>
  <c r="O104" i="6"/>
  <c r="N72" i="6"/>
  <c r="F117" i="6"/>
  <c r="C80" i="6"/>
  <c r="C86" i="6"/>
  <c r="H105" i="6"/>
  <c r="L52" i="6"/>
  <c r="Q81" i="6"/>
  <c r="T86" i="6"/>
  <c r="P120" i="6"/>
  <c r="H123" i="6"/>
  <c r="G84" i="6"/>
  <c r="Q142" i="6"/>
  <c r="L119" i="6"/>
  <c r="P145" i="6"/>
  <c r="G104" i="6"/>
  <c r="J150" i="6"/>
  <c r="Q128" i="6"/>
  <c r="D136" i="6"/>
  <c r="Q122" i="6"/>
  <c r="N146" i="6"/>
  <c r="I80" i="6"/>
  <c r="N134" i="6"/>
  <c r="E82" i="6"/>
  <c r="E98" i="6"/>
  <c r="Q98" i="6"/>
  <c r="J134" i="6"/>
  <c r="G99" i="6"/>
  <c r="H141" i="6"/>
  <c r="P123" i="6"/>
  <c r="D52" i="6"/>
  <c r="N110" i="6"/>
  <c r="P131" i="6"/>
  <c r="S101" i="6"/>
  <c r="U111" i="6"/>
  <c r="M324" i="1"/>
  <c r="H44" i="6"/>
  <c r="N57" i="6"/>
  <c r="Q113" i="6"/>
  <c r="M138" i="6"/>
  <c r="O83" i="6"/>
  <c r="Q140" i="6"/>
  <c r="K130" i="6"/>
  <c r="C67" i="6"/>
  <c r="T97" i="6"/>
  <c r="N108" i="6"/>
  <c r="L54" i="6"/>
  <c r="M92" i="6"/>
  <c r="K66" i="6"/>
  <c r="J12" i="3"/>
  <c r="M311" i="1"/>
  <c r="M979" i="1"/>
  <c r="M920" i="1"/>
  <c r="M809" i="1"/>
  <c r="M939" i="1"/>
  <c r="M1016" i="1"/>
  <c r="M812" i="1"/>
  <c r="M1011" i="1"/>
  <c r="M811" i="1"/>
  <c r="M940" i="1"/>
  <c r="M978" i="1"/>
  <c r="M981" i="1"/>
  <c r="M941" i="1"/>
  <c r="M1015" i="1"/>
  <c r="M1014" i="1"/>
  <c r="M879" i="1"/>
  <c r="M961" i="1"/>
  <c r="M1012" i="1"/>
  <c r="M843" i="1"/>
  <c r="M844" i="1"/>
  <c r="M1013" i="1"/>
  <c r="M856" i="1"/>
  <c r="M938" i="1"/>
  <c r="M810" i="1"/>
  <c r="M845" i="1"/>
  <c r="M803" i="1"/>
  <c r="M980" i="1"/>
  <c r="M1017" i="1"/>
  <c r="M714" i="1"/>
  <c r="M712" i="1"/>
  <c r="M741" i="1"/>
  <c r="M740" i="1"/>
  <c r="M744" i="1"/>
  <c r="M781" i="1"/>
  <c r="M713" i="1"/>
  <c r="M716" i="1"/>
  <c r="M780" i="1"/>
  <c r="M715" i="1"/>
  <c r="M739" i="1"/>
  <c r="M742" i="1"/>
  <c r="M743" i="1"/>
  <c r="M782" i="1"/>
  <c r="M797" i="1"/>
  <c r="M599" i="1"/>
  <c r="M570" i="1"/>
  <c r="M569" i="1"/>
  <c r="M568" i="1"/>
  <c r="M602" i="1"/>
  <c r="M575" i="1"/>
  <c r="M642" i="1"/>
  <c r="M600" i="1"/>
  <c r="M598" i="1"/>
  <c r="M604" i="1"/>
  <c r="M668" i="1"/>
  <c r="M543" i="1"/>
  <c r="M605" i="1"/>
  <c r="M603" i="1"/>
  <c r="M601" i="1"/>
  <c r="M506" i="1"/>
  <c r="M527" i="1"/>
  <c r="M505" i="1"/>
  <c r="M525" i="1"/>
  <c r="M488" i="1"/>
  <c r="M507" i="1"/>
  <c r="M509" i="1"/>
  <c r="M508" i="1"/>
  <c r="M526" i="1"/>
  <c r="M461" i="1"/>
  <c r="M460" i="1"/>
  <c r="M393" i="1"/>
  <c r="M423" i="1"/>
  <c r="M392" i="1"/>
  <c r="M428" i="1"/>
  <c r="M401" i="1"/>
  <c r="M391" i="1"/>
  <c r="M398" i="1"/>
  <c r="M390" i="1"/>
  <c r="M400" i="1"/>
  <c r="M394" i="1"/>
  <c r="M397" i="1"/>
  <c r="M396" i="1"/>
  <c r="M395" i="1"/>
  <c r="M399" i="1"/>
  <c r="M321" i="1"/>
  <c r="J3" i="3"/>
  <c r="M313" i="1"/>
  <c r="M972" i="1"/>
  <c r="M953" i="1"/>
  <c r="M822" i="1"/>
  <c r="M931" i="1"/>
  <c r="M807" i="1"/>
  <c r="M917" i="1"/>
  <c r="M977" i="1"/>
  <c r="M1009" i="1"/>
  <c r="M975" i="1"/>
  <c r="M974" i="1"/>
  <c r="M842" i="1"/>
  <c r="M1005" i="1"/>
  <c r="M806" i="1"/>
  <c r="M985" i="1"/>
  <c r="M932" i="1"/>
  <c r="M937" i="1"/>
  <c r="M823" i="1"/>
  <c r="M973" i="1"/>
  <c r="M840" i="1"/>
  <c r="M918" i="1"/>
  <c r="M878" i="1"/>
  <c r="M1008" i="1"/>
  <c r="M1007" i="1"/>
  <c r="M1006" i="1"/>
  <c r="M960" i="1"/>
  <c r="M1004" i="1"/>
  <c r="M808" i="1"/>
  <c r="M934" i="1"/>
  <c r="M859" i="1"/>
  <c r="M1003" i="1"/>
  <c r="M1010" i="1"/>
  <c r="M936" i="1"/>
  <c r="M805" i="1"/>
  <c r="M930" i="1"/>
  <c r="M885" i="1"/>
  <c r="M916" i="1"/>
  <c r="M824" i="1"/>
  <c r="M841" i="1"/>
  <c r="M933" i="1"/>
  <c r="M804" i="1"/>
  <c r="M976" i="1"/>
  <c r="M935" i="1"/>
  <c r="M769" i="1"/>
  <c r="M775" i="1"/>
  <c r="M709" i="1"/>
  <c r="M766" i="1"/>
  <c r="M770" i="1"/>
  <c r="M704" i="1"/>
  <c r="M761" i="1"/>
  <c r="M710" i="1"/>
  <c r="M767" i="1"/>
  <c r="M701" i="1"/>
  <c r="M771" i="1"/>
  <c r="M762" i="1"/>
  <c r="M793" i="1"/>
  <c r="M702" i="1"/>
  <c r="M773" i="1"/>
  <c r="M763" i="1"/>
  <c r="M705" i="1"/>
  <c r="M776" i="1"/>
  <c r="M708" i="1"/>
  <c r="M765" i="1"/>
  <c r="M772" i="1"/>
  <c r="M768" i="1"/>
  <c r="M707" i="1"/>
  <c r="M764" i="1"/>
  <c r="M706" i="1"/>
  <c r="M703" i="1"/>
  <c r="M760" i="1"/>
  <c r="M777" i="1"/>
  <c r="M774" i="1"/>
  <c r="M566" i="1"/>
  <c r="M557" i="1"/>
  <c r="M542" i="1"/>
  <c r="M595" i="1"/>
  <c r="M593" i="1"/>
  <c r="M591" i="1"/>
  <c r="M558" i="1"/>
  <c r="M562" i="1"/>
  <c r="M560" i="1"/>
  <c r="M564" i="1"/>
  <c r="M594" i="1"/>
  <c r="M554" i="1"/>
  <c r="M556" i="1"/>
  <c r="M592" i="1"/>
  <c r="M590" i="1"/>
  <c r="M563" i="1"/>
  <c r="M567" i="1"/>
  <c r="M596" i="1"/>
  <c r="M555" i="1"/>
  <c r="M561" i="1"/>
  <c r="M559" i="1"/>
  <c r="M597" i="1"/>
  <c r="M565" i="1"/>
  <c r="M501" i="1"/>
  <c r="M499" i="1"/>
  <c r="M498" i="1"/>
  <c r="M503" i="1"/>
  <c r="M368" i="1"/>
  <c r="M495" i="1"/>
  <c r="M524" i="1"/>
  <c r="M497" i="1"/>
  <c r="M521" i="1"/>
  <c r="M500" i="1"/>
  <c r="M496" i="1"/>
  <c r="M523" i="1"/>
  <c r="M502" i="1"/>
  <c r="M522" i="1"/>
  <c r="M453" i="1"/>
  <c r="M452" i="1"/>
  <c r="M456" i="1"/>
  <c r="M454" i="1"/>
  <c r="M457" i="1"/>
  <c r="M455" i="1"/>
  <c r="M451" i="1"/>
  <c r="M450" i="1"/>
  <c r="M385" i="1"/>
  <c r="M384" i="1"/>
  <c r="M383" i="1"/>
  <c r="M379" i="1"/>
  <c r="M382" i="1"/>
  <c r="M381" i="1"/>
  <c r="M414" i="1"/>
  <c r="M380" i="1"/>
  <c r="M362" i="1"/>
  <c r="M363" i="1"/>
  <c r="P81" i="6"/>
  <c r="L143" i="6"/>
  <c r="R88" i="6"/>
  <c r="R48" i="6"/>
  <c r="U118" i="6"/>
  <c r="G146" i="6"/>
  <c r="P104" i="6"/>
  <c r="F137" i="6"/>
  <c r="Q68" i="6"/>
  <c r="T133" i="6"/>
  <c r="O96" i="6"/>
  <c r="P75" i="6"/>
  <c r="F149" i="6"/>
  <c r="H83" i="6"/>
  <c r="P148" i="6"/>
  <c r="O54" i="6"/>
  <c r="N120" i="6"/>
  <c r="T114" i="6"/>
  <c r="T129" i="6"/>
  <c r="U51" i="6"/>
  <c r="F65" i="6"/>
  <c r="E113" i="6"/>
  <c r="O81" i="6"/>
  <c r="G132" i="6"/>
  <c r="T46" i="6"/>
  <c r="C44" i="6"/>
  <c r="S132" i="6"/>
  <c r="D122" i="6"/>
  <c r="O43" i="6"/>
  <c r="C138" i="6"/>
  <c r="D81" i="6"/>
  <c r="E85" i="6"/>
  <c r="T78" i="6"/>
  <c r="L96" i="6"/>
  <c r="C126" i="6"/>
  <c r="K69" i="6"/>
  <c r="Q144" i="6"/>
  <c r="I104" i="6"/>
  <c r="K131" i="6"/>
  <c r="K43" i="6"/>
  <c r="S84" i="6"/>
  <c r="P138" i="6"/>
  <c r="P112" i="6"/>
  <c r="C134" i="6"/>
  <c r="T127" i="6"/>
  <c r="C75" i="6"/>
  <c r="M45" i="6"/>
  <c r="H111" i="6"/>
  <c r="G125" i="6"/>
  <c r="M88" i="6"/>
  <c r="Q127" i="6"/>
  <c r="L79" i="6"/>
  <c r="P107" i="6"/>
  <c r="F94" i="6"/>
  <c r="J114" i="6"/>
  <c r="M147" i="6"/>
  <c r="T98" i="6"/>
  <c r="I47" i="6"/>
  <c r="Q85" i="6"/>
  <c r="N114" i="6"/>
  <c r="O76" i="6"/>
  <c r="R103" i="6"/>
  <c r="N90" i="6"/>
  <c r="O106" i="6"/>
  <c r="D146" i="6"/>
  <c r="C128" i="6"/>
  <c r="O51" i="6"/>
  <c r="Q119" i="6"/>
  <c r="F107" i="6"/>
  <c r="H126" i="6"/>
  <c r="D53" i="6"/>
  <c r="D134" i="6"/>
  <c r="K85" i="6"/>
  <c r="S49" i="6"/>
  <c r="U101" i="6"/>
  <c r="D91" i="6"/>
  <c r="H48" i="6"/>
  <c r="J84" i="6"/>
  <c r="O48" i="6"/>
  <c r="T119" i="6"/>
  <c r="N117" i="6"/>
  <c r="I138" i="6"/>
  <c r="M123" i="6"/>
  <c r="H76" i="6"/>
  <c r="L50" i="6"/>
  <c r="M57" i="6"/>
  <c r="L108" i="6"/>
  <c r="K47" i="6"/>
  <c r="Q135" i="6"/>
  <c r="T90" i="6"/>
  <c r="E97" i="6"/>
  <c r="S116" i="6"/>
  <c r="P126" i="6"/>
  <c r="P125" i="6"/>
  <c r="T62" i="6"/>
  <c r="N61" i="6"/>
  <c r="K100" i="6"/>
  <c r="F60" i="6"/>
  <c r="H106" i="6"/>
  <c r="J132" i="6"/>
  <c r="Q94" i="6"/>
  <c r="F74" i="6"/>
  <c r="J51" i="6"/>
  <c r="T126" i="6"/>
  <c r="E140" i="6"/>
  <c r="H122" i="6"/>
  <c r="Q91" i="6"/>
  <c r="Q146" i="6"/>
  <c r="M80" i="6"/>
  <c r="K127" i="6"/>
  <c r="S69" i="6"/>
  <c r="U99" i="6"/>
  <c r="S102" i="6"/>
  <c r="N143" i="6"/>
  <c r="R50" i="6"/>
  <c r="M329" i="1"/>
  <c r="M351" i="1"/>
  <c r="M344" i="1"/>
  <c r="J2" i="3"/>
  <c r="Z32" i="3"/>
  <c r="AA32" i="3" s="1"/>
  <c r="K32" i="3"/>
  <c r="M310" i="1"/>
  <c r="M471" i="1"/>
  <c r="M877" i="1"/>
  <c r="M883" i="1"/>
  <c r="M950" i="1"/>
  <c r="M956" i="1"/>
  <c r="M997" i="1"/>
  <c r="M867" i="1"/>
  <c r="M1023" i="1"/>
  <c r="M998" i="1"/>
  <c r="M884" i="1"/>
  <c r="M951" i="1"/>
  <c r="M1002" i="1"/>
  <c r="M996" i="1"/>
  <c r="M882" i="1"/>
  <c r="M1026" i="1"/>
  <c r="M1025" i="1"/>
  <c r="M1024" i="1"/>
  <c r="M731" i="1"/>
  <c r="M752" i="1"/>
  <c r="M745" i="1"/>
  <c r="M686" i="1"/>
  <c r="M680" i="1"/>
  <c r="M678" i="1"/>
  <c r="M676" i="1"/>
  <c r="M682" i="1"/>
  <c r="M681" i="1"/>
  <c r="M679" i="1"/>
  <c r="M677" i="1"/>
  <c r="M683" i="1"/>
  <c r="M675" i="1"/>
  <c r="M443" i="1"/>
  <c r="M449" i="1"/>
  <c r="M378" i="1"/>
  <c r="M377" i="1"/>
  <c r="M413" i="1"/>
  <c r="M357" i="1"/>
  <c r="M356" i="1"/>
  <c r="M355" i="1"/>
  <c r="K8" i="3"/>
  <c r="M333" i="1"/>
  <c r="Z8" i="3"/>
  <c r="AA8" i="3" s="1"/>
  <c r="M999" i="1"/>
  <c r="M964" i="1"/>
  <c r="M825" i="1"/>
  <c r="M833" i="1"/>
  <c r="M926" i="1"/>
  <c r="M1020" i="1"/>
  <c r="M927" i="1"/>
  <c r="M946" i="1"/>
  <c r="M912" i="1"/>
  <c r="M983" i="1"/>
  <c r="M1000" i="1"/>
  <c r="M955" i="1"/>
  <c r="M829" i="1"/>
  <c r="M991" i="1"/>
  <c r="M819" i="1"/>
  <c r="M852" i="1"/>
  <c r="M925" i="1"/>
  <c r="M970" i="1"/>
  <c r="M832" i="1"/>
  <c r="M969" i="1"/>
  <c r="M816" i="1"/>
  <c r="M862" i="1"/>
  <c r="M698" i="1"/>
  <c r="M693" i="1"/>
  <c r="M796" i="1"/>
  <c r="M700" i="1"/>
  <c r="M756" i="1"/>
  <c r="M699" i="1"/>
  <c r="M694" i="1"/>
  <c r="M644" i="1"/>
  <c r="M636" i="1"/>
  <c r="M545" i="1"/>
  <c r="M585" i="1"/>
  <c r="M653" i="1"/>
  <c r="M643" i="1"/>
  <c r="M548" i="1"/>
  <c r="M584" i="1"/>
  <c r="M637" i="1"/>
  <c r="M618" i="1"/>
  <c r="M611" i="1"/>
  <c r="M540" i="1"/>
  <c r="M518" i="1"/>
  <c r="M491" i="1"/>
  <c r="M435" i="1"/>
  <c r="M448" i="1"/>
  <c r="M446" i="1"/>
  <c r="M447" i="1"/>
  <c r="M436" i="1"/>
  <c r="M419" i="1"/>
  <c r="M374" i="1"/>
  <c r="M370" i="1"/>
  <c r="M369" i="1"/>
  <c r="M328" i="1"/>
  <c r="M320" i="1"/>
  <c r="M350" i="1"/>
  <c r="M343" i="1"/>
  <c r="O124" i="6"/>
  <c r="T137" i="6"/>
  <c r="J47" i="6"/>
  <c r="M71" i="6"/>
  <c r="E86" i="6"/>
  <c r="U80" i="6"/>
  <c r="T48" i="6"/>
  <c r="F124" i="6"/>
  <c r="T47" i="6"/>
  <c r="I81" i="6"/>
  <c r="E108" i="6"/>
  <c r="E92" i="6"/>
  <c r="D60" i="6"/>
  <c r="M47" i="6"/>
  <c r="P144" i="6"/>
  <c r="N56" i="6"/>
  <c r="J70" i="6"/>
  <c r="Q50" i="6"/>
  <c r="O68" i="6"/>
  <c r="K136" i="6"/>
  <c r="K60" i="6"/>
  <c r="U59" i="6"/>
  <c r="U97" i="6"/>
  <c r="L71" i="6"/>
  <c r="C51" i="6"/>
  <c r="C79" i="6"/>
  <c r="L144" i="6"/>
  <c r="D124" i="6"/>
  <c r="J86" i="6"/>
  <c r="E139" i="6"/>
  <c r="E144" i="6"/>
  <c r="C112" i="6"/>
  <c r="Q53" i="6"/>
  <c r="C81" i="6"/>
  <c r="J93" i="6"/>
  <c r="D130" i="6"/>
  <c r="J79" i="6"/>
  <c r="N76" i="6"/>
  <c r="N127" i="6"/>
  <c r="G116" i="6"/>
  <c r="C143" i="6"/>
  <c r="S96" i="6"/>
  <c r="R94" i="6"/>
  <c r="G113" i="6"/>
  <c r="M134" i="6"/>
  <c r="S66" i="6"/>
  <c r="S85" i="6"/>
  <c r="G49" i="6"/>
  <c r="P135" i="6"/>
  <c r="D47" i="6"/>
  <c r="J99" i="6"/>
  <c r="K117" i="6"/>
  <c r="N95" i="6"/>
  <c r="K80" i="6"/>
  <c r="F91" i="6"/>
  <c r="Q141" i="6"/>
  <c r="H81" i="6"/>
  <c r="O91" i="6"/>
  <c r="S70" i="6"/>
  <c r="F56" i="6"/>
  <c r="K139" i="6"/>
  <c r="E84" i="6"/>
  <c r="L81" i="6"/>
  <c r="N78" i="6"/>
  <c r="P90" i="6"/>
  <c r="P127" i="6"/>
  <c r="J46" i="6"/>
  <c r="E120" i="6"/>
  <c r="U147" i="6"/>
  <c r="S71" i="6"/>
  <c r="R115" i="6"/>
  <c r="E54" i="6"/>
  <c r="O67" i="6"/>
  <c r="P64" i="6"/>
  <c r="G67" i="6"/>
  <c r="I93" i="6"/>
  <c r="E104" i="6"/>
  <c r="S114" i="6"/>
  <c r="L129" i="6"/>
  <c r="E115" i="6"/>
  <c r="J88" i="6"/>
  <c r="M70" i="6"/>
  <c r="Q116" i="6"/>
  <c r="M132" i="6"/>
  <c r="P55" i="6"/>
  <c r="P118" i="6"/>
  <c r="N107" i="6"/>
  <c r="E151" i="6"/>
  <c r="Q110" i="6"/>
  <c r="L45" i="6"/>
  <c r="F71" i="6"/>
  <c r="P66" i="6"/>
  <c r="T44" i="6"/>
  <c r="L65" i="6"/>
  <c r="J122" i="6"/>
  <c r="T77" i="6"/>
  <c r="O129" i="6"/>
  <c r="M50" i="6"/>
  <c r="H128" i="6"/>
  <c r="N69" i="6"/>
  <c r="E138" i="6"/>
  <c r="S135" i="6"/>
  <c r="O80" i="6"/>
  <c r="R86" i="6"/>
  <c r="G66" i="6"/>
  <c r="J63" i="6"/>
  <c r="T89" i="6"/>
  <c r="Q74" i="6"/>
  <c r="F61" i="6"/>
  <c r="G92" i="6"/>
  <c r="E61" i="6"/>
  <c r="T145" i="6"/>
  <c r="D90" i="6"/>
  <c r="S130" i="6"/>
  <c r="M309" i="1"/>
  <c r="K29" i="3"/>
  <c r="J29" i="3"/>
  <c r="M994" i="1"/>
  <c r="M854" i="1"/>
  <c r="M984" i="1"/>
  <c r="M838" i="1"/>
  <c r="M993" i="1"/>
  <c r="M874" i="1"/>
  <c r="M864" i="1"/>
  <c r="M759" i="1"/>
  <c r="M738" i="1"/>
  <c r="M735" i="1"/>
  <c r="M730" i="1"/>
  <c r="M727" i="1"/>
  <c r="M734" i="1"/>
  <c r="M737" i="1"/>
  <c r="M736" i="1"/>
  <c r="M792" i="1"/>
  <c r="M729" i="1"/>
  <c r="M728" i="1"/>
  <c r="M672" i="1"/>
  <c r="M541" i="1"/>
  <c r="M440" i="1"/>
  <c r="M361" i="1"/>
  <c r="Z10" i="3"/>
  <c r="M332" i="1"/>
  <c r="J10" i="3"/>
  <c r="M963" i="1"/>
  <c r="Y10" i="3"/>
  <c r="M802" i="1"/>
  <c r="M982" i="1"/>
  <c r="M795" i="1"/>
  <c r="M664" i="1"/>
  <c r="U10" i="3"/>
  <c r="M544" i="1"/>
  <c r="M580" i="1"/>
  <c r="P10" i="3"/>
  <c r="K10" i="3"/>
  <c r="T10" i="3"/>
  <c r="M327" i="1"/>
  <c r="M319" i="1"/>
  <c r="M349" i="1"/>
  <c r="T116" i="6"/>
  <c r="F47" i="6"/>
  <c r="C62" i="6"/>
  <c r="J135" i="6"/>
  <c r="F66" i="6"/>
  <c r="E134" i="6"/>
  <c r="S46" i="6"/>
  <c r="J55" i="6"/>
  <c r="M91" i="6"/>
  <c r="J78" i="6"/>
  <c r="D117" i="6"/>
  <c r="N45" i="6"/>
  <c r="C115" i="6"/>
  <c r="G73" i="6"/>
  <c r="R114" i="6"/>
  <c r="P105" i="6"/>
  <c r="L148" i="6"/>
  <c r="D103" i="6"/>
  <c r="D105" i="6"/>
  <c r="P113" i="6"/>
  <c r="H77" i="6"/>
  <c r="H135" i="6"/>
  <c r="F126" i="6"/>
  <c r="O72" i="6"/>
  <c r="U134" i="6"/>
  <c r="M112" i="6"/>
  <c r="D126" i="6"/>
  <c r="S50" i="6"/>
  <c r="C46" i="6"/>
  <c r="S68" i="6"/>
  <c r="T81" i="6"/>
  <c r="D115" i="6"/>
  <c r="I142" i="6"/>
  <c r="P80" i="6"/>
  <c r="Q44" i="6"/>
  <c r="R139" i="6"/>
  <c r="U103" i="6"/>
  <c r="G105" i="6"/>
  <c r="R104" i="6"/>
  <c r="P147" i="6"/>
  <c r="G48" i="6"/>
  <c r="O126" i="6"/>
  <c r="G124" i="6"/>
  <c r="L68" i="6"/>
  <c r="S78" i="6"/>
  <c r="N140" i="6"/>
  <c r="T59" i="6"/>
  <c r="E79" i="6"/>
  <c r="Q79" i="6"/>
  <c r="M114" i="6"/>
  <c r="P136" i="6"/>
  <c r="R49" i="6"/>
  <c r="J54" i="6"/>
  <c r="I147" i="6"/>
  <c r="G75" i="6"/>
  <c r="T58" i="6"/>
  <c r="E64" i="6"/>
  <c r="D114" i="6"/>
  <c r="F111" i="6"/>
  <c r="S117" i="6"/>
  <c r="O73" i="6"/>
  <c r="E116" i="6"/>
  <c r="G123" i="6"/>
  <c r="F90" i="6"/>
  <c r="K135" i="6"/>
  <c r="U86" i="6"/>
  <c r="F72" i="6"/>
  <c r="S57" i="6"/>
  <c r="U94" i="6"/>
  <c r="U48" i="6"/>
  <c r="U50" i="6"/>
  <c r="N129" i="6"/>
  <c r="R46" i="6"/>
  <c r="P76" i="6"/>
  <c r="T64" i="6"/>
  <c r="S118" i="6"/>
  <c r="G57" i="6"/>
  <c r="K59" i="6"/>
  <c r="H103" i="6"/>
  <c r="S148" i="6"/>
  <c r="L101" i="6"/>
  <c r="D109" i="6"/>
  <c r="H88" i="6"/>
  <c r="C91" i="6"/>
  <c r="Q109" i="6"/>
  <c r="P67" i="6"/>
  <c r="P51" i="6"/>
  <c r="H91" i="6"/>
  <c r="K75" i="6"/>
  <c r="T61" i="6"/>
  <c r="K70" i="6"/>
  <c r="D100" i="6"/>
  <c r="P52" i="6"/>
  <c r="D145" i="6"/>
  <c r="R65" i="6"/>
  <c r="O119" i="6"/>
  <c r="N150" i="6"/>
  <c r="E96" i="6"/>
  <c r="U148" i="6"/>
  <c r="H60" i="6"/>
  <c r="Q54" i="6"/>
  <c r="E83" i="6"/>
  <c r="Q105" i="6"/>
  <c r="S90" i="6"/>
  <c r="S127" i="6"/>
  <c r="T70" i="6"/>
  <c r="I82" i="6"/>
  <c r="M141" i="6"/>
  <c r="L135" i="6"/>
  <c r="S129" i="6"/>
  <c r="Q118" i="6"/>
  <c r="M308" i="1"/>
  <c r="M954" i="1"/>
  <c r="M911" i="1"/>
  <c r="M815" i="1"/>
  <c r="M801" i="1"/>
  <c r="M831" i="1"/>
  <c r="M967" i="1"/>
  <c r="M989" i="1"/>
  <c r="M988" i="1"/>
  <c r="M992" i="1"/>
  <c r="M799" i="1"/>
  <c r="M914" i="1"/>
  <c r="M830" i="1"/>
  <c r="M850" i="1"/>
  <c r="M818" i="1"/>
  <c r="M851" i="1"/>
  <c r="M990" i="1"/>
  <c r="M732" i="1"/>
  <c r="M687" i="1"/>
  <c r="M696" i="1"/>
  <c r="M692" i="1"/>
  <c r="M697" i="1"/>
  <c r="M690" i="1"/>
  <c r="M746" i="1"/>
  <c r="M691" i="1"/>
  <c r="M578" i="1"/>
  <c r="M663" i="1"/>
  <c r="M634" i="1"/>
  <c r="M579" i="1"/>
  <c r="M577" i="1"/>
  <c r="M635" i="1"/>
  <c r="M547" i="1"/>
  <c r="M652" i="1"/>
  <c r="M517" i="1"/>
  <c r="M490" i="1"/>
  <c r="M486" i="1"/>
  <c r="M445" i="1"/>
  <c r="M477" i="1"/>
  <c r="M410" i="1"/>
  <c r="M429" i="1"/>
  <c r="M430" i="1"/>
  <c r="M359" i="1"/>
  <c r="M360" i="1"/>
  <c r="Z9" i="3"/>
  <c r="M353" i="1"/>
  <c r="K9" i="3"/>
  <c r="M342" i="1"/>
  <c r="M326" i="1"/>
  <c r="Z12" i="3"/>
  <c r="K12" i="3"/>
  <c r="M318" i="1"/>
  <c r="M348" i="1"/>
  <c r="G71" i="6"/>
  <c r="P130" i="6"/>
  <c r="D89" i="6"/>
  <c r="J137" i="6"/>
  <c r="O141" i="6"/>
  <c r="J111" i="6"/>
  <c r="R58" i="6"/>
  <c r="F58" i="6"/>
  <c r="M44" i="6"/>
  <c r="P103" i="6"/>
  <c r="I78" i="6"/>
  <c r="U120" i="6"/>
  <c r="T147" i="6"/>
  <c r="H84" i="6"/>
  <c r="L109" i="6"/>
  <c r="H69" i="6"/>
  <c r="N84" i="6"/>
  <c r="K141" i="6"/>
  <c r="J130" i="6"/>
  <c r="R111" i="6"/>
  <c r="U126" i="6"/>
  <c r="L146" i="6"/>
  <c r="M65" i="6"/>
  <c r="Q49" i="6"/>
  <c r="S73" i="6"/>
  <c r="K120" i="6"/>
  <c r="J92" i="6"/>
  <c r="H150" i="6"/>
  <c r="S131" i="6"/>
  <c r="N44" i="6"/>
  <c r="C54" i="6"/>
  <c r="K88" i="6"/>
  <c r="G88" i="6"/>
  <c r="K78" i="6"/>
  <c r="Q77" i="6"/>
  <c r="T112" i="6"/>
  <c r="J52" i="6"/>
  <c r="P61" i="6"/>
  <c r="I144" i="6"/>
  <c r="S92" i="6"/>
  <c r="K67" i="6"/>
  <c r="F113" i="6"/>
  <c r="G56" i="6"/>
  <c r="U108" i="6"/>
  <c r="L75" i="6"/>
  <c r="U137" i="6"/>
  <c r="D144" i="6"/>
  <c r="O117" i="6"/>
  <c r="K132" i="6"/>
  <c r="G85" i="6"/>
  <c r="E128" i="6"/>
  <c r="F147" i="6"/>
  <c r="I43" i="6"/>
  <c r="Q59" i="6"/>
  <c r="T87" i="6"/>
  <c r="S112" i="6"/>
  <c r="N49" i="6"/>
  <c r="U93" i="6"/>
  <c r="D119" i="6"/>
  <c r="S62" i="6"/>
  <c r="R90" i="6"/>
  <c r="N64" i="6"/>
  <c r="O93" i="6"/>
  <c r="F89" i="6"/>
  <c r="Q126" i="6"/>
  <c r="M66" i="6"/>
  <c r="C55" i="6"/>
  <c r="U146" i="6"/>
  <c r="T135" i="6"/>
  <c r="O53" i="6"/>
  <c r="R71" i="6"/>
  <c r="H130" i="6"/>
  <c r="M67" i="6"/>
  <c r="M55" i="6"/>
  <c r="T88" i="6"/>
  <c r="L70" i="6"/>
  <c r="F96" i="6"/>
  <c r="C103" i="6"/>
  <c r="S61" i="6"/>
  <c r="G120" i="6"/>
  <c r="I141" i="6"/>
  <c r="F75" i="6"/>
  <c r="C120" i="6"/>
  <c r="R130" i="6"/>
  <c r="G107" i="6"/>
  <c r="F146" i="6"/>
  <c r="G143" i="6"/>
  <c r="M116" i="6"/>
  <c r="E81" i="6"/>
  <c r="M128" i="6"/>
  <c r="U121" i="6"/>
  <c r="G87" i="6"/>
  <c r="N54" i="6"/>
  <c r="I64" i="6"/>
  <c r="L106" i="6"/>
  <c r="H146" i="6"/>
  <c r="O150" i="6"/>
  <c r="AA23" i="3"/>
  <c r="AA3" i="3"/>
  <c r="AA4" i="3"/>
  <c r="AA34" i="3"/>
  <c r="AA25" i="3"/>
  <c r="AA17" i="3"/>
  <c r="V23" i="3"/>
  <c r="AA28" i="3"/>
  <c r="V5" i="3"/>
  <c r="AA18" i="3"/>
  <c r="V26" i="3"/>
  <c r="AA35" i="3"/>
  <c r="AA27" i="3"/>
  <c r="AA26" i="3"/>
  <c r="V12" i="3"/>
  <c r="AA29" i="3"/>
  <c r="AA19" i="3"/>
  <c r="AA31" i="3"/>
  <c r="V30" i="3"/>
  <c r="AA22" i="3"/>
  <c r="AA20" i="3"/>
  <c r="AA33" i="3"/>
  <c r="AA16" i="3"/>
  <c r="AA24" i="3"/>
  <c r="AA6" i="3"/>
  <c r="V21" i="3"/>
  <c r="AA11" i="3"/>
  <c r="AA13" i="3"/>
  <c r="AA15" i="3"/>
  <c r="AA5" i="3"/>
  <c r="AA7" i="3"/>
  <c r="AA30" i="3"/>
  <c r="V18" i="3"/>
  <c r="V13" i="3"/>
  <c r="V35" i="3"/>
  <c r="V3" i="3"/>
  <c r="V7" i="3"/>
  <c r="V33" i="3"/>
  <c r="V25" i="3"/>
  <c r="V28" i="3"/>
  <c r="V32" i="3"/>
  <c r="V19" i="3"/>
  <c r="V16" i="3"/>
  <c r="V6" i="3"/>
  <c r="V15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AA12" i="3" l="1"/>
  <c r="V152" i="6"/>
  <c r="AA2" i="3"/>
  <c r="V150" i="6"/>
  <c r="V149" i="6"/>
  <c r="V151" i="6"/>
  <c r="V147" i="6"/>
  <c r="V148" i="6"/>
  <c r="V146" i="6"/>
  <c r="V145" i="6"/>
  <c r="V143" i="6"/>
  <c r="V144" i="6"/>
  <c r="V142" i="6"/>
  <c r="V141" i="6"/>
  <c r="V140" i="6"/>
  <c r="V138" i="6"/>
  <c r="V139" i="6"/>
  <c r="V137" i="6"/>
  <c r="V134" i="6"/>
  <c r="V135" i="6"/>
  <c r="V136" i="6"/>
  <c r="AA9" i="3"/>
  <c r="AA14" i="3"/>
  <c r="V133" i="6"/>
  <c r="AA10" i="3"/>
  <c r="V132" i="6"/>
  <c r="V131" i="6"/>
  <c r="V130" i="6"/>
  <c r="V129" i="6"/>
  <c r="V128" i="6"/>
  <c r="V127" i="6"/>
  <c r="V126" i="6"/>
  <c r="V125" i="6"/>
  <c r="V124" i="6"/>
  <c r="V29" i="3"/>
  <c r="V121" i="6"/>
  <c r="V123" i="6"/>
  <c r="V122" i="6"/>
  <c r="V120" i="6"/>
  <c r="V119" i="6"/>
  <c r="V118" i="6"/>
  <c r="V117" i="6"/>
  <c r="V2" i="3"/>
  <c r="V34" i="3"/>
  <c r="V9" i="3"/>
  <c r="V8" i="3"/>
  <c r="V116" i="6"/>
  <c r="V115" i="6"/>
  <c r="V114" i="6"/>
  <c r="V112" i="6"/>
  <c r="V113" i="6"/>
  <c r="V111" i="6"/>
  <c r="V110" i="6"/>
  <c r="V108" i="6"/>
  <c r="V107" i="6"/>
  <c r="V109" i="6"/>
  <c r="V106" i="6"/>
  <c r="V104" i="6"/>
  <c r="V105" i="6"/>
  <c r="V100" i="6"/>
  <c r="V102" i="6"/>
  <c r="V103" i="6"/>
  <c r="V101" i="6"/>
  <c r="V99" i="6"/>
  <c r="V98" i="6"/>
  <c r="V97" i="6"/>
  <c r="V96" i="6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X35" i="3" s="1"/>
  <c r="AB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V37" i="6"/>
  <c r="V33" i="6"/>
  <c r="V34" i="6"/>
  <c r="V36" i="6"/>
  <c r="V38" i="6"/>
  <c r="V35" i="6"/>
  <c r="V39" i="6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<sst xmlns="http://schemas.openxmlformats.org/spreadsheetml/2006/main" count="8198" uniqueCount="188">
  <si>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</si>
  <si>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</si>
  <si>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</si>
  <si>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</si>
  <si>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</si>
  <si>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</si>
  <si>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</si>
  <si>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</si>
  <si>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</si>
  <si>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</si>
  <si>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</si>
  <si>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</si>
  <si>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</si>
  <si>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</si>
  <si>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</si>
  <si>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</si>
  <si>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</si>
  <si>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</si>
  <si>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</si>
  <si>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</si>
  <si>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</si>
  <si>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</si>
  <si>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</si>
  <si>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</si>
  <si>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</si>
  <si>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</si>
  <si>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</si>
  <si>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</si>
  <si>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</si>
  <si>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</si>
  <si>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</si>
  <si>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</si>
  <si>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</si>
  <si>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</si>
  <si>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</si>
  <si>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</si>
  <si>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</si>
  <si>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</si>
  <si>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</si>
  <si>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</si>
  <si>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</si>
  <si>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</si>
  <si>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</si>
  <si>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</si>
  <si>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</si>
  <si>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</si>
  <si>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</si>
  <si>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</si>
  <si>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</si>
  <si>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</si>
  <si>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</si>
  <si>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</si>
  <si>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</si>
  <si>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</si>
  <si>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</si>
  <si>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</si>
  <si>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</si>
  <si>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</si>
  <si>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</si>
  <si>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</si>
  <si>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</si>
  <si>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</si>
  <si>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</si>
  <si>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</si>
  <si>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</si>
  <si>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</si>
  <si>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</si>
  <si>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</si>
  <si>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</si>
  <si>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</si>
  <si>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</si>
  <si>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</si>
  <si>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</si>
  <si>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</si>
  <si>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</si>
  <si>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</si>
  <si>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</si>
  <si>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</si>
  <si>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</si>
  <si>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</si>
  <si>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</si>
  <si>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</si>
  <si>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</si>
  <si>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</si>
  <si>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</si>
  <si>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</si>
  <si>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</si>
  <si>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</si>
  <si>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</si>
  <si>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</si>
  <si>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</si>
  <si>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</si>
  <si>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</si>
  <si>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</si>
  <si>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</si>
  <si>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</si>
  <si>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</si>
  <si>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</si>
  <si>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</si>
  <si>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</si>
  <si>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</si>
  <si>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</si>
  <si>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</si>
  <si>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</si>
  <si>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</si>
  <si>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</si>
  <si>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</si>
  <si>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</si>
  <si>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</si>
  <si>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</si>
  <si>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</si>
  <si>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</si>
  <si>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</si>
  <si>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</si>
  <si>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</si>
  <si>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</si>
  <si>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</si>
  <si>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</si>
  <si>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</si>
  <si>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</si>
  <si>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</si>
  <si>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</si>
  <si>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</si>
  <si>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</si>
  <si>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</si>
  <si>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</si>
  <si>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</si>
  <si>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</si>
  <si>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</si>
  <si>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</si>
  <si>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</si>
  <si>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</si>
  <si>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</si>
  <si>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</si>
  <si>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</si>
  <si>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</si>
  <si>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</si>
  <si>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</si>
  <si>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</si>
  <si>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</si>
  <si>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</si>
  <si>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</si>
  <si>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</si>
  <si>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</si>
  <si>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</si>
  <si>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</si>
  <si>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</si>
  <si>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</si>
  <si>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</si>
  <si>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</si>
  <si>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</si>
  <si>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</si>
  <si>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</si>
  <si>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</si>
  <si>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</si>
  <si>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</si>
  <si>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</si>
  <si>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</si>
  <si>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</si>
  <si>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</si>
  <si>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</si>
  <si>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</si>
  <si>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</si>
  <si>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</si>
  <si>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</si>
  <si>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</si>
  <si>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</si>
  <si>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</si>
  <si>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</si>
  <si>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</si>
  <si>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</si>
  <si>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</si>
  <si>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</si>
  <si>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</si>
  <si>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</si>
  <si>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</si>
  <si>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</si>
  <si>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</si>
  <si>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</si>
  <si>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</si>
  <si>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</si>
  <si>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</si>
  <si>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</si>
  <si>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</si>
  <si>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</si>
  <si>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</si>
  <si>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</si>
  <si>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Amerant Bank  - CFT 1 residence LLC - 6607-USD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</si>
</sst>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3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79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21" fillId="0" borderId="1" xfId="0" applyFont="1" applyBorder="1"/>
    <xf numFmtId="0" fontId="21" fillId="0" borderId="14" xfId="0" applyFont="1" applyBorder="1"/>
    <xf numFmtId="0" fontId="22" fillId="0" borderId="1" xfId="0" applyFont="1" applyBorder="1"/>
    <xf numFmtId="0" fontId="22" fillId="0" borderId="14" xfId="0" applyFont="1" applyBorder="1"/>
    <xf numFmtId="43" fontId="4" fillId="0" borderId="0" xfId="1" applyFont="1" applyBorder="1" applyAlignment="1">
      <alignment horizontal="right"/>
    </xf>
    <xf numFmtId="43" fontId="4" fillId="0" borderId="0" xfId="1" applyNumberFormat="1" applyFont="1" applyAlignment="1">
      <alignment horizontal="right"/>
    </xf>
    <xf numFmtId="0" fontId="0" fillId="0" borderId="0" xfId="0" applyNumberFormat="1"/>
  </cellXfs>
  <cellStyles count="2">
    <cellStyle name="Millares" xfId="1" builtinId="3"/>
    <cellStyle name="Normal" xfId="0" builtinId="0"/>
  </cellStyles>
  <dxfs count="45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1033" totalsRowShown="0" headerRowDxfId="42">
  <autoFilter ref="A1:P1033" xr:uid="{00000000-0009-0000-0100-000001000000}"/>
  <sortState xmlns:xlrd2="http://schemas.microsoft.com/office/spreadsheetml/2017/richdata2" ref="A2:P892">
    <sortCondition ref="B1:B892"/>
  </sortState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498" totalsRowShown="0" headerRowDxfId="30" dataDxfId="28" headerRowBorderDxfId="29" tableBorderDxfId="27">
  <autoFilter ref="A1:V498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2889" tableType="queryTable" totalsRowShown="0" headerRowDxfId="44" headerRowBorderDxfId="43">
  <autoFilter ref="A1:D2889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169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108</v>
      </c>
      <c r="C16" s="13" t="s">
        <v>147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17</v>
      </c>
      <c r="B35" s="13" t="s">
        <v>96</v>
      </c>
      <c r="C35" s="13" t="s">
        <v>163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21</v>
      </c>
      <c r="B36" s="13" t="s">
        <v>105</v>
      </c>
      <c r="C36" s="13" t="s">
        <v>163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22</v>
      </c>
      <c r="B37" s="13" t="s">
        <v>109</v>
      </c>
      <c r="C37" s="13" t="s">
        <v>163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22</v>
      </c>
      <c r="B38" s="13" t="s">
        <v>108</v>
      </c>
      <c r="C38" s="13" t="s">
        <v>164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24</v>
      </c>
      <c r="B39" s="13" t="s">
        <v>113</v>
      </c>
      <c r="C39" s="13" t="s">
        <v>165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27</v>
      </c>
      <c r="B40" s="13" t="s">
        <v>116</v>
      </c>
      <c r="C40" s="13" t="s">
        <v>166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150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35</v>
      </c>
      <c r="B42" s="13" t="s">
        <v>169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152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152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152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152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152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1033"/>
  <sheetViews>
    <sheetView zoomScale="70" zoomScaleNormal="70" workbookViewId="0">
      <pane ySplit="1" topLeftCell="A1010" activePane="bottomLeft" state="frozen"/>
      <selection pane="bottomLeft" activeCell="I1029" sqref="I1029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156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152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152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148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148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149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146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146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148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148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Iniciales'!$B$2:$B$38,D234)+SUMIFS($K$1:$K$1033,$C$1:$C$1033,C234,$D$1:$D$1033,D234,$B$1:$B$1033,"&lt;="&amp;B234)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Iniciales'!$B$2:$B$38,D235)+SUMIFS($K$1:$K$1033,$C$1:$C$1033,C235,$D$1:$D$1033,D235,$B$1:$B$1033,"&lt;="&amp;B235)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Iniciales'!$B$2:$B$38,D236)+SUMIFS($K$1:$K$1033,$C$1:$C$1033,C236,$D$1:$D$1033,D236,$B$1:$B$1033,"&lt;="&amp;B236)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Iniciales'!$B$2:$B$38,D237)+SUMIFS($K$1:$K$1033,$C$1:$C$1033,C237,$D$1:$D$1033,D237,$B$1:$B$1033,"&lt;="&amp;B237)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Iniciales'!$B$2:$B$38,D238)+SUMIFS($K$1:$K$1033,$C$1:$C$1033,C238,$D$1:$D$1033,D238,$B$1:$B$1033,"&lt;="&amp;B238)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Iniciales'!$B$2:$B$38,D239)+SUMIFS($K$1:$K$1033,$C$1:$C$1033,C239,$D$1:$D$1033,D239,$B$1:$B$1033,"&lt;="&amp;B239)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Iniciales'!$B$2:$B$38,D283)+SUMIFS($K$1:$K$1033,$C$1:$C$1033,C283,$D$1:$D$1033,D283,$B$1:$B$1033,"&lt;="&amp;B283)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69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Iniciales'!$B$2:$B$38,D306)+SUMIFS($K$1:$K$1033,$C$1:$C$1033,C306,$D$1:$D$1033,D306,$B$1:$B$1033,"&lt;="&amp;B306)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Iniciales'!$B$2:$B$38,D307)+SUMIFS($K$1:$K$1033,$C$1:$C$1033,C307,$D$1:$D$1033,D307,$B$1:$B$1033,"&lt;="&amp;B307)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Iniciales'!$B$2:$B$38,D308)+SUMIFS($K$1:$K$1033,$C$1:$C$1033,C308,$D$1:$D$1033,D308,$B$1:$B$1033,"&lt;="&amp;B308)</f>
        <v>29204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Iniciales'!$B$2:$B$38,D309)+SUMIFS($K$1:$K$1033,$C$1:$C$1033,C309,$D$1:$D$1033,D309,$B$1:$B$1033,"&lt;="&amp;B309)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Iniciales'!$B$2:$B$38,D310)+SUMIFS($K$1:$K$1033,$C$1:$C$1033,C310,$D$1:$D$1033,D310,$B$1:$B$1033,"&lt;="&amp;B310)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Iniciales'!$B$2:$B$38,D311)+SUMIFS($K$1:$K$1033,$C$1:$C$1033,C311,$D$1:$D$1033,D311,$B$1:$B$1033,"&lt;="&amp;B311)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Iniciales'!$B$2:$B$38,D312)+SUMIFS($K$1:$K$1033,$C$1:$C$1033,C312,$D$1:$D$1033,D312,$B$1:$B$1033,"&lt;="&amp;B312)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Iniciales'!$B$2:$B$38,D313)+SUMIFS($K$1:$K$1033,$C$1:$C$1033,C313,$D$1:$D$1033,D313,$B$1:$B$1033,"&lt;="&amp;B313)</f>
        <v>1450211.8500000003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Iniciales'!$B$2:$B$38,D314)+SUMIFS($K$1:$K$1033,$C$1:$C$1033,C314,$D$1:$D$1033,D314,$B$1:$B$1033,"&lt;="&amp;B314)</f>
        <v>1450211.8500000003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Iniciales'!$B$2:$B$38,D315)+SUMIFS($K$1:$K$1033,$C$1:$C$1033,C315,$D$1:$D$1033,D315,$B$1:$B$1033,"&lt;="&amp;B315)</f>
        <v>1450211.8500000003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Iniciales'!$B$2:$B$38,D316)+SUMIFS($K$1:$K$1033,$C$1:$C$1033,C316,$D$1:$D$1033,D316,$B$1:$B$1033,"&lt;="&amp;B316)</f>
        <v>1450211.8500000003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Iniciales'!$B$2:$B$38,D317)+SUMIFS($K$1:$K$1033,$C$1:$C$1033,C317,$D$1:$D$1033,D317,$B$1:$B$1033,"&lt;="&amp;B317)</f>
        <v>1450211.8500000003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Iniciales'!$B$2:$B$38,D318)+SUMIFS($K$1:$K$1033,$C$1:$C$1033,C318,$D$1:$D$1033,D318,$B$1:$B$1033,"&lt;="&amp;B318)</f>
        <v>1450211.8500000003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Iniciales'!$B$2:$B$38,D319)+SUMIFS($K$1:$K$1033,$C$1:$C$1033,C319,$D$1:$D$1033,D319,$B$1:$B$1033,"&lt;="&amp;B319)</f>
        <v>1450211.8500000003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Iniciales'!$B$2:$B$38,D320)+SUMIFS($K$1:$K$1033,$C$1:$C$1033,C320,$D$1:$D$1033,D320,$B$1:$B$1033,"&lt;="&amp;B320)</f>
        <v>1450211.8500000003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Iniciales'!$B$2:$B$38,D321)+SUMIFS($K$1:$K$1033,$C$1:$C$1033,C321,$D$1:$D$1033,D321,$B$1:$B$1033,"&lt;="&amp;B321)</f>
        <v>1450211.8500000003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Iniciales'!$B$2:$B$38,D322)+SUMIFS($K$1:$K$1033,$C$1:$C$1033,C322,$D$1:$D$1033,D322,$B$1:$B$1033,"&lt;="&amp;B322)</f>
        <v>1450211.8500000003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Iniciales'!$B$2:$B$38,D323)+SUMIFS($K$1:$K$1033,$C$1:$C$1033,C323,$D$1:$D$1033,D323,$B$1:$B$1033,"&lt;="&amp;B323)</f>
        <v>1450211.8500000003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Iniciales'!$B$2:$B$38,D324)+SUMIFS($K$1:$K$1033,$C$1:$C$1033,C324,$D$1:$D$1033,D324,$B$1:$B$1033,"&lt;="&amp;B324)</f>
        <v>1450211.8500000003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Iniciales'!$B$2:$B$38,D325)+SUMIFS($K$1:$K$1033,$C$1:$C$1033,C325,$D$1:$D$1033,D325,$B$1:$B$1033,"&lt;="&amp;B325)</f>
        <v>1450211.8500000003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Iniciales'!$B$2:$B$38,D326)+SUMIFS($K$1:$K$1033,$C$1:$C$1033,C326,$D$1:$D$1033,D326,$B$1:$B$1033,"&lt;="&amp;B326)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Iniciales'!$B$2:$B$38,D327)+SUMIFS($K$1:$K$1033,$C$1:$C$1033,C327,$D$1:$D$1033,D327,$B$1:$B$1033,"&lt;="&amp;B327)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Iniciales'!$B$2:$B$38,D328)+SUMIFS($K$1:$K$1033,$C$1:$C$1033,C328,$D$1:$D$1033,D328,$B$1:$B$1033,"&lt;="&amp;B328)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Iniciales'!$B$2:$B$38,D329)+SUMIFS($K$1:$K$1033,$C$1:$C$1033,C329,$D$1:$D$1033,D329,$B$1:$B$1033,"&lt;="&amp;B329)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Iniciales'!$B$2:$B$38,D330)+SUMIFS($K$1:$K$1033,$C$1:$C$1033,C330,$D$1:$D$1033,D330,$B$1:$B$1033,"&lt;="&amp;B330)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Iniciales'!$B$2:$B$38,D331)+SUMIFS($K$1:$K$1033,$C$1:$C$1033,C331,$D$1:$D$1033,D331,$B$1:$B$1033,"&lt;="&amp;B331)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Iniciales'!$B$2:$B$38,D332)+SUMIFS($K$1:$K$1033,$C$1:$C$1033,C332,$D$1:$D$1033,D332,$B$1:$B$1033,"&lt;="&amp;B332)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Iniciales'!$B$2:$B$38,D333)+SUMIFS($K$1:$K$1033,$C$1:$C$1033,C333,$D$1:$D$1033,D333,$B$1:$B$1033,"&lt;="&amp;B333)</f>
        <v>334944.56999999983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Iniciales'!$B$2:$B$38,D334)+SUMIFS($K$1:$K$1033,$C$1:$C$1033,C334,$D$1:$D$1033,D334,$B$1:$B$1033,"&lt;="&amp;B334)</f>
        <v>334944.56999999983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Iniciales'!$B$2:$B$38,D335)+SUMIFS($K$1:$K$1033,$C$1:$C$1033,C335,$D$1:$D$1033,D335,$B$1:$B$1033,"&lt;="&amp;B335)</f>
        <v>-388158.61000000004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Iniciales'!$B$2:$B$38,D336)+SUMIFS($K$1:$K$1033,$C$1:$C$1033,C336,$D$1:$D$1033,D336,$B$1:$B$1033,"&lt;="&amp;B336)</f>
        <v>-388158.61000000004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Iniciales'!$B$2:$B$38,D337)+SUMIFS($K$1:$K$1033,$C$1:$C$1033,C337,$D$1:$D$1033,D337,$B$1:$B$1033,"&lt;="&amp;B337)</f>
        <v>-388158.61000000004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si="0"/>
        <v>2000</v>
      </c>
      <c r="L338" s="15" t="s">
        <v>128</v>
      </c>
      <c r="M338" s="44">
        <f>SUMIFS('Saldos Iniciales'!$D$2:$D$38,'Saldos Iniciales'!$A$2:$A$38,C338,'Saldos Iniciales'!$B$2:$B$38,D338)+SUMIFS($K$1:$K$1033,$C$1:$C$1033,C338,$D$1:$D$1033,D338,$B$1:$B$1033,"&lt;="&amp;B338)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0"/>
        <v>-4000</v>
      </c>
      <c r="L339" s="15" t="s">
        <v>128</v>
      </c>
      <c r="M339" s="44">
        <f>SUMIFS('Saldos Iniciales'!$D$2:$D$38,'Saldos Iniciales'!$A$2:$A$38,C339,'Saldos Iniciales'!$B$2:$B$38,D339)+SUMIFS($K$1:$K$1033,$C$1:$C$1033,C339,$D$1:$D$1033,D339,$B$1:$B$1033,"&lt;="&amp;B339)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0"/>
        <v>54600</v>
      </c>
      <c r="L340" s="15" t="s">
        <v>128</v>
      </c>
      <c r="M340" s="44">
        <f>SUMIFS('Saldos Iniciales'!$D$2:$D$38,'Saldos Iniciales'!$A$2:$A$38,C340,'Saldos Iniciales'!$B$2:$B$38,D340)+SUMIFS($K$1:$K$1033,$C$1:$C$1033,C340,$D$1:$D$1033,D340,$B$1:$B$1033,"&lt;="&amp;B340)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0"/>
        <v>-522</v>
      </c>
      <c r="L341" s="15" t="s">
        <v>128</v>
      </c>
      <c r="M341" s="44">
        <f>SUMIFS('Saldos Iniciales'!$D$2:$D$38,'Saldos Iniciales'!$A$2:$A$38,C341,'Saldos Iniciales'!$B$2:$B$38,D341)+SUMIFS($K$1:$K$1033,$C$1:$C$1033,C341,$D$1:$D$1033,D341,$B$1:$B$1033,"&lt;="&amp;B341)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0"/>
        <v>-2161.7199999999998</v>
      </c>
      <c r="L342" s="15" t="s">
        <v>128</v>
      </c>
      <c r="M342" s="44">
        <f>SUMIFS('Saldos Iniciales'!$D$2:$D$38,'Saldos Iniciales'!$A$2:$A$38,C342,'Saldos Iniciales'!$B$2:$B$38,D342)+SUMIFS($K$1:$K$1033,$C$1:$C$1033,C342,$D$1:$D$1033,D342,$B$1:$B$1033,"&lt;="&amp;B342)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0"/>
        <v>-2490.36</v>
      </c>
      <c r="L343" s="15" t="s">
        <v>128</v>
      </c>
      <c r="M343" s="44">
        <f>SUMIFS('Saldos Iniciales'!$D$2:$D$38,'Saldos Iniciales'!$A$2:$A$38,C343,'Saldos Iniciales'!$B$2:$B$38,D343)+SUMIFS($K$1:$K$1033,$C$1:$C$1033,C343,$D$1:$D$1033,D343,$B$1:$B$1033,"&lt;="&amp;B343)</f>
        <v>26713.64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0"/>
        <v>100392.81</v>
      </c>
      <c r="L344" s="15" t="s">
        <v>128</v>
      </c>
      <c r="M344" s="44">
        <f>SUMIFS('Saldos Iniciales'!$D$2:$D$38,'Saldos Iniciales'!$A$2:$A$38,C344,'Saldos Iniciales'!$B$2:$B$38,D344)+SUMIFS($K$1:$K$1033,$C$1:$C$1033,C344,$D$1:$D$1033,D344,$B$1:$B$1033,"&lt;="&amp;B344)</f>
        <v>-287775.8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0"/>
        <v>-5</v>
      </c>
      <c r="L345" s="15" t="s">
        <v>128</v>
      </c>
      <c r="M345" s="44">
        <f>SUMIFS('Saldos Iniciales'!$D$2:$D$38,'Saldos Iniciales'!$A$2:$A$38,C345,'Saldos Iniciales'!$B$2:$B$38,D345)+SUMIFS($K$1:$K$1033,$C$1:$C$1033,C345,$D$1:$D$1033,D345,$B$1:$B$1033,"&lt;="&amp;B345)</f>
        <v>-287775.8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0"/>
        <v>-5</v>
      </c>
      <c r="L346" s="15" t="s">
        <v>128</v>
      </c>
      <c r="M346" s="44">
        <f>SUMIFS('Saldos Iniciales'!$D$2:$D$38,'Saldos Iniciales'!$A$2:$A$38,C346,'Saldos Iniciales'!$B$2:$B$38,D346)+SUMIFS($K$1:$K$1033,$C$1:$C$1033,C346,$D$1:$D$1033,D346,$B$1:$B$1033,"&lt;="&amp;B346)</f>
        <v>-287775.8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0"/>
        <v>15000</v>
      </c>
      <c r="L347" s="15" t="s">
        <v>128</v>
      </c>
      <c r="M347" s="44">
        <f>SUMIFS('Saldos Iniciales'!$D$2:$D$38,'Saldos Iniciales'!$A$2:$A$38,C347,'Saldos Iniciales'!$B$2:$B$38,D347)+SUMIFS($K$1:$K$1033,$C$1:$C$1033,C347,$D$1:$D$1033,D347,$B$1:$B$1033,"&lt;="&amp;B347)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0"/>
        <v>-173.5</v>
      </c>
      <c r="L348" s="15" t="s">
        <v>128</v>
      </c>
      <c r="M348" s="44">
        <f>SUMIFS('Saldos Iniciales'!$D$2:$D$38,'Saldos Iniciales'!$A$2:$A$38,C348,'Saldos Iniciales'!$B$2:$B$38,D348)+SUMIFS($K$1:$K$1033,$C$1:$C$1033,C348,$D$1:$D$1033,D348,$B$1:$B$1033,"&lt;="&amp;B348)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0"/>
        <v>-220</v>
      </c>
      <c r="L349" s="15" t="s">
        <v>128</v>
      </c>
      <c r="M349" s="44">
        <f>SUMIFS('Saldos Iniciales'!$D$2:$D$38,'Saldos Iniciales'!$A$2:$A$38,C349,'Saldos Iniciales'!$B$2:$B$38,D349)+SUMIFS($K$1:$K$1033,$C$1:$C$1033,C349,$D$1:$D$1033,D349,$B$1:$B$1033,"&lt;="&amp;B349)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0"/>
        <v>-80</v>
      </c>
      <c r="L350" s="15" t="s">
        <v>128</v>
      </c>
      <c r="M350" s="44">
        <f>SUMIFS('Saldos Iniciales'!$D$2:$D$38,'Saldos Iniciales'!$A$2:$A$38,C350,'Saldos Iniciales'!$B$2:$B$38,D350)+SUMIFS($K$1:$K$1033,$C$1:$C$1033,C350,$D$1:$D$1033,D350,$B$1:$B$1033,"&lt;="&amp;B350)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0"/>
        <v>-200</v>
      </c>
      <c r="L351" s="15" t="s">
        <v>128</v>
      </c>
      <c r="M351" s="44">
        <f>SUMIFS('Saldos Iniciales'!$D$2:$D$38,'Saldos Iniciales'!$A$2:$A$38,C351,'Saldos Iniciales'!$B$2:$B$38,D351)+SUMIFS($K$1:$K$1033,$C$1:$C$1033,C351,$D$1:$D$1033,D351,$B$1:$B$1033,"&lt;="&amp;B351)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0"/>
        <v>-1000</v>
      </c>
      <c r="L352" s="15" t="s">
        <v>128</v>
      </c>
      <c r="M352" s="44">
        <f>SUMIFS('Saldos Iniciales'!$D$2:$D$38,'Saldos Iniciales'!$A$2:$A$38,C352,'Saldos Iniciales'!$B$2:$B$38,D352)+SUMIFS($K$1:$K$1033,$C$1:$C$1033,C352,$D$1:$D$1033,D352,$B$1:$B$1033,"&lt;="&amp;B352)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0"/>
        <v>-2383.4899999999998</v>
      </c>
      <c r="L353" s="15" t="s">
        <v>128</v>
      </c>
      <c r="M353" s="44">
        <f>SUMIFS('Saldos Iniciales'!$D$2:$D$38,'Saldos Iniciales'!$A$2:$A$38,C353,'Saldos Iniciales'!$B$2:$B$38,D353)+SUMIFS($K$1:$K$1033,$C$1:$C$1033,C353,$D$1:$D$1033,D353,$B$1:$B$1033,"&lt;="&amp;B353)</f>
        <v>24330.15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0"/>
        <v>12000</v>
      </c>
      <c r="L354" s="15" t="s">
        <v>128</v>
      </c>
      <c r="M354" s="44">
        <f>SUMIFS('Saldos Iniciales'!$D$2:$D$38,'Saldos Iniciales'!$A$2:$A$38,C354,'Saldos Iniciales'!$B$2:$B$38,D354)+SUMIFS($K$1:$K$1033,$C$1:$C$1033,C354,$D$1:$D$1033,D354,$B$1:$B$1033,"&lt;="&amp;B354)</f>
        <v>-275775.8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0"/>
        <v>-2200</v>
      </c>
      <c r="L355" s="15" t="s">
        <v>128</v>
      </c>
      <c r="M355" s="44">
        <f>SUMIFS('Saldos Iniciales'!$D$2:$D$38,'Saldos Iniciales'!$A$2:$A$38,C355,'Saldos Iniciales'!$B$2:$B$38,D355)+SUMIFS($K$1:$K$1033,$C$1:$C$1033,C355,$D$1:$D$1033,D355,$B$1:$B$1033,"&lt;="&amp;B355)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0"/>
        <v>-900</v>
      </c>
      <c r="L356" s="15" t="s">
        <v>128</v>
      </c>
      <c r="M356" s="44">
        <f>SUMIFS('Saldos Iniciales'!$D$2:$D$38,'Saldos Iniciales'!$A$2:$A$38,C356,'Saldos Iniciales'!$B$2:$B$38,D356)+SUMIFS($K$1:$K$1033,$C$1:$C$1033,C356,$D$1:$D$1033,D356,$B$1:$B$1033,"&lt;="&amp;B356)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0"/>
        <v>-30</v>
      </c>
      <c r="L357" s="15" t="s">
        <v>128</v>
      </c>
      <c r="M357" s="44">
        <f>SUMIFS('Saldos Iniciales'!$D$2:$D$38,'Saldos Iniciales'!$A$2:$A$38,C357,'Saldos Iniciales'!$B$2:$B$38,D357)+SUMIFS($K$1:$K$1033,$C$1:$C$1033,C357,$D$1:$D$1033,D357,$B$1:$B$1033,"&lt;="&amp;B357)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0"/>
        <v>-166.66</v>
      </c>
      <c r="L358" s="15" t="s">
        <v>128</v>
      </c>
      <c r="M358" s="44">
        <f>SUMIFS('Saldos Iniciales'!$D$2:$D$38,'Saldos Iniciales'!$A$2:$A$38,C358,'Saldos Iniciales'!$B$2:$B$38,D358)+SUMIFS($K$1:$K$1033,$C$1:$C$1033,C358,$D$1:$D$1033,D358,$B$1:$B$1033,"&lt;="&amp;B358)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0"/>
        <v>-737.04</v>
      </c>
      <c r="L359" s="15" t="s">
        <v>128</v>
      </c>
      <c r="M359" s="44">
        <f>SUMIFS('Saldos Iniciales'!$D$2:$D$38,'Saldos Iniciales'!$A$2:$A$38,C359,'Saldos Iniciales'!$B$2:$B$38,D359)+SUMIFS($K$1:$K$1033,$C$1:$C$1033,C359,$D$1:$D$1033,D359,$B$1:$B$1033,"&lt;="&amp;B359)</f>
        <v>23502.11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0"/>
        <v>-91</v>
      </c>
      <c r="L360" s="15" t="s">
        <v>128</v>
      </c>
      <c r="M360" s="44">
        <f>SUMIFS('Saldos Iniciales'!$D$2:$D$38,'Saldos Iniciales'!$A$2:$A$38,C360,'Saldos Iniciales'!$B$2:$B$38,D360)+SUMIFS($K$1:$K$1033,$C$1:$C$1033,C360,$D$1:$D$1033,D360,$B$1:$B$1033,"&lt;="&amp;B360)</f>
        <v>23502.11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0"/>
        <v>1250</v>
      </c>
      <c r="L361" s="15" t="s">
        <v>128</v>
      </c>
      <c r="M361" s="44">
        <f>SUMIFS('Saldos Iniciales'!$D$2:$D$38,'Saldos Iniciales'!$A$2:$A$38,C361,'Saldos Iniciales'!$B$2:$B$38,D361)+SUMIFS($K$1:$K$1033,$C$1:$C$1033,C361,$D$1:$D$1033,D361,$B$1:$B$1033,"&lt;="&amp;B361)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0"/>
        <v>114973.39</v>
      </c>
      <c r="L362" s="15" t="s">
        <v>128</v>
      </c>
      <c r="M362" s="44">
        <f>SUMIFS('Saldos Iniciales'!$D$2:$D$38,'Saldos Iniciales'!$A$2:$A$38,C362,'Saldos Iniciales'!$B$2:$B$38,D362)+SUMIFS($K$1:$K$1033,$C$1:$C$1033,C362,$D$1:$D$1033,D362,$B$1:$B$1033,"&lt;="&amp;B362)</f>
        <v>7965185.2400000002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0"/>
        <v>6400000</v>
      </c>
      <c r="L363" s="15" t="s">
        <v>128</v>
      </c>
      <c r="M363" s="58">
        <f>SUMIFS('Saldos Iniciales'!$D$2:$D$38,'Saldos Iniciales'!$A$2:$A$38,C363,'Saldos Iniciales'!$B$2:$B$38,D363)+SUMIFS($K$1:$K$1033,$C$1:$C$1033,C363,$D$1:$D$1033,D363,$B$1:$B$1033,"&lt;="&amp;B363)</f>
        <v>7965185.2400000002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0"/>
        <v>-224.68</v>
      </c>
      <c r="L364" s="15" t="s">
        <v>128</v>
      </c>
      <c r="M364" s="44">
        <f>SUMIFS('Saldos Iniciales'!$D$2:$D$38,'Saldos Iniciales'!$A$2:$A$38,C364,'Saldos Iniciales'!$B$2:$B$38,D364)+SUMIFS($K$1:$K$1033,$C$1:$C$1033,C364,$D$1:$D$1033,D364,$B$1:$B$1033,"&lt;="&amp;B364)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0"/>
        <v>-42.79</v>
      </c>
      <c r="L365" s="15" t="s">
        <v>128</v>
      </c>
      <c r="M365" s="44">
        <f>SUMIFS('Saldos Iniciales'!$D$2:$D$38,'Saldos Iniciales'!$A$2:$A$38,C365,'Saldos Iniciales'!$B$2:$B$38,D365)+SUMIFS($K$1:$K$1033,$C$1:$C$1033,C365,$D$1:$D$1033,D365,$B$1:$B$1033,"&lt;="&amp;B365)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0"/>
        <v>-42.79</v>
      </c>
      <c r="L366" s="15" t="s">
        <v>128</v>
      </c>
      <c r="M366" s="58">
        <f>SUMIFS('Saldos Iniciales'!$D$2:$D$38,'Saldos Iniciales'!$A$2:$A$38,C366,'Saldos Iniciales'!$B$2:$B$38,D366)+SUMIFS($K$1:$K$1033,$C$1:$C$1033,C366,$D$1:$D$1033,D366,$B$1:$B$1033,"&lt;="&amp;B366)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0"/>
        <v>-42.79</v>
      </c>
      <c r="L367" s="15" t="s">
        <v>128</v>
      </c>
      <c r="M367" s="44">
        <f>SUMIFS('Saldos Iniciales'!$D$2:$D$38,'Saldos Iniciales'!$A$2:$A$38,C367,'Saldos Iniciales'!$B$2:$B$38,D367)+SUMIFS($K$1:$K$1033,$C$1:$C$1033,C367,$D$1:$D$1033,D367,$B$1:$B$1033,"&lt;="&amp;B367)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0"/>
        <v>62409.45</v>
      </c>
      <c r="L368" s="15" t="s">
        <v>128</v>
      </c>
      <c r="M368" s="44">
        <f>SUMIFS('Saldos Iniciales'!$D$2:$D$38,'Saldos Iniciales'!$A$2:$A$38,C368,'Saldos Iniciales'!$B$2:$B$38,D368)+SUMIFS($K$1:$K$1033,$C$1:$C$1033,C368,$D$1:$D$1033,D368,$B$1:$B$1033,"&lt;="&amp;B368)</f>
        <v>8027594.6900000004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0"/>
        <v>23134.93</v>
      </c>
      <c r="L369" s="15" t="s">
        <v>128</v>
      </c>
      <c r="M369" s="44">
        <f>SUMIFS('Saldos Iniciales'!$D$2:$D$38,'Saldos Iniciales'!$A$2:$A$38,C369,'Saldos Iniciales'!$B$2:$B$38,D369)+SUMIFS($K$1:$K$1033,$C$1:$C$1033,C369,$D$1:$D$1033,D369,$B$1:$B$1033,"&lt;="&amp;B369)</f>
        <v>363806.48999999987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33" si="1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Iniciales'!$B$2:$B$38,D370)+SUMIFS($K$1:$K$1033,$C$1:$C$1033,C370,$D$1:$D$1033,D370,$B$1:$B$1033,"&lt;="&amp;B370)</f>
        <v>363806.48999999987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1"/>
        <v>67069.119999999995</v>
      </c>
      <c r="L371" s="15" t="s">
        <v>128</v>
      </c>
      <c r="M371" s="44">
        <f>SUMIFS('Saldos Iniciales'!$D$2:$D$38,'Saldos Iniciales'!$A$2:$A$38,C371,'Saldos Iniciales'!$B$2:$B$38,D371)+SUMIFS($K$1:$K$1033,$C$1:$C$1033,C371,$D$1:$D$1033,D371,$B$1:$B$1033,"&lt;="&amp;B371)</f>
        <v>-208706.68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1"/>
        <v>457.74</v>
      </c>
      <c r="L372" s="15" t="s">
        <v>128</v>
      </c>
      <c r="M372" s="58">
        <f>SUMIFS('Saldos Iniciales'!$D$2:$D$38,'Saldos Iniciales'!$A$2:$A$38,C372,'Saldos Iniciales'!$B$2:$B$38,D372)+SUMIFS($K$1:$K$1033,$C$1:$C$1033,C372,$D$1:$D$1033,D372,$B$1:$B$1033,"&lt;="&amp;B372)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1"/>
        <v>2552.06</v>
      </c>
      <c r="L373" s="15" t="s">
        <v>128</v>
      </c>
      <c r="M373" s="44">
        <f>SUMIFS('Saldos Iniciales'!$D$2:$D$38,'Saldos Iniciales'!$A$2:$A$38,C373,'Saldos Iniciales'!$B$2:$B$38,D373)+SUMIFS($K$1:$K$1033,$C$1:$C$1033,C373,$D$1:$D$1033,D373,$B$1:$B$1033,"&lt;="&amp;B373)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1"/>
        <v>-60000</v>
      </c>
      <c r="L374" s="15" t="s">
        <v>128</v>
      </c>
      <c r="M374" s="44">
        <f>SUMIFS('Saldos Iniciales'!$D$2:$D$38,'Saldos Iniciales'!$A$2:$A$38,C374,'Saldos Iniciales'!$B$2:$B$38,D374)+SUMIFS($K$1:$K$1033,$C$1:$C$1033,C374,$D$1:$D$1033,D374,$B$1:$B$1033,"&lt;="&amp;B374)</f>
        <v>303806.48999999982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1"/>
        <v>-150000</v>
      </c>
      <c r="L375" s="15" t="s">
        <v>128</v>
      </c>
      <c r="M375" s="44">
        <f>SUMIFS('Saldos Iniciales'!$D$2:$D$38,'Saldos Iniciales'!$A$2:$A$38,C375,'Saldos Iniciales'!$B$2:$B$38,D375)+SUMIFS($K$1:$K$1033,$C$1:$C$1033,C375,$D$1:$D$1033,D375,$B$1:$B$1033,"&lt;="&amp;B375)</f>
        <v>-370706.68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1"/>
        <v>-12000</v>
      </c>
      <c r="L376" s="15" t="s">
        <v>128</v>
      </c>
      <c r="M376" s="44">
        <f>SUMIFS('Saldos Iniciales'!$D$2:$D$38,'Saldos Iniciales'!$A$2:$A$38,C376,'Saldos Iniciales'!$B$2:$B$38,D376)+SUMIFS($K$1:$K$1033,$C$1:$C$1033,C376,$D$1:$D$1033,D376,$B$1:$B$1033,"&lt;="&amp;B376)</f>
        <v>-370706.68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1"/>
        <v>12000</v>
      </c>
      <c r="L377" s="15" t="s">
        <v>128</v>
      </c>
      <c r="M377" s="44">
        <f>SUMIFS('Saldos Iniciales'!$D$2:$D$38,'Saldos Iniciales'!$A$2:$A$38,C377,'Saldos Iniciales'!$B$2:$B$38,D377)+SUMIFS($K$1:$K$1033,$C$1:$C$1033,C377,$D$1:$D$1033,D377,$B$1:$B$1033,"&lt;="&amp;B377)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1"/>
        <v>-207.75</v>
      </c>
      <c r="L378" s="15" t="s">
        <v>128</v>
      </c>
      <c r="M378" s="58">
        <f>SUMIFS('Saldos Iniciales'!$D$2:$D$38,'Saldos Iniciales'!$A$2:$A$38,C378,'Saldos Iniciales'!$B$2:$B$38,D378)+SUMIFS($K$1:$K$1033,$C$1:$C$1033,C378,$D$1:$D$1033,D378,$B$1:$B$1033,"&lt;="&amp;B378)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1"/>
        <v>10000</v>
      </c>
      <c r="L379" s="15" t="s">
        <v>128</v>
      </c>
      <c r="M379" s="44">
        <f>SUMIFS('Saldos Iniciales'!$D$2:$D$38,'Saldos Iniciales'!$A$2:$A$38,C379,'Saldos Iniciales'!$B$2:$B$38,D379)+SUMIFS($K$1:$K$1033,$C$1:$C$1033,C379,$D$1:$D$1033,D379,$B$1:$B$1033,"&lt;="&amp;B379)</f>
        <v>6745719.6900000004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1"/>
        <v>150000</v>
      </c>
      <c r="L380" s="15" t="s">
        <v>128</v>
      </c>
      <c r="M380" s="44">
        <f>SUMIFS('Saldos Iniciales'!$D$2:$D$38,'Saldos Iniciales'!$A$2:$A$38,C380,'Saldos Iniciales'!$B$2:$B$38,D380)+SUMIFS($K$1:$K$1033,$C$1:$C$1033,C380,$D$1:$D$1033,D380,$B$1:$B$1033,"&lt;="&amp;B380)</f>
        <v>6745719.6900000004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1"/>
        <v>500000</v>
      </c>
      <c r="L381" s="15" t="s">
        <v>128</v>
      </c>
      <c r="M381" s="44">
        <f>SUMIFS('Saldos Iniciales'!$D$2:$D$38,'Saldos Iniciales'!$A$2:$A$38,C381,'Saldos Iniciales'!$B$2:$B$38,D381)+SUMIFS($K$1:$K$1033,$C$1:$C$1033,C381,$D$1:$D$1033,D381,$B$1:$B$1033,"&lt;="&amp;B381)</f>
        <v>6745719.6900000004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1"/>
        <v>-10000</v>
      </c>
      <c r="L382" s="15" t="s">
        <v>128</v>
      </c>
      <c r="M382" s="44">
        <f>SUMIFS('Saldos Iniciales'!$D$2:$D$38,'Saldos Iniciales'!$A$2:$A$38,C382,'Saldos Iniciales'!$B$2:$B$38,D382)+SUMIFS($K$1:$K$1033,$C$1:$C$1033,C382,$D$1:$D$1033,D382,$B$1:$B$1033,"&lt;="&amp;B382)</f>
        <v>6745719.6900000004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1"/>
        <v>-10833.33</v>
      </c>
      <c r="L383" s="15" t="s">
        <v>128</v>
      </c>
      <c r="M383" s="44">
        <f>SUMIFS('Saldos Iniciales'!$D$2:$D$38,'Saldos Iniciales'!$A$2:$A$38,C383,'Saldos Iniciales'!$B$2:$B$38,D383)+SUMIFS($K$1:$K$1033,$C$1:$C$1033,C383,$D$1:$D$1033,D383,$B$1:$B$1033,"&lt;="&amp;B383)</f>
        <v>6745719.6900000004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1"/>
        <v>-71041.67</v>
      </c>
      <c r="L384" s="15" t="s">
        <v>128</v>
      </c>
      <c r="M384" s="58">
        <f>SUMIFS('Saldos Iniciales'!$D$2:$D$38,'Saldos Iniciales'!$A$2:$A$38,C384,'Saldos Iniciales'!$B$2:$B$38,D384)+SUMIFS($K$1:$K$1033,$C$1:$C$1033,C384,$D$1:$D$1033,D384,$B$1:$B$1033,"&lt;="&amp;B384)</f>
        <v>6745719.6900000004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1"/>
        <v>-1850000</v>
      </c>
      <c r="L385" s="15" t="s">
        <v>128</v>
      </c>
      <c r="M385" s="44">
        <f>SUMIFS('Saldos Iniciales'!$D$2:$D$38,'Saldos Iniciales'!$A$2:$A$38,C385,'Saldos Iniciales'!$B$2:$B$38,D385)+SUMIFS($K$1:$K$1033,$C$1:$C$1033,C385,$D$1:$D$1033,D385,$B$1:$B$1033,"&lt;="&amp;B385)</f>
        <v>6745719.6900000004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1"/>
        <v>150000</v>
      </c>
      <c r="L386" s="15" t="s">
        <v>128</v>
      </c>
      <c r="M386" s="44">
        <f>SUMIFS('Saldos Iniciales'!$D$2:$D$38,'Saldos Iniciales'!$A$2:$A$38,C386,'Saldos Iniciales'!$B$2:$B$38,D386)+SUMIFS($K$1:$K$1033,$C$1:$C$1033,C386,$D$1:$D$1033,D386,$B$1:$B$1033,"&lt;="&amp;B386)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1"/>
        <v>2380000</v>
      </c>
      <c r="L387" s="15" t="s">
        <v>128</v>
      </c>
      <c r="M387" s="44">
        <f>SUMIFS('Saldos Iniciales'!$D$2:$D$38,'Saldos Iniciales'!$A$2:$A$38,C387,'Saldos Iniciales'!$B$2:$B$38,D387)+SUMIFS($K$1:$K$1033,$C$1:$C$1033,C387,$D$1:$D$1033,D387,$B$1:$B$1033,"&lt;="&amp;B387)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1"/>
        <v>-150000</v>
      </c>
      <c r="L388" s="15" t="s">
        <v>128</v>
      </c>
      <c r="M388" s="44">
        <f>SUMIFS('Saldos Iniciales'!$D$2:$D$38,'Saldos Iniciales'!$A$2:$A$38,C388,'Saldos Iniciales'!$B$2:$B$38,D388)+SUMIFS($K$1:$K$1033,$C$1:$C$1033,C388,$D$1:$D$1033,D388,$B$1:$B$1033,"&lt;="&amp;B388)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1"/>
        <v>-500000</v>
      </c>
      <c r="L389" s="15" t="s">
        <v>128</v>
      </c>
      <c r="M389" s="44">
        <f>SUMIFS('Saldos Iniciales'!$D$2:$D$38,'Saldos Iniciales'!$A$2:$A$38,C389,'Saldos Iniciales'!$B$2:$B$38,D389)+SUMIFS($K$1:$K$1033,$C$1:$C$1033,C389,$D$1:$D$1033,D389,$B$1:$B$1033,"&lt;="&amp;B389)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1"/>
        <v>1850000</v>
      </c>
      <c r="L390" s="15" t="s">
        <v>128</v>
      </c>
      <c r="M390" s="58">
        <f>SUMIFS('Saldos Iniciales'!$D$2:$D$38,'Saldos Iniciales'!$A$2:$A$38,C390,'Saldos Iniciales'!$B$2:$B$38,D390)+SUMIFS($K$1:$K$1033,$C$1:$C$1033,C390,$D$1:$D$1033,D390,$B$1:$B$1033,"&lt;="&amp;B390)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1"/>
        <v>-4071.45</v>
      </c>
      <c r="L391" s="15" t="s">
        <v>128</v>
      </c>
      <c r="M391" s="44">
        <f>SUMIFS('Saldos Iniciales'!$D$2:$D$38,'Saldos Iniciales'!$A$2:$A$38,C391,'Saldos Iniciales'!$B$2:$B$38,D391)+SUMIFS($K$1:$K$1033,$C$1:$C$1033,C391,$D$1:$D$1033,D391,$B$1:$B$1033,"&lt;="&amp;B391)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1"/>
        <v>-8400</v>
      </c>
      <c r="L392" s="15" t="s">
        <v>128</v>
      </c>
      <c r="M392" s="44">
        <f>SUMIFS('Saldos Iniciales'!$D$2:$D$38,'Saldos Iniciales'!$A$2:$A$38,C392,'Saldos Iniciales'!$B$2:$B$38,D392)+SUMIFS($K$1:$K$1033,$C$1:$C$1033,C392,$D$1:$D$1033,D392,$B$1:$B$1033,"&lt;="&amp;B392)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1"/>
        <v>-8666.67</v>
      </c>
      <c r="L393" s="15" t="s">
        <v>128</v>
      </c>
      <c r="M393" s="44">
        <f>SUMIFS('Saldos Iniciales'!$D$2:$D$38,'Saldos Iniciales'!$A$2:$A$38,C393,'Saldos Iniciales'!$B$2:$B$38,D393)+SUMIFS($K$1:$K$1033,$C$1:$C$1033,C393,$D$1:$D$1033,D393,$B$1:$B$1033,"&lt;="&amp;B393)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1"/>
        <v>-10753.2</v>
      </c>
      <c r="L394" s="15" t="s">
        <v>128</v>
      </c>
      <c r="M394" s="44">
        <f>SUMIFS('Saldos Iniciales'!$D$2:$D$38,'Saldos Iniciales'!$A$2:$A$38,C394,'Saldos Iniciales'!$B$2:$B$38,D394)+SUMIFS($K$1:$K$1033,$C$1:$C$1033,C394,$D$1:$D$1033,D394,$B$1:$B$1033,"&lt;="&amp;B394)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1"/>
        <v>-33463.550000000003</v>
      </c>
      <c r="L395" s="15" t="s">
        <v>128</v>
      </c>
      <c r="M395" s="44">
        <f>SUMIFS('Saldos Iniciales'!$D$2:$D$38,'Saldos Iniciales'!$A$2:$A$38,C395,'Saldos Iniciales'!$B$2:$B$38,D395)+SUMIFS($K$1:$K$1033,$C$1:$C$1033,C395,$D$1:$D$1033,D395,$B$1:$B$1033,"&lt;="&amp;B395)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1"/>
        <v>-47361.11</v>
      </c>
      <c r="L396" s="15" t="s">
        <v>128</v>
      </c>
      <c r="M396" s="58">
        <f>SUMIFS('Saldos Iniciales'!$D$2:$D$38,'Saldos Iniciales'!$A$2:$A$38,C396,'Saldos Iniciales'!$B$2:$B$38,D396)+SUMIFS($K$1:$K$1033,$C$1:$C$1033,C396,$D$1:$D$1033,D396,$B$1:$B$1033,"&lt;="&amp;B396)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1"/>
        <v>-310000</v>
      </c>
      <c r="L397" s="15" t="s">
        <v>128</v>
      </c>
      <c r="M397" s="44">
        <f>SUMIFS('Saldos Iniciales'!$D$2:$D$38,'Saldos Iniciales'!$A$2:$A$38,C397,'Saldos Iniciales'!$B$2:$B$38,D397)+SUMIFS($K$1:$K$1033,$C$1:$C$1033,C397,$D$1:$D$1033,D397,$B$1:$B$1033,"&lt;="&amp;B397)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1"/>
        <v>-90000</v>
      </c>
      <c r="L398" s="15" t="s">
        <v>128</v>
      </c>
      <c r="M398" s="44">
        <f>SUMIFS('Saldos Iniciales'!$D$2:$D$38,'Saldos Iniciales'!$A$2:$A$38,C398,'Saldos Iniciales'!$B$2:$B$38,D398)+SUMIFS($K$1:$K$1033,$C$1:$C$1033,C398,$D$1:$D$1033,D398,$B$1:$B$1033,"&lt;="&amp;B398)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1"/>
        <v>-150000</v>
      </c>
      <c r="L399" s="15" t="s">
        <v>128</v>
      </c>
      <c r="M399" s="44">
        <f>SUMIFS('Saldos Iniciales'!$D$2:$D$38,'Saldos Iniciales'!$A$2:$A$38,C399,'Saldos Iniciales'!$B$2:$B$38,D399)+SUMIFS($K$1:$K$1033,$C$1:$C$1033,C399,$D$1:$D$1033,D399,$B$1:$B$1033,"&lt;="&amp;B399)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1"/>
        <v>-200000</v>
      </c>
      <c r="L400" s="15" t="s">
        <v>128</v>
      </c>
      <c r="M400" s="44">
        <f>SUMIFS('Saldos Iniciales'!$D$2:$D$38,'Saldos Iniciales'!$A$2:$A$38,C400,'Saldos Iniciales'!$B$2:$B$38,D400)+SUMIFS($K$1:$K$1033,$C$1:$C$1033,C400,$D$1:$D$1033,D400,$B$1:$B$1033,"&lt;="&amp;B400)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1"/>
        <v>-2380000</v>
      </c>
      <c r="L401" s="15" t="s">
        <v>128</v>
      </c>
      <c r="M401" s="44">
        <f>SUMIFS('Saldos Iniciales'!$D$2:$D$38,'Saldos Iniciales'!$A$2:$A$38,C401,'Saldos Iniciales'!$B$2:$B$38,D401)+SUMIFS($K$1:$K$1033,$C$1:$C$1033,C401,$D$1:$D$1033,D401,$B$1:$B$1033,"&lt;="&amp;B401)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si="1"/>
        <v>-1896.6</v>
      </c>
      <c r="L402" s="15" t="s">
        <v>128</v>
      </c>
      <c r="M402" s="58">
        <f>SUMIFS('Saldos Iniciales'!$D$2:$D$38,'Saldos Iniciales'!$A$2:$A$38,C402,'Saldos Iniciales'!$B$2:$B$38,D402)+SUMIFS($K$1:$K$1033,$C$1:$C$1033,C402,$D$1:$D$1033,D402,$B$1:$B$1033,"&lt;="&amp;B402)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1"/>
        <v>-15</v>
      </c>
      <c r="L403" s="15" t="s">
        <v>128</v>
      </c>
      <c r="M403" s="44">
        <f>SUMIFS('Saldos Iniciales'!$D$2:$D$38,'Saldos Iniciales'!$A$2:$A$38,C403,'Saldos Iniciales'!$B$2:$B$38,D403)+SUMIFS($K$1:$K$1033,$C$1:$C$1033,C403,$D$1:$D$1033,D403,$B$1:$B$1033,"&lt;="&amp;B403)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1"/>
        <v>-2500</v>
      </c>
      <c r="L404" s="15" t="s">
        <v>128</v>
      </c>
      <c r="M404" s="44">
        <f>SUMIFS('Saldos Iniciales'!$D$2:$D$38,'Saldos Iniciales'!$A$2:$A$38,C404,'Saldos Iniciales'!$B$2:$B$38,D404)+SUMIFS($K$1:$K$1033,$C$1:$C$1033,C404,$D$1:$D$1033,D404,$B$1:$B$1033,"&lt;="&amp;B404)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1"/>
        <v>-15</v>
      </c>
      <c r="L405" s="15" t="s">
        <v>128</v>
      </c>
      <c r="M405" s="44">
        <f>SUMIFS('Saldos Iniciales'!$D$2:$D$38,'Saldos Iniciales'!$A$2:$A$38,C405,'Saldos Iniciales'!$B$2:$B$38,D405)+SUMIFS($K$1:$K$1033,$C$1:$C$1033,C405,$D$1:$D$1033,D405,$B$1:$B$1033,"&lt;="&amp;B405)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1"/>
        <v>-2577.2800000000002</v>
      </c>
      <c r="L406" s="15" t="s">
        <v>128</v>
      </c>
      <c r="M406" s="44">
        <f>SUMIFS('Saldos Iniciales'!$D$2:$D$38,'Saldos Iniciales'!$A$2:$A$38,C406,'Saldos Iniciales'!$B$2:$B$38,D406)+SUMIFS($K$1:$K$1033,$C$1:$C$1033,C406,$D$1:$D$1033,D406,$B$1:$B$1033,"&lt;="&amp;B406)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1"/>
        <v>-15</v>
      </c>
      <c r="L407" s="15" t="s">
        <v>128</v>
      </c>
      <c r="M407" s="44">
        <f>SUMIFS('Saldos Iniciales'!$D$2:$D$38,'Saldos Iniciales'!$A$2:$A$38,C407,'Saldos Iniciales'!$B$2:$B$38,D407)+SUMIFS($K$1:$K$1033,$C$1:$C$1033,C407,$D$1:$D$1033,D407,$B$1:$B$1033,"&lt;="&amp;B407)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1"/>
        <v>-4922</v>
      </c>
      <c r="L408" s="15" t="s">
        <v>128</v>
      </c>
      <c r="M408" s="58">
        <f>SUMIFS('Saldos Iniciales'!$D$2:$D$38,'Saldos Iniciales'!$A$2:$A$38,C408,'Saldos Iniciales'!$B$2:$B$38,D408)+SUMIFS($K$1:$K$1033,$C$1:$C$1033,C408,$D$1:$D$1033,D408,$B$1:$B$1033,"&lt;="&amp;B408)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1"/>
        <v>-15</v>
      </c>
      <c r="L409" s="15" t="s">
        <v>128</v>
      </c>
      <c r="M409" s="44">
        <f>SUMIFS('Saldos Iniciales'!$D$2:$D$38,'Saldos Iniciales'!$A$2:$A$38,C409,'Saldos Iniciales'!$B$2:$B$38,D409)+SUMIFS($K$1:$K$1033,$C$1:$C$1033,C409,$D$1:$D$1033,D409,$B$1:$B$1033,"&lt;="&amp;B409)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1"/>
        <v>-762.99</v>
      </c>
      <c r="L410" s="15" t="s">
        <v>128</v>
      </c>
      <c r="M410" s="44">
        <f>SUMIFS('Saldos Iniciales'!$D$2:$D$38,'Saldos Iniciales'!$A$2:$A$38,C410,'Saldos Iniciales'!$B$2:$B$38,D410)+SUMIFS($K$1:$K$1033,$C$1:$C$1033,C410,$D$1:$D$1033,D410,$B$1:$B$1033,"&lt;="&amp;B410)</f>
        <v>22739.120000000003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1"/>
        <v>-850</v>
      </c>
      <c r="L411" s="15" t="s">
        <v>128</v>
      </c>
      <c r="M411" s="44">
        <f>SUMIFS('Saldos Iniciales'!$D$2:$D$38,'Saldos Iniciales'!$A$2:$A$38,C411,'Saldos Iniciales'!$B$2:$B$38,D411)+SUMIFS($K$1:$K$1033,$C$1:$C$1033,C411,$D$1:$D$1033,D411,$B$1:$B$1033,"&lt;="&amp;B411)</f>
        <v>-371586.68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1"/>
        <v>-30</v>
      </c>
      <c r="L412" s="15" t="s">
        <v>128</v>
      </c>
      <c r="M412" s="44">
        <f>SUMIFS('Saldos Iniciales'!$D$2:$D$38,'Saldos Iniciales'!$A$2:$A$38,C412,'Saldos Iniciales'!$B$2:$B$38,D412)+SUMIFS($K$1:$K$1033,$C$1:$C$1033,C412,$D$1:$D$1033,D412,$B$1:$B$1033,"&lt;="&amp;B412)</f>
        <v>-371586.68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1"/>
        <v>-15</v>
      </c>
      <c r="L413" s="15" t="s">
        <v>128</v>
      </c>
      <c r="M413" s="44">
        <f>SUMIFS('Saldos Iniciales'!$D$2:$D$38,'Saldos Iniciales'!$A$2:$A$38,C413,'Saldos Iniciales'!$B$2:$B$38,D413)+SUMIFS($K$1:$K$1033,$C$1:$C$1033,C413,$D$1:$D$1033,D413,$B$1:$B$1033,"&lt;="&amp;B413)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1"/>
        <v>-10000</v>
      </c>
      <c r="L414" s="15" t="s">
        <v>128</v>
      </c>
      <c r="M414" s="58">
        <f>SUMIFS('Saldos Iniciales'!$D$2:$D$38,'Saldos Iniciales'!$A$2:$A$38,C414,'Saldos Iniciales'!$B$2:$B$38,D414)+SUMIFS($K$1:$K$1033,$C$1:$C$1033,C414,$D$1:$D$1033,D414,$B$1:$B$1033,"&lt;="&amp;B414)</f>
        <v>6735719.6900000004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1"/>
        <v>-600000</v>
      </c>
      <c r="L415" s="15" t="s">
        <v>128</v>
      </c>
      <c r="M415" s="44">
        <f>SUMIFS('Saldos Iniciales'!$D$2:$D$38,'Saldos Iniciales'!$A$2:$A$38,C415,'Saldos Iniciales'!$B$2:$B$38,D415)+SUMIFS($K$1:$K$1033,$C$1:$C$1033,C415,$D$1:$D$1033,D415,$B$1:$B$1033,"&lt;="&amp;B415)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1"/>
        <v>-3091.79</v>
      </c>
      <c r="L416" s="15" t="s">
        <v>128</v>
      </c>
      <c r="M416" s="44">
        <f>SUMIFS('Saldos Iniciales'!$D$2:$D$38,'Saldos Iniciales'!$A$2:$A$38,C416,'Saldos Iniciales'!$B$2:$B$38,D416)+SUMIFS($K$1:$K$1033,$C$1:$C$1033,C416,$D$1:$D$1033,D416,$B$1:$B$1033,"&lt;="&amp;B416)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1"/>
        <v>-15</v>
      </c>
      <c r="L417" s="15" t="s">
        <v>128</v>
      </c>
      <c r="M417" s="44">
        <f>SUMIFS('Saldos Iniciales'!$D$2:$D$38,'Saldos Iniciales'!$A$2:$A$38,C417,'Saldos Iniciales'!$B$2:$B$38,D417)+SUMIFS($K$1:$K$1033,$C$1:$C$1033,C417,$D$1:$D$1033,D417,$B$1:$B$1033,"&lt;="&amp;B417)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1"/>
        <v>-5000</v>
      </c>
      <c r="L418" s="15" t="s">
        <v>128</v>
      </c>
      <c r="M418" s="44">
        <f>SUMIFS('Saldos Iniciales'!$D$2:$D$38,'Saldos Iniciales'!$A$2:$A$38,C418,'Saldos Iniciales'!$B$2:$B$38,D418)+SUMIFS($K$1:$K$1033,$C$1:$C$1033,C418,$D$1:$D$1033,D418,$B$1:$B$1033,"&lt;="&amp;B418)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1"/>
        <v>16978.900000000001</v>
      </c>
      <c r="L419" s="15" t="s">
        <v>128</v>
      </c>
      <c r="M419" s="44">
        <f>SUMIFS('Saldos Iniciales'!$D$2:$D$38,'Saldos Iniciales'!$A$2:$A$38,C419,'Saldos Iniciales'!$B$2:$B$38,D419)+SUMIFS($K$1:$K$1033,$C$1:$C$1033,C419,$D$1:$D$1033,D419,$B$1:$B$1033,"&lt;="&amp;B419)</f>
        <v>320785.3899999999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1"/>
        <v>6021.16</v>
      </c>
      <c r="L420" s="15" t="s">
        <v>128</v>
      </c>
      <c r="M420" s="58">
        <f>SUMIFS('Saldos Iniciales'!$D$2:$D$38,'Saldos Iniciales'!$A$2:$A$38,C420,'Saldos Iniciales'!$B$2:$B$38,D420)+SUMIFS($K$1:$K$1033,$C$1:$C$1033,C420,$D$1:$D$1033,D420,$B$1:$B$1033,"&lt;="&amp;B420)</f>
        <v>-360467.58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1"/>
        <v>5097.9399999999996</v>
      </c>
      <c r="L421" s="15" t="s">
        <v>128</v>
      </c>
      <c r="M421" s="44">
        <f>SUMIFS('Saldos Iniciales'!$D$2:$D$38,'Saldos Iniciales'!$A$2:$A$38,C421,'Saldos Iniciales'!$B$2:$B$38,D421)+SUMIFS($K$1:$K$1033,$C$1:$C$1033,C421,$D$1:$D$1033,D421,$B$1:$B$1033,"&lt;="&amp;B421)</f>
        <v>-360467.58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1"/>
        <v>-1000000</v>
      </c>
      <c r="L422" s="15" t="s">
        <v>128</v>
      </c>
      <c r="M422" s="44">
        <f>SUMIFS('Saldos Iniciales'!$D$2:$D$38,'Saldos Iniciales'!$A$2:$A$38,C422,'Saldos Iniciales'!$B$2:$B$38,D422)+SUMIFS($K$1:$K$1033,$C$1:$C$1033,C422,$D$1:$D$1033,D422,$B$1:$B$1033,"&lt;="&amp;B422)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1"/>
        <v>-164221.79999999999</v>
      </c>
      <c r="L423" s="15" t="s">
        <v>128</v>
      </c>
      <c r="M423" s="44">
        <f>SUMIFS('Saldos Iniciales'!$D$2:$D$38,'Saldos Iniciales'!$A$2:$A$38,C423,'Saldos Iniciales'!$B$2:$B$38,D423)+SUMIFS($K$1:$K$1033,$C$1:$C$1033,C423,$D$1:$D$1033,D423,$B$1:$B$1033,"&lt;="&amp;B423)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1"/>
        <v>-45.86</v>
      </c>
      <c r="L424" s="15" t="s">
        <v>128</v>
      </c>
      <c r="M424" s="44">
        <f>SUMIFS('Saldos Iniciales'!$D$2:$D$38,'Saldos Iniciales'!$A$2:$A$38,C424,'Saldos Iniciales'!$B$2:$B$38,D424)+SUMIFS($K$1:$K$1033,$C$1:$C$1033,C424,$D$1:$D$1033,D424,$B$1:$B$1033,"&lt;="&amp;B424)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1"/>
        <v>-6000</v>
      </c>
      <c r="L425" s="15" t="s">
        <v>128</v>
      </c>
      <c r="M425" s="44">
        <f>SUMIFS('Saldos Iniciales'!$D$2:$D$38,'Saldos Iniciales'!$A$2:$A$38,C425,'Saldos Iniciales'!$B$2:$B$38,D425)+SUMIFS($K$1:$K$1033,$C$1:$C$1033,C425,$D$1:$D$1033,D425,$B$1:$B$1033,"&lt;="&amp;B425)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1"/>
        <v>6753.49</v>
      </c>
      <c r="L426" s="15" t="s">
        <v>128</v>
      </c>
      <c r="M426" s="58">
        <f>SUMIFS('Saldos Iniciales'!$D$2:$D$38,'Saldos Iniciales'!$A$2:$A$38,C426,'Saldos Iniciales'!$B$2:$B$38,D426)+SUMIFS($K$1:$K$1033,$C$1:$C$1033,C426,$D$1:$D$1033,D426,$B$1:$B$1033,"&lt;="&amp;B426)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1"/>
        <v>2267.66</v>
      </c>
      <c r="L427" s="15" t="s">
        <v>128</v>
      </c>
      <c r="M427" s="44">
        <f>SUMIFS('Saldos Iniciales'!$D$2:$D$38,'Saldos Iniciales'!$A$2:$A$38,C427,'Saldos Iniciales'!$B$2:$B$38,D427)+SUMIFS($K$1:$K$1033,$C$1:$C$1033,C427,$D$1:$D$1033,D427,$B$1:$B$1033,"&lt;="&amp;B427)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1"/>
        <v>-73431.09</v>
      </c>
      <c r="L428" s="15" t="s">
        <v>128</v>
      </c>
      <c r="M428" s="44">
        <f>SUMIFS('Saldos Iniciales'!$D$2:$D$38,'Saldos Iniciales'!$A$2:$A$38,C428,'Saldos Iniciales'!$B$2:$B$38,D428)+SUMIFS($K$1:$K$1033,$C$1:$C$1033,C428,$D$1:$D$1033,D428,$B$1:$B$1033,"&lt;="&amp;B428)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1"/>
        <v>-526.75</v>
      </c>
      <c r="L429" s="15" t="s">
        <v>128</v>
      </c>
      <c r="M429" s="44">
        <f>SUMIFS('Saldos Iniciales'!$D$2:$D$38,'Saldos Iniciales'!$A$2:$A$38,C429,'Saldos Iniciales'!$B$2:$B$38,D429)+SUMIFS($K$1:$K$1033,$C$1:$C$1033,C429,$D$1:$D$1033,D429,$B$1:$B$1033,"&lt;="&amp;B429)</f>
        <v>22019.360000000001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1"/>
        <v>-193.01</v>
      </c>
      <c r="L430" s="15" t="s">
        <v>128</v>
      </c>
      <c r="M430" s="44">
        <f>SUMIFS('Saldos Iniciales'!$D$2:$D$38,'Saldos Iniciales'!$A$2:$A$38,C430,'Saldos Iniciales'!$B$2:$B$38,D430)+SUMIFS($K$1:$K$1033,$C$1:$C$1033,C430,$D$1:$D$1033,D430,$B$1:$B$1033,"&lt;="&amp;B430)</f>
        <v>22019.360000000001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1"/>
        <v>-2977.94</v>
      </c>
      <c r="L431" s="15" t="s">
        <v>128</v>
      </c>
      <c r="M431" s="44">
        <f>SUMIFS('Saldos Iniciales'!$D$2:$D$38,'Saldos Iniciales'!$A$2:$A$38,C431,'Saldos Iniciales'!$B$2:$B$38,D431)+SUMIFS($K$1:$K$1033,$C$1:$C$1033,C431,$D$1:$D$1033,D431,$B$1:$B$1033,"&lt;="&amp;B431)</f>
        <v>-364056.64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1"/>
        <v>-611.12</v>
      </c>
      <c r="L432" s="15" t="s">
        <v>128</v>
      </c>
      <c r="M432" s="58">
        <f>SUMIFS('Saldos Iniciales'!$D$2:$D$38,'Saldos Iniciales'!$A$2:$A$38,C432,'Saldos Iniciales'!$B$2:$B$38,D432)+SUMIFS($K$1:$K$1033,$C$1:$C$1033,C432,$D$1:$D$1033,D432,$B$1:$B$1033,"&lt;="&amp;B432)</f>
        <v>-364056.64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1"/>
        <v>-6000</v>
      </c>
      <c r="L433" s="15" t="s">
        <v>128</v>
      </c>
      <c r="M433" s="44">
        <f>SUMIFS('Saldos Iniciales'!$D$2:$D$38,'Saldos Iniciales'!$A$2:$A$38,C433,'Saldos Iniciales'!$B$2:$B$38,D433)+SUMIFS($K$1:$K$1033,$C$1:$C$1033,C433,$D$1:$D$1033,D433,$B$1:$B$1033,"&lt;="&amp;B433)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:K497" si="2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Iniciales'!$B$2:$B$38,D434)+SUMIFS($K$1:$K$1033,$C$1:$C$1033,C434,$D$1:$D$1033,D434,$B$1:$B$1033,"&lt;="&amp;B434)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si="2"/>
        <v>16785.27</v>
      </c>
      <c r="L435" s="15" t="s">
        <v>129</v>
      </c>
      <c r="M435" s="44">
        <f>SUMIFS('Saldos Iniciales'!$D$2:$D$38,'Saldos Iniciales'!$A$2:$A$38,C435,'Saldos Iniciales'!$B$2:$B$38,D435)+SUMIFS($K$1:$K$1033,$C$1:$C$1033,C435,$D$1:$D$1033,D435,$B$1:$B$1033,"&lt;="&amp;B435)</f>
        <v>338976.1399999999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2"/>
        <v>1405.48</v>
      </c>
      <c r="L436" s="15" t="s">
        <v>129</v>
      </c>
      <c r="M436" s="44">
        <f>SUMIFS('Saldos Iniciales'!$D$2:$D$38,'Saldos Iniciales'!$A$2:$A$38,C436,'Saldos Iniciales'!$B$2:$B$38,D436)+SUMIFS($K$1:$K$1033,$C$1:$C$1033,C436,$D$1:$D$1033,D436,$B$1:$B$1033,"&lt;="&amp;B436)</f>
        <v>338976.1399999999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2"/>
        <v>-29.95</v>
      </c>
      <c r="L437" s="15" t="s">
        <v>129</v>
      </c>
      <c r="M437" s="44">
        <f>SUMIFS('Saldos Iniciales'!$D$2:$D$38,'Saldos Iniciales'!$A$2:$A$38,C437,'Saldos Iniciales'!$B$2:$B$38,D437)+SUMIFS($K$1:$K$1033,$C$1:$C$1033,C437,$D$1:$D$1033,D437,$B$1:$B$1033,"&lt;="&amp;B437)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2"/>
        <v>-29.95</v>
      </c>
      <c r="L438" s="15" t="s">
        <v>129</v>
      </c>
      <c r="M438" s="44">
        <f>SUMIFS('Saldos Iniciales'!$D$2:$D$38,'Saldos Iniciales'!$A$2:$A$38,C438,'Saldos Iniciales'!$B$2:$B$38,D438)+SUMIFS($K$1:$K$1033,$C$1:$C$1033,C438,$D$1:$D$1033,D438,$B$1:$B$1033,"&lt;="&amp;B438)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2"/>
        <v>-16</v>
      </c>
      <c r="L439" s="15" t="s">
        <v>129</v>
      </c>
      <c r="M439" s="44">
        <f>SUMIFS('Saldos Iniciales'!$D$2:$D$38,'Saldos Iniciales'!$A$2:$A$38,C439,'Saldos Iniciales'!$B$2:$B$38,D439)+SUMIFS($K$1:$K$1033,$C$1:$C$1033,C439,$D$1:$D$1033,D439,$B$1:$B$1033,"&lt;="&amp;B439)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2"/>
        <v>-8533.33</v>
      </c>
      <c r="L440" s="15" t="s">
        <v>129</v>
      </c>
      <c r="M440" s="44">
        <f>SUMIFS('Saldos Iniciales'!$D$2:$D$38,'Saldos Iniciales'!$A$2:$A$38,C440,'Saldos Iniciales'!$B$2:$B$38,D440)+SUMIFS($K$1:$K$1033,$C$1:$C$1033,C440,$D$1:$D$1033,D440,$B$1:$B$1033,"&lt;="&amp;B440)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2"/>
        <v>-10</v>
      </c>
      <c r="L441" s="15" t="s">
        <v>129</v>
      </c>
      <c r="M441" s="44">
        <f>SUMIFS('Saldos Iniciales'!$D$2:$D$38,'Saldos Iniciales'!$A$2:$A$38,C441,'Saldos Iniciales'!$B$2:$B$38,D441)+SUMIFS($K$1:$K$1033,$C$1:$C$1033,C441,$D$1:$D$1033,D441,$B$1:$B$1033,"&lt;="&amp;B441)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2"/>
        <v>-9798.6299999999992</v>
      </c>
      <c r="L442" s="15" t="s">
        <v>129</v>
      </c>
      <c r="M442" s="44">
        <f>SUMIFS('Saldos Iniciales'!$D$2:$D$38,'Saldos Iniciales'!$A$2:$A$38,C442,'Saldos Iniciales'!$B$2:$B$38,D442)+SUMIFS($K$1:$K$1033,$C$1:$C$1033,C442,$D$1:$D$1033,D442,$B$1:$B$1033,"&lt;="&amp;B442)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2"/>
        <v>-8773.0400000000009</v>
      </c>
      <c r="L443" s="15" t="s">
        <v>129</v>
      </c>
      <c r="M443" s="44">
        <f>SUMIFS('Saldos Iniciales'!$D$2:$D$38,'Saldos Iniciales'!$A$2:$A$38,C443,'Saldos Iniciales'!$B$2:$B$38,D443)+SUMIFS($K$1:$K$1033,$C$1:$C$1033,C443,$D$1:$D$1033,D443,$B$1:$B$1033,"&lt;="&amp;B443)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169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2"/>
        <v>-258.5</v>
      </c>
      <c r="L444" s="15" t="s">
        <v>129</v>
      </c>
      <c r="M444" s="44">
        <f>SUMIFS('Saldos Iniciales'!$D$2:$D$38,'Saldos Iniciales'!$A$2:$A$38,C444,'Saldos Iniciales'!$B$2:$B$38,D444)+SUMIFS($K$1:$K$1033,$C$1:$C$1033,C444,$D$1:$D$1033,D444,$B$1:$B$1033,"&lt;="&amp;B444)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2"/>
        <v>15280.15</v>
      </c>
      <c r="L445" s="15" t="s">
        <v>129</v>
      </c>
      <c r="M445" s="44">
        <f>SUMIFS('Saldos Iniciales'!$D$2:$D$38,'Saldos Iniciales'!$A$2:$A$38,C445,'Saldos Iniciales'!$B$2:$B$38,D445)+SUMIFS($K$1:$K$1033,$C$1:$C$1033,C445,$D$1:$D$1033,D445,$B$1:$B$1033,"&lt;="&amp;B445)</f>
        <v>37299.51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2"/>
        <v>-60000</v>
      </c>
      <c r="L446" s="15" t="s">
        <v>129</v>
      </c>
      <c r="M446" s="44">
        <f>SUMIFS('Saldos Iniciales'!$D$2:$D$38,'Saldos Iniciales'!$A$2:$A$38,C446,'Saldos Iniciales'!$B$2:$B$38,D446)+SUMIFS($K$1:$K$1033,$C$1:$C$1033,C446,$D$1:$D$1033,D446,$B$1:$B$1033,"&lt;="&amp;B446)</f>
        <v>181515.38999999987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2"/>
        <v>-15280.15</v>
      </c>
      <c r="L447" s="15" t="s">
        <v>129</v>
      </c>
      <c r="M447" s="44">
        <f>SUMIFS('Saldos Iniciales'!$D$2:$D$38,'Saldos Iniciales'!$A$2:$A$38,C447,'Saldos Iniciales'!$B$2:$B$38,D447)+SUMIFS($K$1:$K$1033,$C$1:$C$1033,C447,$D$1:$D$1033,D447,$B$1:$B$1033,"&lt;="&amp;B447)</f>
        <v>181515.38999999987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2"/>
        <v>-82180.600000000006</v>
      </c>
      <c r="L448" s="15" t="s">
        <v>129</v>
      </c>
      <c r="M448" s="44">
        <f>SUMIFS('Saldos Iniciales'!$D$2:$D$38,'Saldos Iniciales'!$A$2:$A$38,C448,'Saldos Iniciales'!$B$2:$B$38,D448)+SUMIFS($K$1:$K$1033,$C$1:$C$1033,C448,$D$1:$D$1033,D448,$B$1:$B$1033,"&lt;="&amp;B448)</f>
        <v>181515.38999999987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2"/>
        <v>4400</v>
      </c>
      <c r="L449" s="15" t="s">
        <v>129</v>
      </c>
      <c r="M449" s="44">
        <f>SUMIFS('Saldos Iniciales'!$D$2:$D$38,'Saldos Iniciales'!$A$2:$A$38,C449,'Saldos Iniciales'!$B$2:$B$38,D449)+SUMIFS($K$1:$K$1033,$C$1:$C$1033,C449,$D$1:$D$1033,D449,$B$1:$B$1033,"&lt;="&amp;B449)</f>
        <v>28485.559999999998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2"/>
        <v>-3000</v>
      </c>
      <c r="L450" s="15" t="s">
        <v>129</v>
      </c>
      <c r="M450" s="44">
        <f>SUMIFS('Saldos Iniciales'!$D$2:$D$38,'Saldos Iniciales'!$A$2:$A$38,C450,'Saldos Iniciales'!$B$2:$B$38,D450)+SUMIFS($K$1:$K$1033,$C$1:$C$1033,C450,$D$1:$D$1033,D450,$B$1:$B$1033,"&lt;="&amp;B450)</f>
        <v>6032719.6900000004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2"/>
        <v>-55000</v>
      </c>
      <c r="L451" s="15" t="s">
        <v>129</v>
      </c>
      <c r="M451" s="44">
        <f>SUMIFS('Saldos Iniciales'!$D$2:$D$38,'Saldos Iniciales'!$A$2:$A$38,C451,'Saldos Iniciales'!$B$2:$B$38,D451)+SUMIFS($K$1:$K$1033,$C$1:$C$1033,C451,$D$1:$D$1033,D451,$B$1:$B$1033,"&lt;="&amp;B451)</f>
        <v>6032719.6900000004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2"/>
        <v>-60000</v>
      </c>
      <c r="L452" s="15" t="s">
        <v>129</v>
      </c>
      <c r="M452" s="44">
        <f>SUMIFS('Saldos Iniciales'!$D$2:$D$38,'Saldos Iniciales'!$A$2:$A$38,C452,'Saldos Iniciales'!$B$2:$B$38,D452)+SUMIFS($K$1:$K$1033,$C$1:$C$1033,C452,$D$1:$D$1033,D452,$B$1:$B$1033,"&lt;="&amp;B452)</f>
        <v>6032719.6900000004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2"/>
        <v>-85000</v>
      </c>
      <c r="L453" s="15" t="s">
        <v>129</v>
      </c>
      <c r="M453" s="44">
        <f>SUMIFS('Saldos Iniciales'!$D$2:$D$38,'Saldos Iniciales'!$A$2:$A$38,C453,'Saldos Iniciales'!$B$2:$B$38,D453)+SUMIFS($K$1:$K$1033,$C$1:$C$1033,C453,$D$1:$D$1033,D453,$B$1:$B$1033,"&lt;="&amp;B453)</f>
        <v>6032719.6900000004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2"/>
        <v>-100000</v>
      </c>
      <c r="L454" s="15" t="s">
        <v>129</v>
      </c>
      <c r="M454" s="44">
        <f>SUMIFS('Saldos Iniciales'!$D$2:$D$38,'Saldos Iniciales'!$A$2:$A$38,C454,'Saldos Iniciales'!$B$2:$B$38,D454)+SUMIFS($K$1:$K$1033,$C$1:$C$1033,C454,$D$1:$D$1033,D454,$B$1:$B$1033,"&lt;="&amp;B454)</f>
        <v>6032719.6900000004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2"/>
        <v>-100000</v>
      </c>
      <c r="L455" s="15" t="s">
        <v>129</v>
      </c>
      <c r="M455" s="44">
        <f>SUMIFS('Saldos Iniciales'!$D$2:$D$38,'Saldos Iniciales'!$A$2:$A$38,C455,'Saldos Iniciales'!$B$2:$B$38,D455)+SUMIFS($K$1:$K$1033,$C$1:$C$1033,C455,$D$1:$D$1033,D455,$B$1:$B$1033,"&lt;="&amp;B455)</f>
        <v>6032719.6900000004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2"/>
        <v>-100000</v>
      </c>
      <c r="L456" s="15" t="s">
        <v>129</v>
      </c>
      <c r="M456" s="44">
        <f>SUMIFS('Saldos Iniciales'!$D$2:$D$38,'Saldos Iniciales'!$A$2:$A$38,C456,'Saldos Iniciales'!$B$2:$B$38,D456)+SUMIFS($K$1:$K$1033,$C$1:$C$1033,C456,$D$1:$D$1033,D456,$B$1:$B$1033,"&lt;="&amp;B456)</f>
        <v>6032719.6900000004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2"/>
        <v>-200000</v>
      </c>
      <c r="L457" s="15" t="s">
        <v>129</v>
      </c>
      <c r="M457" s="44">
        <f>SUMIFS('Saldos Iniciales'!$D$2:$D$38,'Saldos Iniciales'!$A$2:$A$38,C457,'Saldos Iniciales'!$B$2:$B$38,D457)+SUMIFS($K$1:$K$1033,$C$1:$C$1033,C457,$D$1:$D$1033,D457,$B$1:$B$1033,"&lt;="&amp;B457)</f>
        <v>6032719.6900000004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2"/>
        <v>-20000</v>
      </c>
      <c r="L458" s="15" t="s">
        <v>129</v>
      </c>
      <c r="M458" s="44">
        <f>SUMIFS('Saldos Iniciales'!$D$2:$D$38,'Saldos Iniciales'!$A$2:$A$38,C458,'Saldos Iniciales'!$B$2:$B$38,D458)+SUMIFS($K$1:$K$1033,$C$1:$C$1033,C458,$D$1:$D$1033,D458,$B$1:$B$1033,"&lt;="&amp;B458)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2"/>
        <v>-150000</v>
      </c>
      <c r="L459" s="15" t="s">
        <v>129</v>
      </c>
      <c r="M459" s="44">
        <f>SUMIFS('Saldos Iniciales'!$D$2:$D$38,'Saldos Iniciales'!$A$2:$A$38,C459,'Saldos Iniciales'!$B$2:$B$38,D459)+SUMIFS($K$1:$K$1033,$C$1:$C$1033,C459,$D$1:$D$1033,D459,$B$1:$B$1033,"&lt;="&amp;B459)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2"/>
        <v>150000</v>
      </c>
      <c r="L460" s="15" t="s">
        <v>129</v>
      </c>
      <c r="M460" s="44">
        <f>SUMIFS('Saldos Iniciales'!$D$2:$D$38,'Saldos Iniciales'!$A$2:$A$38,C460,'Saldos Iniciales'!$B$2:$B$38,D460)+SUMIFS($K$1:$K$1033,$C$1:$C$1033,C460,$D$1:$D$1033,D460,$B$1:$B$1033,"&lt;="&amp;B460)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2"/>
        <v>-100000</v>
      </c>
      <c r="L461" s="15" t="s">
        <v>129</v>
      </c>
      <c r="M461" s="44">
        <f>SUMIFS('Saldos Iniciales'!$D$2:$D$38,'Saldos Iniciales'!$A$2:$A$38,C461,'Saldos Iniciales'!$B$2:$B$38,D461)+SUMIFS($K$1:$K$1033,$C$1:$C$1033,C461,$D$1:$D$1033,D461,$B$1:$B$1033,"&lt;="&amp;B461)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2"/>
        <v>20000</v>
      </c>
      <c r="L462" s="15" t="s">
        <v>129</v>
      </c>
      <c r="M462" s="44">
        <f>SUMIFS('Saldos Iniciales'!$D$2:$D$38,'Saldos Iniciales'!$A$2:$A$38,C462,'Saldos Iniciales'!$B$2:$B$38,D462)+SUMIFS($K$1:$K$1033,$C$1:$C$1033,C462,$D$1:$D$1033,D462,$B$1:$B$1033,"&lt;="&amp;B462)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2"/>
        <v>-20000</v>
      </c>
      <c r="L463" s="15" t="s">
        <v>129</v>
      </c>
      <c r="M463" s="44">
        <f>SUMIFS('Saldos Iniciales'!$D$2:$D$38,'Saldos Iniciales'!$A$2:$A$38,C463,'Saldos Iniciales'!$B$2:$B$38,D463)+SUMIFS($K$1:$K$1033,$C$1:$C$1033,C463,$D$1:$D$1033,D463,$B$1:$B$1033,"&lt;="&amp;B463)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2"/>
        <v>20000</v>
      </c>
      <c r="L464" s="15" t="s">
        <v>129</v>
      </c>
      <c r="M464" s="44">
        <f>SUMIFS('Saldos Iniciales'!$D$2:$D$38,'Saldos Iniciales'!$A$2:$A$38,C464,'Saldos Iniciales'!$B$2:$B$38,D464)+SUMIFS($K$1:$K$1033,$C$1:$C$1033,C464,$D$1:$D$1033,D464,$B$1:$B$1033,"&lt;="&amp;B464)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2"/>
        <v>-2830.5</v>
      </c>
      <c r="L465" s="15" t="s">
        <v>129</v>
      </c>
      <c r="M465" s="44">
        <f>SUMIFS('Saldos Iniciales'!$D$2:$D$38,'Saldos Iniciales'!$A$2:$A$38,C465,'Saldos Iniciales'!$B$2:$B$38,D465)+SUMIFS($K$1:$K$1033,$C$1:$C$1033,C465,$D$1:$D$1033,D465,$B$1:$B$1033,"&lt;="&amp;B465)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2"/>
        <v>-350</v>
      </c>
      <c r="L466" s="15" t="s">
        <v>129</v>
      </c>
      <c r="M466" s="44">
        <f>SUMIFS('Saldos Iniciales'!$D$2:$D$38,'Saldos Iniciales'!$A$2:$A$38,C466,'Saldos Iniciales'!$B$2:$B$38,D466)+SUMIFS($K$1:$K$1033,$C$1:$C$1033,C466,$D$1:$D$1033,D466,$B$1:$B$1033,"&lt;="&amp;B466)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2"/>
        <v>-610</v>
      </c>
      <c r="L467" s="15" t="s">
        <v>129</v>
      </c>
      <c r="M467" s="44">
        <f>SUMIFS('Saldos Iniciales'!$D$2:$D$38,'Saldos Iniciales'!$A$2:$A$38,C467,'Saldos Iniciales'!$B$2:$B$38,D467)+SUMIFS($K$1:$K$1033,$C$1:$C$1033,C467,$D$1:$D$1033,D467,$B$1:$B$1033,"&lt;="&amp;B467)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2"/>
        <v>-15</v>
      </c>
      <c r="L468" s="15" t="s">
        <v>129</v>
      </c>
      <c r="M468" s="44">
        <f>SUMIFS('Saldos Iniciales'!$D$2:$D$38,'Saldos Iniciales'!$A$2:$A$38,C468,'Saldos Iniciales'!$B$2:$B$38,D468)+SUMIFS($K$1:$K$1033,$C$1:$C$1033,C468,$D$1:$D$1033,D468,$B$1:$B$1033,"&lt;="&amp;B468)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2"/>
        <v>-82.98</v>
      </c>
      <c r="L469" s="15" t="s">
        <v>129</v>
      </c>
      <c r="M469" s="44">
        <f>SUMIFS('Saldos Iniciales'!$D$2:$D$38,'Saldos Iniciales'!$A$2:$A$38,C469,'Saldos Iniciales'!$B$2:$B$38,D469)+SUMIFS($K$1:$K$1033,$C$1:$C$1033,C469,$D$1:$D$1033,D469,$B$1:$B$1033,"&lt;="&amp;B469)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2"/>
        <v>-3309.58</v>
      </c>
      <c r="L470" s="15" t="s">
        <v>129</v>
      </c>
      <c r="M470" s="44">
        <f>SUMIFS('Saldos Iniciales'!$D$2:$D$38,'Saldos Iniciales'!$A$2:$A$38,C470,'Saldos Iniciales'!$B$2:$B$38,D470)+SUMIFS($K$1:$K$1033,$C$1:$C$1033,C470,$D$1:$D$1033,D470,$B$1:$B$1033,"&lt;="&amp;B470)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46205</v>
      </c>
      <c r="C471" s="46" t="s">
        <v>33</v>
      </c>
      <c r="D471" s="41" t="s">
        <v>124</v>
      </c>
      <c r="E471" s="4" t="s">
        <v>36</v>
      </c>
      <c r="F471" s="41" t="s">
        <v>9</v>
      </c>
      <c r="G471" s="41" t="s">
        <v>81</v>
      </c>
      <c r="H471" s="4" t="s">
        <v>88</v>
      </c>
      <c r="I471" s="46" t="s">
        <v>152</v>
      </c>
      <c r="J471" s="43">
        <v>4400</v>
      </c>
      <c r="K471" s="5">
        <f t="shared" si="2"/>
        <v>4400</v>
      </c>
      <c r="L471" s="15" t="s">
        <v>129</v>
      </c>
      <c r="M471" s="44">
        <f>SUMIFS('Saldos Iniciales'!$D$2:$D$38,'Saldos Iniciales'!$A$2:$A$38,C471,'Saldos Iniciales'!$B$2:$B$38,D471)+SUMIFS($K$1:$K$1033,$C$1:$C$1033,C471,$D$1:$D$1033,D471,$B$1:$B$1033,"&lt;="&amp;B471)</f>
        <v>28485.559999999998</v>
      </c>
      <c r="N471" s="65">
        <f>IF(tblMovimientos[[#This Row],[Tipo de Movimiento]]="Ingreso",tblMovimientos[[#This Row],[Monto (S/)]],"0")</f>
        <v>4400</v>
      </c>
      <c r="O471" s="65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4400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126</v>
      </c>
      <c r="E472" s="5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2363.85</v>
      </c>
      <c r="K472" s="5">
        <f t="shared" si="2"/>
        <v>-2363.85</v>
      </c>
      <c r="L472" s="15" t="s">
        <v>129</v>
      </c>
      <c r="M472" s="44">
        <f>SUMIFS('Saldos Iniciales'!$D$2:$D$38,'Saldos Iniciales'!$A$2:$A$38,C472,'Saldos Iniciales'!$B$2:$B$38,D472)+SUMIFS($K$1:$K$1033,$C$1:$C$1033,C472,$D$1:$D$1033,D472,$B$1:$B$1033,"&lt;="&amp;B472)</f>
        <v>28842.52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2363.85</v>
      </c>
      <c r="P472" s="28">
        <f>IF(tblMovimientos[[#This Row],[Tipo de Movimiento]]="Ingreso",tblMovimientos[[#This Row],[Ingreso]],-tblMovimientos[[#This Row],[Egreso]])</f>
        <v>-2363.85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169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229.15</v>
      </c>
      <c r="K473" s="5">
        <f t="shared" si="2"/>
        <v>-229.15</v>
      </c>
      <c r="L473" s="15" t="s">
        <v>129</v>
      </c>
      <c r="M473" s="44">
        <f>SUMIFS('Saldos Iniciales'!$D$2:$D$38,'Saldos Iniciales'!$A$2:$A$38,C473,'Saldos Iniciales'!$B$2:$B$38,D473)+SUMIFS($K$1:$K$1033,$C$1:$C$1033,C473,$D$1:$D$1033,D473,$B$1:$B$1033,"&lt;="&amp;B473)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229.15</v>
      </c>
      <c r="P473" s="28">
        <f>IF(tblMovimientos[[#This Row],[Tipo de Movimiento]]="Ingreso",tblMovimientos[[#This Row],[Ingreso]],-tblMovimientos[[#This Row],[Egreso]])</f>
        <v>-229.15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169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499.22</v>
      </c>
      <c r="K474" s="5">
        <f t="shared" si="2"/>
        <v>-499.22</v>
      </c>
      <c r="L474" s="15" t="s">
        <v>129</v>
      </c>
      <c r="M474" s="44">
        <f>SUMIFS('Saldos Iniciales'!$D$2:$D$38,'Saldos Iniciales'!$A$2:$A$38,C474,'Saldos Iniciales'!$B$2:$B$38,D474)+SUMIFS($K$1:$K$1033,$C$1:$C$1033,C474,$D$1:$D$1033,D474,$B$1:$B$1033,"&lt;="&amp;B474)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499.22</v>
      </c>
      <c r="P474" s="28">
        <f>IF(tblMovimientos[[#This Row],[Tipo de Movimiento]]="Ingreso",tblMovimientos[[#This Row],[Ingreso]],-tblMovimientos[[#This Row],[Egreso]])</f>
        <v>-499.22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Go Blue</v>
      </c>
      <c r="D475" s="41" t="s">
        <v>169</v>
      </c>
      <c r="E475" s="66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38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29.96</v>
      </c>
      <c r="K475" s="5">
        <f t="shared" si="2"/>
        <v>-29.96</v>
      </c>
      <c r="L475" s="15" t="s">
        <v>129</v>
      </c>
      <c r="M475" s="44">
        <f>SUMIFS('Saldos Iniciales'!$D$2:$D$38,'Saldos Iniciales'!$A$2:$A$38,C475,'Saldos Iniciales'!$B$2:$B$38,D475)+SUMIFS($K$1:$K$1033,$C$1:$C$1033,C475,$D$1:$D$1033,D475,$B$1:$B$1033,"&lt;="&amp;B475)</f>
        <v>4276.5200000000004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29.96</v>
      </c>
      <c r="P475" s="28">
        <f>IF(tblMovimientos[[#This Row],[Tipo de Movimiento]]="Ingreso",tblMovimientos[[#This Row],[Ingreso]],-tblMovimientos[[#This Row],[Egreso]])</f>
        <v>-29.96</v>
      </c>
    </row>
    <row r="476" spans="1:16" x14ac:dyDescent="0.3">
      <c r="B476" s="39">
        <v>46206</v>
      </c>
      <c r="C476" s="46" t="str">
        <f>_xlfn.XLOOKUP(tblMovimientos[[#This Row],[Cuenta Bancaria]],Listas!$B:$B,Listas!$A:$A,"")</f>
        <v>Electrama</v>
      </c>
      <c r="D476" s="41" t="s">
        <v>113</v>
      </c>
      <c r="E476" s="66" t="str">
        <f>_xlfn.XLOOKUP(tblMovimientos[[#This Row],[Cuenta Bancaria]],Listas!$B:$B,Listas!$C:$C,"")</f>
        <v>Chase Bank</v>
      </c>
      <c r="F476" s="41" t="s">
        <v>10</v>
      </c>
      <c r="G476" s="41" t="s">
        <v>44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40</v>
      </c>
      <c r="K476" s="5">
        <f t="shared" si="2"/>
        <v>-40</v>
      </c>
      <c r="L476" s="15" t="s">
        <v>129</v>
      </c>
      <c r="M476" s="44">
        <f>SUMIFS('Saldos Iniciales'!$D$2:$D$38,'Saldos Iniciales'!$A$2:$A$38,C476,'Saldos Iniciales'!$B$2:$B$38,D476)+SUMIFS($K$1:$K$1033,$C$1:$C$1033,C476,$D$1:$D$1033,D476,$B$1:$B$1033,"&lt;="&amp;B476)</f>
        <v>471.15999999999985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40</v>
      </c>
      <c r="P476" s="28">
        <f>IF(tblMovimientos[[#This Row],[Tipo de Movimiento]]="Ingreso",tblMovimientos[[#This Row],[Ingreso]],-tblMovimientos[[#This Row],[Egreso]])</f>
        <v>-40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SSP Capital</v>
      </c>
      <c r="D477" s="41" t="s">
        <v>101</v>
      </c>
      <c r="E477" s="4" t="str">
        <f>_xlfn.XLOOKUP(tblMovimientos[[#This Row],[Cuenta Bancaria]],Listas!$B:$B,Listas!$C:$C,"")</f>
        <v>Bank of America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538.41999999999996</v>
      </c>
      <c r="K477" s="5">
        <f t="shared" si="2"/>
        <v>-538.41999999999996</v>
      </c>
      <c r="L477" s="15" t="s">
        <v>129</v>
      </c>
      <c r="M477" s="44">
        <f>SUMIFS('Saldos Iniciales'!$D$2:$D$38,'Saldos Iniciales'!$A$2:$A$38,C477,'Saldos Iniciales'!$B$2:$B$38,D477)+SUMIFS($K$1:$K$1033,$C$1:$C$1033,C477,$D$1:$D$1033,D477,$B$1:$B$1033,"&lt;="&amp;B477)</f>
        <v>36761.090000000004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538.41999999999996</v>
      </c>
      <c r="P477" s="28">
        <f>IF(tblMovimientos[[#This Row],[Tipo de Movimiento]]="Ingreso",tblMovimientos[[#This Row],[Ingreso]],-tblMovimientos[[#This Row],[Egreso]])</f>
        <v>-538.41999999999996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126</v>
      </c>
      <c r="E478" s="4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17151.490000000002</v>
      </c>
      <c r="K478" s="5">
        <f t="shared" si="2"/>
        <v>-17151.490000000002</v>
      </c>
      <c r="L478" s="15" t="s">
        <v>129</v>
      </c>
      <c r="M478" s="44">
        <f>SUMIFS('Saldos Iniciales'!$D$2:$D$38,'Saldos Iniciales'!$A$2:$A$38,C478,'Saldos Iniciales'!$B$2:$B$38,D478)+SUMIFS($K$1:$K$1033,$C$1:$C$1033,C478,$D$1:$D$1033,D478,$B$1:$B$1033,"&lt;="&amp;B478)</f>
        <v>11691.029999999999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17151.490000000002</v>
      </c>
      <c r="P478" s="28">
        <f>IF(tblMovimientos[[#This Row],[Tipo de Movimiento]]="Ingreso",tblMovimientos[[#This Row],[Ingreso]],-tblMovimientos[[#This Row],[Egreso]])</f>
        <v>-17151.490000000002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169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30</v>
      </c>
      <c r="K479" s="5">
        <f t="shared" si="2"/>
        <v>-30</v>
      </c>
      <c r="L479" s="15" t="s">
        <v>129</v>
      </c>
      <c r="M479" s="44">
        <f>SUMIFS('Saldos Iniciales'!$D$2:$D$38,'Saldos Iniciales'!$A$2:$A$38,C479,'Saldos Iniciales'!$B$2:$B$38,D479)+SUMIFS($K$1:$K$1033,$C$1:$C$1033,C479,$D$1:$D$1033,D479,$B$1:$B$1033,"&lt;="&amp;B479)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30</v>
      </c>
      <c r="P479" s="28">
        <f>IF(tblMovimientos[[#This Row],[Tipo de Movimiento]]="Ingreso",tblMovimientos[[#This Row],[Ingreso]],-tblMovimientos[[#This Row],[Egreso]])</f>
        <v>-30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169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18</v>
      </c>
      <c r="K480" s="5">
        <f t="shared" si="2"/>
        <v>-18</v>
      </c>
      <c r="L480" s="15" t="s">
        <v>129</v>
      </c>
      <c r="M480" s="44">
        <f>SUMIFS('Saldos Iniciales'!$D$2:$D$38,'Saldos Iniciales'!$A$2:$A$38,C480,'Saldos Iniciales'!$B$2:$B$38,D480)+SUMIFS($K$1:$K$1033,$C$1:$C$1033,C480,$D$1:$D$1033,D480,$B$1:$B$1033,"&lt;="&amp;B480)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18</v>
      </c>
      <c r="P480" s="28">
        <f>IF(tblMovimientos[[#This Row],[Tipo de Movimiento]]="Ingreso",tblMovimientos[[#This Row],[Ingreso]],-tblMovimientos[[#This Row],[Egreso]])</f>
        <v>-18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169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458.35</v>
      </c>
      <c r="K481" s="5">
        <f t="shared" si="2"/>
        <v>-458.35</v>
      </c>
      <c r="L481" s="15" t="s">
        <v>129</v>
      </c>
      <c r="M481" s="44">
        <f>SUMIFS('Saldos Iniciales'!$D$2:$D$38,'Saldos Iniciales'!$A$2:$A$38,C481,'Saldos Iniciales'!$B$2:$B$38,D481)+SUMIFS($K$1:$K$1033,$C$1:$C$1033,C481,$D$1:$D$1033,D481,$B$1:$B$1033,"&lt;="&amp;B481)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458.35</v>
      </c>
      <c r="P481" s="28">
        <f>IF(tblMovimientos[[#This Row],[Tipo de Movimiento]]="Ingreso",tblMovimientos[[#This Row],[Ingreso]],-tblMovimientos[[#This Row],[Egreso]])</f>
        <v>-458.35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169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24</v>
      </c>
      <c r="K482" s="5">
        <f t="shared" si="2"/>
        <v>-24</v>
      </c>
      <c r="L482" s="15" t="s">
        <v>129</v>
      </c>
      <c r="M482" s="44">
        <f>SUMIFS('Saldos Iniciales'!$D$2:$D$38,'Saldos Iniciales'!$A$2:$A$38,C482,'Saldos Iniciales'!$B$2:$B$38,D482)+SUMIFS($K$1:$K$1033,$C$1:$C$1033,C482,$D$1:$D$1033,D482,$B$1:$B$1033,"&lt;="&amp;B482)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24</v>
      </c>
      <c r="P482" s="28">
        <f>IF(tblMovimientos[[#This Row],[Tipo de Movimiento]]="Ingreso",tblMovimientos[[#This Row],[Ingreso]],-tblMovimientos[[#This Row],[Egreso]])</f>
        <v>-24</v>
      </c>
    </row>
    <row r="483" spans="2:16" x14ac:dyDescent="0.3">
      <c r="B483" s="39">
        <v>46209</v>
      </c>
      <c r="C483" s="46" t="str">
        <f>_xlfn.XLOOKUP(tblMovimientos[[#This Row],[Cuenta Bancaria]],Listas!$B:$B,Listas!$A:$A,"")</f>
        <v>Go Blue</v>
      </c>
      <c r="D483" s="41" t="s">
        <v>169</v>
      </c>
      <c r="E483" s="66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271.86</v>
      </c>
      <c r="K483" s="5">
        <f t="shared" si="2"/>
        <v>-271.86</v>
      </c>
      <c r="L483" s="15" t="s">
        <v>129</v>
      </c>
      <c r="M483" s="44">
        <f>SUMIFS('Saldos Iniciales'!$D$2:$D$38,'Saldos Iniciales'!$A$2:$A$38,C483,'Saldos Iniciales'!$B$2:$B$38,D483)+SUMIFS($K$1:$K$1033,$C$1:$C$1033,C483,$D$1:$D$1033,D483,$B$1:$B$1033,"&lt;="&amp;B483)</f>
        <v>3474.3100000000004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271.86</v>
      </c>
      <c r="P483" s="28">
        <f>IF(tblMovimientos[[#This Row],[Tipo de Movimiento]]="Ingreso",tblMovimientos[[#This Row],[Ingreso]],-tblMovimientos[[#This Row],[Egreso]])</f>
        <v>-271.86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126</v>
      </c>
      <c r="E484" s="4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614.75</v>
      </c>
      <c r="K484" s="5">
        <f t="shared" si="2"/>
        <v>-614.75</v>
      </c>
      <c r="L484" s="15" t="s">
        <v>129</v>
      </c>
      <c r="M484" s="44">
        <f>SUMIFS('Saldos Iniciales'!$D$2:$D$38,'Saldos Iniciales'!$A$2:$A$38,C484,'Saldos Iniciales'!$B$2:$B$38,D484)+SUMIFS($K$1:$K$1033,$C$1:$C$1033,C484,$D$1:$D$1033,D484,$B$1:$B$1033,"&lt;="&amp;B484)</f>
        <v>11076.279999999999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614.75</v>
      </c>
      <c r="P484" s="28">
        <f>IF(tblMovimientos[[#This Row],[Tipo de Movimiento]]="Ingreso",tblMovimientos[[#This Row],[Ingreso]],-tblMovimientos[[#This Row],[Egreso]])</f>
        <v>-614.75</v>
      </c>
    </row>
    <row r="485" spans="2:16" x14ac:dyDescent="0.3">
      <c r="B485" s="39">
        <v>46210</v>
      </c>
      <c r="C485" s="46" t="str">
        <f>_xlfn.XLOOKUP(tblMovimientos[[#This Row],[Cuenta Bancaria]],Listas!$B:$B,Listas!$A:$A,"")</f>
        <v>Go Blue</v>
      </c>
      <c r="D485" s="41" t="s">
        <v>169</v>
      </c>
      <c r="E485" s="66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52</v>
      </c>
      <c r="K485" s="5">
        <f t="shared" si="2"/>
        <v>-52</v>
      </c>
      <c r="L485" s="15" t="s">
        <v>129</v>
      </c>
      <c r="M485" s="44">
        <f>SUMIFS('Saldos Iniciales'!$D$2:$D$38,'Saldos Iniciales'!$A$2:$A$38,C485,'Saldos Iniciales'!$B$2:$B$38,D485)+SUMIFS($K$1:$K$1033,$C$1:$C$1033,C485,$D$1:$D$1033,D485,$B$1:$B$1033,"&lt;="&amp;B485)</f>
        <v>3422.3100000000004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52</v>
      </c>
      <c r="P485" s="28">
        <f>IF(tblMovimientos[[#This Row],[Tipo de Movimiento]]="Ingreso",tblMovimientos[[#This Row],[Ingreso]],-tblMovimientos[[#This Row],[Egreso]])</f>
        <v>-52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SSP Capital</v>
      </c>
      <c r="D486" s="41" t="s">
        <v>101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41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7679.78</v>
      </c>
      <c r="K486" s="5">
        <f t="shared" si="2"/>
        <v>-7679.78</v>
      </c>
      <c r="L486" s="15" t="s">
        <v>129</v>
      </c>
      <c r="M486" s="44">
        <f>SUMIFS('Saldos Iniciales'!$D$2:$D$38,'Saldos Iniciales'!$A$2:$A$38,C486,'Saldos Iniciales'!$B$2:$B$38,D486)+SUMIFS($K$1:$K$1033,$C$1:$C$1033,C486,$D$1:$D$1033,D486,$B$1:$B$1033,"&lt;="&amp;B486)</f>
        <v>29081.309999999998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7679.78</v>
      </c>
      <c r="P486" s="28">
        <f>IF(tblMovimientos[[#This Row],[Tipo de Movimiento]]="Ingreso",tblMovimientos[[#This Row],[Ingreso]],-tblMovimientos[[#This Row],[Egreso]])</f>
        <v>-7679.78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112 Florida Ave</v>
      </c>
      <c r="D487" s="41" t="s">
        <v>123</v>
      </c>
      <c r="E487" s="66" t="str">
        <f>_xlfn.XLOOKUP(tblMovimientos[[#This Row],[Cuenta Bancaria]],Listas!$B:$B,Listas!$C:$C,"")</f>
        <v>Bank of America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4000</v>
      </c>
      <c r="K487" s="5">
        <f t="shared" si="2"/>
        <v>-4000</v>
      </c>
      <c r="L487" s="15" t="s">
        <v>129</v>
      </c>
      <c r="M487" s="44">
        <f>SUMIFS('Saldos Iniciales'!$D$2:$D$38,'Saldos Iniciales'!$A$2:$A$38,C487,'Saldos Iniciales'!$B$2:$B$38,D487)+SUMIFS($K$1:$K$1033,$C$1:$C$1033,C487,$D$1:$D$1033,D487,$B$1:$B$1033,"&lt;="&amp;B487)</f>
        <v>6522.8000000000029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4000</v>
      </c>
      <c r="P487" s="28">
        <f>IF(tblMovimientos[[#This Row],[Tipo de Movimiento]]="Ingreso",tblMovimientos[[#This Row],[Ingreso]],-tblMovimientos[[#This Row],[Egreso]])</f>
        <v>-4000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SSP Capital</v>
      </c>
      <c r="D488" s="41" t="s">
        <v>104</v>
      </c>
      <c r="E488" s="66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1650.84</v>
      </c>
      <c r="K488" s="5">
        <f t="shared" si="2"/>
        <v>-1650.84</v>
      </c>
      <c r="L488" s="15" t="s">
        <v>129</v>
      </c>
      <c r="M488" s="44">
        <f>SUMIFS('Saldos Iniciales'!$D$2:$D$38,'Saldos Iniciales'!$A$2:$A$38,C488,'Saldos Iniciales'!$B$2:$B$38,D488)+SUMIFS($K$1:$K$1033,$C$1:$C$1033,C488,$D$1:$D$1033,D488,$B$1:$B$1033,"&lt;="&amp;B488)</f>
        <v>920047.91999999946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1650.84</v>
      </c>
      <c r="P488" s="28">
        <f>IF(tblMovimientos[[#This Row],[Tipo de Movimiento]]="Ingreso",tblMovimientos[[#This Row],[Ingreso]],-tblMovimientos[[#This Row],[Egreso]])</f>
        <v>-1650.84</v>
      </c>
    </row>
    <row r="489" spans="2:16" x14ac:dyDescent="0.3">
      <c r="B489" s="39">
        <v>46211</v>
      </c>
      <c r="C489" s="46" t="str">
        <f>_xlfn.XLOOKUP(tblMovimientos[[#This Row],[Cuenta Bancaria]],Listas!$B:$B,Listas!$A:$A,"")</f>
        <v>Soweto</v>
      </c>
      <c r="D489" s="41" t="s">
        <v>116</v>
      </c>
      <c r="E489" s="66" t="str">
        <f>_xlfn.XLOOKUP(tblMovimientos[[#This Row],[Cuenta Bancaria]],Listas!$B:$B,Listas!$C:$C,"")</f>
        <v>Citibank</v>
      </c>
      <c r="F489" s="41" t="s">
        <v>10</v>
      </c>
      <c r="G489" s="41" t="s">
        <v>44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15</v>
      </c>
      <c r="K489" s="5">
        <f t="shared" si="2"/>
        <v>-15</v>
      </c>
      <c r="L489" s="15" t="s">
        <v>129</v>
      </c>
      <c r="M489" s="44">
        <f>SUMIFS('Saldos Iniciales'!$D$2:$D$38,'Saldos Iniciales'!$A$2:$A$38,C489,'Saldos Iniciales'!$B$2:$B$38,D489)+SUMIFS($K$1:$K$1033,$C$1:$C$1033,C489,$D$1:$D$1033,D489,$B$1:$B$1033,"&lt;="&amp;B489)</f>
        <v>3334.94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15</v>
      </c>
      <c r="P489" s="28">
        <f>IF(tblMovimientos[[#This Row],[Tipo de Movimiento]]="Ingreso",tblMovimientos[[#This Row],[Ingreso]],-tblMovimientos[[#This Row],[Egreso]])</f>
        <v>-15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SSP Capital</v>
      </c>
      <c r="D490" s="41" t="s">
        <v>101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1291.6500000000001</v>
      </c>
      <c r="K490" s="5">
        <f t="shared" si="2"/>
        <v>-1291.6500000000001</v>
      </c>
      <c r="L490" s="15" t="s">
        <v>129</v>
      </c>
      <c r="M490" s="44">
        <f>SUMIFS('Saldos Iniciales'!$D$2:$D$38,'Saldos Iniciales'!$A$2:$A$38,C490,'Saldos Iniciales'!$B$2:$B$38,D490)+SUMIFS($K$1:$K$1033,$C$1:$C$1033,C490,$D$1:$D$1033,D490,$B$1:$B$1033,"&lt;="&amp;B490)</f>
        <v>27789.660000000003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1291.6500000000001</v>
      </c>
      <c r="P490" s="28">
        <f>IF(tblMovimientos[[#This Row],[Tipo de Movimiento]]="Ingreso",tblMovimientos[[#This Row],[Ingreso]],-tblMovimientos[[#This Row],[Egreso]])</f>
        <v>-1291.6500000000001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A&amp;M Imports</v>
      </c>
      <c r="D491" s="41" t="s">
        <v>100</v>
      </c>
      <c r="E491" s="66" t="str">
        <f>_xlfn.XLOOKUP(tblMovimientos[[#This Row],[Cuenta Bancaria]],Listas!$B:$B,Listas!$C:$C,"")</f>
        <v>Bank of America</v>
      </c>
      <c r="F491" s="41" t="s">
        <v>10</v>
      </c>
      <c r="G491" s="41" t="s">
        <v>61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60000</v>
      </c>
      <c r="K491" s="5">
        <f t="shared" si="2"/>
        <v>-60000</v>
      </c>
      <c r="L491" s="15" t="s">
        <v>129</v>
      </c>
      <c r="M491" s="44">
        <f>SUMIFS('Saldos Iniciales'!$D$2:$D$38,'Saldos Iniciales'!$A$2:$A$38,C491,'Saldos Iniciales'!$B$2:$B$38,D491)+SUMIFS($K$1:$K$1033,$C$1:$C$1033,C491,$D$1:$D$1033,D491,$B$1:$B$1033,"&lt;="&amp;B491)</f>
        <v>121515.38999999987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60000</v>
      </c>
      <c r="P491" s="28">
        <f>IF(tblMovimientos[[#This Row],[Tipo de Movimiento]]="Ingreso",tblMovimientos[[#This Row],[Ingreso]],-tblMovimientos[[#This Row],[Egreso]])</f>
        <v>-60000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M1B</v>
      </c>
      <c r="D492" s="41" t="s">
        <v>97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5982</v>
      </c>
      <c r="K492" s="5">
        <f t="shared" si="2"/>
        <v>-5982</v>
      </c>
      <c r="L492" s="15" t="s">
        <v>129</v>
      </c>
      <c r="M492" s="44">
        <f>SUMIFS('Saldos Iniciales'!$D$2:$D$38,'Saldos Iniciales'!$A$2:$A$38,C492,'Saldos Iniciales'!$B$2:$B$38,D492)+SUMIFS($K$1:$K$1033,$C$1:$C$1033,C492,$D$1:$D$1033,D492,$B$1:$B$1033,"&lt;="&amp;B492)</f>
        <v>68157.680000000168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5982</v>
      </c>
      <c r="P492" s="28">
        <f>IF(tblMovimientos[[#This Row],[Tipo de Movimiento]]="Ingreso",tblMovimientos[[#This Row],[Ingreso]],-tblMovimientos[[#This Row],[Egreso]])</f>
        <v>-5982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169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47.47</v>
      </c>
      <c r="K493" s="5">
        <f t="shared" si="2"/>
        <v>-47.47</v>
      </c>
      <c r="L493" s="15" t="s">
        <v>129</v>
      </c>
      <c r="M493" s="44">
        <f>SUMIFS('Saldos Iniciales'!$D$2:$D$38,'Saldos Iniciales'!$A$2:$A$38,C493,'Saldos Iniciales'!$B$2:$B$38,D493)+SUMIFS($K$1:$K$1033,$C$1:$C$1033,C493,$D$1:$D$1033,D493,$B$1:$B$1033,"&lt;="&amp;B493)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47.47</v>
      </c>
      <c r="P493" s="28">
        <f>IF(tblMovimientos[[#This Row],[Tipo de Movimiento]]="Ingreso",tblMovimientos[[#This Row],[Ingreso]],-tblMovimientos[[#This Row],[Egreso]])</f>
        <v>-47.47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Go Blue</v>
      </c>
      <c r="D494" s="41" t="s">
        <v>169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36</v>
      </c>
      <c r="K494" s="5">
        <f t="shared" si="2"/>
        <v>-36</v>
      </c>
      <c r="L494" s="15" t="s">
        <v>129</v>
      </c>
      <c r="M494" s="44">
        <f>SUMIFS('Saldos Iniciales'!$D$2:$D$38,'Saldos Iniciales'!$A$2:$A$38,C494,'Saldos Iniciales'!$B$2:$B$38,D494)+SUMIFS($K$1:$K$1033,$C$1:$C$1033,C494,$D$1:$D$1033,D494,$B$1:$B$1033,"&lt;="&amp;B494)</f>
        <v>3338.84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36</v>
      </c>
      <c r="P494" s="28">
        <f>IF(tblMovimientos[[#This Row],[Tipo de Movimiento]]="Ingreso",tblMovimientos[[#This Row],[Ingreso]],-tblMovimientos[[#This Row],[Egreso]])</f>
        <v>-36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2975</v>
      </c>
      <c r="K495" s="5">
        <f t="shared" si="2"/>
        <v>-2975</v>
      </c>
      <c r="L495" s="15" t="s">
        <v>129</v>
      </c>
      <c r="M495" s="44">
        <f>SUMIFS('Saldos Iniciales'!$D$2:$D$38,'Saldos Iniciales'!$A$2:$A$38,C495,'Saldos Iniciales'!$B$2:$B$38,D495)+SUMIFS($K$1:$K$1033,$C$1:$C$1033,C495,$D$1:$D$1033,D495,$B$1:$B$1033,"&lt;="&amp;B495)</f>
        <v>4818078.0200000005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2975</v>
      </c>
      <c r="P495" s="28">
        <f>IF(tblMovimientos[[#This Row],[Tipo de Movimiento]]="Ingreso",tblMovimientos[[#This Row],[Ingreso]],-tblMovimientos[[#This Row],[Egreso]])</f>
        <v>-2975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46</v>
      </c>
      <c r="H496" s="4" t="str">
        <f>IFERROR(_xlfn.XLOOKUP(G496,Listas!E:E,Listas!F:F,""),"")</f>
        <v>Financiamiento</v>
      </c>
      <c r="I496" s="46" t="str">
        <f>IFERROR(_xlfn.XLOOKUP(G496,Listas!E:E,Listas!G:G,""),"")</f>
        <v>Externo</v>
      </c>
      <c r="J496" s="43">
        <v>11666.67</v>
      </c>
      <c r="K496" s="5">
        <f t="shared" si="2"/>
        <v>-11666.67</v>
      </c>
      <c r="L496" s="15" t="s">
        <v>129</v>
      </c>
      <c r="M496" s="44">
        <f>SUMIFS('Saldos Iniciales'!$D$2:$D$38,'Saldos Iniciales'!$A$2:$A$38,C496,'Saldos Iniciales'!$B$2:$B$38,D496)+SUMIFS($K$1:$K$1033,$C$1:$C$1033,C496,$D$1:$D$1033,D496,$B$1:$B$1033,"&lt;="&amp;B496)</f>
        <v>4818078.0200000005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11666.67</v>
      </c>
      <c r="P496" s="28">
        <f>IF(tblMovimientos[[#This Row],[Tipo de Movimiento]]="Ingreso",tblMovimientos[[#This Row],[Ingreso]],-tblMovimientos[[#This Row],[Egreso]])</f>
        <v>-11666.67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40000</v>
      </c>
      <c r="K497" s="5">
        <f t="shared" si="2"/>
        <v>-40000</v>
      </c>
      <c r="L497" s="15" t="s">
        <v>129</v>
      </c>
      <c r="M497" s="44">
        <f>SUMIFS('Saldos Iniciales'!$D$2:$D$38,'Saldos Iniciales'!$A$2:$A$38,C497,'Saldos Iniciales'!$B$2:$B$38,D497)+SUMIFS($K$1:$K$1033,$C$1:$C$1033,C497,$D$1:$D$1033,D497,$B$1:$B$1033,"&lt;="&amp;B497)</f>
        <v>4818078.0200000005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40000</v>
      </c>
      <c r="P497" s="28">
        <f>IF(tblMovimientos[[#This Row],[Tipo de Movimiento]]="Ingreso",tblMovimientos[[#This Row],[Ingreso]],-tblMovimientos[[#This Row],[Egreso]])</f>
        <v>-40000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ref="K498:K561" si="3">IF(F498="Ingreso",J498,-J498)</f>
        <v>-60000</v>
      </c>
      <c r="L498" s="15" t="s">
        <v>129</v>
      </c>
      <c r="M498" s="44">
        <f>SUMIFS('Saldos Iniciales'!$D$2:$D$38,'Saldos Iniciales'!$A$2:$A$38,C498,'Saldos Iniciales'!$B$2:$B$38,D498)+SUMIFS($K$1:$K$1033,$C$1:$C$1033,C498,$D$1:$D$1033,D498,$B$1:$B$1033,"&lt;="&amp;B498)</f>
        <v>4818078.0200000005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si="3"/>
        <v>-100000</v>
      </c>
      <c r="L499" s="15" t="s">
        <v>129</v>
      </c>
      <c r="M499" s="44">
        <f>SUMIFS('Saldos Iniciales'!$D$2:$D$38,'Saldos Iniciales'!$A$2:$A$38,C499,'Saldos Iniciales'!$B$2:$B$38,D499)+SUMIFS($K$1:$K$1033,$C$1:$C$1033,C499,$D$1:$D$1033,D499,$B$1:$B$1033,"&lt;="&amp;B499)</f>
        <v>4818078.0200000005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3"/>
        <v>-100000</v>
      </c>
      <c r="L500" s="15" t="s">
        <v>129</v>
      </c>
      <c r="M500" s="44">
        <f>SUMIFS('Saldos Iniciales'!$D$2:$D$38,'Saldos Iniciales'!$A$2:$A$38,C500,'Saldos Iniciales'!$B$2:$B$38,D500)+SUMIFS($K$1:$K$1033,$C$1:$C$1033,C500,$D$1:$D$1033,D500,$B$1:$B$1033,"&lt;="&amp;B500)</f>
        <v>4818078.0200000005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61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100000</v>
      </c>
      <c r="K501" s="5">
        <f t="shared" si="3"/>
        <v>-100000</v>
      </c>
      <c r="L501" s="15" t="s">
        <v>129</v>
      </c>
      <c r="M501" s="44">
        <f>SUMIFS('Saldos Iniciales'!$D$2:$D$38,'Saldos Iniciales'!$A$2:$A$38,C501,'Saldos Iniciales'!$B$2:$B$38,D501)+SUMIFS($K$1:$K$1033,$C$1:$C$1033,C501,$D$1:$D$1033,D501,$B$1:$B$1033,"&lt;="&amp;B501)</f>
        <v>4818078.0200000005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100000</v>
      </c>
      <c r="P501" s="28">
        <f>IF(tblMovimientos[[#This Row],[Tipo de Movimiento]]="Ingreso",tblMovimientos[[#This Row],[Ingreso]],-tblMovimientos[[#This Row],[Egreso]])</f>
        <v>-100000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48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200000</v>
      </c>
      <c r="K502" s="5">
        <f t="shared" si="3"/>
        <v>-200000</v>
      </c>
      <c r="L502" s="15" t="s">
        <v>129</v>
      </c>
      <c r="M502" s="44">
        <f>SUMIFS('Saldos Iniciales'!$D$2:$D$38,'Saldos Iniciales'!$A$2:$A$38,C502,'Saldos Iniciales'!$B$2:$B$38,D502)+SUMIFS($K$1:$K$1033,$C$1:$C$1033,C502,$D$1:$D$1033,D502,$B$1:$B$1033,"&lt;="&amp;B502)</f>
        <v>4818078.0200000005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200000</v>
      </c>
      <c r="P502" s="28">
        <f>IF(tblMovimientos[[#This Row],[Tipo de Movimiento]]="Ingreso",tblMovimientos[[#This Row],[Ingreso]],-tblMovimientos[[#This Row],[Egreso]])</f>
        <v>-200000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CFT Group</v>
      </c>
      <c r="D503" s="41" t="s">
        <v>95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62</v>
      </c>
      <c r="H503" s="4" t="str">
        <f>IFERROR(_xlfn.XLOOKUP(G503,Listas!E:E,Listas!F:F,""),"")</f>
        <v>Operativo</v>
      </c>
      <c r="I503" s="46" t="str">
        <f>IFERROR(_xlfn.XLOOKUP(G503,Listas!E:E,Listas!G:G,""),"")</f>
        <v>Interno</v>
      </c>
      <c r="J503" s="43">
        <v>600000</v>
      </c>
      <c r="K503" s="5">
        <f t="shared" si="3"/>
        <v>-600000</v>
      </c>
      <c r="L503" s="15" t="s">
        <v>129</v>
      </c>
      <c r="M503" s="44">
        <f>SUMIFS('Saldos Iniciales'!$D$2:$D$38,'Saldos Iniciales'!$A$2:$A$38,C503,'Saldos Iniciales'!$B$2:$B$38,D503)+SUMIFS($K$1:$K$1033,$C$1:$C$1033,C503,$D$1:$D$1033,D503,$B$1:$B$1033,"&lt;="&amp;B503)</f>
        <v>4818078.0200000005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600000</v>
      </c>
      <c r="P503" s="28">
        <f>IF(tblMovimientos[[#This Row],[Tipo de Movimiento]]="Ingreso",tblMovimientos[[#This Row],[Ingreso]],-tblMovimientos[[#This Row],[Egreso]])</f>
        <v>-600000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Cross Family Trust</v>
      </c>
      <c r="D504" s="41" t="s">
        <v>111</v>
      </c>
      <c r="E504" s="66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53</v>
      </c>
      <c r="H504" s="4" t="str">
        <f>IFERROR(_xlfn.XLOOKUP(G504,Listas!E:E,Listas!F:F,""),"")</f>
        <v>Inversion</v>
      </c>
      <c r="I504" s="46" t="str">
        <f>IFERROR(_xlfn.XLOOKUP(G504,Listas!E:E,Listas!G:G,""),"")</f>
        <v>Interno</v>
      </c>
      <c r="J504" s="43">
        <v>20000</v>
      </c>
      <c r="K504" s="5">
        <f t="shared" si="3"/>
        <v>-20000</v>
      </c>
      <c r="L504" s="15" t="s">
        <v>129</v>
      </c>
      <c r="M504" s="44">
        <f>SUMIFS('Saldos Iniciales'!$D$2:$D$38,'Saldos Iniciales'!$A$2:$A$38,C504,'Saldos Iniciales'!$B$2:$B$38,D504)+SUMIFS($K$1:$K$1033,$C$1:$C$1033,C504,$D$1:$D$1033,D504,$B$1:$B$1033,"&lt;="&amp;B504)</f>
        <v>91717.6</v>
      </c>
      <c r="N504" s="65" t="str">
        <f>IF(tblMovimientos[[#This Row],[Tipo de Movimiento]]="Ingreso",tblMovimientos[[#This Row],[Monto (S/)]],"0")</f>
        <v>0</v>
      </c>
      <c r="O504" s="65">
        <f>IF(tblMovimientos[[#This Row],[Tipo de Movimiento]]="Egreso",tblMovimientos[[#This Row],[Monto (S/)]],"0")</f>
        <v>20000</v>
      </c>
      <c r="P504" s="28">
        <f>IF(tblMovimientos[[#This Row],[Tipo de Movimiento]]="Ingreso",tblMovimientos[[#This Row],[Ingreso]],-tblMovimientos[[#This Row],[Egreso]])</f>
        <v>-20000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9</v>
      </c>
      <c r="G505" s="41" t="s">
        <v>75</v>
      </c>
      <c r="H505" s="4" t="str">
        <f>IFERROR(_xlfn.XLOOKUP(G505,Listas!E:E,Listas!F:F,""),"")</f>
        <v>Financiamiento</v>
      </c>
      <c r="I505" s="46" t="str">
        <f>IFERROR(_xlfn.XLOOKUP(G505,Listas!E:E,Listas!G:G,""),"")</f>
        <v>Interno</v>
      </c>
      <c r="J505" s="43">
        <v>600000</v>
      </c>
      <c r="K505" s="5">
        <f t="shared" si="3"/>
        <v>600000</v>
      </c>
      <c r="L505" s="15" t="s">
        <v>129</v>
      </c>
      <c r="M505" s="44">
        <f>SUMIFS('Saldos Iniciales'!$D$2:$D$38,'Saldos Iniciales'!$A$2:$A$38,C505,'Saldos Iniciales'!$B$2:$B$38,D505)+SUMIFS($K$1:$K$1033,$C$1:$C$1033,C505,$D$1:$D$1033,D505,$B$1:$B$1033,"&lt;="&amp;B505)</f>
        <v>1289236.6699999995</v>
      </c>
      <c r="N505" s="65">
        <f>IF(tblMovimientos[[#This Row],[Tipo de Movimiento]]="Ingreso",tblMovimientos[[#This Row],[Monto (S/)]],"0")</f>
        <v>600000</v>
      </c>
      <c r="O505" s="65" t="str">
        <f>IF(tblMovimientos[[#This Row],[Tipo de Movimiento]]="Egreso",tblMovimientos[[#This Row],[Monto (S/)]],"0")</f>
        <v>0</v>
      </c>
      <c r="P505" s="28">
        <f>IF(tblMovimientos[[#This Row],[Tipo de Movimiento]]="Ingreso",tblMovimientos[[#This Row],[Ingreso]],-tblMovimientos[[#This Row],[Egreso]])</f>
        <v>600000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295</v>
      </c>
      <c r="K506" s="5">
        <f t="shared" si="3"/>
        <v>-295</v>
      </c>
      <c r="L506" s="15" t="s">
        <v>129</v>
      </c>
      <c r="M506" s="44">
        <f>SUMIFS('Saldos Iniciales'!$D$2:$D$38,'Saldos Iniciales'!$A$2:$A$38,C506,'Saldos Iniciales'!$B$2:$B$38,D506)+SUMIFS($K$1:$K$1033,$C$1:$C$1033,C506,$D$1:$D$1033,D506,$B$1:$B$1033,"&lt;="&amp;B506)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295</v>
      </c>
      <c r="P506" s="28">
        <f>IF(tblMovimientos[[#This Row],[Tipo de Movimiento]]="Ingreso",tblMovimientos[[#This Row],[Ingreso]],-tblMovimientos[[#This Row],[Egreso]])</f>
        <v>-295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24255</v>
      </c>
      <c r="K507" s="5">
        <f t="shared" si="3"/>
        <v>-24255</v>
      </c>
      <c r="L507" s="15" t="s">
        <v>129</v>
      </c>
      <c r="M507" s="44">
        <f>SUMIFS('Saldos Iniciales'!$D$2:$D$38,'Saldos Iniciales'!$A$2:$A$38,C507,'Saldos Iniciales'!$B$2:$B$38,D507)+SUMIFS($K$1:$K$1033,$C$1:$C$1033,C507,$D$1:$D$1033,D507,$B$1:$B$1033,"&lt;="&amp;B507)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24255</v>
      </c>
      <c r="P507" s="28">
        <f>IF(tblMovimientos[[#This Row],[Tipo de Movimiento]]="Ingreso",tblMovimientos[[#This Row],[Ingreso]],-tblMovimientos[[#This Row],[Egreso]])</f>
        <v>-24255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38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66261.25</v>
      </c>
      <c r="K508" s="5">
        <f t="shared" si="3"/>
        <v>-66261.25</v>
      </c>
      <c r="L508" s="15" t="s">
        <v>129</v>
      </c>
      <c r="M508" s="44">
        <f>SUMIFS('Saldos Iniciales'!$D$2:$D$38,'Saldos Iniciales'!$A$2:$A$38,C508,'Saldos Iniciales'!$B$2:$B$38,D508)+SUMIFS($K$1:$K$1033,$C$1:$C$1033,C508,$D$1:$D$1033,D508,$B$1:$B$1033,"&lt;="&amp;B508)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66261.25</v>
      </c>
      <c r="P508" s="28">
        <f>IF(tblMovimientos[[#This Row],[Tipo de Movimiento]]="Ingreso",tblMovimientos[[#This Row],[Ingreso]],-tblMovimientos[[#This Row],[Egreso]])</f>
        <v>-66261.25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SSP Capital</v>
      </c>
      <c r="D509" s="41" t="s">
        <v>104</v>
      </c>
      <c r="E509" s="66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60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140000</v>
      </c>
      <c r="K509" s="5">
        <f t="shared" si="3"/>
        <v>-140000</v>
      </c>
      <c r="L509" s="15" t="s">
        <v>129</v>
      </c>
      <c r="M509" s="44">
        <f>SUMIFS('Saldos Iniciales'!$D$2:$D$38,'Saldos Iniciales'!$A$2:$A$38,C509,'Saldos Iniciales'!$B$2:$B$38,D509)+SUMIFS($K$1:$K$1033,$C$1:$C$1033,C509,$D$1:$D$1033,D509,$B$1:$B$1033,"&lt;="&amp;B509)</f>
        <v>1289236.6699999995</v>
      </c>
      <c r="N509" s="65" t="str">
        <f>IF(tblMovimientos[[#This Row],[Tipo de Movimiento]]="Ingreso",tblMovimientos[[#This Row],[Monto (S/)]],"0")</f>
        <v>0</v>
      </c>
      <c r="O509" s="65">
        <f>IF(tblMovimientos[[#This Row],[Tipo de Movimiento]]="Egreso",tblMovimientos[[#This Row],[Monto (S/)]],"0")</f>
        <v>140000</v>
      </c>
      <c r="P509" s="28">
        <f>IF(tblMovimientos[[#This Row],[Tipo de Movimiento]]="Ingreso",tblMovimientos[[#This Row],[Ingreso]],-tblMovimientos[[#This Row],[Egreso]])</f>
        <v>-140000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9</v>
      </c>
      <c r="G510" s="41" t="s">
        <v>77</v>
      </c>
      <c r="H510" s="4" t="str">
        <f>IFERROR(_xlfn.XLOOKUP(G510,Listas!E:E,Listas!F:F,""),"")</f>
        <v>Inversion</v>
      </c>
      <c r="I510" s="46" t="str">
        <f>IFERROR(_xlfn.XLOOKUP(G510,Listas!E:E,Listas!G:G,""),"")</f>
        <v>Interno</v>
      </c>
      <c r="J510" s="43">
        <v>20000</v>
      </c>
      <c r="K510" s="5">
        <f t="shared" si="3"/>
        <v>20000</v>
      </c>
      <c r="L510" s="15" t="s">
        <v>129</v>
      </c>
      <c r="M510" s="44">
        <f>SUMIFS('Saldos Iniciales'!$D$2:$D$38,'Saldos Iniciales'!$A$2:$A$38,C510,'Saldos Iniciales'!$B$2:$B$38,D510)+SUMIFS($K$1:$K$1033,$C$1:$C$1033,C510,$D$1:$D$1033,D510,$B$1:$B$1033,"&lt;="&amp;B510)</f>
        <v>345</v>
      </c>
      <c r="N510" s="65">
        <f>IF(tblMovimientos[[#This Row],[Tipo de Movimiento]]="Ingreso",tblMovimientos[[#This Row],[Monto (S/)]],"0")</f>
        <v>20000</v>
      </c>
      <c r="O510" s="65" t="str">
        <f>IF(tblMovimientos[[#This Row],[Tipo de Movimiento]]="Egreso",tblMovimientos[[#This Row],[Monto (S/)]],"0")</f>
        <v>0</v>
      </c>
      <c r="P510" s="28">
        <f>IF(tblMovimientos[[#This Row],[Tipo de Movimiento]]="Ingreso",tblMovimientos[[#This Row],[Ingreso]],-tblMovimientos[[#This Row],[Egreso]])</f>
        <v>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Green Harbor Trust</v>
      </c>
      <c r="D511" s="41" t="s">
        <v>125</v>
      </c>
      <c r="E511" s="66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59</v>
      </c>
      <c r="H511" s="4" t="str">
        <f>IFERROR(_xlfn.XLOOKUP(G511,Listas!E:E,Listas!F:F,""),"")</f>
        <v>Inversion</v>
      </c>
      <c r="I511" s="46" t="str">
        <f>IFERROR(_xlfn.XLOOKUP(G511,Listas!E:E,Listas!G:G,""),"")</f>
        <v>Externo</v>
      </c>
      <c r="J511" s="43">
        <v>20000</v>
      </c>
      <c r="K511" s="5">
        <f t="shared" si="3"/>
        <v>-20000</v>
      </c>
      <c r="L511" s="15" t="s">
        <v>129</v>
      </c>
      <c r="M511" s="44">
        <f>SUMIFS('Saldos Iniciales'!$D$2:$D$38,'Saldos Iniciales'!$A$2:$A$38,C511,'Saldos Iniciales'!$B$2:$B$38,D511)+SUMIFS($K$1:$K$1033,$C$1:$C$1033,C511,$D$1:$D$1033,D511,$B$1:$B$1033,"&lt;="&amp;B511)</f>
        <v>345</v>
      </c>
      <c r="N511" s="65" t="str">
        <f>IF(tblMovimientos[[#This Row],[Tipo de Movimiento]]="Ingreso",tblMovimientos[[#This Row],[Monto (S/)]],"0")</f>
        <v>0</v>
      </c>
      <c r="O511" s="65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77</v>
      </c>
      <c r="H512" s="4" t="str">
        <f>IFERROR(_xlfn.XLOOKUP(G512,Listas!E:E,Listas!F:F,""),"")</f>
        <v>Inversion</v>
      </c>
      <c r="I512" s="46" t="str">
        <f>IFERROR(_xlfn.XLOOKUP(G512,Listas!E:E,Listas!G:G,""),"")</f>
        <v>Interno</v>
      </c>
      <c r="J512" s="43">
        <v>20000</v>
      </c>
      <c r="K512" s="5">
        <f t="shared" si="3"/>
        <v>20000</v>
      </c>
      <c r="L512" s="15" t="s">
        <v>129</v>
      </c>
      <c r="M512" s="44">
        <f>SUMIFS('Saldos Iniciales'!$D$2:$D$38,'Saldos Iniciales'!$A$2:$A$38,C512,'Saldos Iniciales'!$B$2:$B$38,D512)+SUMIFS($K$1:$K$1033,$C$1:$C$1033,C512,$D$1:$D$1033,D512,$B$1:$B$1033,"&lt;="&amp;B512)</f>
        <v>28561.279999999999</v>
      </c>
      <c r="N512" s="65">
        <f>IF(tblMovimientos[[#This Row],[Tipo de Movimiento]]="Ingreso",tblMovimientos[[#This Row],[Monto (S/)]],"0")</f>
        <v>20000</v>
      </c>
      <c r="O512" s="65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20000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2500</v>
      </c>
      <c r="K513" s="5">
        <f t="shared" si="3"/>
        <v>-2500</v>
      </c>
      <c r="L513" s="15" t="s">
        <v>129</v>
      </c>
      <c r="M513" s="44">
        <f>SUMIFS('Saldos Iniciales'!$D$2:$D$38,'Saldos Iniciales'!$A$2:$A$38,C513,'Saldos Iniciales'!$B$2:$B$38,D513)+SUMIFS($K$1:$K$1033,$C$1:$C$1033,C513,$D$1:$D$1033,D513,$B$1:$B$1033,"&lt;="&amp;B513)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2500</v>
      </c>
      <c r="P513" s="28">
        <f>IF(tblMovimientos[[#This Row],[Tipo de Movimiento]]="Ingreso",tblMovimientos[[#This Row],[Ingreso]],-tblMovimientos[[#This Row],[Egreso]])</f>
        <v>-2500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Go Blue</v>
      </c>
      <c r="D514" s="41" t="s">
        <v>126</v>
      </c>
      <c r="E514" s="66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44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15</v>
      </c>
      <c r="K514" s="5">
        <f t="shared" si="3"/>
        <v>-15</v>
      </c>
      <c r="L514" s="15" t="s">
        <v>129</v>
      </c>
      <c r="M514" s="44">
        <f>SUMIFS('Saldos Iniciales'!$D$2:$D$38,'Saldos Iniciales'!$A$2:$A$38,C514,'Saldos Iniciales'!$B$2:$B$38,D514)+SUMIFS($K$1:$K$1033,$C$1:$C$1033,C514,$D$1:$D$1033,D514,$B$1:$B$1033,"&lt;="&amp;B514)</f>
        <v>28561.279999999999</v>
      </c>
      <c r="N514" s="65" t="str">
        <f>IF(tblMovimientos[[#This Row],[Tipo de Movimiento]]="Ingreso",tblMovimientos[[#This Row],[Monto (S/)]],"0")</f>
        <v>0</v>
      </c>
      <c r="O514" s="65">
        <f>IF(tblMovimientos[[#This Row],[Tipo de Movimiento]]="Egreso",tblMovimientos[[#This Row],[Monto (S/)]],"0")</f>
        <v>15</v>
      </c>
      <c r="P514" s="28">
        <f>IF(tblMovimientos[[#This Row],[Tipo de Movimiento]]="Ingreso",tblMovimientos[[#This Row],[Ingreso]],-tblMovimientos[[#This Row],[Egreso]])</f>
        <v>-15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Electrama</v>
      </c>
      <c r="D515" s="41" t="s">
        <v>113</v>
      </c>
      <c r="E515" s="66" t="str">
        <f>_xlfn.XLOOKUP(tblMovimientos[[#This Row],[Cuenta Bancaria]],Listas!$B:$B,Listas!$C:$C,"")</f>
        <v>Chase 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14659.29</v>
      </c>
      <c r="K515" s="5">
        <f t="shared" si="3"/>
        <v>14659.29</v>
      </c>
      <c r="L515" s="15" t="s">
        <v>129</v>
      </c>
      <c r="M515" s="44">
        <f>SUMIFS('Saldos Iniciales'!$D$2:$D$38,'Saldos Iniciales'!$A$2:$A$38,C515,'Saldos Iniciales'!$B$2:$B$38,D515)+SUMIFS($K$1:$K$1033,$C$1:$C$1033,C515,$D$1:$D$1033,D515,$B$1:$B$1033,"&lt;="&amp;B515)</f>
        <v>15130.45</v>
      </c>
      <c r="N515" s="65">
        <f>IF(tblMovimientos[[#This Row],[Tipo de Movimiento]]="Ingreso",tblMovimientos[[#This Row],[Monto (S/)]],"0")</f>
        <v>14659.29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14659.29</v>
      </c>
    </row>
    <row r="516" spans="2:16" x14ac:dyDescent="0.3">
      <c r="B516" s="39">
        <v>46212</v>
      </c>
      <c r="C516" s="46" t="str">
        <f>_xlfn.XLOOKUP(tblMovimientos[[#This Row],[Cuenta Bancaria]],Listas!$B:$B,Listas!$A:$A,"")</f>
        <v>Soweto</v>
      </c>
      <c r="D516" s="41" t="s">
        <v>116</v>
      </c>
      <c r="E516" s="66" t="str">
        <f>_xlfn.XLOOKUP(tblMovimientos[[#This Row],[Cuenta Bancaria]],Listas!$B:$B,Listas!$C:$C,"")</f>
        <v>Citibank</v>
      </c>
      <c r="F516" s="41" t="s">
        <v>9</v>
      </c>
      <c r="G516" s="41" t="s">
        <v>66</v>
      </c>
      <c r="H516" s="4" t="str">
        <f>IFERROR(_xlfn.XLOOKUP(G516,Listas!E:E,Listas!F:F,""),"")</f>
        <v>Inversion</v>
      </c>
      <c r="I516" s="46" t="str">
        <f>IFERROR(_xlfn.XLOOKUP(G516,Listas!E:E,Listas!G:G,""),"")</f>
        <v>Externo</v>
      </c>
      <c r="J516" s="43">
        <v>1451269.78</v>
      </c>
      <c r="K516" s="5">
        <f t="shared" si="3"/>
        <v>1451269.78</v>
      </c>
      <c r="L516" s="15" t="s">
        <v>129</v>
      </c>
      <c r="M516" s="44">
        <f>SUMIFS('Saldos Iniciales'!$D$2:$D$38,'Saldos Iniciales'!$A$2:$A$38,C516,'Saldos Iniciales'!$B$2:$B$38,D516)+SUMIFS($K$1:$K$1033,$C$1:$C$1033,C516,$D$1:$D$1033,D516,$B$1:$B$1033,"&lt;="&amp;B516)</f>
        <v>1454604.72</v>
      </c>
      <c r="N516" s="65">
        <f>IF(tblMovimientos[[#This Row],[Tipo de Movimiento]]="Ingreso",tblMovimientos[[#This Row],[Monto (S/)]],"0")</f>
        <v>1451269.78</v>
      </c>
      <c r="O516" s="65" t="str">
        <f>IF(tblMovimientos[[#This Row],[Tipo de Movimiento]]="Egreso",tblMovimientos[[#This Row],[Monto (S/)]],"0")</f>
        <v>0</v>
      </c>
      <c r="P516" s="28">
        <f>IF(tblMovimientos[[#This Row],[Tipo de Movimiento]]="Ingreso",tblMovimientos[[#This Row],[Ingreso]],-tblMovimientos[[#This Row],[Egreso]])</f>
        <v>1451269.78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SSP Capital</v>
      </c>
      <c r="D517" s="41" t="s">
        <v>101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424</v>
      </c>
      <c r="K517" s="5">
        <f t="shared" si="3"/>
        <v>-424</v>
      </c>
      <c r="L517" s="15" t="s">
        <v>129</v>
      </c>
      <c r="M517" s="44">
        <f>SUMIFS('Saldos Iniciales'!$D$2:$D$38,'Saldos Iniciales'!$A$2:$A$38,C517,'Saldos Iniciales'!$B$2:$B$38,D517)+SUMIFS($K$1:$K$1033,$C$1:$C$1033,C517,$D$1:$D$1033,D517,$B$1:$B$1033,"&lt;="&amp;B517)</f>
        <v>27365.66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424</v>
      </c>
      <c r="P517" s="28">
        <f>IF(tblMovimientos[[#This Row],[Tipo de Movimiento]]="Ingreso",tblMovimientos[[#This Row],[Ingreso]],-tblMovimientos[[#This Row],[Egreso]])</f>
        <v>-424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A&amp;M Imports</v>
      </c>
      <c r="D518" s="41" t="s">
        <v>100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334</v>
      </c>
      <c r="K518" s="5">
        <f t="shared" si="3"/>
        <v>-334</v>
      </c>
      <c r="L518" s="15" t="s">
        <v>129</v>
      </c>
      <c r="M518" s="44">
        <f>SUMIFS('Saldos Iniciales'!$D$2:$D$38,'Saldos Iniciales'!$A$2:$A$38,C518,'Saldos Iniciales'!$B$2:$B$38,D518)+SUMIFS($K$1:$K$1033,$C$1:$C$1033,C518,$D$1:$D$1033,D518,$B$1:$B$1033,"&lt;="&amp;B518)</f>
        <v>121181.38999999987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334</v>
      </c>
      <c r="P518" s="28">
        <f>IF(tblMovimientos[[#This Row],[Tipo de Movimiento]]="Ingreso",tblMovimientos[[#This Row],[Ingreso]],-tblMovimientos[[#This Row],[Egreso]])</f>
        <v>-334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CFT Group</v>
      </c>
      <c r="D519" s="41" t="s">
        <v>94</v>
      </c>
      <c r="E519" s="66" t="str">
        <f>_xlfn.XLOOKUP(tblMovimientos[[#This Row],[Cuenta Bancaria]],Listas!$B:$B,Listas!$C:$C,"")</f>
        <v>Bank of America</v>
      </c>
      <c r="F519" s="41" t="s">
        <v>10</v>
      </c>
      <c r="G519" s="41" t="s">
        <v>38</v>
      </c>
      <c r="H519" s="4" t="str">
        <f>IFERROR(_xlfn.XLOOKUP(G519,Listas!E:E,Listas!F:F,""),"")</f>
        <v>Operativo</v>
      </c>
      <c r="I519" s="46" t="str">
        <f>IFERROR(_xlfn.XLOOKUP(G519,Listas!E:E,Listas!G:G,""),"")</f>
        <v>Externo</v>
      </c>
      <c r="J519" s="43">
        <v>355</v>
      </c>
      <c r="K519" s="5">
        <f t="shared" si="3"/>
        <v>-355</v>
      </c>
      <c r="L519" s="15" t="s">
        <v>129</v>
      </c>
      <c r="M519" s="44">
        <f>SUMIFS('Saldos Iniciales'!$D$2:$D$38,'Saldos Iniciales'!$A$2:$A$38,C519,'Saldos Iniciales'!$B$2:$B$38,D519)+SUMIFS($K$1:$K$1033,$C$1:$C$1033,C519,$D$1:$D$1033,D519,$B$1:$B$1033,"&lt;="&amp;B519)</f>
        <v>-364411.64</v>
      </c>
      <c r="N519" s="65" t="str">
        <f>IF(tblMovimientos[[#This Row],[Tipo de Movimiento]]="Ingreso",tblMovimientos[[#This Row],[Monto (S/)]],"0")</f>
        <v>0</v>
      </c>
      <c r="O519" s="65">
        <f>IF(tblMovimientos[[#This Row],[Tipo de Movimiento]]="Egreso",tblMovimientos[[#This Row],[Monto (S/)]],"0")</f>
        <v>355</v>
      </c>
      <c r="P519" s="28">
        <f>IF(tblMovimientos[[#This Row],[Tipo de Movimiento]]="Ingreso",tblMovimientos[[#This Row],[Ingreso]],-tblMovimientos[[#This Row],[Egreso]])</f>
        <v>-355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Go Blue</v>
      </c>
      <c r="D520" s="41" t="s">
        <v>169</v>
      </c>
      <c r="E520" s="66" t="str">
        <f>_xlfn.XLOOKUP(tblMovimientos[[#This Row],[Cuenta Bancaria]],Listas!$B:$B,Listas!$C:$C,"")</f>
        <v xml:space="preserve">Amerant Bank </v>
      </c>
      <c r="F520" s="41" t="s">
        <v>9</v>
      </c>
      <c r="G520" s="41" t="s">
        <v>85</v>
      </c>
      <c r="H520" s="4" t="str">
        <f>IFERROR(_xlfn.XLOOKUP(G520,Listas!E:E,Listas!F:F,""),"")</f>
        <v>Operativo</v>
      </c>
      <c r="I520" s="46" t="str">
        <f>IFERROR(_xlfn.XLOOKUP(G520,Listas!E:E,Listas!G:G,""),"")</f>
        <v>Interno</v>
      </c>
      <c r="J520" s="43">
        <v>2000</v>
      </c>
      <c r="K520" s="5">
        <f t="shared" si="3"/>
        <v>2000</v>
      </c>
      <c r="L520" s="15" t="s">
        <v>129</v>
      </c>
      <c r="M520" s="44">
        <f>SUMIFS('Saldos Iniciales'!$D$2:$D$38,'Saldos Iniciales'!$A$2:$A$38,C520,'Saldos Iniciales'!$B$2:$B$38,D520)+SUMIFS($K$1:$K$1033,$C$1:$C$1033,C520,$D$1:$D$1033,D520,$B$1:$B$1033,"&lt;="&amp;B520)</f>
        <v>5338.84</v>
      </c>
      <c r="N520" s="65">
        <f>IF(tblMovimientos[[#This Row],[Tipo de Movimiento]]="Ingreso",tblMovimientos[[#This Row],[Monto (S/)]],"0")</f>
        <v>2000</v>
      </c>
      <c r="O520" s="65" t="str">
        <f>IF(tblMovimientos[[#This Row],[Tipo de Movimiento]]="Egreso",tblMovimientos[[#This Row],[Monto (S/)]],"0")</f>
        <v>0</v>
      </c>
      <c r="P520" s="28">
        <f>IF(tblMovimientos[[#This Row],[Tipo de Movimiento]]="Ingreso",tblMovimientos[[#This Row],[Ingreso]],-tblMovimientos[[#This Row],[Egreso]])</f>
        <v>2000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5000</v>
      </c>
      <c r="K521" s="5">
        <f t="shared" si="3"/>
        <v>-5000</v>
      </c>
      <c r="L521" s="15" t="s">
        <v>129</v>
      </c>
      <c r="M521" s="44">
        <f>SUMIFS('Saldos Iniciales'!$D$2:$D$38,'Saldos Iniciales'!$A$2:$A$38,C521,'Saldos Iniciales'!$B$2:$B$38,D521)+SUMIFS($K$1:$K$1033,$C$1:$C$1033,C521,$D$1:$D$1033,D521,$B$1:$B$1033,"&lt;="&amp;B521)</f>
        <v>4604244.6900000004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5000</v>
      </c>
      <c r="P521" s="28">
        <f>IF(tblMovimientos[[#This Row],[Tipo de Movimiento]]="Ingreso",tblMovimientos[[#This Row],[Ingreso]],-tblMovimientos[[#This Row],[Egreso]])</f>
        <v>-5000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56000</v>
      </c>
      <c r="K522" s="5">
        <f t="shared" si="3"/>
        <v>-56000</v>
      </c>
      <c r="L522" s="15" t="s">
        <v>129</v>
      </c>
      <c r="M522" s="44">
        <f>SUMIFS('Saldos Iniciales'!$D$2:$D$38,'Saldos Iniciales'!$A$2:$A$38,C522,'Saldos Iniciales'!$B$2:$B$38,D522)+SUMIFS($K$1:$K$1033,$C$1:$C$1033,C522,$D$1:$D$1033,D522,$B$1:$B$1033,"&lt;="&amp;B522)</f>
        <v>4604244.6900000004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56000</v>
      </c>
      <c r="P522" s="28">
        <f>IF(tblMovimientos[[#This Row],[Tipo de Movimiento]]="Ingreso",tblMovimientos[[#This Row],[Ingreso]],-tblMovimientos[[#This Row],[Egreso]])</f>
        <v>-56000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70000</v>
      </c>
      <c r="K523" s="5">
        <f t="shared" si="3"/>
        <v>-70000</v>
      </c>
      <c r="L523" s="15" t="s">
        <v>129</v>
      </c>
      <c r="M523" s="44">
        <f>SUMIFS('Saldos Iniciales'!$D$2:$D$38,'Saldos Iniciales'!$A$2:$A$38,C523,'Saldos Iniciales'!$B$2:$B$38,D523)+SUMIFS($K$1:$K$1033,$C$1:$C$1033,C523,$D$1:$D$1033,D523,$B$1:$B$1033,"&lt;="&amp;B523)</f>
        <v>4604244.6900000004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70000</v>
      </c>
      <c r="P523" s="28">
        <f>IF(tblMovimientos[[#This Row],[Tipo de Movimiento]]="Ingreso",tblMovimientos[[#This Row],[Ingreso]],-tblMovimientos[[#This Row],[Egreso]])</f>
        <v>-70000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CFT Group</v>
      </c>
      <c r="D524" s="41" t="s">
        <v>95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82833.33</v>
      </c>
      <c r="K524" s="5">
        <f t="shared" si="3"/>
        <v>-82833.33</v>
      </c>
      <c r="L524" s="15" t="s">
        <v>129</v>
      </c>
      <c r="M524" s="44">
        <f>SUMIFS('Saldos Iniciales'!$D$2:$D$38,'Saldos Iniciales'!$A$2:$A$38,C524,'Saldos Iniciales'!$B$2:$B$38,D524)+SUMIFS($K$1:$K$1033,$C$1:$C$1033,C524,$D$1:$D$1033,D524,$B$1:$B$1033,"&lt;="&amp;B524)</f>
        <v>4604244.6900000004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82833.33</v>
      </c>
      <c r="P524" s="28">
        <f>IF(tblMovimientos[[#This Row],[Tipo de Movimiento]]="Ingreso",tblMovimientos[[#This Row],[Ingreso]],-tblMovimientos[[#This Row],[Egreso]])</f>
        <v>-82833.33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9583.33</v>
      </c>
      <c r="K525" s="5">
        <f t="shared" si="3"/>
        <v>-9583.33</v>
      </c>
      <c r="L525" s="15" t="s">
        <v>129</v>
      </c>
      <c r="M525" s="44">
        <f>SUMIFS('Saldos Iniciales'!$D$2:$D$38,'Saldos Iniciales'!$A$2:$A$38,C525,'Saldos Iniciales'!$B$2:$B$38,D525)+SUMIFS($K$1:$K$1033,$C$1:$C$1033,C525,$D$1:$D$1033,D525,$B$1:$B$1033,"&lt;="&amp;B525)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9583.33</v>
      </c>
      <c r="P525" s="28">
        <f>IF(tblMovimientos[[#This Row],[Tipo de Movimiento]]="Ingreso",tblMovimientos[[#This Row],[Ingreso]],-tblMovimientos[[#This Row],[Egreso]])</f>
        <v>-9583.33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53666.67</v>
      </c>
      <c r="K526" s="5">
        <f t="shared" si="3"/>
        <v>-53666.67</v>
      </c>
      <c r="L526" s="15" t="s">
        <v>129</v>
      </c>
      <c r="M526" s="44">
        <f>SUMIFS('Saldos Iniciales'!$D$2:$D$38,'Saldos Iniciales'!$A$2:$A$38,C526,'Saldos Iniciales'!$B$2:$B$38,D526)+SUMIFS($K$1:$K$1033,$C$1:$C$1033,C526,$D$1:$D$1033,D526,$B$1:$B$1033,"&lt;="&amp;B526)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53666.67</v>
      </c>
      <c r="P526" s="28">
        <f>IF(tblMovimientos[[#This Row],[Tipo de Movimiento]]="Ingreso",tblMovimientos[[#This Row],[Ingreso]],-tblMovimientos[[#This Row],[Egreso]])</f>
        <v>-53666.67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SSP Capital</v>
      </c>
      <c r="D527" s="41" t="s">
        <v>104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46</v>
      </c>
      <c r="H527" s="4" t="str">
        <f>IFERROR(_xlfn.XLOOKUP(G527,Listas!E:E,Listas!F:F,""),"")</f>
        <v>Financiamiento</v>
      </c>
      <c r="I527" s="46" t="str">
        <f>IFERROR(_xlfn.XLOOKUP(G527,Listas!E:E,Listas!G:G,""),"")</f>
        <v>Externo</v>
      </c>
      <c r="J527" s="43">
        <v>134166.67000000001</v>
      </c>
      <c r="K527" s="5">
        <f t="shared" si="3"/>
        <v>-134166.67000000001</v>
      </c>
      <c r="L527" s="15" t="s">
        <v>129</v>
      </c>
      <c r="M527" s="44">
        <f>SUMIFS('Saldos Iniciales'!$D$2:$D$38,'Saldos Iniciales'!$A$2:$A$38,C527,'Saldos Iniciales'!$B$2:$B$38,D527)+SUMIFS($K$1:$K$1033,$C$1:$C$1033,C527,$D$1:$D$1033,D527,$B$1:$B$1033,"&lt;="&amp;B527)</f>
        <v>1091819.9999999993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134166.67000000001</v>
      </c>
      <c r="P527" s="28">
        <f>IF(tblMovimientos[[#This Row],[Tipo de Movimiento]]="Ingreso",tblMovimientos[[#This Row],[Ingreso]],-tblMovimientos[[#This Row],[Egreso]])</f>
        <v>-134166.67000000001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Go Blue</v>
      </c>
      <c r="D528" s="41" t="s">
        <v>126</v>
      </c>
      <c r="E528" s="66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64</v>
      </c>
      <c r="H528" s="4" t="str">
        <f>IFERROR(_xlfn.XLOOKUP(G528,Listas!E:E,Listas!F:F,""),"")</f>
        <v>Operativo</v>
      </c>
      <c r="I528" s="46" t="str">
        <f>IFERROR(_xlfn.XLOOKUP(G528,Listas!E:E,Listas!G:G,""),"")</f>
        <v>Interno</v>
      </c>
      <c r="J528" s="43">
        <v>2000</v>
      </c>
      <c r="K528" s="5">
        <f t="shared" si="3"/>
        <v>-2000</v>
      </c>
      <c r="L528" s="15" t="s">
        <v>129</v>
      </c>
      <c r="M528" s="44">
        <f>SUMIFS('Saldos Iniciales'!$D$2:$D$38,'Saldos Iniciales'!$A$2:$A$38,C528,'Saldos Iniciales'!$B$2:$B$38,D528)+SUMIFS($K$1:$K$1033,$C$1:$C$1033,C528,$D$1:$D$1033,D528,$B$1:$B$1033,"&lt;="&amp;B528)</f>
        <v>26561.279999999999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2000</v>
      </c>
      <c r="P528" s="28">
        <f>IF(tblMovimientos[[#This Row],[Tipo de Movimiento]]="Ingreso",tblMovimientos[[#This Row],[Ingreso]],-tblMovimientos[[#This Row],[Egreso]])</f>
        <v>-2000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Electrama</v>
      </c>
      <c r="D529" s="41" t="s">
        <v>113</v>
      </c>
      <c r="E529" s="66" t="str">
        <f>_xlfn.XLOOKUP(tblMovimientos[[#This Row],[Cuenta Bancaria]],Listas!$B:$B,Listas!$C:$C,"")</f>
        <v>Chase Bank</v>
      </c>
      <c r="F529" s="41" t="s">
        <v>10</v>
      </c>
      <c r="G529" s="41" t="s">
        <v>38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550</v>
      </c>
      <c r="K529" s="5">
        <f t="shared" si="3"/>
        <v>-550</v>
      </c>
      <c r="L529" s="15" t="s">
        <v>129</v>
      </c>
      <c r="M529" s="44">
        <f>SUMIFS('Saldos Iniciales'!$D$2:$D$38,'Saldos Iniciales'!$A$2:$A$38,C529,'Saldos Iniciales'!$B$2:$B$38,D529)+SUMIFS($K$1:$K$1033,$C$1:$C$1033,C529,$D$1:$D$1033,D529,$B$1:$B$1033,"&lt;="&amp;B529)</f>
        <v>14580.45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550</v>
      </c>
      <c r="P529" s="28">
        <f>IF(tblMovimientos[[#This Row],[Tipo de Movimiento]]="Ingreso",tblMovimientos[[#This Row],[Ingreso]],-tblMovimientos[[#This Row],[Egreso]])</f>
        <v>-550</v>
      </c>
    </row>
    <row r="530" spans="2:16" x14ac:dyDescent="0.3">
      <c r="B530" s="39">
        <v>46213</v>
      </c>
      <c r="C530" s="46" t="str">
        <f>_xlfn.XLOOKUP(tblMovimientos[[#This Row],[Cuenta Bancaria]],Listas!$B:$B,Listas!$A:$A,"")</f>
        <v>Soweto</v>
      </c>
      <c r="D530" s="41" t="s">
        <v>116</v>
      </c>
      <c r="E530" s="66" t="str">
        <f>_xlfn.XLOOKUP(tblMovimientos[[#This Row],[Cuenta Bancaria]],Listas!$B:$B,Listas!$C:$C,"")</f>
        <v>Citibank</v>
      </c>
      <c r="F530" s="41" t="s">
        <v>10</v>
      </c>
      <c r="G530" s="41" t="s">
        <v>44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15</v>
      </c>
      <c r="K530" s="5">
        <f t="shared" si="3"/>
        <v>-15</v>
      </c>
      <c r="L530" s="15" t="s">
        <v>129</v>
      </c>
      <c r="M530" s="44">
        <f>SUMIFS('Saldos Iniciales'!$D$2:$D$38,'Saldos Iniciales'!$A$2:$A$38,C530,'Saldos Iniciales'!$B$2:$B$38,D530)+SUMIFS($K$1:$K$1033,$C$1:$C$1033,C530,$D$1:$D$1033,D530,$B$1:$B$1033,"&lt;="&amp;B530)</f>
        <v>1454589.72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15</v>
      </c>
      <c r="P530" s="28">
        <f>IF(tblMovimientos[[#This Row],[Tipo de Movimiento]]="Ingreso",tblMovimientos[[#This Row],[Ingreso]],-tblMovimientos[[#This Row],[Egreso]])</f>
        <v>-15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169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24</v>
      </c>
      <c r="K531" s="5">
        <f t="shared" si="3"/>
        <v>-24</v>
      </c>
      <c r="L531" s="15" t="s">
        <v>129</v>
      </c>
      <c r="M531" s="44">
        <f>SUMIFS('Saldos Iniciales'!$D$2:$D$38,'Saldos Iniciales'!$A$2:$A$38,C531,'Saldos Iniciales'!$B$2:$B$38,D531)+SUMIFS($K$1:$K$1033,$C$1:$C$1033,C531,$D$1:$D$1033,D531,$B$1:$B$1033,"&lt;="&amp;B531)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24</v>
      </c>
      <c r="P531" s="28">
        <f>IF(tblMovimientos[[#This Row],[Tipo de Movimiento]]="Ingreso",tblMovimientos[[#This Row],[Ingreso]],-tblMovimientos[[#This Row],[Egreso]])</f>
        <v>-24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169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764.97</v>
      </c>
      <c r="K532" s="5">
        <f t="shared" si="3"/>
        <v>-764.97</v>
      </c>
      <c r="L532" s="15" t="s">
        <v>129</v>
      </c>
      <c r="M532" s="44">
        <f>SUMIFS('Saldos Iniciales'!$D$2:$D$38,'Saldos Iniciales'!$A$2:$A$38,C532,'Saldos Iniciales'!$B$2:$B$38,D532)+SUMIFS($K$1:$K$1033,$C$1:$C$1033,C532,$D$1:$D$1033,D532,$B$1:$B$1033,"&lt;="&amp;B532)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764.97</v>
      </c>
      <c r="P532" s="28">
        <f>IF(tblMovimientos[[#This Row],[Tipo de Movimiento]]="Ingreso",tblMovimientos[[#This Row],[Ingreso]],-tblMovimientos[[#This Row],[Egreso]])</f>
        <v>-764.97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169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24</v>
      </c>
      <c r="K533" s="5">
        <f t="shared" si="3"/>
        <v>-24</v>
      </c>
      <c r="L533" s="15" t="s">
        <v>129</v>
      </c>
      <c r="M533" s="44">
        <f>SUMIFS('Saldos Iniciales'!$D$2:$D$38,'Saldos Iniciales'!$A$2:$A$38,C533,'Saldos Iniciales'!$B$2:$B$38,D533)+SUMIFS($K$1:$K$1033,$C$1:$C$1033,C533,$D$1:$D$1033,D533,$B$1:$B$1033,"&lt;="&amp;B533)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24</v>
      </c>
      <c r="P533" s="28">
        <f>IF(tblMovimientos[[#This Row],[Tipo de Movimiento]]="Ingreso",tblMovimientos[[#This Row],[Ingreso]],-tblMovimientos[[#This Row],[Egreso]])</f>
        <v>-24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169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29.47</v>
      </c>
      <c r="K534" s="5">
        <f t="shared" si="3"/>
        <v>-29.47</v>
      </c>
      <c r="L534" s="15" t="s">
        <v>129</v>
      </c>
      <c r="M534" s="44">
        <f>SUMIFS('Saldos Iniciales'!$D$2:$D$38,'Saldos Iniciales'!$A$2:$A$38,C534,'Saldos Iniciales'!$B$2:$B$38,D534)+SUMIFS($K$1:$K$1033,$C$1:$C$1033,C534,$D$1:$D$1033,D534,$B$1:$B$1033,"&lt;="&amp;B534)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29.47</v>
      </c>
      <c r="P534" s="28">
        <f>IF(tblMovimientos[[#This Row],[Tipo de Movimiento]]="Ingreso",tblMovimientos[[#This Row],[Ingreso]],-tblMovimientos[[#This Row],[Egreso]])</f>
        <v>-29.47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Go Blue</v>
      </c>
      <c r="D535" s="41" t="s">
        <v>169</v>
      </c>
      <c r="E535" s="66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38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38.4</v>
      </c>
      <c r="K535" s="5">
        <f t="shared" si="3"/>
        <v>-38.4</v>
      </c>
      <c r="L535" s="15" t="s">
        <v>129</v>
      </c>
      <c r="M535" s="44">
        <f>SUMIFS('Saldos Iniciales'!$D$2:$D$38,'Saldos Iniciales'!$A$2:$A$38,C535,'Saldos Iniciales'!$B$2:$B$38,D535)+SUMIFS($K$1:$K$1033,$C$1:$C$1033,C535,$D$1:$D$1033,D535,$B$1:$B$1033,"&lt;="&amp;B535)</f>
        <v>4458</v>
      </c>
      <c r="N535" s="65" t="str">
        <f>IF(tblMovimientos[[#This Row],[Tipo de Movimiento]]="Ingreso",tblMovimientos[[#This Row],[Monto (S/)]],"0")</f>
        <v>0</v>
      </c>
      <c r="O535" s="65">
        <f>IF(tblMovimientos[[#This Row],[Tipo de Movimiento]]="Egreso",tblMovimientos[[#This Row],[Monto (S/)]],"0")</f>
        <v>38.4</v>
      </c>
      <c r="P535" s="28">
        <f>IF(tblMovimientos[[#This Row],[Tipo de Movimiento]]="Ingreso",tblMovimientos[[#This Row],[Ingreso]],-tblMovimientos[[#This Row],[Egreso]])</f>
        <v>-38.4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EC Auto</v>
      </c>
      <c r="D536" s="41" t="s">
        <v>119</v>
      </c>
      <c r="E536" s="66" t="str">
        <f>_xlfn.XLOOKUP(tblMovimientos[[#This Row],[Cuenta Bancaria]],Listas!$B:$B,Listas!$C:$C,"")</f>
        <v xml:space="preserve">Amerant Bank </v>
      </c>
      <c r="F536" s="41" t="s">
        <v>9</v>
      </c>
      <c r="G536" s="41" t="s">
        <v>82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518.65</v>
      </c>
      <c r="K536" s="5">
        <f t="shared" si="3"/>
        <v>518.65</v>
      </c>
      <c r="L536" s="15" t="s">
        <v>129</v>
      </c>
      <c r="M536" s="44">
        <f>SUMIFS('Saldos Iniciales'!$D$2:$D$38,'Saldos Iniciales'!$A$2:$A$38,C536,'Saldos Iniciales'!$B$2:$B$38,D536)+SUMIFS($K$1:$K$1033,$C$1:$C$1033,C536,$D$1:$D$1033,D536,$B$1:$B$1033,"&lt;="&amp;B536)</f>
        <v>901.34</v>
      </c>
      <c r="N536" s="65">
        <f>IF(tblMovimientos[[#This Row],[Tipo de Movimiento]]="Ingreso",tblMovimientos[[#This Row],[Monto (S/)]],"0")</f>
        <v>518.65</v>
      </c>
      <c r="O536" s="65" t="str">
        <f>IF(tblMovimientos[[#This Row],[Tipo de Movimiento]]="Egreso",tblMovimientos[[#This Row],[Monto (S/)]],"0")</f>
        <v>0</v>
      </c>
      <c r="P536" s="28">
        <f>IF(tblMovimientos[[#This Row],[Tipo de Movimiento]]="Ingreso",tblMovimientos[[#This Row],[Ingreso]],-tblMovimientos[[#This Row],[Egreso]])</f>
        <v>518.65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1104.78</v>
      </c>
      <c r="K537" s="5">
        <f t="shared" si="3"/>
        <v>-1104.78</v>
      </c>
      <c r="L537" s="15" t="s">
        <v>129</v>
      </c>
      <c r="M537" s="44">
        <f>SUMIFS('Saldos Iniciales'!$D$2:$D$38,'Saldos Iniciales'!$A$2:$A$38,C537,'Saldos Iniciales'!$B$2:$B$38,D537)+SUMIFS($K$1:$K$1033,$C$1:$C$1033,C537,$D$1:$D$1033,D537,$B$1:$B$1033,"&lt;="&amp;B537)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1104.78</v>
      </c>
      <c r="P537" s="28">
        <f>IF(tblMovimientos[[#This Row],[Tipo de Movimiento]]="Ingreso",tblMovimientos[[#This Row],[Ingreso]],-tblMovimientos[[#This Row],[Egreso]])</f>
        <v>-1104.78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2209.56</v>
      </c>
      <c r="K538" s="5">
        <f t="shared" si="3"/>
        <v>-2209.56</v>
      </c>
      <c r="L538" s="15" t="s">
        <v>129</v>
      </c>
      <c r="M538" s="44">
        <f>SUMIFS('Saldos Iniciales'!$D$2:$D$38,'Saldos Iniciales'!$A$2:$A$38,C538,'Saldos Iniciales'!$B$2:$B$38,D538)+SUMIFS($K$1:$K$1033,$C$1:$C$1033,C538,$D$1:$D$1033,D538,$B$1:$B$1033,"&lt;="&amp;B538)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2209.56</v>
      </c>
      <c r="P538" s="28">
        <f>IF(tblMovimientos[[#This Row],[Tipo de Movimiento]]="Ingreso",tblMovimientos[[#This Row],[Ingreso]],-tblMovimientos[[#This Row],[Egreso]])</f>
        <v>-2209.56</v>
      </c>
    </row>
    <row r="539" spans="2:16" x14ac:dyDescent="0.3">
      <c r="B539" s="39">
        <v>46216</v>
      </c>
      <c r="C539" s="46" t="str">
        <f>_xlfn.XLOOKUP(tblMovimientos[[#This Row],[Cuenta Bancaria]],Listas!$B:$B,Listas!$A:$A,"")</f>
        <v>Go Blue</v>
      </c>
      <c r="D539" s="41" t="s">
        <v>126</v>
      </c>
      <c r="E539" s="66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2506.6999999999998</v>
      </c>
      <c r="K539" s="5">
        <f t="shared" si="3"/>
        <v>-2506.6999999999998</v>
      </c>
      <c r="L539" s="15" t="s">
        <v>129</v>
      </c>
      <c r="M539" s="44">
        <f>SUMIFS('Saldos Iniciales'!$D$2:$D$38,'Saldos Iniciales'!$A$2:$A$38,C539,'Saldos Iniciales'!$B$2:$B$38,D539)+SUMIFS($K$1:$K$1033,$C$1:$C$1033,C539,$D$1:$D$1033,D539,$B$1:$B$1033,"&lt;="&amp;B539)</f>
        <v>20740.239999999998</v>
      </c>
      <c r="N539" s="65" t="str">
        <f>IF(tblMovimientos[[#This Row],[Tipo de Movimiento]]="Ingreso",tblMovimientos[[#This Row],[Monto (S/)]],"0")</f>
        <v>0</v>
      </c>
      <c r="O539" s="65">
        <f>IF(tblMovimientos[[#This Row],[Tipo de Movimiento]]="Egreso",tblMovimientos[[#This Row],[Monto (S/)]],"0")</f>
        <v>2506.6999999999998</v>
      </c>
      <c r="P539" s="28">
        <f>IF(tblMovimientos[[#This Row],[Tipo de Movimiento]]="Ingreso",tblMovimientos[[#This Row],[Ingreso]],-tblMovimientos[[#This Row],[Egreso]])</f>
        <v>-2506.6999999999998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A&amp;M Imports</v>
      </c>
      <c r="D540" s="41" t="s">
        <v>100</v>
      </c>
      <c r="E540" s="66" t="str">
        <f>_xlfn.XLOOKUP(tblMovimientos[[#This Row],[Cuenta Bancaria]],Listas!$B:$B,Listas!$C:$C,"")</f>
        <v>Bank of America</v>
      </c>
      <c r="F540" s="41" t="s">
        <v>9</v>
      </c>
      <c r="G540" s="41" t="s">
        <v>75</v>
      </c>
      <c r="H540" s="4" t="str">
        <f>IFERROR(_xlfn.XLOOKUP(G540,Listas!E:E,Listas!F:F,""),"")</f>
        <v>Financiamiento</v>
      </c>
      <c r="I540" s="46" t="str">
        <f>IFERROR(_xlfn.XLOOKUP(G540,Listas!E:E,Listas!G:G,""),"")</f>
        <v>Interno</v>
      </c>
      <c r="J540" s="43">
        <v>800000</v>
      </c>
      <c r="K540" s="5">
        <f t="shared" si="3"/>
        <v>800000</v>
      </c>
      <c r="L540" s="15" t="s">
        <v>129</v>
      </c>
      <c r="M540" s="44">
        <f>SUMIFS('Saldos Iniciales'!$D$2:$D$38,'Saldos Iniciales'!$A$2:$A$38,C540,'Saldos Iniciales'!$B$2:$B$38,D540)+SUMIFS($K$1:$K$1033,$C$1:$C$1033,C540,$D$1:$D$1033,D540,$B$1:$B$1033,"&lt;="&amp;B540)</f>
        <v>921181.38999999978</v>
      </c>
      <c r="N540" s="65">
        <f>IF(tblMovimientos[[#This Row],[Tipo de Movimiento]]="Ingreso",tblMovimientos[[#This Row],[Monto (S/)]],"0")</f>
        <v>800000</v>
      </c>
      <c r="O540" s="65" t="str">
        <f>IF(tblMovimientos[[#This Row],[Tipo de Movimiento]]="Egreso",tblMovimientos[[#This Row],[Monto (S/)]],"0")</f>
        <v>0</v>
      </c>
      <c r="P540" s="28">
        <f>IF(tblMovimientos[[#This Row],[Tipo de Movimiento]]="Ingreso",tblMovimientos[[#This Row],[Ingreso]],-tblMovimientos[[#This Row],[Egreso]])</f>
        <v>800000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2515 Overbrook</v>
      </c>
      <c r="D541" s="41" t="s">
        <v>121</v>
      </c>
      <c r="E541" s="66" t="str">
        <f>_xlfn.XLOOKUP(tblMovimientos[[#This Row],[Cuenta Bancaria]],Listas!$B:$B,Listas!$C:$C,"")</f>
        <v>Bank of America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149.07</v>
      </c>
      <c r="K541" s="5">
        <f t="shared" si="3"/>
        <v>-149.07</v>
      </c>
      <c r="L541" s="15" t="s">
        <v>129</v>
      </c>
      <c r="M541" s="44">
        <f>SUMIFS('Saldos Iniciales'!$D$2:$D$38,'Saldos Iniciales'!$A$2:$A$38,C541,'Saldos Iniciales'!$B$2:$B$38,D541)+SUMIFS($K$1:$K$1033,$C$1:$C$1033,C541,$D$1:$D$1033,D541,$B$1:$B$1033,"&lt;="&amp;B541)</f>
        <v>22027.149999999961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149.07</v>
      </c>
      <c r="P541" s="28">
        <f>IF(tblMovimientos[[#This Row],[Tipo de Movimiento]]="Ingreso",tblMovimientos[[#This Row],[Ingreso]],-tblMovimientos[[#This Row],[Egreso]])</f>
        <v>-149.07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CFT Group</v>
      </c>
      <c r="D542" s="41" t="s">
        <v>95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62</v>
      </c>
      <c r="H542" s="4" t="str">
        <f>IFERROR(_xlfn.XLOOKUP(G542,Listas!E:E,Listas!F:F,""),"")</f>
        <v>Operativo</v>
      </c>
      <c r="I542" s="46" t="str">
        <f>IFERROR(_xlfn.XLOOKUP(G542,Listas!E:E,Listas!G:G,""),"")</f>
        <v>Interno</v>
      </c>
      <c r="J542" s="43">
        <v>800000</v>
      </c>
      <c r="K542" s="5">
        <f t="shared" si="3"/>
        <v>-800000</v>
      </c>
      <c r="L542" s="15" t="s">
        <v>129</v>
      </c>
      <c r="M542" s="44">
        <f>SUMIFS('Saldos Iniciales'!$D$2:$D$38,'Saldos Iniciales'!$A$2:$A$38,C542,'Saldos Iniciales'!$B$2:$B$38,D542)+SUMIFS($K$1:$K$1033,$C$1:$C$1033,C542,$D$1:$D$1033,D542,$B$1:$B$1033,"&lt;="&amp;B542)</f>
        <v>3804244.6900000004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800000</v>
      </c>
      <c r="P542" s="28">
        <f>IF(tblMovimientos[[#This Row],[Tipo de Movimiento]]="Ingreso",tblMovimientos[[#This Row],[Ingreso]],-tblMovimientos[[#This Row],[Egreso]])</f>
        <v>-800000</v>
      </c>
    </row>
    <row r="543" spans="2:16" x14ac:dyDescent="0.3">
      <c r="B543" s="39">
        <v>46217</v>
      </c>
      <c r="C543" s="46" t="str">
        <f>_xlfn.XLOOKUP(tblMovimientos[[#This Row],[Cuenta Bancaria]],Listas!$B:$B,Listas!$A:$A,"")</f>
        <v>SSP Capital</v>
      </c>
      <c r="D543" s="41" t="s">
        <v>104</v>
      </c>
      <c r="E543" s="66" t="str">
        <f>_xlfn.XLOOKUP(tblMovimientos[[#This Row],[Cuenta Bancaria]],Listas!$B:$B,Listas!$C:$C,"")</f>
        <v xml:space="preserve">Amerant Bank </v>
      </c>
      <c r="F543" s="41" t="s">
        <v>10</v>
      </c>
      <c r="G543" s="41" t="s">
        <v>39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65209.38</v>
      </c>
      <c r="K543" s="5">
        <f t="shared" si="3"/>
        <v>-65209.38</v>
      </c>
      <c r="L543" s="15" t="s">
        <v>129</v>
      </c>
      <c r="M543" s="44">
        <f>SUMIFS('Saldos Iniciales'!$D$2:$D$38,'Saldos Iniciales'!$A$2:$A$38,C543,'Saldos Iniciales'!$B$2:$B$38,D543)+SUMIFS($K$1:$K$1033,$C$1:$C$1033,C543,$D$1:$D$1033,D543,$B$1:$B$1033,"&lt;="&amp;B543)</f>
        <v>1026610.6199999993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65209.38</v>
      </c>
      <c r="P543" s="28">
        <f>IF(tblMovimientos[[#This Row],[Tipo de Movimiento]]="Ingreso",tblMovimientos[[#This Row],[Ingreso]],-tblMovimientos[[#This Row],[Egreso]])</f>
        <v>-65209.38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SSP Capital</v>
      </c>
      <c r="D544" s="41" t="s">
        <v>102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29.44</v>
      </c>
      <c r="K544" s="5">
        <f t="shared" si="3"/>
        <v>-29.44</v>
      </c>
      <c r="L544" s="15" t="s">
        <v>129</v>
      </c>
      <c r="M544" s="44">
        <f>SUMIFS('Saldos Iniciales'!$D$2:$D$38,'Saldos Iniciales'!$A$2:$A$38,C544,'Saldos Iniciales'!$B$2:$B$38,D544)+SUMIFS($K$1:$K$1033,$C$1:$C$1033,C544,$D$1:$D$1033,D544,$B$1:$B$1033,"&lt;="&amp;B544)</f>
        <v>337.48000000000008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29.44</v>
      </c>
      <c r="P544" s="28">
        <f>IF(tblMovimientos[[#This Row],[Tipo de Movimiento]]="Ingreso",tblMovimientos[[#This Row],[Ingreso]],-tblMovimientos[[#This Row],[Egreso]])</f>
        <v>-29.44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A&amp;M Imports</v>
      </c>
      <c r="D545" s="41" t="s">
        <v>100</v>
      </c>
      <c r="E545" s="66" t="str">
        <f>_xlfn.XLOOKUP(tblMovimientos[[#This Row],[Cuenta Bancaria]],Listas!$B:$B,Listas!$C:$C,"")</f>
        <v>Bank of America</v>
      </c>
      <c r="F545" s="41" t="s">
        <v>10</v>
      </c>
      <c r="G545" s="41" t="s">
        <v>44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336.88</v>
      </c>
      <c r="K545" s="5">
        <f t="shared" si="3"/>
        <v>-336.88</v>
      </c>
      <c r="L545" s="15" t="s">
        <v>129</v>
      </c>
      <c r="M545" s="44">
        <f>SUMIFS('Saldos Iniciales'!$D$2:$D$38,'Saldos Iniciales'!$A$2:$A$38,C545,'Saldos Iniciales'!$B$2:$B$38,D545)+SUMIFS($K$1:$K$1033,$C$1:$C$1033,C545,$D$1:$D$1033,D545,$B$1:$B$1033,"&lt;="&amp;B545)</f>
        <v>920844.50999999978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336.88</v>
      </c>
      <c r="P545" s="28">
        <f>IF(tblMovimientos[[#This Row],[Tipo de Movimiento]]="Ingreso",tblMovimientos[[#This Row],[Ingreso]],-tblMovimientos[[#This Row],[Egreso]])</f>
        <v>-336.88</v>
      </c>
    </row>
    <row r="546" spans="2:16" x14ac:dyDescent="0.3">
      <c r="B546" s="39">
        <v>46218</v>
      </c>
      <c r="C546" s="46" t="str">
        <f>_xlfn.XLOOKUP(tblMovimientos[[#This Row],[Cuenta Bancaria]],Listas!$B:$B,Listas!$A:$A,"")</f>
        <v>Go Blue</v>
      </c>
      <c r="D546" s="41" t="s">
        <v>126</v>
      </c>
      <c r="E546" s="66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175</v>
      </c>
      <c r="K546" s="5">
        <f t="shared" si="3"/>
        <v>-175</v>
      </c>
      <c r="L546" s="15" t="s">
        <v>129</v>
      </c>
      <c r="M546" s="44">
        <f>SUMIFS('Saldos Iniciales'!$D$2:$D$38,'Saldos Iniciales'!$A$2:$A$38,C546,'Saldos Iniciales'!$B$2:$B$38,D546)+SUMIFS($K$1:$K$1033,$C$1:$C$1033,C546,$D$1:$D$1033,D546,$B$1:$B$1033,"&lt;="&amp;B546)</f>
        <v>20565.239999999998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175</v>
      </c>
      <c r="P546" s="28">
        <f>IF(tblMovimientos[[#This Row],[Tipo de Movimiento]]="Ingreso",tblMovimientos[[#This Row],[Ingreso]],-tblMovimientos[[#This Row],[Egreso]])</f>
        <v>-175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SSP Capital</v>
      </c>
      <c r="D547" s="41" t="s">
        <v>101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38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2490.36</v>
      </c>
      <c r="K547" s="5">
        <f t="shared" si="3"/>
        <v>-2490.36</v>
      </c>
      <c r="L547" s="15" t="s">
        <v>129</v>
      </c>
      <c r="M547" s="44">
        <f>SUMIFS('Saldos Iniciales'!$D$2:$D$38,'Saldos Iniciales'!$A$2:$A$38,C547,'Saldos Iniciales'!$B$2:$B$38,D547)+SUMIFS($K$1:$K$1033,$C$1:$C$1033,C547,$D$1:$D$1033,D547,$B$1:$B$1033,"&lt;="&amp;B547)</f>
        <v>24875.300000000003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2490.36</v>
      </c>
      <c r="P547" s="28">
        <f>IF(tblMovimientos[[#This Row],[Tipo de Movimiento]]="Ingreso",tblMovimientos[[#This Row],[Ingreso]],-tblMovimientos[[#This Row],[Egreso]])</f>
        <v>-2490.36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A&amp;M Imports</v>
      </c>
      <c r="D548" s="41" t="s">
        <v>100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61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60000</v>
      </c>
      <c r="K548" s="5">
        <f t="shared" si="3"/>
        <v>-60000</v>
      </c>
      <c r="L548" s="15" t="s">
        <v>129</v>
      </c>
      <c r="M548" s="44">
        <f>SUMIFS('Saldos Iniciales'!$D$2:$D$38,'Saldos Iniciales'!$A$2:$A$38,C548,'Saldos Iniciales'!$B$2:$B$38,D548)+SUMIFS($K$1:$K$1033,$C$1:$C$1033,C548,$D$1:$D$1033,D548,$B$1:$B$1033,"&lt;="&amp;B548)</f>
        <v>860844.50999999978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60000</v>
      </c>
      <c r="P548" s="28">
        <f>IF(tblMovimientos[[#This Row],[Tipo de Movimiento]]="Ingreso",tblMovimientos[[#This Row],[Ingreso]],-tblMovimientos[[#This Row],[Egreso]])</f>
        <v>-60000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112 Florida Ave</v>
      </c>
      <c r="D549" s="41" t="s">
        <v>123</v>
      </c>
      <c r="E549" s="70" t="str">
        <f>_xlfn.XLOOKUP(tblMovimientos[[#This Row],[Cuenta Bancaria]],Listas!$B:$B,Listas!$C:$C,"")</f>
        <v>Bank of America</v>
      </c>
      <c r="F549" s="41" t="s">
        <v>10</v>
      </c>
      <c r="G549" s="41" t="s">
        <v>38</v>
      </c>
      <c r="H549" s="4" t="str">
        <f>IFERROR(_xlfn.XLOOKUP(G549,Listas!E:E,Listas!F:F,""),"")</f>
        <v>Operativo</v>
      </c>
      <c r="I549" s="46" t="str">
        <f>IFERROR(_xlfn.XLOOKUP(G549,Listas!E:E,Listas!G:G,""),"")</f>
        <v>Externo</v>
      </c>
      <c r="J549" s="43">
        <v>3000</v>
      </c>
      <c r="K549" s="5">
        <f t="shared" si="3"/>
        <v>-3000</v>
      </c>
      <c r="L549" s="15" t="s">
        <v>129</v>
      </c>
      <c r="M549" s="44">
        <f>SUMIFS('Saldos Iniciales'!$D$2:$D$38,'Saldos Iniciales'!$A$2:$A$38,C549,'Saldos Iniciales'!$B$2:$B$38,D549)+SUMIFS($K$1:$K$1033,$C$1:$C$1033,C549,$D$1:$D$1033,D549,$B$1:$B$1033,"&lt;="&amp;B549)</f>
        <v>3522.8000000000029</v>
      </c>
      <c r="N549" s="65" t="str">
        <f>IF(tblMovimientos[[#This Row],[Tipo de Movimiento]]="Ingreso",tblMovimientos[[#This Row],[Monto (S/)]],"0")</f>
        <v>0</v>
      </c>
      <c r="O549" s="65">
        <f>IF(tblMovimientos[[#This Row],[Tipo de Movimiento]]="Egreso",tblMovimientos[[#This Row],[Monto (S/)]],"0")</f>
        <v>3000</v>
      </c>
      <c r="P549" s="28">
        <f>IF(tblMovimientos[[#This Row],[Tipo de Movimiento]]="Ingreso",tblMovimientos[[#This Row],[Ingreso]],-tblMovimientos[[#This Row],[Egreso]])</f>
        <v>-3000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169</v>
      </c>
      <c r="E550" s="70" t="str">
        <f>_xlfn.XLOOKUP(tblMovimientos[[#This Row],[Cuenta Bancaria]],Listas!$B:$B,Listas!$C:$C,"")</f>
        <v xml:space="preserve">Amerant Bank </v>
      </c>
      <c r="F550" s="41" t="s">
        <v>9</v>
      </c>
      <c r="G550" s="41" t="s">
        <v>85</v>
      </c>
      <c r="H550" s="4" t="str">
        <f>IFERROR(_xlfn.XLOOKUP(G550,Listas!E:E,Listas!F:F,""),"")</f>
        <v>Operativo</v>
      </c>
      <c r="I550" s="46" t="str">
        <f>IFERROR(_xlfn.XLOOKUP(G550,Listas!E:E,Listas!G:G,""),"")</f>
        <v>Interno</v>
      </c>
      <c r="J550" s="43">
        <v>2000</v>
      </c>
      <c r="K550" s="5">
        <f t="shared" si="3"/>
        <v>2000</v>
      </c>
      <c r="L550" s="15" t="s">
        <v>129</v>
      </c>
      <c r="M550" s="44">
        <f>SUMIFS('Saldos Iniciales'!$D$2:$D$38,'Saldos Iniciales'!$A$2:$A$38,C550,'Saldos Iniciales'!$B$2:$B$38,D550)+SUMIFS($K$1:$K$1033,$C$1:$C$1033,C550,$D$1:$D$1033,D550,$B$1:$B$1033,"&lt;="&amp;B550)</f>
        <v>5413.6100000000006</v>
      </c>
      <c r="N550" s="65">
        <f>IF(tblMovimientos[[#This Row],[Tipo de Movimiento]]="Ingreso",tblMovimientos[[#This Row],[Monto (S/)]],"0")</f>
        <v>2000</v>
      </c>
      <c r="O550" s="65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2000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169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938</v>
      </c>
      <c r="K551" s="5">
        <f t="shared" si="3"/>
        <v>-938</v>
      </c>
      <c r="L551" s="15" t="s">
        <v>129</v>
      </c>
      <c r="M551" s="44">
        <f>SUMIFS('Saldos Iniciales'!$D$2:$D$38,'Saldos Iniciales'!$A$2:$A$38,C551,'Saldos Iniciales'!$B$2:$B$38,D551)+SUMIFS($K$1:$K$1033,$C$1:$C$1033,C551,$D$1:$D$1033,D551,$B$1:$B$1033,"&lt;="&amp;B551)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938</v>
      </c>
      <c r="P551" s="28">
        <f>IF(tblMovimientos[[#This Row],[Tipo de Movimiento]]="Ingreso",tblMovimientos[[#This Row],[Ingreso]],-tblMovimientos[[#This Row],[Egreso]])</f>
        <v>-938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169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92.41</v>
      </c>
      <c r="K552" s="5">
        <f t="shared" si="3"/>
        <v>-92.41</v>
      </c>
      <c r="L552" s="15" t="s">
        <v>129</v>
      </c>
      <c r="M552" s="44">
        <f>SUMIFS('Saldos Iniciales'!$D$2:$D$38,'Saldos Iniciales'!$A$2:$A$38,C552,'Saldos Iniciales'!$B$2:$B$38,D552)+SUMIFS($K$1:$K$1033,$C$1:$C$1033,C552,$D$1:$D$1033,D552,$B$1:$B$1033,"&lt;="&amp;B552)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92.41</v>
      </c>
      <c r="P552" s="28">
        <f>IF(tblMovimientos[[#This Row],[Tipo de Movimiento]]="Ingreso",tblMovimientos[[#This Row],[Ingreso]],-tblMovimientos[[#This Row],[Egreso]])</f>
        <v>-92.41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Go Blue</v>
      </c>
      <c r="D553" s="41" t="s">
        <v>169</v>
      </c>
      <c r="E553" s="70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13.98</v>
      </c>
      <c r="K553" s="5">
        <f t="shared" si="3"/>
        <v>-13.98</v>
      </c>
      <c r="L553" s="15" t="s">
        <v>129</v>
      </c>
      <c r="M553" s="44">
        <f>SUMIFS('Saldos Iniciales'!$D$2:$D$38,'Saldos Iniciales'!$A$2:$A$38,C553,'Saldos Iniciales'!$B$2:$B$38,D553)+SUMIFS($K$1:$K$1033,$C$1:$C$1033,C553,$D$1:$D$1033,D553,$B$1:$B$1033,"&lt;="&amp;B553)</f>
        <v>5413.6100000000006</v>
      </c>
      <c r="N553" s="65" t="str">
        <f>IF(tblMovimientos[[#This Row],[Tipo de Movimiento]]="Ingreso",tblMovimientos[[#This Row],[Monto (S/)]],"0")</f>
        <v>0</v>
      </c>
      <c r="O553" s="65">
        <f>IF(tblMovimientos[[#This Row],[Tipo de Movimiento]]="Egreso",tblMovimientos[[#This Row],[Monto (S/)]],"0")</f>
        <v>13.98</v>
      </c>
      <c r="P553" s="28">
        <f>IF(tblMovimientos[[#This Row],[Tipo de Movimiento]]="Ingreso",tblMovimientos[[#This Row],[Ingreso]],-tblMovimientos[[#This Row],[Egreso]])</f>
        <v>-13.98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9</v>
      </c>
      <c r="G554" s="41" t="s">
        <v>75</v>
      </c>
      <c r="H554" s="4" t="str">
        <f>IFERROR(_xlfn.XLOOKUP(G554,Listas!E:E,Listas!F:F,""),"")</f>
        <v>Financiamiento</v>
      </c>
      <c r="I554" s="46" t="str">
        <f>IFERROR(_xlfn.XLOOKUP(G554,Listas!E:E,Listas!G:G,""),"")</f>
        <v>Interno</v>
      </c>
      <c r="J554" s="43">
        <v>250000</v>
      </c>
      <c r="K554" s="5">
        <f t="shared" si="3"/>
        <v>250000</v>
      </c>
      <c r="L554" s="15" t="s">
        <v>129</v>
      </c>
      <c r="M554" s="44">
        <f>SUMIFS('Saldos Iniciales'!$D$2:$D$38,'Saldos Iniciales'!$A$2:$A$38,C554,'Saldos Iniciales'!$B$2:$B$38,D554)+SUMIFS($K$1:$K$1033,$C$1:$C$1033,C554,$D$1:$D$1033,D554,$B$1:$B$1033,"&lt;="&amp;B554)</f>
        <v>3550828.0100000007</v>
      </c>
      <c r="N554" s="65">
        <f>IF(tblMovimientos[[#This Row],[Tipo de Movimiento]]="Ingreso",tblMovimientos[[#This Row],[Monto (S/)]],"0")</f>
        <v>250000</v>
      </c>
      <c r="O554" s="65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250000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2366.67</v>
      </c>
      <c r="K555" s="5">
        <f t="shared" si="3"/>
        <v>-2366.67</v>
      </c>
      <c r="L555" s="15" t="s">
        <v>129</v>
      </c>
      <c r="M555" s="44">
        <f>SUMIFS('Saldos Iniciales'!$D$2:$D$38,'Saldos Iniciales'!$A$2:$A$38,C555,'Saldos Iniciales'!$B$2:$B$38,D555)+SUMIFS($K$1:$K$1033,$C$1:$C$1033,C555,$D$1:$D$1033,D555,$B$1:$B$1033,"&lt;="&amp;B555)</f>
        <v>3550828.0100000007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2366.67</v>
      </c>
      <c r="P555" s="28">
        <f>IF(tblMovimientos[[#This Row],[Tipo de Movimiento]]="Ingreso",tblMovimientos[[#This Row],[Ingreso]],-tblMovimientos[[#This Row],[Egreso]])</f>
        <v>-2366.67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2916.67</v>
      </c>
      <c r="K556" s="5">
        <f t="shared" si="3"/>
        <v>-2916.67</v>
      </c>
      <c r="L556" s="15" t="s">
        <v>129</v>
      </c>
      <c r="M556" s="44">
        <f>SUMIFS('Saldos Iniciales'!$D$2:$D$38,'Saldos Iniciales'!$A$2:$A$38,C556,'Saldos Iniciales'!$B$2:$B$38,D556)+SUMIFS($K$1:$K$1033,$C$1:$C$1033,C556,$D$1:$D$1033,D556,$B$1:$B$1033,"&lt;="&amp;B556)</f>
        <v>3550828.0100000007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2916.67</v>
      </c>
      <c r="P556" s="28">
        <f>IF(tblMovimientos[[#This Row],[Tipo de Movimiento]]="Ingreso",tblMovimientos[[#This Row],[Ingreso]],-tblMovimientos[[#This Row],[Egreso]])</f>
        <v>-2916.67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3616.67</v>
      </c>
      <c r="K557" s="5">
        <f t="shared" si="3"/>
        <v>-3616.67</v>
      </c>
      <c r="L557" s="15" t="s">
        <v>129</v>
      </c>
      <c r="M557" s="44">
        <f>SUMIFS('Saldos Iniciales'!$D$2:$D$38,'Saldos Iniciales'!$A$2:$A$38,C557,'Saldos Iniciales'!$B$2:$B$38,D557)+SUMIFS($K$1:$K$1033,$C$1:$C$1033,C557,$D$1:$D$1033,D557,$B$1:$B$1033,"&lt;="&amp;B557)</f>
        <v>3550828.0100000007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3616.67</v>
      </c>
      <c r="P557" s="28">
        <f>IF(tblMovimientos[[#This Row],[Tipo de Movimiento]]="Ingreso",tblMovimientos[[#This Row],[Ingreso]],-tblMovimientos[[#This Row],[Egreso]])</f>
        <v>-3616.67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10266.67</v>
      </c>
      <c r="K558" s="5">
        <f t="shared" si="3"/>
        <v>-10266.67</v>
      </c>
      <c r="L558" s="15" t="s">
        <v>129</v>
      </c>
      <c r="M558" s="44">
        <f>SUMIFS('Saldos Iniciales'!$D$2:$D$38,'Saldos Iniciales'!$A$2:$A$38,C558,'Saldos Iniciales'!$B$2:$B$38,D558)+SUMIFS($K$1:$K$1033,$C$1:$C$1033,C558,$D$1:$D$1033,D558,$B$1:$B$1033,"&lt;="&amp;B558)</f>
        <v>3550828.0100000007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10266.67</v>
      </c>
      <c r="P558" s="28">
        <f>IF(tblMovimientos[[#This Row],[Tipo de Movimiento]]="Ingreso",tblMovimientos[[#This Row],[Ingreso]],-tblMovimientos[[#This Row],[Egreso]])</f>
        <v>-10266.67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11666.67</v>
      </c>
      <c r="K559" s="5">
        <f t="shared" si="3"/>
        <v>-11666.67</v>
      </c>
      <c r="L559" s="15" t="s">
        <v>129</v>
      </c>
      <c r="M559" s="44">
        <f>SUMIFS('Saldos Iniciales'!$D$2:$D$38,'Saldos Iniciales'!$A$2:$A$38,C559,'Saldos Iniciales'!$B$2:$B$38,D559)+SUMIFS($K$1:$K$1033,$C$1:$C$1033,C559,$D$1:$D$1033,D559,$B$1:$B$1033,"&lt;="&amp;B559)</f>
        <v>3550828.0100000007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11666.67</v>
      </c>
      <c r="P559" s="28">
        <f>IF(tblMovimientos[[#This Row],[Tipo de Movimiento]]="Ingreso",tblMovimientos[[#This Row],[Ingreso]],-tblMovimientos[[#This Row],[Egreso]])</f>
        <v>-11666.67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22166.67</v>
      </c>
      <c r="K560" s="5">
        <f t="shared" si="3"/>
        <v>-22166.67</v>
      </c>
      <c r="L560" s="15" t="s">
        <v>129</v>
      </c>
      <c r="M560" s="44">
        <f>SUMIFS('Saldos Iniciales'!$D$2:$D$38,'Saldos Iniciales'!$A$2:$A$38,C560,'Saldos Iniciales'!$B$2:$B$38,D560)+SUMIFS($K$1:$K$1033,$C$1:$C$1033,C560,$D$1:$D$1033,D560,$B$1:$B$1033,"&lt;="&amp;B560)</f>
        <v>3550828.0100000007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22166.67</v>
      </c>
      <c r="P560" s="28">
        <f>IF(tblMovimientos[[#This Row],[Tipo de Movimiento]]="Ingreso",tblMovimientos[[#This Row],[Ingreso]],-tblMovimientos[[#This Row],[Egreso]])</f>
        <v>-22166.67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23333.33</v>
      </c>
      <c r="K561" s="5">
        <f t="shared" si="3"/>
        <v>-23333.33</v>
      </c>
      <c r="L561" s="15" t="s">
        <v>129</v>
      </c>
      <c r="M561" s="44">
        <f>SUMIFS('Saldos Iniciales'!$D$2:$D$38,'Saldos Iniciales'!$A$2:$A$38,C561,'Saldos Iniciales'!$B$2:$B$38,D561)+SUMIFS($K$1:$K$1033,$C$1:$C$1033,C561,$D$1:$D$1033,D561,$B$1:$B$1033,"&lt;="&amp;B561)</f>
        <v>3550828.0100000007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23333.33</v>
      </c>
      <c r="P561" s="28">
        <f>IF(tblMovimientos[[#This Row],[Tipo de Movimiento]]="Ingreso",tblMovimientos[[#This Row],[Ingreso]],-tblMovimientos[[#This Row],[Egreso]])</f>
        <v>-23333.33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27083.33</v>
      </c>
      <c r="K562" s="5">
        <f t="shared" ref="K562:K625" si="4">IF(F562="Ingreso",J562,-J562)</f>
        <v>-27083.33</v>
      </c>
      <c r="L562" s="15" t="s">
        <v>129</v>
      </c>
      <c r="M562" s="44">
        <f>SUMIFS('Saldos Iniciales'!$D$2:$D$38,'Saldos Iniciales'!$A$2:$A$38,C562,'Saldos Iniciales'!$B$2:$B$38,D562)+SUMIFS($K$1:$K$1033,$C$1:$C$1033,C562,$D$1:$D$1033,D562,$B$1:$B$1033,"&lt;="&amp;B562)</f>
        <v>3550828.0100000007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27083.33</v>
      </c>
      <c r="P562" s="28">
        <f>IF(tblMovimientos[[#This Row],[Tipo de Movimiento]]="Ingreso",tblMovimientos[[#This Row],[Ingreso]],-tblMovimientos[[#This Row],[Egreso]])</f>
        <v>-27083.33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30000</v>
      </c>
      <c r="K563" s="5">
        <f t="shared" si="4"/>
        <v>-30000</v>
      </c>
      <c r="L563" s="15" t="s">
        <v>129</v>
      </c>
      <c r="M563" s="44">
        <f>SUMIFS('Saldos Iniciales'!$D$2:$D$38,'Saldos Iniciales'!$A$2:$A$38,C563,'Saldos Iniciales'!$B$2:$B$38,D563)+SUMIFS($K$1:$K$1033,$C$1:$C$1033,C563,$D$1:$D$1033,D563,$B$1:$B$1033,"&lt;="&amp;B563)</f>
        <v>3550828.0100000007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30000</v>
      </c>
      <c r="P563" s="28">
        <f>IF(tblMovimientos[[#This Row],[Tipo de Movimiento]]="Ingreso",tblMovimientos[[#This Row],[Ingreso]],-tblMovimientos[[#This Row],[Egreso]])</f>
        <v>-30000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61</v>
      </c>
      <c r="H564" s="4" t="str">
        <f>IFERROR(_xlfn.XLOOKUP(G564,Listas!E:E,Listas!F:F,""),"")</f>
        <v>Operativo</v>
      </c>
      <c r="I564" s="46" t="str">
        <f>IFERROR(_xlfn.XLOOKUP(G564,Listas!E:E,Listas!G:G,""),"")</f>
        <v>Externo</v>
      </c>
      <c r="J564" s="43">
        <v>70000</v>
      </c>
      <c r="K564" s="5">
        <f t="shared" si="4"/>
        <v>-70000</v>
      </c>
      <c r="L564" s="15" t="s">
        <v>129</v>
      </c>
      <c r="M564" s="44">
        <f>SUMIFS('Saldos Iniciales'!$D$2:$D$38,'Saldos Iniciales'!$A$2:$A$38,C564,'Saldos Iniciales'!$B$2:$B$38,D564)+SUMIFS($K$1:$K$1033,$C$1:$C$1033,C564,$D$1:$D$1033,D564,$B$1:$B$1033,"&lt;="&amp;B564)</f>
        <v>3550828.0100000007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70000</v>
      </c>
      <c r="P564" s="28">
        <f>IF(tblMovimientos[[#This Row],[Tipo de Movimiento]]="Ingreso",tblMovimientos[[#This Row],[Ingreso]],-tblMovimientos[[#This Row],[Egreso]])</f>
        <v>-70000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48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100000</v>
      </c>
      <c r="K565" s="5">
        <f t="shared" si="4"/>
        <v>-100000</v>
      </c>
      <c r="L565" s="15" t="s">
        <v>129</v>
      </c>
      <c r="M565" s="44">
        <f>SUMIFS('Saldos Iniciales'!$D$2:$D$38,'Saldos Iniciales'!$A$2:$A$38,C565,'Saldos Iniciales'!$B$2:$B$38,D565)+SUMIFS($K$1:$K$1033,$C$1:$C$1033,C565,$D$1:$D$1033,D565,$B$1:$B$1033,"&lt;="&amp;B565)</f>
        <v>3550828.0100000007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4"/>
        <v>-100000</v>
      </c>
      <c r="L566" s="15" t="s">
        <v>129</v>
      </c>
      <c r="M566" s="44">
        <f>SUMIFS('Saldos Iniciales'!$D$2:$D$38,'Saldos Iniciales'!$A$2:$A$38,C566,'Saldos Iniciales'!$B$2:$B$38,D566)+SUMIFS($K$1:$K$1033,$C$1:$C$1033,C566,$D$1:$D$1033,D566,$B$1:$B$1033,"&lt;="&amp;B566)</f>
        <v>3550828.0100000007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CFT Group</v>
      </c>
      <c r="D567" s="41" t="s">
        <v>95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61</v>
      </c>
      <c r="H567" s="4" t="str">
        <f>IFERROR(_xlfn.XLOOKUP(G567,Listas!E:E,Listas!F:F,""),"")</f>
        <v>Operativo</v>
      </c>
      <c r="I567" s="46" t="str">
        <f>IFERROR(_xlfn.XLOOKUP(G567,Listas!E:E,Listas!G:G,""),"")</f>
        <v>Externo</v>
      </c>
      <c r="J567" s="43">
        <v>100000</v>
      </c>
      <c r="K567" s="5">
        <f t="shared" si="4"/>
        <v>-100000</v>
      </c>
      <c r="L567" s="15" t="s">
        <v>129</v>
      </c>
      <c r="M567" s="44">
        <f>SUMIFS('Saldos Iniciales'!$D$2:$D$38,'Saldos Iniciales'!$A$2:$A$38,C567,'Saldos Iniciales'!$B$2:$B$38,D567)+SUMIFS($K$1:$K$1033,$C$1:$C$1033,C567,$D$1:$D$1033,D567,$B$1:$B$1033,"&lt;="&amp;B567)</f>
        <v>3550828.0100000007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100000</v>
      </c>
      <c r="P567" s="28">
        <f>IF(tblMovimientos[[#This Row],[Tipo de Movimiento]]="Ingreso",tblMovimientos[[#This Row],[Ingreso]],-tblMovimientos[[#This Row],[Egreso]])</f>
        <v>-100000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26250</v>
      </c>
      <c r="K568" s="5">
        <f t="shared" si="4"/>
        <v>-26250</v>
      </c>
      <c r="L568" s="15" t="s">
        <v>129</v>
      </c>
      <c r="M568" s="44">
        <f>SUMIFS('Saldos Iniciales'!$D$2:$D$38,'Saldos Iniciales'!$A$2:$A$38,C568,'Saldos Iniciales'!$B$2:$B$38,D568)+SUMIFS($K$1:$K$1033,$C$1:$C$1033,C568,$D$1:$D$1033,D568,$B$1:$B$1033,"&lt;="&amp;B568)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26250</v>
      </c>
      <c r="P568" s="28">
        <f>IF(tblMovimientos[[#This Row],[Tipo de Movimiento]]="Ingreso",tblMovimientos[[#This Row],[Ingreso]],-tblMovimientos[[#This Row],[Egreso]])</f>
        <v>-26250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49583.34</v>
      </c>
      <c r="K569" s="5">
        <f t="shared" si="4"/>
        <v>-49583.34</v>
      </c>
      <c r="L569" s="15" t="s">
        <v>129</v>
      </c>
      <c r="M569" s="44">
        <f>SUMIFS('Saldos Iniciales'!$D$2:$D$38,'Saldos Iniciales'!$A$2:$A$38,C569,'Saldos Iniciales'!$B$2:$B$38,D569)+SUMIFS($K$1:$K$1033,$C$1:$C$1033,C569,$D$1:$D$1033,D569,$B$1:$B$1033,"&lt;="&amp;B569)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49583.34</v>
      </c>
      <c r="P569" s="28">
        <f>IF(tblMovimientos[[#This Row],[Tipo de Movimiento]]="Ingreso",tblMovimientos[[#This Row],[Ingreso]],-tblMovimientos[[#This Row],[Egreso]])</f>
        <v>-49583.34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SSP Capital</v>
      </c>
      <c r="D570" s="41" t="s">
        <v>104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62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100000</v>
      </c>
      <c r="K570" s="5">
        <f t="shared" si="4"/>
        <v>-100000</v>
      </c>
      <c r="L570" s="15" t="s">
        <v>129</v>
      </c>
      <c r="M570" s="44">
        <f>SUMIFS('Saldos Iniciales'!$D$2:$D$38,'Saldos Iniciales'!$A$2:$A$38,C570,'Saldos Iniciales'!$B$2:$B$38,D570)+SUMIFS($K$1:$K$1033,$C$1:$C$1033,C570,$D$1:$D$1033,D570,$B$1:$B$1033,"&lt;="&amp;B570)</f>
        <v>850777.27999999933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100000</v>
      </c>
      <c r="P570" s="28">
        <f>IF(tblMovimientos[[#This Row],[Tipo de Movimiento]]="Ingreso",tblMovimientos[[#This Row],[Ingreso]],-tblMovimientos[[#This Row],[Egreso]])</f>
        <v>-100000</v>
      </c>
    </row>
    <row r="571" spans="1:16" x14ac:dyDescent="0.3">
      <c r="B571" s="39">
        <v>46219</v>
      </c>
      <c r="C571" s="46" t="str">
        <f>_xlfn.XLOOKUP(tblMovimientos[[#This Row],[Cuenta Bancaria]],Listas!$B:$B,Listas!$A:$A,"")</f>
        <v>Go Blue</v>
      </c>
      <c r="D571" s="41" t="s">
        <v>126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64</v>
      </c>
      <c r="H571" s="4" t="str">
        <f>IFERROR(_xlfn.XLOOKUP(G571,Listas!E:E,Listas!F:F,""),"")</f>
        <v>Operativo</v>
      </c>
      <c r="I571" s="46" t="str">
        <f>IFERROR(_xlfn.XLOOKUP(G571,Listas!E:E,Listas!G:G,""),"")</f>
        <v>Interno</v>
      </c>
      <c r="J571" s="43">
        <v>2000</v>
      </c>
      <c r="K571" s="5">
        <f t="shared" si="4"/>
        <v>-2000</v>
      </c>
      <c r="L571" s="15" t="s">
        <v>129</v>
      </c>
      <c r="M571" s="44">
        <f>SUMIFS('Saldos Iniciales'!$D$2:$D$38,'Saldos Iniciales'!$A$2:$A$38,C571,'Saldos Iniciales'!$B$2:$B$38,D571)+SUMIFS($K$1:$K$1033,$C$1:$C$1033,C571,$D$1:$D$1033,D571,$B$1:$B$1033,"&lt;="&amp;B571)</f>
        <v>18565.239999999998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2000</v>
      </c>
      <c r="P571" s="28">
        <f>IF(tblMovimientos[[#This Row],[Tipo de Movimiento]]="Ingreso",tblMovimientos[[#This Row],[Ingreso]],-tblMovimientos[[#This Row],[Egreso]])</f>
        <v>-2000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169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24</v>
      </c>
      <c r="K572" s="5">
        <f t="shared" si="4"/>
        <v>-24</v>
      </c>
      <c r="L572" s="15" t="s">
        <v>129</v>
      </c>
      <c r="M572" s="44">
        <f>SUMIFS('Saldos Iniciales'!$D$2:$D$38,'Saldos Iniciales'!$A$2:$A$38,C572,'Saldos Iniciales'!$B$2:$B$38,D572)+SUMIFS($K$1:$K$1033,$C$1:$C$1033,C572,$D$1:$D$1033,D572,$B$1:$B$1033,"&lt;="&amp;B572)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24</v>
      </c>
      <c r="P572" s="28">
        <f>IF(tblMovimientos[[#This Row],[Tipo de Movimiento]]="Ingreso",tblMovimientos[[#This Row],[Ingreso]],-tblMovimientos[[#This Row],[Egreso]])</f>
        <v>-24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169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2300.0300000000002</v>
      </c>
      <c r="K573" s="5">
        <f t="shared" si="4"/>
        <v>-2300.0300000000002</v>
      </c>
      <c r="L573" s="15" t="s">
        <v>129</v>
      </c>
      <c r="M573" s="44">
        <f>SUMIFS('Saldos Iniciales'!$D$2:$D$38,'Saldos Iniciales'!$A$2:$A$38,C573,'Saldos Iniciales'!$B$2:$B$38,D573)+SUMIFS($K$1:$K$1033,$C$1:$C$1033,C573,$D$1:$D$1033,D573,$B$1:$B$1033,"&lt;="&amp;B573)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2300.0300000000002</v>
      </c>
      <c r="P573" s="28">
        <f>IF(tblMovimientos[[#This Row],[Tipo de Movimiento]]="Ingreso",tblMovimientos[[#This Row],[Ingreso]],-tblMovimientos[[#This Row],[Egreso]])</f>
        <v>-2300.0300000000002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Go Blue</v>
      </c>
      <c r="D574" s="41" t="s">
        <v>169</v>
      </c>
      <c r="E574" s="70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38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21.73</v>
      </c>
      <c r="K574" s="5">
        <f t="shared" si="4"/>
        <v>-21.73</v>
      </c>
      <c r="L574" s="15" t="s">
        <v>129</v>
      </c>
      <c r="M574" s="44">
        <f>SUMIFS('Saldos Iniciales'!$D$2:$D$38,'Saldos Iniciales'!$A$2:$A$38,C574,'Saldos Iniciales'!$B$2:$B$38,D574)+SUMIFS($K$1:$K$1033,$C$1:$C$1033,C574,$D$1:$D$1033,D574,$B$1:$B$1033,"&lt;="&amp;B574)</f>
        <v>3067.8500000000004</v>
      </c>
      <c r="N574" s="65" t="str">
        <f>IF(tblMovimientos[[#This Row],[Tipo de Movimiento]]="Ingreso",tblMovimientos[[#This Row],[Monto (S/)]],"0")</f>
        <v>0</v>
      </c>
      <c r="O574" s="65">
        <f>IF(tblMovimientos[[#This Row],[Tipo de Movimiento]]="Egreso",tblMovimientos[[#This Row],[Monto (S/)]],"0")</f>
        <v>21.73</v>
      </c>
      <c r="P574" s="28">
        <f>IF(tblMovimientos[[#This Row],[Tipo de Movimiento]]="Ingreso",tblMovimientos[[#This Row],[Ingreso]],-tblMovimientos[[#This Row],[Egreso]])</f>
        <v>-21.73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SSP Capital</v>
      </c>
      <c r="D575" s="41" t="s">
        <v>104</v>
      </c>
      <c r="E575" s="71" t="str">
        <f>_xlfn.XLOOKUP(tblMovimientos[[#This Row],[Cuenta Bancaria]],Listas!$B:$B,Listas!$C:$C,"")</f>
        <v xml:space="preserve">Amerant Bank </v>
      </c>
      <c r="F575" s="41" t="s">
        <v>9</v>
      </c>
      <c r="G575" s="41" t="s">
        <v>76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70000</v>
      </c>
      <c r="K575" s="5">
        <f t="shared" si="4"/>
        <v>70000</v>
      </c>
      <c r="L575" s="15" t="s">
        <v>129</v>
      </c>
      <c r="M575" s="44">
        <f>SUMIFS('Saldos Iniciales'!$D$2:$D$38,'Saldos Iniciales'!$A$2:$A$38,C575,'Saldos Iniciales'!$B$2:$B$38,D575)+SUMIFS($K$1:$K$1033,$C$1:$C$1033,C575,$D$1:$D$1033,D575,$B$1:$B$1033,"&lt;="&amp;B575)</f>
        <v>920777.27999999933</v>
      </c>
      <c r="N575" s="65">
        <f>IF(tblMovimientos[[#This Row],[Tipo de Movimiento]]="Ingreso",tblMovimientos[[#This Row],[Monto (S/)]],"0")</f>
        <v>70000</v>
      </c>
      <c r="O575" s="65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70000</v>
      </c>
    </row>
    <row r="576" spans="1:16" x14ac:dyDescent="0.3">
      <c r="B576" s="39">
        <v>46220</v>
      </c>
      <c r="C576" s="46" t="str">
        <f>_xlfn.XLOOKUP(tblMovimientos[[#This Row],[Cuenta Bancaria]],Listas!$B:$B,Listas!$A:$A,"")</f>
        <v>Go Blue</v>
      </c>
      <c r="D576" s="41" t="s">
        <v>126</v>
      </c>
      <c r="E576" s="70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5402.47</v>
      </c>
      <c r="K576" s="5">
        <f t="shared" si="4"/>
        <v>-5402.47</v>
      </c>
      <c r="L576" s="15" t="s">
        <v>129</v>
      </c>
      <c r="M576" s="44">
        <f>SUMIFS('Saldos Iniciales'!$D$2:$D$38,'Saldos Iniciales'!$A$2:$A$38,C576,'Saldos Iniciales'!$B$2:$B$38,D576)+SUMIFS($K$1:$K$1033,$C$1:$C$1033,C576,$D$1:$D$1033,D576,$B$1:$B$1033,"&lt;="&amp;B576)</f>
        <v>13162.769999999997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5402.47</v>
      </c>
      <c r="P576" s="28">
        <f>IF(tblMovimientos[[#This Row],[Tipo de Movimiento]]="Ingreso",tblMovimientos[[#This Row],[Ingreso]],-tblMovimientos[[#This Row],[Egreso]])</f>
        <v>-5402.47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2383.48</v>
      </c>
      <c r="K577" s="5">
        <f t="shared" si="4"/>
        <v>-2383.48</v>
      </c>
      <c r="L577" s="15" t="s">
        <v>129</v>
      </c>
      <c r="M577" s="44">
        <f>SUMIFS('Saldos Iniciales'!$D$2:$D$38,'Saldos Iniciales'!$A$2:$A$38,C577,'Saldos Iniciales'!$B$2:$B$38,D577)+SUMIFS($K$1:$K$1033,$C$1:$C$1033,C577,$D$1:$D$1033,D577,$B$1:$B$1033,"&lt;="&amp;B577)</f>
        <v>21110.080000000002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2383.48</v>
      </c>
      <c r="P577" s="28">
        <f>IF(tblMovimientos[[#This Row],[Tipo de Movimiento]]="Ingreso",tblMovimientos[[#This Row],[Ingreso]],-tblMovimientos[[#This Row],[Egreso]])</f>
        <v>-2383.48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38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737.04</v>
      </c>
      <c r="K578" s="5">
        <f t="shared" si="4"/>
        <v>-737.04</v>
      </c>
      <c r="L578" s="15" t="s">
        <v>129</v>
      </c>
      <c r="M578" s="44">
        <f>SUMIFS('Saldos Iniciales'!$D$2:$D$38,'Saldos Iniciales'!$A$2:$A$38,C578,'Saldos Iniciales'!$B$2:$B$38,D578)+SUMIFS($K$1:$K$1033,$C$1:$C$1033,C578,$D$1:$D$1033,D578,$B$1:$B$1033,"&lt;="&amp;B578)</f>
        <v>21110.080000000002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737.04</v>
      </c>
      <c r="P578" s="28">
        <f>IF(tblMovimientos[[#This Row],[Tipo de Movimiento]]="Ingreso",tblMovimientos[[#This Row],[Ingreso]],-tblMovimientos[[#This Row],[Egreso]])</f>
        <v>-737.04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101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41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644.70000000000005</v>
      </c>
      <c r="K579" s="5">
        <f t="shared" si="4"/>
        <v>-644.70000000000005</v>
      </c>
      <c r="L579" s="15" t="s">
        <v>129</v>
      </c>
      <c r="M579" s="44">
        <f>SUMIFS('Saldos Iniciales'!$D$2:$D$38,'Saldos Iniciales'!$A$2:$A$38,C579,'Saldos Iniciales'!$B$2:$B$38,D579)+SUMIFS($K$1:$K$1033,$C$1:$C$1033,C579,$D$1:$D$1033,D579,$B$1:$B$1033,"&lt;="&amp;B579)</f>
        <v>21110.080000000002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644.70000000000005</v>
      </c>
      <c r="P579" s="28">
        <f>IF(tblMovimientos[[#This Row],[Tipo de Movimiento]]="Ingreso",tblMovimientos[[#This Row],[Ingreso]],-tblMovimientos[[#This Row],[Egreso]])</f>
        <v>-644.70000000000005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SSP Capital</v>
      </c>
      <c r="D580" s="41" t="s">
        <v>102</v>
      </c>
      <c r="E580" s="46" t="str">
        <f>_xlfn.XLOOKUP(tblMovimientos[[#This Row],[Cuenta Bancaria]],Listas!$B:$B,Listas!$C:$C,"")</f>
        <v>Bank of America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166.66</v>
      </c>
      <c r="K580" s="5">
        <f t="shared" si="4"/>
        <v>-166.66</v>
      </c>
      <c r="L580" s="15" t="s">
        <v>129</v>
      </c>
      <c r="M580" s="44">
        <f>SUMIFS('Saldos Iniciales'!$D$2:$D$38,'Saldos Iniciales'!$A$2:$A$38,C580,'Saldos Iniciales'!$B$2:$B$38,D580)+SUMIFS($K$1:$K$1033,$C$1:$C$1033,C580,$D$1:$D$1033,D580,$B$1:$B$1033,"&lt;="&amp;B580)</f>
        <v>170.82000000000005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166.66</v>
      </c>
      <c r="P580" s="28">
        <f>IF(tblMovimientos[[#This Row],[Tipo de Movimiento]]="Ingreso",tblMovimientos[[#This Row],[Ingreso]],-tblMovimientos[[#This Row],[Egreso]])</f>
        <v>-166.66</v>
      </c>
    </row>
    <row r="581" spans="1:16" x14ac:dyDescent="0.3">
      <c r="B581" s="39">
        <v>46223</v>
      </c>
      <c r="C581" s="46" t="str">
        <f>_xlfn.XLOOKUP(tblMovimientos[[#This Row],[Cuenta Bancaria]],Listas!$B:$B,Listas!$A:$A,"")</f>
        <v>Go Blue</v>
      </c>
      <c r="D581" s="41" t="s">
        <v>169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2133.14</v>
      </c>
      <c r="K581" s="5">
        <f t="shared" si="4"/>
        <v>-2133.14</v>
      </c>
      <c r="L581" s="15" t="s">
        <v>129</v>
      </c>
      <c r="M581" s="44">
        <f>SUMIFS('Saldos Iniciales'!$D$2:$D$38,'Saldos Iniciales'!$A$2:$A$38,C581,'Saldos Iniciales'!$B$2:$B$38,D581)+SUMIFS($K$1:$K$1033,$C$1:$C$1033,C581,$D$1:$D$1033,D581,$B$1:$B$1033,"&lt;="&amp;B581)</f>
        <v>934.71000000000095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2133.14</v>
      </c>
      <c r="P581" s="28">
        <f>IF(tblMovimientos[[#This Row],[Tipo de Movimiento]]="Ingreso",tblMovimientos[[#This Row],[Ingreso]],-tblMovimientos[[#This Row],[Egreso]])</f>
        <v>-2133.14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169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205.5</v>
      </c>
      <c r="K582" s="5">
        <f t="shared" si="4"/>
        <v>-205.5</v>
      </c>
      <c r="L582" s="15" t="s">
        <v>129</v>
      </c>
      <c r="M582" s="44">
        <f>SUMIFS('Saldos Iniciales'!$D$2:$D$38,'Saldos Iniciales'!$A$2:$A$38,C582,'Saldos Iniciales'!$B$2:$B$38,D582)+SUMIFS($K$1:$K$1033,$C$1:$C$1033,C582,$D$1:$D$1033,D582,$B$1:$B$1033,"&lt;="&amp;B582)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205.5</v>
      </c>
      <c r="P582" s="28">
        <f>IF(tblMovimientos[[#This Row],[Tipo de Movimiento]]="Ingreso",tblMovimientos[[#This Row],[Ingreso]],-tblMovimientos[[#This Row],[Egreso]])</f>
        <v>-205.5</v>
      </c>
    </row>
    <row r="583" spans="1:16" x14ac:dyDescent="0.3">
      <c r="B583" s="39">
        <v>46224</v>
      </c>
      <c r="C583" s="46" t="str">
        <f>_xlfn.XLOOKUP(tblMovimientos[[#This Row],[Cuenta Bancaria]],Listas!$B:$B,Listas!$A:$A,"")</f>
        <v>Go Blue</v>
      </c>
      <c r="D583" s="41" t="s">
        <v>169</v>
      </c>
      <c r="E583" s="4" t="str">
        <f>_xlfn.XLOOKUP(tblMovimientos[[#This Row],[Cuenta Bancaria]],Listas!$B:$B,Listas!$C:$C,"")</f>
        <v xml:space="preserve">Amerant Bank </v>
      </c>
      <c r="F583" s="41" t="s">
        <v>10</v>
      </c>
      <c r="G583" s="41" t="s">
        <v>38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146.13</v>
      </c>
      <c r="K583" s="5">
        <f t="shared" si="4"/>
        <v>-146.13</v>
      </c>
      <c r="L583" s="15" t="s">
        <v>129</v>
      </c>
      <c r="M583" s="44">
        <f>SUMIFS('Saldos Iniciales'!$D$2:$D$38,'Saldos Iniciales'!$A$2:$A$38,C583,'Saldos Iniciales'!$B$2:$B$38,D583)+SUMIFS($K$1:$K$1033,$C$1:$C$1033,C583,$D$1:$D$1033,D583,$B$1:$B$1033,"&lt;="&amp;B583)</f>
        <v>583.08000000000084</v>
      </c>
      <c r="N583" s="65" t="str">
        <f>IF(tblMovimientos[[#This Row],[Tipo de Movimiento]]="Ingreso",tblMovimientos[[#This Row],[Monto (S/)]],"0")</f>
        <v>0</v>
      </c>
      <c r="O583" s="65">
        <f>IF(tblMovimientos[[#This Row],[Tipo de Movimiento]]="Egreso",tblMovimientos[[#This Row],[Monto (S/)]],"0")</f>
        <v>146.13</v>
      </c>
      <c r="P583" s="28">
        <f>IF(tblMovimientos[[#This Row],[Tipo de Movimiento]]="Ingreso",tblMovimientos[[#This Row],[Ingreso]],-tblMovimientos[[#This Row],[Egreso]])</f>
        <v>-146.13</v>
      </c>
    </row>
    <row r="584" spans="1:16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9</v>
      </c>
      <c r="G584" s="41" t="s">
        <v>80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32950.239999999998</v>
      </c>
      <c r="K584" s="5">
        <f t="shared" si="4"/>
        <v>32950.239999999998</v>
      </c>
      <c r="L584" s="15" t="s">
        <v>129</v>
      </c>
      <c r="M584" s="44">
        <f>SUMIFS('Saldos Iniciales'!$D$2:$D$38,'Saldos Iniciales'!$A$2:$A$38,C584,'Saldos Iniciales'!$B$2:$B$38,D584)+SUMIFS($K$1:$K$1033,$C$1:$C$1033,C584,$D$1:$D$1033,D584,$B$1:$B$1033,"&lt;="&amp;B584)</f>
        <v>833794.74999999977</v>
      </c>
      <c r="N584" s="65">
        <f>IF(tblMovimientos[[#This Row],[Tipo de Movimiento]]="Ingreso",tblMovimientos[[#This Row],[Monto (S/)]],"0")</f>
        <v>32950.239999999998</v>
      </c>
      <c r="O584" s="65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32950.239999999998</v>
      </c>
    </row>
    <row r="585" spans="1:16" x14ac:dyDescent="0.3">
      <c r="B585" s="39">
        <v>46225</v>
      </c>
      <c r="C585" s="46" t="str">
        <f>_xlfn.XLOOKUP(tblMovimientos[[#This Row],[Cuenta Bancaria]],Listas!$B:$B,Listas!$A:$A,"")</f>
        <v>A&amp;M Imports</v>
      </c>
      <c r="D585" s="41" t="s">
        <v>100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61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60000</v>
      </c>
      <c r="K585" s="5">
        <f t="shared" si="4"/>
        <v>-60000</v>
      </c>
      <c r="L585" s="15" t="s">
        <v>129</v>
      </c>
      <c r="M585" s="44">
        <f>SUMIFS('Saldos Iniciales'!$D$2:$D$38,'Saldos Iniciales'!$A$2:$A$38,C585,'Saldos Iniciales'!$B$2:$B$38,D585)+SUMIFS($K$1:$K$1033,$C$1:$C$1033,C585,$D$1:$D$1033,D585,$B$1:$B$1033,"&lt;="&amp;B585)</f>
        <v>833794.74999999977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60000</v>
      </c>
      <c r="P585" s="28">
        <f>IF(tblMovimientos[[#This Row],[Tipo de Movimiento]]="Ingreso",tblMovimientos[[#This Row],[Ingreso]],-tblMovimientos[[#This Row],[Egreso]])</f>
        <v>-60000</v>
      </c>
    </row>
    <row r="586" spans="1:16" x14ac:dyDescent="0.3">
      <c r="B586" s="39">
        <v>46225</v>
      </c>
      <c r="C586" s="46" t="str">
        <f>_xlfn.XLOOKUP(tblMovimientos[[#This Row],[Cuenta Bancaria]],Listas!$B:$B,Listas!$A:$A,"")</f>
        <v>CFT Group</v>
      </c>
      <c r="D586" s="41" t="s">
        <v>94</v>
      </c>
      <c r="E586" s="4" t="str">
        <f>_xlfn.XLOOKUP(tblMovimientos[[#This Row],[Cuenta Bancaria]],Listas!$B:$B,Listas!$C:$C,"")</f>
        <v>Bank of America</v>
      </c>
      <c r="F586" s="41" t="s">
        <v>10</v>
      </c>
      <c r="G586" s="41" t="s">
        <v>62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15000</v>
      </c>
      <c r="K586" s="5">
        <f t="shared" si="4"/>
        <v>-15000</v>
      </c>
      <c r="L586" s="15" t="s">
        <v>129</v>
      </c>
      <c r="M586" s="44">
        <f>SUMIFS('Saldos Iniciales'!$D$2:$D$38,'Saldos Iniciales'!$A$2:$A$38,C586,'Saldos Iniciales'!$B$2:$B$38,D586)+SUMIFS($K$1:$K$1033,$C$1:$C$1033,C586,$D$1:$D$1033,D586,$B$1:$B$1033,"&lt;="&amp;B586)</f>
        <v>-379411.64</v>
      </c>
      <c r="N586" s="65" t="str">
        <f>IF(tblMovimientos[[#This Row],[Tipo de Movimiento]]="Ingreso",tblMovimientos[[#This Row],[Monto (S/)]],"0")</f>
        <v>0</v>
      </c>
      <c r="O586" s="65">
        <f>IF(tblMovimientos[[#This Row],[Tipo de Movimiento]]="Egreso",tblMovimientos[[#This Row],[Monto (S/)]],"0")</f>
        <v>15000</v>
      </c>
      <c r="P586" s="28">
        <f>IF(tblMovimientos[[#This Row],[Tipo de Movimiento]]="Ingreso",tblMovimientos[[#This Row],[Ingreso]],-tblMovimientos[[#This Row],[Egreso]])</f>
        <v>-15000</v>
      </c>
    </row>
    <row r="587" spans="1:16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169</v>
      </c>
      <c r="E587" s="4" t="str">
        <f>_xlfn.XLOOKUP(tblMovimientos[[#This Row],[Cuenta Bancaria]],Listas!$B:$B,Listas!$C:$C,"")</f>
        <v xml:space="preserve">Amerant Bank </v>
      </c>
      <c r="F587" s="41" t="s">
        <v>9</v>
      </c>
      <c r="G587" s="41" t="s">
        <v>85</v>
      </c>
      <c r="H587" s="4" t="str">
        <f>IFERROR(_xlfn.XLOOKUP(G587,Listas!E:E,Listas!F:F,""),"")</f>
        <v>Operativo</v>
      </c>
      <c r="I587" s="46" t="str">
        <f>IFERROR(_xlfn.XLOOKUP(G587,Listas!E:E,Listas!G:G,""),"")</f>
        <v>Interno</v>
      </c>
      <c r="J587" s="43">
        <v>5000</v>
      </c>
      <c r="K587" s="5">
        <f t="shared" si="4"/>
        <v>5000</v>
      </c>
      <c r="L587" s="15" t="s">
        <v>129</v>
      </c>
      <c r="M587" s="44">
        <f>SUMIFS('Saldos Iniciales'!$D$2:$D$38,'Saldos Iniciales'!$A$2:$A$38,C587,'Saldos Iniciales'!$B$2:$B$38,D587)+SUMIFS($K$1:$K$1033,$C$1:$C$1033,C587,$D$1:$D$1033,D587,$B$1:$B$1033,"&lt;="&amp;B587)</f>
        <v>5293.5800000000008</v>
      </c>
      <c r="N587" s="65">
        <f>IF(tblMovimientos[[#This Row],[Tipo de Movimiento]]="Ingreso",tblMovimientos[[#This Row],[Monto (S/)]],"0")</f>
        <v>5000</v>
      </c>
      <c r="O587" s="65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5000</v>
      </c>
    </row>
    <row r="588" spans="1:16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169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205.5</v>
      </c>
      <c r="K588" s="5">
        <f t="shared" si="4"/>
        <v>-205.5</v>
      </c>
      <c r="L588" s="15" t="s">
        <v>129</v>
      </c>
      <c r="M588" s="44">
        <f>SUMIFS('Saldos Iniciales'!$D$2:$D$38,'Saldos Iniciales'!$A$2:$A$38,C588,'Saldos Iniciales'!$B$2:$B$38,D588)+SUMIFS($K$1:$K$1033,$C$1:$C$1033,C588,$D$1:$D$1033,D588,$B$1:$B$1033,"&lt;="&amp;B588)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205.5</v>
      </c>
      <c r="P588" s="28">
        <f>IF(tblMovimientos[[#This Row],[Tipo de Movimiento]]="Ingreso",tblMovimientos[[#This Row],[Ingreso]],-tblMovimientos[[#This Row],[Egreso]])</f>
        <v>-205.5</v>
      </c>
    </row>
    <row r="589" spans="1:16" x14ac:dyDescent="0.3">
      <c r="B589" s="39">
        <v>46225</v>
      </c>
      <c r="C589" s="46" t="str">
        <f>_xlfn.XLOOKUP(tblMovimientos[[#This Row],[Cuenta Bancaria]],Listas!$B:$B,Listas!$A:$A,"")</f>
        <v>Go Blue</v>
      </c>
      <c r="D589" s="41" t="s">
        <v>169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84</v>
      </c>
      <c r="K589" s="5">
        <f t="shared" si="4"/>
        <v>-84</v>
      </c>
      <c r="L589" s="15" t="s">
        <v>129</v>
      </c>
      <c r="M589" s="44">
        <f>SUMIFS('Saldos Iniciales'!$D$2:$D$38,'Saldos Iniciales'!$A$2:$A$38,C589,'Saldos Iniciales'!$B$2:$B$38,D589)+SUMIFS($K$1:$K$1033,$C$1:$C$1033,C589,$D$1:$D$1033,D589,$B$1:$B$1033,"&lt;="&amp;B589)</f>
        <v>5293.5800000000008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84</v>
      </c>
      <c r="P589" s="28">
        <f>IF(tblMovimientos[[#This Row],[Tipo de Movimiento]]="Ingreso",tblMovimientos[[#This Row],[Ingreso]],-tblMovimientos[[#This Row],[Egreso]])</f>
        <v>-84</v>
      </c>
    </row>
    <row r="590" spans="1:16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10000</v>
      </c>
      <c r="K590" s="5">
        <f t="shared" si="4"/>
        <v>-10000</v>
      </c>
      <c r="L590" s="15" t="s">
        <v>129</v>
      </c>
      <c r="M590" s="44">
        <f>SUMIFS('Saldos Iniciales'!$D$2:$D$38,'Saldos Iniciales'!$A$2:$A$38,C590,'Saldos Iniciales'!$B$2:$B$38,D590)+SUMIFS($K$1:$K$1033,$C$1:$C$1033,C590,$D$1:$D$1033,D590,$B$1:$B$1033,"&lt;="&amp;B590)</f>
        <v>2711244.6800000006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10000</v>
      </c>
      <c r="P590" s="28">
        <f>IF(tblMovimientos[[#This Row],[Tipo de Movimiento]]="Ingreso",tblMovimientos[[#This Row],[Ingreso]],-tblMovimientos[[#This Row],[Egreso]])</f>
        <v>-10000</v>
      </c>
    </row>
    <row r="591" spans="1:16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46</v>
      </c>
      <c r="H591" s="4" t="str">
        <f>IFERROR(_xlfn.XLOOKUP(G591,Listas!E:E,Listas!F:F,""),"")</f>
        <v>Financiamiento</v>
      </c>
      <c r="I591" s="46" t="str">
        <f>IFERROR(_xlfn.XLOOKUP(G591,Listas!E:E,Listas!G:G,""),"")</f>
        <v>Externo</v>
      </c>
      <c r="J591" s="43">
        <v>10833.33</v>
      </c>
      <c r="K591" s="5">
        <f t="shared" si="4"/>
        <v>-10833.33</v>
      </c>
      <c r="L591" s="15" t="s">
        <v>129</v>
      </c>
      <c r="M591" s="44">
        <f>SUMIFS('Saldos Iniciales'!$D$2:$D$38,'Saldos Iniciales'!$A$2:$A$38,C591,'Saldos Iniciales'!$B$2:$B$38,D591)+SUMIFS($K$1:$K$1033,$C$1:$C$1033,C591,$D$1:$D$1033,D591,$B$1:$B$1033,"&lt;="&amp;B591)</f>
        <v>2711244.6800000006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10833.33</v>
      </c>
      <c r="P591" s="28">
        <f>IF(tblMovimientos[[#This Row],[Tipo de Movimiento]]="Ingreso",tblMovimientos[[#This Row],[Ingreso]],-tblMovimientos[[#This Row],[Egreso]])</f>
        <v>-10833.33</v>
      </c>
    </row>
    <row r="592" spans="1:16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40000</v>
      </c>
      <c r="K592" s="5">
        <f t="shared" si="4"/>
        <v>-40000</v>
      </c>
      <c r="L592" s="15" t="s">
        <v>129</v>
      </c>
      <c r="M592" s="44">
        <f>SUMIFS('Saldos Iniciales'!$D$2:$D$38,'Saldos Iniciales'!$A$2:$A$38,C592,'Saldos Iniciales'!$B$2:$B$38,D592)+SUMIFS($K$1:$K$1033,$C$1:$C$1033,C592,$D$1:$D$1033,D592,$B$1:$B$1033,"&lt;="&amp;B592)</f>
        <v>2711244.6800000006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40000</v>
      </c>
      <c r="P592" s="28">
        <f>IF(tblMovimientos[[#This Row],[Tipo de Movimiento]]="Ingreso",tblMovimientos[[#This Row],[Ingreso]],-tblMovimientos[[#This Row],[Egreso]])</f>
        <v>-40000</v>
      </c>
    </row>
    <row r="593" spans="2:16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50000</v>
      </c>
      <c r="K593" s="5">
        <f t="shared" si="4"/>
        <v>-50000</v>
      </c>
      <c r="L593" s="15" t="s">
        <v>129</v>
      </c>
      <c r="M593" s="44">
        <f>SUMIFS('Saldos Iniciales'!$D$2:$D$38,'Saldos Iniciales'!$A$2:$A$38,C593,'Saldos Iniciales'!$B$2:$B$38,D593)+SUMIFS($K$1:$K$1033,$C$1:$C$1033,C593,$D$1:$D$1033,D593,$B$1:$B$1033,"&lt;="&amp;B593)</f>
        <v>2711244.6800000006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50000</v>
      </c>
      <c r="P593" s="28">
        <f>IF(tblMovimientos[[#This Row],[Tipo de Movimiento]]="Ingreso",tblMovimientos[[#This Row],[Ingreso]],-tblMovimientos[[#This Row],[Egreso]])</f>
        <v>-50000</v>
      </c>
    </row>
    <row r="594" spans="2:16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61</v>
      </c>
      <c r="H594" s="4" t="str">
        <f>IFERROR(_xlfn.XLOOKUP(G594,Listas!E:E,Listas!F:F,""),"")</f>
        <v>Operativo</v>
      </c>
      <c r="I594" s="46" t="str">
        <f>IFERROR(_xlfn.XLOOKUP(G594,Listas!E:E,Listas!G:G,""),"")</f>
        <v>Externo</v>
      </c>
      <c r="J594" s="43">
        <v>60000</v>
      </c>
      <c r="K594" s="5">
        <f t="shared" si="4"/>
        <v>-60000</v>
      </c>
      <c r="L594" s="15" t="s">
        <v>129</v>
      </c>
      <c r="M594" s="44">
        <f>SUMIFS('Saldos Iniciales'!$D$2:$D$38,'Saldos Iniciales'!$A$2:$A$38,C594,'Saldos Iniciales'!$B$2:$B$38,D594)+SUMIFS($K$1:$K$1033,$C$1:$C$1033,C594,$D$1:$D$1033,D594,$B$1:$B$1033,"&lt;="&amp;B594)</f>
        <v>2711244.6800000006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60000</v>
      </c>
      <c r="P594" s="28">
        <f>IF(tblMovimientos[[#This Row],[Tipo de Movimiento]]="Ingreso",tblMovimientos[[#This Row],[Ingreso]],-tblMovimientos[[#This Row],[Egreso]])</f>
        <v>-60000</v>
      </c>
    </row>
    <row r="595" spans="2:16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46</v>
      </c>
      <c r="H595" s="4" t="str">
        <f>IFERROR(_xlfn.XLOOKUP(G595,Listas!E:E,Listas!F:F,""),"")</f>
        <v>Financiamiento</v>
      </c>
      <c r="I595" s="46" t="str">
        <f>IFERROR(_xlfn.XLOOKUP(G595,Listas!E:E,Listas!G:G,""),"")</f>
        <v>Externo</v>
      </c>
      <c r="J595" s="43">
        <v>68750</v>
      </c>
      <c r="K595" s="5">
        <f t="shared" si="4"/>
        <v>-68750</v>
      </c>
      <c r="L595" s="15" t="s">
        <v>129</v>
      </c>
      <c r="M595" s="44">
        <f>SUMIFS('Saldos Iniciales'!$D$2:$D$38,'Saldos Iniciales'!$A$2:$A$38,C595,'Saldos Iniciales'!$B$2:$B$38,D595)+SUMIFS($K$1:$K$1033,$C$1:$C$1033,C595,$D$1:$D$1033,D595,$B$1:$B$1033,"&lt;="&amp;B595)</f>
        <v>2711244.6800000006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68750</v>
      </c>
      <c r="P595" s="28">
        <f>IF(tblMovimientos[[#This Row],[Tipo de Movimiento]]="Ingreso",tblMovimientos[[#This Row],[Ingreso]],-tblMovimientos[[#This Row],[Egreso]])</f>
        <v>-68750</v>
      </c>
    </row>
    <row r="596" spans="2:16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61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100000</v>
      </c>
      <c r="K596" s="5">
        <f t="shared" si="4"/>
        <v>-100000</v>
      </c>
      <c r="L596" s="15" t="s">
        <v>129</v>
      </c>
      <c r="M596" s="44">
        <f>SUMIFS('Saldos Iniciales'!$D$2:$D$38,'Saldos Iniciales'!$A$2:$A$38,C596,'Saldos Iniciales'!$B$2:$B$38,D596)+SUMIFS($K$1:$K$1033,$C$1:$C$1033,C596,$D$1:$D$1033,D596,$B$1:$B$1033,"&lt;="&amp;B596)</f>
        <v>2711244.6800000006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100000</v>
      </c>
      <c r="P596" s="28">
        <f>IF(tblMovimientos[[#This Row],[Tipo de Movimiento]]="Ingreso",tblMovimientos[[#This Row],[Ingreso]],-tblMovimientos[[#This Row],[Egreso]])</f>
        <v>-100000</v>
      </c>
    </row>
    <row r="597" spans="2:16" x14ac:dyDescent="0.3">
      <c r="B597" s="39">
        <v>46225</v>
      </c>
      <c r="C597" s="46" t="str">
        <f>_xlfn.XLOOKUP(tblMovimientos[[#This Row],[Cuenta Bancaria]],Listas!$B:$B,Listas!$A:$A,"")</f>
        <v>CFT Group</v>
      </c>
      <c r="D597" s="41" t="s">
        <v>95</v>
      </c>
      <c r="E597" s="4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62</v>
      </c>
      <c r="H597" s="4" t="str">
        <f>IFERROR(_xlfn.XLOOKUP(G597,Listas!E:E,Listas!F:F,""),"")</f>
        <v>Operativo</v>
      </c>
      <c r="I597" s="46" t="str">
        <f>IFERROR(_xlfn.XLOOKUP(G597,Listas!E:E,Listas!G:G,""),"")</f>
        <v>Interno</v>
      </c>
      <c r="J597" s="43">
        <v>500000</v>
      </c>
      <c r="K597" s="5">
        <f t="shared" si="4"/>
        <v>-500000</v>
      </c>
      <c r="L597" s="15" t="s">
        <v>129</v>
      </c>
      <c r="M597" s="44">
        <f>SUMIFS('Saldos Iniciales'!$D$2:$D$38,'Saldos Iniciales'!$A$2:$A$38,C597,'Saldos Iniciales'!$B$2:$B$38,D597)+SUMIFS($K$1:$K$1033,$C$1:$C$1033,C597,$D$1:$D$1033,D597,$B$1:$B$1033,"&lt;="&amp;B597)</f>
        <v>2711244.6800000006</v>
      </c>
      <c r="N597" s="65" t="str">
        <f>IF(tblMovimientos[[#This Row],[Tipo de Movimiento]]="Ingreso",tblMovimientos[[#This Row],[Monto (S/)]],"0")</f>
        <v>0</v>
      </c>
      <c r="O597" s="65">
        <f>IF(tblMovimientos[[#This Row],[Tipo de Movimiento]]="Egreso",tblMovimientos[[#This Row],[Monto (S/)]],"0")</f>
        <v>500000</v>
      </c>
      <c r="P597" s="28">
        <f>IF(tblMovimientos[[#This Row],[Tipo de Movimiento]]="Ingreso",tblMovimientos[[#This Row],[Ingreso]],-tblMovimientos[[#This Row],[Egreso]])</f>
        <v>-500000</v>
      </c>
    </row>
    <row r="598" spans="2:16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9</v>
      </c>
      <c r="G598" s="41" t="s">
        <v>75</v>
      </c>
      <c r="H598" s="4" t="str">
        <f>IFERROR(_xlfn.XLOOKUP(G598,Listas!E:E,Listas!F:F,""),"")</f>
        <v>Financiamiento</v>
      </c>
      <c r="I598" s="46" t="str">
        <f>IFERROR(_xlfn.XLOOKUP(G598,Listas!E:E,Listas!G:G,""),"")</f>
        <v>Interno</v>
      </c>
      <c r="J598" s="43">
        <v>500000</v>
      </c>
      <c r="K598" s="5">
        <f t="shared" si="4"/>
        <v>500000</v>
      </c>
      <c r="L598" s="15" t="s">
        <v>129</v>
      </c>
      <c r="M598" s="44">
        <f>SUMIFS('Saldos Iniciales'!$D$2:$D$38,'Saldos Iniciales'!$A$2:$A$38,C598,'Saldos Iniciales'!$B$2:$B$38,D598)+SUMIFS($K$1:$K$1033,$C$1:$C$1033,C598,$D$1:$D$1033,D598,$B$1:$B$1033,"&lt;="&amp;B598)</f>
        <v>1199397.2799999993</v>
      </c>
      <c r="N598" s="65">
        <f>IF(tblMovimientos[[#This Row],[Tipo de Movimiento]]="Ingreso",tblMovimientos[[#This Row],[Monto (S/)]],"0")</f>
        <v>500000</v>
      </c>
      <c r="O598" s="65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500000</v>
      </c>
    </row>
    <row r="599" spans="2:16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4939.9799999999996</v>
      </c>
      <c r="K599" s="5">
        <f t="shared" si="4"/>
        <v>-4939.9799999999996</v>
      </c>
      <c r="L599" s="15" t="s">
        <v>129</v>
      </c>
      <c r="M599" s="44">
        <f>SUMIFS('Saldos Iniciales'!$D$2:$D$38,'Saldos Iniciales'!$A$2:$A$38,C599,'Saldos Iniciales'!$B$2:$B$38,D599)+SUMIFS($K$1:$K$1033,$C$1:$C$1033,C599,$D$1:$D$1033,D599,$B$1:$B$1033,"&lt;="&amp;B599)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4939.9799999999996</v>
      </c>
      <c r="P599" s="28">
        <f>IF(tblMovimientos[[#This Row],[Tipo de Movimiento]]="Ingreso",tblMovimientos[[#This Row],[Ingreso]],-tblMovimientos[[#This Row],[Egreso]])</f>
        <v>-4939.9799999999996</v>
      </c>
    </row>
    <row r="600" spans="2:16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8666.67</v>
      </c>
      <c r="K600" s="5">
        <f t="shared" si="4"/>
        <v>-8666.67</v>
      </c>
      <c r="L600" s="15" t="s">
        <v>129</v>
      </c>
      <c r="M600" s="44">
        <f>SUMIFS('Saldos Iniciales'!$D$2:$D$38,'Saldos Iniciales'!$A$2:$A$38,C600,'Saldos Iniciales'!$B$2:$B$38,D600)+SUMIFS($K$1:$K$1033,$C$1:$C$1033,C600,$D$1:$D$1033,D600,$B$1:$B$1033,"&lt;="&amp;B600)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8666.67</v>
      </c>
      <c r="P600" s="28">
        <f>IF(tblMovimientos[[#This Row],[Tipo de Movimiento]]="Ingreso",tblMovimientos[[#This Row],[Ingreso]],-tblMovimientos[[#This Row],[Egreso]])</f>
        <v>-8666.67</v>
      </c>
    </row>
    <row r="601" spans="2:16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38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10753.2</v>
      </c>
      <c r="K601" s="5">
        <f t="shared" si="4"/>
        <v>-10753.2</v>
      </c>
      <c r="L601" s="15" t="s">
        <v>129</v>
      </c>
      <c r="M601" s="44">
        <f>SUMIFS('Saldos Iniciales'!$D$2:$D$38,'Saldos Iniciales'!$A$2:$A$38,C601,'Saldos Iniciales'!$B$2:$B$38,D601)+SUMIFS($K$1:$K$1033,$C$1:$C$1033,C601,$D$1:$D$1033,D601,$B$1:$B$1033,"&lt;="&amp;B601)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10753.2</v>
      </c>
      <c r="P601" s="28">
        <f>IF(tblMovimientos[[#This Row],[Tipo de Movimiento]]="Ingreso",tblMovimientos[[#This Row],[Ingreso]],-tblMovimientos[[#This Row],[Egreso]])</f>
        <v>-10753.2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46</v>
      </c>
      <c r="H602" s="4" t="str">
        <f>IFERROR(_xlfn.XLOOKUP(G602,Listas!E:E,Listas!F:F,""),"")</f>
        <v>Financiamiento</v>
      </c>
      <c r="I602" s="46" t="str">
        <f>IFERROR(_xlfn.XLOOKUP(G602,Listas!E:E,Listas!G:G,""),"")</f>
        <v>Externo</v>
      </c>
      <c r="J602" s="43">
        <v>13300.05</v>
      </c>
      <c r="K602" s="5">
        <f t="shared" si="4"/>
        <v>-13300.05</v>
      </c>
      <c r="L602" s="15" t="s">
        <v>129</v>
      </c>
      <c r="M602" s="44">
        <f>SUMIFS('Saldos Iniciales'!$D$2:$D$38,'Saldos Iniciales'!$A$2:$A$38,C602,'Saldos Iniciales'!$B$2:$B$38,D602)+SUMIFS($K$1:$K$1033,$C$1:$C$1033,C602,$D$1:$D$1033,D602,$B$1:$B$1033,"&lt;="&amp;B602)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13300.05</v>
      </c>
      <c r="P602" s="28">
        <f>IF(tblMovimientos[[#This Row],[Tipo de Movimiento]]="Ingreso",tblMovimientos[[#This Row],[Ingreso]],-tblMovimientos[[#This Row],[Egreso]])</f>
        <v>-13300.05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38</v>
      </c>
      <c r="H603" s="4" t="str">
        <f>IFERROR(_xlfn.XLOOKUP(G603,Listas!E:E,Listas!F:F,""),"")</f>
        <v>Operativo</v>
      </c>
      <c r="I603" s="46" t="str">
        <f>IFERROR(_xlfn.XLOOKUP(G603,Listas!E:E,Listas!G:G,""),"")</f>
        <v>Externo</v>
      </c>
      <c r="J603" s="43">
        <v>28686.82</v>
      </c>
      <c r="K603" s="5">
        <f t="shared" si="4"/>
        <v>-28686.82</v>
      </c>
      <c r="L603" s="15" t="s">
        <v>129</v>
      </c>
      <c r="M603" s="44">
        <f>SUMIFS('Saldos Iniciales'!$D$2:$D$38,'Saldos Iniciales'!$A$2:$A$38,C603,'Saldos Iniciales'!$B$2:$B$38,D603)+SUMIFS($K$1:$K$1033,$C$1:$C$1033,C603,$D$1:$D$1033,D603,$B$1:$B$1033,"&lt;="&amp;B603)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28686.82</v>
      </c>
      <c r="P603" s="28">
        <f>IF(tblMovimientos[[#This Row],[Tipo de Movimiento]]="Ingreso",tblMovimientos[[#This Row],[Ingreso]],-tblMovimientos[[#This Row],[Egreso]])</f>
        <v>-28686.82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45833.33</v>
      </c>
      <c r="K604" s="5">
        <f t="shared" si="4"/>
        <v>-45833.33</v>
      </c>
      <c r="L604" s="15" t="s">
        <v>129</v>
      </c>
      <c r="M604" s="44">
        <f>SUMIFS('Saldos Iniciales'!$D$2:$D$38,'Saldos Iniciales'!$A$2:$A$38,C604,'Saldos Iniciales'!$B$2:$B$38,D604)+SUMIFS($K$1:$K$1033,$C$1:$C$1033,C604,$D$1:$D$1033,D604,$B$1:$B$1033,"&lt;="&amp;B604)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45833.33</v>
      </c>
      <c r="P604" s="28">
        <f>IF(tblMovimientos[[#This Row],[Tipo de Movimiento]]="Ingreso",tblMovimientos[[#This Row],[Ingreso]],-tblMovimientos[[#This Row],[Egreso]])</f>
        <v>-45833.33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SSP Capital</v>
      </c>
      <c r="D605" s="41" t="s">
        <v>104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46</v>
      </c>
      <c r="H605" s="4" t="str">
        <f>IFERROR(_xlfn.XLOOKUP(G605,Listas!E:E,Listas!F:F,""),"")</f>
        <v>Financiamiento</v>
      </c>
      <c r="I605" s="46" t="str">
        <f>IFERROR(_xlfn.XLOOKUP(G605,Listas!E:E,Listas!G:G,""),"")</f>
        <v>Externo</v>
      </c>
      <c r="J605" s="43">
        <v>109199.95</v>
      </c>
      <c r="K605" s="5">
        <f t="shared" si="4"/>
        <v>-109199.95</v>
      </c>
      <c r="L605" s="15" t="s">
        <v>129</v>
      </c>
      <c r="M605" s="44">
        <f>SUMIFS('Saldos Iniciales'!$D$2:$D$38,'Saldos Iniciales'!$A$2:$A$38,C605,'Saldos Iniciales'!$B$2:$B$38,D605)+SUMIFS($K$1:$K$1033,$C$1:$C$1033,C605,$D$1:$D$1033,D605,$B$1:$B$1033,"&lt;="&amp;B605)</f>
        <v>1199397.2799999993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109199.95</v>
      </c>
      <c r="P605" s="28">
        <f>IF(tblMovimientos[[#This Row],[Tipo de Movimiento]]="Ingreso",tblMovimientos[[#This Row],[Ingreso]],-tblMovimientos[[#This Row],[Egreso]])</f>
        <v>-109199.95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38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674.06</v>
      </c>
      <c r="K606" s="5">
        <f t="shared" si="4"/>
        <v>-674.06</v>
      </c>
      <c r="L606" s="15" t="s">
        <v>129</v>
      </c>
      <c r="M606" s="44">
        <f>SUMIFS('Saldos Iniciales'!$D$2:$D$38,'Saldos Iniciales'!$A$2:$A$38,C606,'Saldos Iniciales'!$B$2:$B$38,D606)+SUMIFS($K$1:$K$1033,$C$1:$C$1033,C606,$D$1:$D$1033,D606,$B$1:$B$1033,"&lt;="&amp;B606)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674.06</v>
      </c>
      <c r="P606" s="28">
        <f>IF(tblMovimientos[[#This Row],[Tipo de Movimiento]]="Ingreso",tblMovimientos[[#This Row],[Ingreso]],-tblMovimientos[[#This Row],[Egreso]])</f>
        <v>-674.06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44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15</v>
      </c>
      <c r="K607" s="5">
        <f t="shared" si="4"/>
        <v>-15</v>
      </c>
      <c r="L607" s="15" t="s">
        <v>129</v>
      </c>
      <c r="M607" s="44">
        <f>SUMIFS('Saldos Iniciales'!$D$2:$D$38,'Saldos Iniciales'!$A$2:$A$38,C607,'Saldos Iniciales'!$B$2:$B$38,D607)+SUMIFS($K$1:$K$1033,$C$1:$C$1033,C607,$D$1:$D$1033,D607,$B$1:$B$1033,"&lt;="&amp;B607)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15</v>
      </c>
      <c r="P607" s="28">
        <f>IF(tblMovimientos[[#This Row],[Tipo de Movimiento]]="Ingreso",tblMovimientos[[#This Row],[Ingreso]],-tblMovimientos[[#This Row],[Egreso]])</f>
        <v>-15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2500</v>
      </c>
      <c r="K608" s="5">
        <f t="shared" si="4"/>
        <v>-2500</v>
      </c>
      <c r="L608" s="15" t="s">
        <v>129</v>
      </c>
      <c r="M608" s="44">
        <f>SUMIFS('Saldos Iniciales'!$D$2:$D$38,'Saldos Iniciales'!$A$2:$A$38,C608,'Saldos Iniciales'!$B$2:$B$38,D608)+SUMIFS($K$1:$K$1033,$C$1:$C$1033,C608,$D$1:$D$1033,D608,$B$1:$B$1033,"&lt;="&amp;B608)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2500</v>
      </c>
      <c r="P608" s="28">
        <f>IF(tblMovimientos[[#This Row],[Tipo de Movimiento]]="Ingreso",tblMovimientos[[#This Row],[Ingreso]],-tblMovimientos[[#This Row],[Egreso]])</f>
        <v>-2500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44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15</v>
      </c>
      <c r="K609" s="5">
        <f t="shared" si="4"/>
        <v>-15</v>
      </c>
      <c r="L609" s="15" t="s">
        <v>129</v>
      </c>
      <c r="M609" s="44">
        <f>SUMIFS('Saldos Iniciales'!$D$2:$D$38,'Saldos Iniciales'!$A$2:$A$38,C609,'Saldos Iniciales'!$B$2:$B$38,D609)+SUMIFS($K$1:$K$1033,$C$1:$C$1033,C609,$D$1:$D$1033,D609,$B$1:$B$1033,"&lt;="&amp;B609)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15</v>
      </c>
      <c r="P609" s="28">
        <f>IF(tblMovimientos[[#This Row],[Tipo de Movimiento]]="Ingreso",tblMovimientos[[#This Row],[Ingreso]],-tblMovimientos[[#This Row],[Egreso]])</f>
        <v>-15</v>
      </c>
    </row>
    <row r="610" spans="1:16" x14ac:dyDescent="0.3">
      <c r="B610" s="39">
        <v>46225</v>
      </c>
      <c r="C610" s="46" t="str">
        <f>_xlfn.XLOOKUP(tblMovimientos[[#This Row],[Cuenta Bancaria]],Listas!$B:$B,Listas!$A:$A,"")</f>
        <v>Go Blue</v>
      </c>
      <c r="D610" s="41" t="s">
        <v>126</v>
      </c>
      <c r="E610" s="4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64</v>
      </c>
      <c r="H610" s="4" t="str">
        <f>IFERROR(_xlfn.XLOOKUP(G610,Listas!E:E,Listas!F:F,""),"")</f>
        <v>Operativo</v>
      </c>
      <c r="I610" s="46" t="str">
        <f>IFERROR(_xlfn.XLOOKUP(G610,Listas!E:E,Listas!G:G,""),"")</f>
        <v>Interno</v>
      </c>
      <c r="J610" s="43">
        <v>5000</v>
      </c>
      <c r="K610" s="5">
        <f t="shared" si="4"/>
        <v>-5000</v>
      </c>
      <c r="L610" s="15" t="s">
        <v>129</v>
      </c>
      <c r="M610" s="44">
        <f>SUMIFS('Saldos Iniciales'!$D$2:$D$38,'Saldos Iniciales'!$A$2:$A$38,C610,'Saldos Iniciales'!$B$2:$B$38,D610)+SUMIFS($K$1:$K$1033,$C$1:$C$1033,C610,$D$1:$D$1033,D610,$B$1:$B$1033,"&lt;="&amp;B610)</f>
        <v>4958.7099999999973</v>
      </c>
      <c r="N610" s="65" t="str">
        <f>IF(tblMovimientos[[#This Row],[Tipo de Movimiento]]="Ingreso",tblMovimientos[[#This Row],[Monto (S/)]],"0")</f>
        <v>0</v>
      </c>
      <c r="O610" s="65">
        <f>IF(tblMovimientos[[#This Row],[Tipo de Movimiento]]="Egreso",tblMovimientos[[#This Row],[Monto (S/)]],"0")</f>
        <v>5000</v>
      </c>
      <c r="P610" s="28">
        <f>IF(tblMovimientos[[#This Row],[Tipo de Movimiento]]="Ingreso",tblMovimientos[[#This Row],[Ingreso]],-tblMovimientos[[#This Row],[Egreso]])</f>
        <v>-5000</v>
      </c>
    </row>
    <row r="611" spans="1:16" x14ac:dyDescent="0.3">
      <c r="B611" s="39">
        <v>46226</v>
      </c>
      <c r="C611" s="46" t="str">
        <f>_xlfn.XLOOKUP(tblMovimientos[[#This Row],[Cuenta Bancaria]],Listas!$B:$B,Listas!$A:$A,"")</f>
        <v>A&amp;M Imports</v>
      </c>
      <c r="D611" s="41" t="s">
        <v>100</v>
      </c>
      <c r="E611" s="4" t="str">
        <f>_xlfn.XLOOKUP(tblMovimientos[[#This Row],[Cuenta Bancaria]],Listas!$B:$B,Listas!$C:$C,"")</f>
        <v>Bank of America</v>
      </c>
      <c r="F611" s="41" t="s">
        <v>9</v>
      </c>
      <c r="G611" s="41" t="s">
        <v>80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39989.699999999997</v>
      </c>
      <c r="K611" s="5">
        <f t="shared" si="4"/>
        <v>39989.699999999997</v>
      </c>
      <c r="L611" s="15" t="s">
        <v>129</v>
      </c>
      <c r="M611" s="44">
        <f>SUMIFS('Saldos Iniciales'!$D$2:$D$38,'Saldos Iniciales'!$A$2:$A$38,C611,'Saldos Iniciales'!$B$2:$B$38,D611)+SUMIFS($K$1:$K$1033,$C$1:$C$1033,C611,$D$1:$D$1033,D611,$B$1:$B$1033,"&lt;="&amp;B611)</f>
        <v>873784.44999999972</v>
      </c>
      <c r="N611" s="65">
        <f>IF(tblMovimientos[[#This Row],[Tipo de Movimiento]]="Ingreso",tblMovimientos[[#This Row],[Monto (S/)]],"0")</f>
        <v>39989.699999999997</v>
      </c>
      <c r="O611" s="65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39989.699999999997</v>
      </c>
    </row>
    <row r="612" spans="1:16" x14ac:dyDescent="0.3">
      <c r="B612" s="39">
        <v>46226</v>
      </c>
      <c r="C612" s="46" t="str">
        <f>_xlfn.XLOOKUP(tblMovimientos[[#This Row],[Cuenta Bancaria]],Listas!$B:$B,Listas!$A:$A,"")</f>
        <v>CFT Group</v>
      </c>
      <c r="D612" s="41" t="s">
        <v>94</v>
      </c>
      <c r="E612" s="4" t="str">
        <f>_xlfn.XLOOKUP(tblMovimientos[[#This Row],[Cuenta Bancaria]],Listas!$B:$B,Listas!$C:$C,"")</f>
        <v>Bank of America</v>
      </c>
      <c r="F612" s="41" t="s">
        <v>10</v>
      </c>
      <c r="G612" s="41" t="s">
        <v>44</v>
      </c>
      <c r="H612" s="4" t="str">
        <f>IFERROR(_xlfn.XLOOKUP(G612,Listas!E:E,Listas!F:F,""),"")</f>
        <v>Operativo</v>
      </c>
      <c r="I612" s="46" t="str">
        <f>IFERROR(_xlfn.XLOOKUP(G612,Listas!E:E,Listas!G:G,""),"")</f>
        <v>Externo</v>
      </c>
      <c r="J612" s="43">
        <v>5</v>
      </c>
      <c r="K612" s="5">
        <f t="shared" si="4"/>
        <v>-5</v>
      </c>
      <c r="L612" s="15" t="s">
        <v>129</v>
      </c>
      <c r="M612" s="44">
        <f>SUMIFS('Saldos Iniciales'!$D$2:$D$38,'Saldos Iniciales'!$A$2:$A$38,C612,'Saldos Iniciales'!$B$2:$B$38,D612)+SUMIFS($K$1:$K$1033,$C$1:$C$1033,C612,$D$1:$D$1033,D612,$B$1:$B$1033,"&lt;="&amp;B612)</f>
        <v>-379416.64</v>
      </c>
      <c r="N612" s="65" t="str">
        <f>IF(tblMovimientos[[#This Row],[Tipo de Movimiento]]="Ingreso",tblMovimientos[[#This Row],[Monto (S/)]],"0")</f>
        <v>0</v>
      </c>
      <c r="O612" s="65">
        <f>IF(tblMovimientos[[#This Row],[Tipo de Movimiento]]="Egreso",tblMovimientos[[#This Row],[Monto (S/)]],"0")</f>
        <v>5</v>
      </c>
      <c r="P612" s="28">
        <f>IF(tblMovimientos[[#This Row],[Tipo de Movimiento]]="Ingreso",tblMovimientos[[#This Row],[Ingreso]],-tblMovimientos[[#This Row],[Egreso]])</f>
        <v>-5</v>
      </c>
    </row>
    <row r="613" spans="1:16" x14ac:dyDescent="0.3">
      <c r="B613" s="39">
        <v>46226</v>
      </c>
      <c r="C613" s="46" t="str">
        <f>_xlfn.XLOOKUP(tblMovimientos[[#This Row],[Cuenta Bancaria]],Listas!$B:$B,Listas!$A:$A,"")</f>
        <v>112 Florida Ave</v>
      </c>
      <c r="D613" s="41" t="s">
        <v>123</v>
      </c>
      <c r="E613" s="4" t="str">
        <f>_xlfn.XLOOKUP(tblMovimientos[[#This Row],[Cuenta Bancaria]],Listas!$B:$B,Listas!$C:$C,"")</f>
        <v>Bank of America</v>
      </c>
      <c r="F613" s="41" t="s">
        <v>9</v>
      </c>
      <c r="G613" s="41" t="s">
        <v>75</v>
      </c>
      <c r="H613" s="4" t="str">
        <f>IFERROR(_xlfn.XLOOKUP(G613,Listas!E:E,Listas!F:F,""),"")</f>
        <v>Financiamiento</v>
      </c>
      <c r="I613" s="46" t="str">
        <f>IFERROR(_xlfn.XLOOKUP(G613,Listas!E:E,Listas!G:G,""),"")</f>
        <v>Interno</v>
      </c>
      <c r="J613" s="43">
        <v>15000</v>
      </c>
      <c r="K613" s="5">
        <f t="shared" si="4"/>
        <v>15000</v>
      </c>
      <c r="L613" s="15" t="s">
        <v>129</v>
      </c>
      <c r="M613" s="44">
        <f>SUMIFS('Saldos Iniciales'!$D$2:$D$38,'Saldos Iniciales'!$A$2:$A$38,C613,'Saldos Iniciales'!$B$2:$B$38,D613)+SUMIFS($K$1:$K$1033,$C$1:$C$1033,C613,$D$1:$D$1033,D613,$B$1:$B$1033,"&lt;="&amp;B613)</f>
        <v>18522.800000000003</v>
      </c>
      <c r="N613" s="65">
        <f>IF(tblMovimientos[[#This Row],[Tipo de Movimiento]]="Ingreso",tblMovimientos[[#This Row],[Monto (S/)]],"0")</f>
        <v>15000</v>
      </c>
      <c r="O613" s="65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15000</v>
      </c>
    </row>
    <row r="614" spans="1:16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169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185.5</v>
      </c>
      <c r="K614" s="5">
        <f t="shared" si="4"/>
        <v>-185.5</v>
      </c>
      <c r="L614" s="15" t="s">
        <v>129</v>
      </c>
      <c r="M614" s="44">
        <f>SUMIFS('Saldos Iniciales'!$D$2:$D$38,'Saldos Iniciales'!$A$2:$A$38,C614,'Saldos Iniciales'!$B$2:$B$38,D614)+SUMIFS($K$1:$K$1033,$C$1:$C$1033,C614,$D$1:$D$1033,D614,$B$1:$B$1033,"&lt;="&amp;B614)</f>
        <v>5000.0000000000009</v>
      </c>
      <c r="N614" s="65" t="str">
        <f>IF(tblMovimientos[[#This Row],[Tipo de Movimiento]]="Ingreso",tblMovimientos[[#This Row],[Monto (S/)]],"0")</f>
        <v>0</v>
      </c>
      <c r="O614" s="65">
        <f>IF(tblMovimientos[[#This Row],[Tipo de Movimiento]]="Egreso",tblMovimientos[[#This Row],[Monto (S/)]],"0")</f>
        <v>185.5</v>
      </c>
      <c r="P614" s="28">
        <f>IF(tblMovimientos[[#This Row],[Tipo de Movimiento]]="Ingreso",tblMovimientos[[#This Row],[Ingreso]],-tblMovimientos[[#This Row],[Egreso]])</f>
        <v>-185.5</v>
      </c>
    </row>
    <row r="615" spans="1:16" x14ac:dyDescent="0.3">
      <c r="B615" s="39">
        <v>46226</v>
      </c>
      <c r="C615" s="46" t="str">
        <f>_xlfn.XLOOKUP(tblMovimientos[[#This Row],[Cuenta Bancaria]],Listas!$B:$B,Listas!$A:$A,"")</f>
        <v>Go Blue</v>
      </c>
      <c r="D615" s="41" t="s">
        <v>169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108.08</v>
      </c>
      <c r="K615" s="5">
        <f t="shared" si="4"/>
        <v>-108.08</v>
      </c>
      <c r="L615" s="15" t="s">
        <v>129</v>
      </c>
      <c r="M615" s="44">
        <f>SUMIFS('Saldos Iniciales'!$D$2:$D$38,'Saldos Iniciales'!$A$2:$A$38,C615,'Saldos Iniciales'!$B$2:$B$38,D615)+SUMIFS($K$1:$K$1033,$C$1:$C$1033,C615,$D$1:$D$1033,D615,$B$1:$B$1033,"&lt;="&amp;B615)</f>
        <v>5000.0000000000009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108.08</v>
      </c>
      <c r="P615" s="28">
        <f>IF(tblMovimientos[[#This Row],[Tipo de Movimiento]]="Ingreso",tblMovimientos[[#This Row],[Ingreso]],-tblMovimientos[[#This Row],[Egreso]])</f>
        <v>-108.08</v>
      </c>
    </row>
    <row r="616" spans="1:16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169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236.32</v>
      </c>
      <c r="K616" s="5">
        <f t="shared" si="4"/>
        <v>-236.32</v>
      </c>
      <c r="L616" s="15" t="s">
        <v>129</v>
      </c>
      <c r="M616" s="44">
        <f>SUMIFS('Saldos Iniciales'!$D$2:$D$38,'Saldos Iniciales'!$A$2:$A$38,C616,'Saldos Iniciales'!$B$2:$B$38,D616)+SUMIFS($K$1:$K$1033,$C$1:$C$1033,C616,$D$1:$D$1033,D616,$B$1:$B$1033,"&lt;="&amp;B616)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236.32</v>
      </c>
      <c r="P616" s="28">
        <f>IF(tblMovimientos[[#This Row],[Tipo de Movimiento]]="Ingreso",tblMovimientos[[#This Row],[Ingreso]],-tblMovimientos[[#This Row],[Egreso]])</f>
        <v>-236.32</v>
      </c>
    </row>
    <row r="617" spans="1:16" x14ac:dyDescent="0.3">
      <c r="B617" s="39">
        <v>46227</v>
      </c>
      <c r="C617" s="46" t="str">
        <f>_xlfn.XLOOKUP(tblMovimientos[[#This Row],[Cuenta Bancaria]],Listas!$B:$B,Listas!$A:$A,"")</f>
        <v>Go Blue</v>
      </c>
      <c r="D617" s="41" t="s">
        <v>169</v>
      </c>
      <c r="E617" s="4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38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164.76</v>
      </c>
      <c r="K617" s="5">
        <f t="shared" si="4"/>
        <v>-164.76</v>
      </c>
      <c r="L617" s="15" t="s">
        <v>129</v>
      </c>
      <c r="M617" s="44">
        <f>SUMIFS('Saldos Iniciales'!$D$2:$D$38,'Saldos Iniciales'!$A$2:$A$38,C617,'Saldos Iniciales'!$B$2:$B$38,D617)+SUMIFS($K$1:$K$1033,$C$1:$C$1033,C617,$D$1:$D$1033,D617,$B$1:$B$1033,"&lt;="&amp;B617)</f>
        <v>4598.920000000001</v>
      </c>
      <c r="N617" s="65" t="str">
        <f>IF(tblMovimientos[[#This Row],[Tipo de Movimiento]]="Ingreso",tblMovimientos[[#This Row],[Monto (S/)]],"0")</f>
        <v>0</v>
      </c>
      <c r="O617" s="65">
        <f>IF(tblMovimientos[[#This Row],[Tipo de Movimiento]]="Egreso",tblMovimientos[[#This Row],[Monto (S/)]],"0")</f>
        <v>164.76</v>
      </c>
      <c r="P617" s="28">
        <f>IF(tblMovimientos[[#This Row],[Tipo de Movimiento]]="Ingreso",tblMovimientos[[#This Row],[Ingreso]],-tblMovimientos[[#This Row],[Egreso]])</f>
        <v>-164.76</v>
      </c>
    </row>
    <row r="618" spans="1:16" x14ac:dyDescent="0.3">
      <c r="B618" s="39">
        <v>46230</v>
      </c>
      <c r="C618" s="46" t="str">
        <f>_xlfn.XLOOKUP(tblMovimientos[[#This Row],[Cuenta Bancaria]],Listas!$B:$B,Listas!$A:$A,"")</f>
        <v>A&amp;M Imports</v>
      </c>
      <c r="D618" s="41" t="s">
        <v>100</v>
      </c>
      <c r="E618" s="4" t="str">
        <f>_xlfn.XLOOKUP(tblMovimientos[[#This Row],[Cuenta Bancaria]],Listas!$B:$B,Listas!$C:$C,"")</f>
        <v>Bank of America</v>
      </c>
      <c r="F618" s="41" t="s">
        <v>9</v>
      </c>
      <c r="G618" s="41" t="s">
        <v>80</v>
      </c>
      <c r="H618" s="4" t="str">
        <f>IFERROR(_xlfn.XLOOKUP(G618,Listas!E:E,Listas!F:F,""),"")</f>
        <v>Operativo</v>
      </c>
      <c r="I618" s="46" t="str">
        <f>IFERROR(_xlfn.XLOOKUP(G618,Listas!E:E,Listas!G:G,""),"")</f>
        <v>Externo</v>
      </c>
      <c r="J618" s="43">
        <v>350000</v>
      </c>
      <c r="K618" s="5">
        <f t="shared" si="4"/>
        <v>350000</v>
      </c>
      <c r="L618" s="15" t="s">
        <v>129</v>
      </c>
      <c r="M618" s="44">
        <f>SUMIFS('Saldos Iniciales'!$D$2:$D$38,'Saldos Iniciales'!$A$2:$A$38,C618,'Saldos Iniciales'!$B$2:$B$38,D618)+SUMIFS($K$1:$K$1033,$C$1:$C$1033,C618,$D$1:$D$1033,D618,$B$1:$B$1033,"&lt;="&amp;B618)</f>
        <v>1223784.4499999997</v>
      </c>
      <c r="N618" s="65">
        <f>IF(tblMovimientos[[#This Row],[Tipo de Movimiento]]="Ingreso",tblMovimientos[[#This Row],[Monto (S/)]],"0")</f>
        <v>350000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350000</v>
      </c>
    </row>
    <row r="619" spans="1:16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169</v>
      </c>
      <c r="E619" s="4" t="str">
        <f>_xlfn.XLOOKUP(tblMovimientos[[#This Row],[Cuenta Bancaria]],Listas!$B:$B,Listas!$C:$C,"")</f>
        <v xml:space="preserve">Amerant Bank </v>
      </c>
      <c r="F619" s="41" t="s">
        <v>9</v>
      </c>
      <c r="G619" s="41" t="s">
        <v>85</v>
      </c>
      <c r="H619" s="4" t="str">
        <f>IFERROR(_xlfn.XLOOKUP(G619,Listas!E:E,Listas!F:F,""),"")</f>
        <v>Operativo</v>
      </c>
      <c r="I619" s="46" t="str">
        <f>IFERROR(_xlfn.XLOOKUP(G619,Listas!E:E,Listas!G:G,""),"")</f>
        <v>Interno</v>
      </c>
      <c r="J619" s="43">
        <v>4000</v>
      </c>
      <c r="K619" s="5">
        <f t="shared" si="4"/>
        <v>4000</v>
      </c>
      <c r="L619" s="15" t="s">
        <v>129</v>
      </c>
      <c r="M619" s="44">
        <f>SUMIFS('Saldos Iniciales'!$D$2:$D$38,'Saldos Iniciales'!$A$2:$A$38,C619,'Saldos Iniciales'!$B$2:$B$38,D619)+SUMIFS($K$1:$K$1033,$C$1:$C$1033,C619,$D$1:$D$1033,D619,$B$1:$B$1033,"&lt;="&amp;B619)</f>
        <v>4459.4700000000012</v>
      </c>
      <c r="N619" s="65">
        <f>IF(tblMovimientos[[#This Row],[Tipo de Movimiento]]="Ingreso",tblMovimientos[[#This Row],[Monto (S/)]],"0")</f>
        <v>4000</v>
      </c>
      <c r="O619" s="65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4000</v>
      </c>
    </row>
    <row r="620" spans="1:16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169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1969.07</v>
      </c>
      <c r="K620" s="5">
        <f t="shared" si="4"/>
        <v>-1969.07</v>
      </c>
      <c r="L620" s="15" t="s">
        <v>129</v>
      </c>
      <c r="M620" s="44">
        <f>SUMIFS('Saldos Iniciales'!$D$2:$D$38,'Saldos Iniciales'!$A$2:$A$38,C620,'Saldos Iniciales'!$B$2:$B$38,D620)+SUMIFS($K$1:$K$1033,$C$1:$C$1033,C620,$D$1:$D$1033,D620,$B$1:$B$1033,"&lt;="&amp;B620)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1969.07</v>
      </c>
      <c r="P620" s="28">
        <f>IF(tblMovimientos[[#This Row],[Tipo de Movimiento]]="Ingreso",tblMovimientos[[#This Row],[Ingreso]],-tblMovimientos[[#This Row],[Egreso]])</f>
        <v>-1969.07</v>
      </c>
    </row>
    <row r="621" spans="1:16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169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145.56</v>
      </c>
      <c r="K621" s="5">
        <f t="shared" si="4"/>
        <v>-145.56</v>
      </c>
      <c r="L621" s="15" t="s">
        <v>129</v>
      </c>
      <c r="M621" s="44">
        <f>SUMIFS('Saldos Iniciales'!$D$2:$D$38,'Saldos Iniciales'!$A$2:$A$38,C621,'Saldos Iniciales'!$B$2:$B$38,D621)+SUMIFS($K$1:$K$1033,$C$1:$C$1033,C621,$D$1:$D$1033,D621,$B$1:$B$1033,"&lt;="&amp;B621)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145.56</v>
      </c>
      <c r="P621" s="28">
        <f>IF(tblMovimientos[[#This Row],[Tipo de Movimiento]]="Ingreso",tblMovimientos[[#This Row],[Ingreso]],-tblMovimientos[[#This Row],[Egreso]])</f>
        <v>-145.56</v>
      </c>
    </row>
    <row r="622" spans="1:16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169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132.26</v>
      </c>
      <c r="K622" s="5">
        <f t="shared" si="4"/>
        <v>-132.26</v>
      </c>
      <c r="L622" s="15" t="s">
        <v>129</v>
      </c>
      <c r="M622" s="44">
        <f>SUMIFS('Saldos Iniciales'!$D$2:$D$38,'Saldos Iniciales'!$A$2:$A$38,C622,'Saldos Iniciales'!$B$2:$B$38,D622)+SUMIFS($K$1:$K$1033,$C$1:$C$1033,C622,$D$1:$D$1033,D622,$B$1:$B$1033,"&lt;="&amp;B622)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132.26</v>
      </c>
      <c r="P622" s="28">
        <f>IF(tblMovimientos[[#This Row],[Tipo de Movimiento]]="Ingreso",tblMovimientos[[#This Row],[Ingreso]],-tblMovimientos[[#This Row],[Egreso]])</f>
        <v>-132.26</v>
      </c>
    </row>
    <row r="623" spans="1:16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169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1463.85</v>
      </c>
      <c r="K623" s="5">
        <f t="shared" si="4"/>
        <v>-1463.85</v>
      </c>
      <c r="L623" s="15" t="s">
        <v>129</v>
      </c>
      <c r="M623" s="44">
        <f>SUMIFS('Saldos Iniciales'!$D$2:$D$38,'Saldos Iniciales'!$A$2:$A$38,C623,'Saldos Iniciales'!$B$2:$B$38,D623)+SUMIFS($K$1:$K$1033,$C$1:$C$1033,C623,$D$1:$D$1033,D623,$B$1:$B$1033,"&lt;="&amp;B623)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1463.85</v>
      </c>
      <c r="P623" s="28">
        <f>IF(tblMovimientos[[#This Row],[Tipo de Movimiento]]="Ingreso",tblMovimientos[[#This Row],[Ingreso]],-tblMovimientos[[#This Row],[Egreso]])</f>
        <v>-1463.85</v>
      </c>
    </row>
    <row r="624" spans="1:16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169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74.7</v>
      </c>
      <c r="K624" s="5">
        <f t="shared" si="4"/>
        <v>-74.7</v>
      </c>
      <c r="L624" s="15" t="s">
        <v>129</v>
      </c>
      <c r="M624" s="44">
        <f>SUMIFS('Saldos Iniciales'!$D$2:$D$38,'Saldos Iniciales'!$A$2:$A$38,C624,'Saldos Iniciales'!$B$2:$B$38,D624)+SUMIFS($K$1:$K$1033,$C$1:$C$1033,C624,$D$1:$D$1033,D624,$B$1:$B$1033,"&lt;="&amp;B624)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74.7</v>
      </c>
      <c r="P624" s="28">
        <f>IF(tblMovimientos[[#This Row],[Tipo de Movimiento]]="Ingreso",tblMovimientos[[#This Row],[Ingreso]],-tblMovimientos[[#This Row],[Egreso]])</f>
        <v>-74.7</v>
      </c>
    </row>
    <row r="625" spans="2:16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169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116.96</v>
      </c>
      <c r="K625" s="5">
        <f t="shared" si="4"/>
        <v>-116.96</v>
      </c>
      <c r="L625" s="15" t="s">
        <v>129</v>
      </c>
      <c r="M625" s="44">
        <f>SUMIFS('Saldos Iniciales'!$D$2:$D$38,'Saldos Iniciales'!$A$2:$A$38,C625,'Saldos Iniciales'!$B$2:$B$38,D625)+SUMIFS($K$1:$K$1033,$C$1:$C$1033,C625,$D$1:$D$1033,D625,$B$1:$B$1033,"&lt;="&amp;B625)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116.96</v>
      </c>
      <c r="P625" s="28">
        <f>IF(tblMovimientos[[#This Row],[Tipo de Movimiento]]="Ingreso",tblMovimientos[[#This Row],[Ingreso]],-tblMovimientos[[#This Row],[Egreso]])</f>
        <v>-116.96</v>
      </c>
    </row>
    <row r="626" spans="2:16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169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79.430000000000007</v>
      </c>
      <c r="K626" s="5">
        <f t="shared" ref="K626:K670" si="5">IF(F626="Ingreso",J626,-J626)</f>
        <v>-79.430000000000007</v>
      </c>
      <c r="L626" s="15" t="s">
        <v>129</v>
      </c>
      <c r="M626" s="44">
        <f>SUMIFS('Saldos Iniciales'!$D$2:$D$38,'Saldos Iniciales'!$A$2:$A$38,C626,'Saldos Iniciales'!$B$2:$B$38,D626)+SUMIFS($K$1:$K$1033,$C$1:$C$1033,C626,$D$1:$D$1033,D626,$B$1:$B$1033,"&lt;="&amp;B626)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79.430000000000007</v>
      </c>
      <c r="P626" s="28">
        <f>IF(tblMovimientos[[#This Row],[Tipo de Movimiento]]="Ingreso",tblMovimientos[[#This Row],[Ingreso]],-tblMovimientos[[#This Row],[Egreso]])</f>
        <v>-79.430000000000007</v>
      </c>
    </row>
    <row r="627" spans="2:16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169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81.56</v>
      </c>
      <c r="K627" s="5">
        <f t="shared" si="5"/>
        <v>-81.56</v>
      </c>
      <c r="L627" s="15" t="s">
        <v>129</v>
      </c>
      <c r="M627" s="44">
        <f>SUMIFS('Saldos Iniciales'!$D$2:$D$38,'Saldos Iniciales'!$A$2:$A$38,C627,'Saldos Iniciales'!$B$2:$B$38,D627)+SUMIFS($K$1:$K$1033,$C$1:$C$1033,C627,$D$1:$D$1033,D627,$B$1:$B$1033,"&lt;="&amp;B627)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81.56</v>
      </c>
      <c r="P627" s="28">
        <f>IF(tblMovimientos[[#This Row],[Tipo de Movimiento]]="Ingreso",tblMovimientos[[#This Row],[Ingreso]],-tblMovimientos[[#This Row],[Egreso]])</f>
        <v>-81.56</v>
      </c>
    </row>
    <row r="628" spans="2:16" x14ac:dyDescent="0.3">
      <c r="B628" s="39">
        <v>46230</v>
      </c>
      <c r="C628" s="46" t="str">
        <f>_xlfn.XLOOKUP(tblMovimientos[[#This Row],[Cuenta Bancaria]],Listas!$B:$B,Listas!$A:$A,"")</f>
        <v>Go Blue</v>
      </c>
      <c r="D628" s="41" t="s">
        <v>169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76.06</v>
      </c>
      <c r="K628" s="5">
        <f t="shared" si="5"/>
        <v>-76.06</v>
      </c>
      <c r="L628" s="15" t="s">
        <v>129</v>
      </c>
      <c r="M628" s="44">
        <f>SUMIFS('Saldos Iniciales'!$D$2:$D$38,'Saldos Iniciales'!$A$2:$A$38,C628,'Saldos Iniciales'!$B$2:$B$38,D628)+SUMIFS($K$1:$K$1033,$C$1:$C$1033,C628,$D$1:$D$1033,D628,$B$1:$B$1033,"&lt;="&amp;B628)</f>
        <v>4459.4700000000012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76.06</v>
      </c>
      <c r="P628" s="28">
        <f>IF(tblMovimientos[[#This Row],[Tipo de Movimiento]]="Ingreso",tblMovimientos[[#This Row],[Ingreso]],-tblMovimientos[[#This Row],[Egreso]])</f>
        <v>-76.06</v>
      </c>
    </row>
    <row r="629" spans="2:16" x14ac:dyDescent="0.3">
      <c r="B629" s="39">
        <v>46230</v>
      </c>
      <c r="C629" s="46" t="str">
        <f>_xlfn.XLOOKUP(tblMovimientos[[#This Row],[Cuenta Bancaria]],Listas!$B:$B,Listas!$A:$A,"")</f>
        <v>Cross Family Trust</v>
      </c>
      <c r="D629" s="41" t="s">
        <v>111</v>
      </c>
      <c r="E629" s="4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53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 t="shared" si="5"/>
        <v>-10000</v>
      </c>
      <c r="L629" s="15" t="s">
        <v>129</v>
      </c>
      <c r="M629" s="44">
        <f>SUMIFS('Saldos Iniciales'!$D$2:$D$38,'Saldos Iniciales'!$A$2:$A$38,C629,'Saldos Iniciales'!$B$2:$B$38,D629)+SUMIFS($K$1:$K$1033,$C$1:$C$1033,C629,$D$1:$D$1033,D629,$B$1:$B$1033,"&lt;="&amp;B629)</f>
        <v>81717.600000000006</v>
      </c>
      <c r="N629" s="65" t="str">
        <f>IF(tblMovimientos[[#This Row],[Tipo de Movimiento]]="Ingreso",tblMovimientos[[#This Row],[Monto (S/)]],"0")</f>
        <v>0</v>
      </c>
      <c r="O629" s="65">
        <f>IF(tblMovimientos[[#This Row],[Tipo de Movimiento]]="Egreso",tblMovimientos[[#This Row],[Monto (S/)]],"0")</f>
        <v>10000</v>
      </c>
      <c r="P629" s="28">
        <f>IF(tblMovimientos[[#This Row],[Tipo de Movimiento]]="Ingreso",tblMovimientos[[#This Row],[Ingreso]],-tblMovimientos[[#This Row],[Egreso]])</f>
        <v>-10000</v>
      </c>
    </row>
    <row r="630" spans="2:16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9</v>
      </c>
      <c r="G630" s="41" t="s">
        <v>77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 t="shared" si="5"/>
        <v>10000</v>
      </c>
      <c r="L630" s="15" t="s">
        <v>129</v>
      </c>
      <c r="M630" s="44">
        <f>SUMIFS('Saldos Iniciales'!$D$2:$D$38,'Saldos Iniciales'!$A$2:$A$38,C630,'Saldos Iniciales'!$B$2:$B$38,D630)+SUMIFS($K$1:$K$1033,$C$1:$C$1033,C630,$D$1:$D$1033,D630,$B$1:$B$1033,"&lt;="&amp;B630)</f>
        <v>345</v>
      </c>
      <c r="N630" s="65">
        <f>IF(tblMovimientos[[#This Row],[Tipo de Movimiento]]="Ingreso",tblMovimientos[[#This Row],[Monto (S/)]],"0")</f>
        <v>10000</v>
      </c>
      <c r="O630" s="65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10000</v>
      </c>
    </row>
    <row r="631" spans="2:16" x14ac:dyDescent="0.3">
      <c r="B631" s="39">
        <v>46230</v>
      </c>
      <c r="C631" s="46" t="str">
        <f>_xlfn.XLOOKUP(tblMovimientos[[#This Row],[Cuenta Bancaria]],Listas!$B:$B,Listas!$A:$A,"")</f>
        <v>Green Harbor Trust</v>
      </c>
      <c r="D631" s="41" t="s">
        <v>125</v>
      </c>
      <c r="E631" s="4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53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 t="shared" si="5"/>
        <v>-10000</v>
      </c>
      <c r="L631" s="15" t="s">
        <v>129</v>
      </c>
      <c r="M631" s="44">
        <f>SUMIFS('Saldos Iniciales'!$D$2:$D$38,'Saldos Iniciales'!$A$2:$A$38,C631,'Saldos Iniciales'!$B$2:$B$38,D631)+SUMIFS($K$1:$K$1033,$C$1:$C$1033,C631,$D$1:$D$1033,D631,$B$1:$B$1033,"&lt;="&amp;B631)</f>
        <v>345</v>
      </c>
      <c r="N631" s="65" t="str">
        <f>IF(tblMovimientos[[#This Row],[Tipo de Movimiento]]="Ingreso",tblMovimientos[[#This Row],[Monto (S/)]],"0")</f>
        <v>0</v>
      </c>
      <c r="O631" s="65">
        <f>IF(tblMovimientos[[#This Row],[Tipo de Movimiento]]="Egreso",tblMovimientos[[#This Row],[Monto (S/)]],"0")</f>
        <v>10000</v>
      </c>
      <c r="P631" s="28">
        <f>IF(tblMovimientos[[#This Row],[Tipo de Movimiento]]="Ingreso",tblMovimientos[[#This Row],[Ingreso]],-tblMovimientos[[#This Row],[Egreso]])</f>
        <v>-10000</v>
      </c>
    </row>
    <row r="632" spans="2:16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9</v>
      </c>
      <c r="G632" s="41" t="s">
        <v>77</v>
      </c>
      <c r="H632" s="4" t="str">
        <f>IFERROR(_xlfn.XLOOKUP(G632,Listas!E:E,Listas!F:F,""),"")</f>
        <v>Inversion</v>
      </c>
      <c r="I632" s="46" t="str">
        <f>IFERROR(_xlfn.XLOOKUP(G632,Listas!E:E,Listas!G:G,""),"")</f>
        <v>Interno</v>
      </c>
      <c r="J632" s="43">
        <v>10000</v>
      </c>
      <c r="K632" s="5">
        <f t="shared" si="5"/>
        <v>10000</v>
      </c>
      <c r="L632" s="15" t="s">
        <v>129</v>
      </c>
      <c r="M632" s="44">
        <f>SUMIFS('Saldos Iniciales'!$D$2:$D$38,'Saldos Iniciales'!$A$2:$A$38,C632,'Saldos Iniciales'!$B$2:$B$38,D632)+SUMIFS($K$1:$K$1033,$C$1:$C$1033,C632,$D$1:$D$1033,D632,$B$1:$B$1033,"&lt;="&amp;B632)</f>
        <v>10958.709999999997</v>
      </c>
      <c r="N632" s="65">
        <f>IF(tblMovimientos[[#This Row],[Tipo de Movimiento]]="Ingreso",tblMovimientos[[#This Row],[Monto (S/)]],"0")</f>
        <v>10000</v>
      </c>
      <c r="O632" s="65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10000</v>
      </c>
    </row>
    <row r="633" spans="2:16" x14ac:dyDescent="0.3">
      <c r="B633" s="39">
        <v>46230</v>
      </c>
      <c r="C633" s="46" t="str">
        <f>_xlfn.XLOOKUP(tblMovimientos[[#This Row],[Cuenta Bancaria]],Listas!$B:$B,Listas!$A:$A,"")</f>
        <v>Go Blue</v>
      </c>
      <c r="D633" s="41" t="s">
        <v>126</v>
      </c>
      <c r="E633" s="4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64</v>
      </c>
      <c r="H633" s="4" t="str">
        <f>IFERROR(_xlfn.XLOOKUP(G633,Listas!E:E,Listas!F:F,""),"")</f>
        <v>Operativo</v>
      </c>
      <c r="I633" s="46" t="str">
        <f>IFERROR(_xlfn.XLOOKUP(G633,Listas!E:E,Listas!G:G,""),"")</f>
        <v>Interno</v>
      </c>
      <c r="J633" s="43">
        <v>4000</v>
      </c>
      <c r="K633" s="5">
        <f t="shared" si="5"/>
        <v>-4000</v>
      </c>
      <c r="L633" s="15" t="s">
        <v>129</v>
      </c>
      <c r="M633" s="44">
        <f>SUMIFS('Saldos Iniciales'!$D$2:$D$38,'Saldos Iniciales'!$A$2:$A$38,C633,'Saldos Iniciales'!$B$2:$B$38,D633)+SUMIFS($K$1:$K$1033,$C$1:$C$1033,C633,$D$1:$D$1033,D633,$B$1:$B$1033,"&lt;="&amp;B633)</f>
        <v>10958.709999999997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4000</v>
      </c>
      <c r="P633" s="28">
        <f>IF(tblMovimientos[[#This Row],[Tipo de Movimiento]]="Ingreso",tblMovimientos[[#This Row],[Ingreso]],-tblMovimientos[[#This Row],[Egreso]])</f>
        <v>-4000</v>
      </c>
    </row>
    <row r="634" spans="2:16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526.75</v>
      </c>
      <c r="K634" s="5">
        <f t="shared" si="5"/>
        <v>-526.75</v>
      </c>
      <c r="L634" s="15" t="s">
        <v>129</v>
      </c>
      <c r="M634" s="44">
        <f>SUMIFS('Saldos Iniciales'!$D$2:$D$38,'Saldos Iniciales'!$A$2:$A$38,C634,'Saldos Iniciales'!$B$2:$B$38,D634)+SUMIFS($K$1:$K$1033,$C$1:$C$1033,C634,$D$1:$D$1033,D634,$B$1:$B$1033,"&lt;="&amp;B634)</f>
        <v>20390.14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526.75</v>
      </c>
      <c r="P634" s="28">
        <f>IF(tblMovimientos[[#This Row],[Tipo de Movimiento]]="Ingreso",tblMovimientos[[#This Row],[Ingreso]],-tblMovimientos[[#This Row],[Egreso]])</f>
        <v>-526.75</v>
      </c>
    </row>
    <row r="635" spans="2:16" x14ac:dyDescent="0.3">
      <c r="B635" s="39">
        <v>46231</v>
      </c>
      <c r="C635" s="46" t="str">
        <f>_xlfn.XLOOKUP(tblMovimientos[[#This Row],[Cuenta Bancaria]],Listas!$B:$B,Listas!$A:$A,"")</f>
        <v>SSP Capital</v>
      </c>
      <c r="D635" s="41" t="s">
        <v>101</v>
      </c>
      <c r="E635" s="4" t="str">
        <f>_xlfn.XLOOKUP(tblMovimientos[[#This Row],[Cuenta Bancaria]],Listas!$B:$B,Listas!$C:$C,"")</f>
        <v>Bank of America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193.19</v>
      </c>
      <c r="K635" s="5">
        <f t="shared" si="5"/>
        <v>-193.19</v>
      </c>
      <c r="L635" s="15" t="s">
        <v>129</v>
      </c>
      <c r="M635" s="44">
        <f>SUMIFS('Saldos Iniciales'!$D$2:$D$38,'Saldos Iniciales'!$A$2:$A$38,C635,'Saldos Iniciales'!$B$2:$B$38,D635)+SUMIFS($K$1:$K$1033,$C$1:$C$1033,C635,$D$1:$D$1033,D635,$B$1:$B$1033,"&lt;="&amp;B635)</f>
        <v>20390.14</v>
      </c>
      <c r="N635" s="65" t="str">
        <f>IF(tblMovimientos[[#This Row],[Tipo de Movimiento]]="Ingreso",tblMovimientos[[#This Row],[Monto (S/)]],"0")</f>
        <v>0</v>
      </c>
      <c r="O635" s="65">
        <f>IF(tblMovimientos[[#This Row],[Tipo de Movimiento]]="Egreso",tblMovimientos[[#This Row],[Monto (S/)]],"0")</f>
        <v>193.19</v>
      </c>
      <c r="P635" s="28">
        <f>IF(tblMovimientos[[#This Row],[Tipo de Movimiento]]="Ingreso",tblMovimientos[[#This Row],[Ingreso]],-tblMovimientos[[#This Row],[Egreso]])</f>
        <v>-193.19</v>
      </c>
    </row>
    <row r="636" spans="2:16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17345.61</v>
      </c>
      <c r="K636" s="5">
        <f t="shared" si="5"/>
        <v>17345.61</v>
      </c>
      <c r="L636" s="15" t="s">
        <v>129</v>
      </c>
      <c r="M636" s="44">
        <f>SUMIFS('Saldos Iniciales'!$D$2:$D$38,'Saldos Iniciales'!$A$2:$A$38,C636,'Saldos Iniciales'!$B$2:$B$38,D636)+SUMIFS($K$1:$K$1033,$C$1:$C$1033,C636,$D$1:$D$1033,D636,$B$1:$B$1033,"&lt;="&amp;B636)</f>
        <v>1246676.4999999998</v>
      </c>
      <c r="N636" s="65">
        <f>IF(tblMovimientos[[#This Row],[Tipo de Movimiento]]="Ingreso",tblMovimientos[[#This Row],[Monto (S/)]],"0")</f>
        <v>17345.61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17345.61</v>
      </c>
    </row>
    <row r="637" spans="2:16" x14ac:dyDescent="0.3">
      <c r="B637" s="39">
        <v>46231</v>
      </c>
      <c r="C637" s="46" t="str">
        <f>_xlfn.XLOOKUP(tblMovimientos[[#This Row],[Cuenta Bancaria]],Listas!$B:$B,Listas!$A:$A,"")</f>
        <v>A&amp;M Imports</v>
      </c>
      <c r="D637" s="41" t="s">
        <v>100</v>
      </c>
      <c r="E637" s="4" t="str">
        <f>_xlfn.XLOOKUP(tblMovimientos[[#This Row],[Cuenta Bancaria]],Listas!$B:$B,Listas!$C:$C,"")</f>
        <v>Bank of America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5546.44</v>
      </c>
      <c r="K637" s="5">
        <f t="shared" si="5"/>
        <v>5546.44</v>
      </c>
      <c r="L637" s="15" t="s">
        <v>129</v>
      </c>
      <c r="M637" s="44">
        <f>SUMIFS('Saldos Iniciales'!$D$2:$D$38,'Saldos Iniciales'!$A$2:$A$38,C637,'Saldos Iniciales'!$B$2:$B$38,D637)+SUMIFS($K$1:$K$1033,$C$1:$C$1033,C637,$D$1:$D$1033,D637,$B$1:$B$1033,"&lt;="&amp;B637)</f>
        <v>1246676.4999999998</v>
      </c>
      <c r="N637" s="65">
        <f>IF(tblMovimientos[[#This Row],[Tipo de Movimiento]]="Ingreso",tblMovimientos[[#This Row],[Monto (S/)]],"0")</f>
        <v>5546.44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5546.44</v>
      </c>
    </row>
    <row r="638" spans="2:16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442.33</v>
      </c>
      <c r="K638" s="5">
        <f t="shared" si="5"/>
        <v>442.33</v>
      </c>
      <c r="L638" s="15" t="s">
        <v>129</v>
      </c>
      <c r="M638" s="44">
        <f>SUMIFS('Saldos Iniciales'!$D$2:$D$38,'Saldos Iniciales'!$A$2:$A$38,C638,'Saldos Iniciales'!$B$2:$B$38,D638)+SUMIFS($K$1:$K$1033,$C$1:$C$1033,C638,$D$1:$D$1033,D638,$B$1:$B$1033,"&lt;="&amp;B638)</f>
        <v>75574.12000000017</v>
      </c>
      <c r="N638" s="65">
        <f>IF(tblMovimientos[[#This Row],[Tipo de Movimiento]]="Ingreso",tblMovimientos[[#This Row],[Monto (S/)]],"0")</f>
        <v>442.33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442.33</v>
      </c>
    </row>
    <row r="639" spans="2:16" x14ac:dyDescent="0.3">
      <c r="B639" s="39">
        <v>46231</v>
      </c>
      <c r="C639" s="46" t="str">
        <f>_xlfn.XLOOKUP(tblMovimientos[[#This Row],[Cuenta Bancaria]],Listas!$B:$B,Listas!$A:$A,"")</f>
        <v>M1B</v>
      </c>
      <c r="D639" s="41" t="s">
        <v>97</v>
      </c>
      <c r="E639" s="4" t="str">
        <f>_xlfn.XLOOKUP(tblMovimientos[[#This Row],[Cuenta Bancaria]],Listas!$B:$B,Listas!$C:$C,"")</f>
        <v xml:space="preserve">Amerant Bank </v>
      </c>
      <c r="F639" s="41" t="s">
        <v>9</v>
      </c>
      <c r="G639" s="41" t="s">
        <v>68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6974.11</v>
      </c>
      <c r="K639" s="5">
        <f t="shared" si="5"/>
        <v>6974.11</v>
      </c>
      <c r="L639" s="15" t="s">
        <v>129</v>
      </c>
      <c r="M639" s="44">
        <f>SUMIFS('Saldos Iniciales'!$D$2:$D$38,'Saldos Iniciales'!$A$2:$A$38,C639,'Saldos Iniciales'!$B$2:$B$38,D639)+SUMIFS($K$1:$K$1033,$C$1:$C$1033,C639,$D$1:$D$1033,D639,$B$1:$B$1033,"&lt;="&amp;B639)</f>
        <v>75574.12000000017</v>
      </c>
      <c r="N639" s="65">
        <f>IF(tblMovimientos[[#This Row],[Tipo de Movimiento]]="Ingreso",tblMovimientos[[#This Row],[Monto (S/)]],"0")</f>
        <v>6974.11</v>
      </c>
      <c r="O639" s="65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6974.11</v>
      </c>
    </row>
    <row r="640" spans="2:16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169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237</v>
      </c>
      <c r="K640" s="5">
        <f t="shared" si="5"/>
        <v>-237</v>
      </c>
      <c r="L640" s="15" t="s">
        <v>129</v>
      </c>
      <c r="M640" s="44">
        <f>SUMIFS('Saldos Iniciales'!$D$2:$D$38,'Saldos Iniciales'!$A$2:$A$38,C640,'Saldos Iniciales'!$B$2:$B$38,D640)+SUMIFS($K$1:$K$1033,$C$1:$C$1033,C640,$D$1:$D$1033,D640,$B$1:$B$1033,"&lt;="&amp;B640)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237</v>
      </c>
      <c r="P640" s="28">
        <f>IF(tblMovimientos[[#This Row],[Tipo de Movimiento]]="Ingreso",tblMovimientos[[#This Row],[Ingreso]],-tblMovimientos[[#This Row],[Egreso]])</f>
        <v>-237</v>
      </c>
    </row>
    <row r="641" spans="2:16" x14ac:dyDescent="0.3">
      <c r="B641" s="39">
        <v>46231</v>
      </c>
      <c r="C641" s="46" t="str">
        <f>_xlfn.XLOOKUP(tblMovimientos[[#This Row],[Cuenta Bancaria]],Listas!$B:$B,Listas!$A:$A,"")</f>
        <v>Go Blue</v>
      </c>
      <c r="D641" s="41" t="s">
        <v>169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38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87.09</v>
      </c>
      <c r="K641" s="5">
        <f t="shared" si="5"/>
        <v>-87.09</v>
      </c>
      <c r="L641" s="15" t="s">
        <v>129</v>
      </c>
      <c r="M641" s="44">
        <f>SUMIFS('Saldos Iniciales'!$D$2:$D$38,'Saldos Iniciales'!$A$2:$A$38,C641,'Saldos Iniciales'!$B$2:$B$38,D641)+SUMIFS($K$1:$K$1033,$C$1:$C$1033,C641,$D$1:$D$1033,D641,$B$1:$B$1033,"&lt;="&amp;B641)</f>
        <v>4135.380000000001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87.09</v>
      </c>
      <c r="P641" s="28">
        <f>IF(tblMovimientos[[#This Row],[Tipo de Movimiento]]="Ingreso",tblMovimientos[[#This Row],[Ingreso]],-tblMovimientos[[#This Row],[Egreso]])</f>
        <v>-87.09</v>
      </c>
    </row>
    <row r="642" spans="2:16" x14ac:dyDescent="0.3">
      <c r="B642" s="39">
        <v>46231</v>
      </c>
      <c r="C642" s="46" t="str">
        <f>_xlfn.XLOOKUP(tblMovimientos[[#This Row],[Cuenta Bancaria]],Listas!$B:$B,Listas!$A:$A,"")</f>
        <v>SSP Capital</v>
      </c>
      <c r="D642" s="41" t="s">
        <v>104</v>
      </c>
      <c r="E642" s="4" t="str">
        <f>_xlfn.XLOOKUP(tblMovimientos[[#This Row],[Cuenta Bancaria]],Listas!$B:$B,Listas!$C:$C,"")</f>
        <v xml:space="preserve">Amerant Bank </v>
      </c>
      <c r="F642" s="41" t="s">
        <v>10</v>
      </c>
      <c r="G642" s="41" t="s">
        <v>40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164160.82999999999</v>
      </c>
      <c r="K642" s="5">
        <f t="shared" si="5"/>
        <v>-164160.82999999999</v>
      </c>
      <c r="L642" s="15" t="s">
        <v>129</v>
      </c>
      <c r="M642" s="44">
        <f>SUMIFS('Saldos Iniciales'!$D$2:$D$38,'Saldos Iniciales'!$A$2:$A$38,C642,'Saldos Iniciales'!$B$2:$B$38,D642)+SUMIFS($K$1:$K$1033,$C$1:$C$1033,C642,$D$1:$D$1033,D642,$B$1:$B$1033,"&lt;="&amp;B642)</f>
        <v>1035236.4499999994</v>
      </c>
      <c r="N642" s="65" t="str">
        <f>IF(tblMovimientos[[#This Row],[Tipo de Movimiento]]="Ingreso",tblMovimientos[[#This Row],[Monto (S/)]],"0")</f>
        <v>0</v>
      </c>
      <c r="O642" s="65">
        <f>IF(tblMovimientos[[#This Row],[Tipo de Movimiento]]="Egreso",tblMovimientos[[#This Row],[Monto (S/)]],"0")</f>
        <v>164160.82999999999</v>
      </c>
      <c r="P642" s="28">
        <f>IF(tblMovimientos[[#This Row],[Tipo de Movimiento]]="Ingreso",tblMovimientos[[#This Row],[Ingreso]],-tblMovimientos[[#This Row],[Egreso]])</f>
        <v>-164160.82999999999</v>
      </c>
    </row>
    <row r="643" spans="2:16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17545.53</v>
      </c>
      <c r="K643" s="5">
        <f t="shared" si="5"/>
        <v>17545.53</v>
      </c>
      <c r="L643" s="15" t="s">
        <v>129</v>
      </c>
      <c r="M643" s="44">
        <f>SUMIFS('Saldos Iniciales'!$D$2:$D$38,'Saldos Iniciales'!$A$2:$A$38,C643,'Saldos Iniciales'!$B$2:$B$38,D643)+SUMIFS($K$1:$K$1033,$C$1:$C$1033,C643,$D$1:$D$1033,D643,$B$1:$B$1033,"&lt;="&amp;B643)</f>
        <v>1265674.3599999999</v>
      </c>
      <c r="N643" s="65">
        <f>IF(tblMovimientos[[#This Row],[Tipo de Movimiento]]="Ingreso",tblMovimientos[[#This Row],[Monto (S/)]],"0")</f>
        <v>17545.53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17545.53</v>
      </c>
    </row>
    <row r="644" spans="2:16" x14ac:dyDescent="0.3">
      <c r="B644" s="39">
        <v>46232</v>
      </c>
      <c r="C644" s="46" t="str">
        <f>_xlfn.XLOOKUP(tblMovimientos[[#This Row],[Cuenta Bancaria]],Listas!$B:$B,Listas!$A:$A,"")</f>
        <v>A&amp;M Imports</v>
      </c>
      <c r="D644" s="41" t="s">
        <v>100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1452.33</v>
      </c>
      <c r="K644" s="5">
        <f t="shared" si="5"/>
        <v>1452.33</v>
      </c>
      <c r="L644" s="15" t="s">
        <v>129</v>
      </c>
      <c r="M644" s="44">
        <f>SUMIFS('Saldos Iniciales'!$D$2:$D$38,'Saldos Iniciales'!$A$2:$A$38,C644,'Saldos Iniciales'!$B$2:$B$38,D644)+SUMIFS($K$1:$K$1033,$C$1:$C$1033,C644,$D$1:$D$1033,D644,$B$1:$B$1033,"&lt;="&amp;B644)</f>
        <v>1265674.3599999999</v>
      </c>
      <c r="N644" s="65">
        <f>IF(tblMovimientos[[#This Row],[Tipo de Movimiento]]="Ingreso",tblMovimientos[[#This Row],[Monto (S/)]],"0")</f>
        <v>1452.33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1452.33</v>
      </c>
    </row>
    <row r="645" spans="2:16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7471.23</v>
      </c>
      <c r="K645" s="5">
        <f t="shared" si="5"/>
        <v>7471.23</v>
      </c>
      <c r="L645" s="15" t="s">
        <v>129</v>
      </c>
      <c r="M645" s="44">
        <f>SUMIFS('Saldos Iniciales'!$D$2:$D$38,'Saldos Iniciales'!$A$2:$A$38,C645,'Saldos Iniciales'!$B$2:$B$38,D645)+SUMIFS($K$1:$K$1033,$C$1:$C$1033,C645,$D$1:$D$1033,D645,$B$1:$B$1033,"&lt;="&amp;B645)</f>
        <v>-364628.25</v>
      </c>
      <c r="N645" s="65">
        <f>IF(tblMovimientos[[#This Row],[Tipo de Movimiento]]="Ingreso",tblMovimientos[[#This Row],[Monto (S/)]],"0")</f>
        <v>7471.23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7471.23</v>
      </c>
    </row>
    <row r="646" spans="2:16" x14ac:dyDescent="0.3">
      <c r="B646" s="39">
        <v>46232</v>
      </c>
      <c r="C646" s="46" t="str">
        <f>_xlfn.XLOOKUP(tblMovimientos[[#This Row],[Cuenta Bancaria]],Listas!$B:$B,Listas!$A:$A,"")</f>
        <v>CFT Group</v>
      </c>
      <c r="D646" s="41" t="s">
        <v>94</v>
      </c>
      <c r="E646" s="4" t="str">
        <f>_xlfn.XLOOKUP(tblMovimientos[[#This Row],[Cuenta Bancaria]],Listas!$B:$B,Listas!$C:$C,"")</f>
        <v>Bank of America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7317.16</v>
      </c>
      <c r="K646" s="5">
        <f t="shared" si="5"/>
        <v>7317.16</v>
      </c>
      <c r="L646" s="15" t="s">
        <v>129</v>
      </c>
      <c r="M646" s="44">
        <f>SUMIFS('Saldos Iniciales'!$D$2:$D$38,'Saldos Iniciales'!$A$2:$A$38,C646,'Saldos Iniciales'!$B$2:$B$38,D646)+SUMIFS($K$1:$K$1033,$C$1:$C$1033,C646,$D$1:$D$1033,D646,$B$1:$B$1033,"&lt;="&amp;B646)</f>
        <v>-364628.25</v>
      </c>
      <c r="N646" s="65">
        <f>IF(tblMovimientos[[#This Row],[Tipo de Movimiento]]="Ingreso",tblMovimientos[[#This Row],[Monto (S/)]],"0")</f>
        <v>7317.16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7317.16</v>
      </c>
    </row>
    <row r="647" spans="2:16" x14ac:dyDescent="0.3">
      <c r="B647" s="39">
        <v>46232</v>
      </c>
      <c r="C647" s="46" t="str">
        <f>_xlfn.XLOOKUP(tblMovimientos[[#This Row],[Cuenta Bancaria]],Listas!$B:$B,Listas!$A:$A,"")</f>
        <v>M1B</v>
      </c>
      <c r="D647" s="41" t="s">
        <v>97</v>
      </c>
      <c r="E647" s="4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2637.13</v>
      </c>
      <c r="K647" s="5">
        <f t="shared" si="5"/>
        <v>2637.13</v>
      </c>
      <c r="L647" s="15" t="s">
        <v>129</v>
      </c>
      <c r="M647" s="44">
        <f>SUMIFS('Saldos Iniciales'!$D$2:$D$38,'Saldos Iniciales'!$A$2:$A$38,C647,'Saldos Iniciales'!$B$2:$B$38,D647)+SUMIFS($K$1:$K$1033,$C$1:$C$1033,C647,$D$1:$D$1033,D647,$B$1:$B$1033,"&lt;="&amp;B647)</f>
        <v>78211.250000000175</v>
      </c>
      <c r="N647" s="65">
        <f>IF(tblMovimientos[[#This Row],[Tipo de Movimiento]]="Ingreso",tblMovimientos[[#This Row],[Monto (S/)]],"0")</f>
        <v>2637.13</v>
      </c>
      <c r="O647" s="65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2637.13</v>
      </c>
    </row>
    <row r="648" spans="2:16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169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168.79</v>
      </c>
      <c r="K648" s="5">
        <f t="shared" si="5"/>
        <v>-168.79</v>
      </c>
      <c r="L648" s="15" t="s">
        <v>129</v>
      </c>
      <c r="M648" s="44">
        <f>SUMIFS('Saldos Iniciales'!$D$2:$D$38,'Saldos Iniciales'!$A$2:$A$38,C648,'Saldos Iniciales'!$B$2:$B$38,D648)+SUMIFS($K$1:$K$1033,$C$1:$C$1033,C648,$D$1:$D$1033,D648,$B$1:$B$1033,"&lt;="&amp;B648)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168.79</v>
      </c>
      <c r="P648" s="28">
        <f>IF(tblMovimientos[[#This Row],[Tipo de Movimiento]]="Ingreso",tblMovimientos[[#This Row],[Ingreso]],-tblMovimientos[[#This Row],[Egreso]])</f>
        <v>-168.79</v>
      </c>
    </row>
    <row r="649" spans="2:16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169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1300.76</v>
      </c>
      <c r="K649" s="5">
        <f t="shared" si="5"/>
        <v>-1300.76</v>
      </c>
      <c r="L649" s="15" t="s">
        <v>129</v>
      </c>
      <c r="M649" s="44">
        <f>SUMIFS('Saldos Iniciales'!$D$2:$D$38,'Saldos Iniciales'!$A$2:$A$38,C649,'Saldos Iniciales'!$B$2:$B$38,D649)+SUMIFS($K$1:$K$1033,$C$1:$C$1033,C649,$D$1:$D$1033,D649,$B$1:$B$1033,"&lt;="&amp;B649)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1300.76</v>
      </c>
      <c r="P649" s="28">
        <f>IF(tblMovimientos[[#This Row],[Tipo de Movimiento]]="Ingreso",tblMovimientos[[#This Row],[Ingreso]],-tblMovimientos[[#This Row],[Egreso]])</f>
        <v>-1300.76</v>
      </c>
    </row>
    <row r="650" spans="2:16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169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132.08000000000001</v>
      </c>
      <c r="K650" s="5">
        <f t="shared" si="5"/>
        <v>-132.08000000000001</v>
      </c>
      <c r="L650" s="15" t="s">
        <v>129</v>
      </c>
      <c r="M650" s="44">
        <f>SUMIFS('Saldos Iniciales'!$D$2:$D$38,'Saldos Iniciales'!$A$2:$A$38,C650,'Saldos Iniciales'!$B$2:$B$38,D650)+SUMIFS($K$1:$K$1033,$C$1:$C$1033,C650,$D$1:$D$1033,D650,$B$1:$B$1033,"&lt;="&amp;B650)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132.08000000000001</v>
      </c>
      <c r="P650" s="28">
        <f>IF(tblMovimientos[[#This Row],[Tipo de Movimiento]]="Ingreso",tblMovimientos[[#This Row],[Ingreso]],-tblMovimientos[[#This Row],[Egreso]])</f>
        <v>-132.08000000000001</v>
      </c>
    </row>
    <row r="651" spans="2:16" x14ac:dyDescent="0.3">
      <c r="B651" s="39">
        <v>46232</v>
      </c>
      <c r="C651" s="46" t="str">
        <f>_xlfn.XLOOKUP(tblMovimientos[[#This Row],[Cuenta Bancaria]],Listas!$B:$B,Listas!$A:$A,"")</f>
        <v>Go Blue</v>
      </c>
      <c r="D651" s="41" t="s">
        <v>169</v>
      </c>
      <c r="E651" s="4" t="str">
        <f>_xlfn.XLOOKUP(tblMovimientos[[#This Row],[Cuenta Bancaria]],Listas!$B:$B,Listas!$C:$C,"")</f>
        <v xml:space="preserve">Amerant Bank </v>
      </c>
      <c r="F651" s="41" t="s">
        <v>10</v>
      </c>
      <c r="G651" s="41" t="s">
        <v>38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22.68</v>
      </c>
      <c r="K651" s="5">
        <f t="shared" si="5"/>
        <v>-22.68</v>
      </c>
      <c r="L651" s="15" t="s">
        <v>129</v>
      </c>
      <c r="M651" s="44">
        <f>SUMIFS('Saldos Iniciales'!$D$2:$D$38,'Saldos Iniciales'!$A$2:$A$38,C651,'Saldos Iniciales'!$B$2:$B$38,D651)+SUMIFS($K$1:$K$1033,$C$1:$C$1033,C651,$D$1:$D$1033,D651,$B$1:$B$1033,"&lt;="&amp;B651)</f>
        <v>2511.070000000002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22.68</v>
      </c>
      <c r="P651" s="28">
        <f>IF(tblMovimientos[[#This Row],[Tipo de Movimiento]]="Ingreso",tblMovimientos[[#This Row],[Ingreso]],-tblMovimientos[[#This Row],[Egreso]])</f>
        <v>-22.68</v>
      </c>
    </row>
    <row r="652" spans="2:16" x14ac:dyDescent="0.3">
      <c r="B652" s="39">
        <v>46233</v>
      </c>
      <c r="C652" s="46" t="str">
        <f>_xlfn.XLOOKUP(tblMovimientos[[#This Row],[Cuenta Bancaria]],Listas!$B:$B,Listas!$A:$A,"")</f>
        <v>SSP Capital</v>
      </c>
      <c r="D652" s="41" t="s">
        <v>101</v>
      </c>
      <c r="E652" s="4" t="str">
        <f>_xlfn.XLOOKUP(tblMovimientos[[#This Row],[Cuenta Bancaria]],Listas!$B:$B,Listas!$C:$C,"")</f>
        <v>Bank of America</v>
      </c>
      <c r="F652" s="41" t="s">
        <v>10</v>
      </c>
      <c r="G652" s="41" t="s">
        <v>45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3.25</v>
      </c>
      <c r="K652" s="5">
        <f t="shared" si="5"/>
        <v>-3.25</v>
      </c>
      <c r="L652" s="15" t="s">
        <v>129</v>
      </c>
      <c r="M652" s="44">
        <f>SUMIFS('Saldos Iniciales'!$D$2:$D$38,'Saldos Iniciales'!$A$2:$A$38,C652,'Saldos Iniciales'!$B$2:$B$38,D652)+SUMIFS($K$1:$K$1033,$C$1:$C$1033,C652,$D$1:$D$1033,D652,$B$1:$B$1033,"&lt;="&amp;B652)</f>
        <v>20386.89</v>
      </c>
      <c r="N652" s="65" t="str">
        <f>IF(tblMovimientos[[#This Row],[Tipo de Movimiento]]="Ingreso",tblMovimientos[[#This Row],[Monto (S/)]],"0")</f>
        <v>0</v>
      </c>
      <c r="O652" s="65">
        <f>IF(tblMovimientos[[#This Row],[Tipo de Movimiento]]="Egreso",tblMovimientos[[#This Row],[Monto (S/)]],"0")</f>
        <v>3.25</v>
      </c>
      <c r="P652" s="28">
        <f>IF(tblMovimientos[[#This Row],[Tipo de Movimiento]]="Ingreso",tblMovimientos[[#This Row],[Ingreso]],-tblMovimientos[[#This Row],[Egreso]])</f>
        <v>-3.25</v>
      </c>
    </row>
    <row r="653" spans="2:16" x14ac:dyDescent="0.3">
      <c r="B653" s="39">
        <v>46233</v>
      </c>
      <c r="C653" s="46" t="str">
        <f>_xlfn.XLOOKUP(tblMovimientos[[#This Row],[Cuenta Bancaria]],Listas!$B:$B,Listas!$A:$A,"")</f>
        <v>A&amp;M Imports</v>
      </c>
      <c r="D653" s="41" t="s">
        <v>100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23791.439999999999</v>
      </c>
      <c r="K653" s="5">
        <f t="shared" si="5"/>
        <v>23791.439999999999</v>
      </c>
      <c r="L653" s="15" t="s">
        <v>129</v>
      </c>
      <c r="M653" s="44">
        <f>SUMIFS('Saldos Iniciales'!$D$2:$D$38,'Saldos Iniciales'!$A$2:$A$38,C653,'Saldos Iniciales'!$B$2:$B$38,D653)+SUMIFS($K$1:$K$1033,$C$1:$C$1033,C653,$D$1:$D$1033,D653,$B$1:$B$1033,"&lt;="&amp;B653)</f>
        <v>1289465.7999999998</v>
      </c>
      <c r="N653" s="65">
        <f>IF(tblMovimientos[[#This Row],[Tipo de Movimiento]]="Ingreso",tblMovimientos[[#This Row],[Monto (S/)]],"0")</f>
        <v>23791.439999999999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23791.439999999999</v>
      </c>
    </row>
    <row r="654" spans="2:16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129678.6</v>
      </c>
      <c r="K654" s="5">
        <f t="shared" si="5"/>
        <v>129678.6</v>
      </c>
      <c r="L654" s="15" t="s">
        <v>129</v>
      </c>
      <c r="M654" s="44">
        <f>SUMIFS('Saldos Iniciales'!$D$2:$D$38,'Saldos Iniciales'!$A$2:$A$38,C654,'Saldos Iniciales'!$B$2:$B$38,D654)+SUMIFS($K$1:$K$1033,$C$1:$C$1033,C654,$D$1:$D$1033,D654,$B$1:$B$1033,"&lt;="&amp;B654)</f>
        <v>-164816.68</v>
      </c>
      <c r="N654" s="65">
        <f>IF(tblMovimientos[[#This Row],[Tipo de Movimiento]]="Ingreso",tblMovimientos[[#This Row],[Monto (S/)]],"0")</f>
        <v>129678.6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129678.6</v>
      </c>
    </row>
    <row r="655" spans="2:16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71403.73</v>
      </c>
      <c r="K655" s="5">
        <f t="shared" si="5"/>
        <v>71403.73</v>
      </c>
      <c r="L655" s="15" t="s">
        <v>129</v>
      </c>
      <c r="M655" s="44">
        <f>SUMIFS('Saldos Iniciales'!$D$2:$D$38,'Saldos Iniciales'!$A$2:$A$38,C655,'Saldos Iniciales'!$B$2:$B$38,D655)+SUMIFS($K$1:$K$1033,$C$1:$C$1033,C655,$D$1:$D$1033,D655,$B$1:$B$1033,"&lt;="&amp;B655)</f>
        <v>-164816.68</v>
      </c>
      <c r="N655" s="65">
        <f>IF(tblMovimientos[[#This Row],[Tipo de Movimiento]]="Ingreso",tblMovimientos[[#This Row],[Monto (S/)]],"0")</f>
        <v>71403.73</v>
      </c>
      <c r="O655" s="65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71403.73</v>
      </c>
    </row>
    <row r="656" spans="2:16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40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1270.43</v>
      </c>
      <c r="K656" s="5">
        <f t="shared" si="5"/>
        <v>-1270.43</v>
      </c>
      <c r="L656" s="15" t="s">
        <v>129</v>
      </c>
      <c r="M656" s="44">
        <f>SUMIFS('Saldos Iniciales'!$D$2:$D$38,'Saldos Iniciales'!$A$2:$A$38,C656,'Saldos Iniciales'!$B$2:$B$38,D656)+SUMIFS($K$1:$K$1033,$C$1:$C$1033,C656,$D$1:$D$1033,D656,$B$1:$B$1033,"&lt;="&amp;B656)</f>
        <v>-164816.68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1270.43</v>
      </c>
      <c r="P656" s="28">
        <f>IF(tblMovimientos[[#This Row],[Tipo de Movimiento]]="Ingreso",tblMovimientos[[#This Row],[Ingreso]],-tblMovimientos[[#This Row],[Egreso]])</f>
        <v>-1270.43</v>
      </c>
    </row>
    <row r="657" spans="1:16" x14ac:dyDescent="0.3">
      <c r="B657" s="39">
        <v>46233</v>
      </c>
      <c r="C657" s="46" t="str">
        <f>_xlfn.XLOOKUP(tblMovimientos[[#This Row],[Cuenta Bancaria]],Listas!$B:$B,Listas!$A:$A,"")</f>
        <v>CFT Group</v>
      </c>
      <c r="D657" s="41" t="s">
        <v>94</v>
      </c>
      <c r="E657" s="4" t="str">
        <f>_xlfn.XLOOKUP(tblMovimientos[[#This Row],[Cuenta Bancaria]],Listas!$B:$B,Listas!$C:$C,"")</f>
        <v>Bank of America</v>
      </c>
      <c r="F657" s="41" t="s">
        <v>10</v>
      </c>
      <c r="G657" s="41" t="s">
        <v>45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0.33</v>
      </c>
      <c r="K657" s="5">
        <f t="shared" si="5"/>
        <v>-0.33</v>
      </c>
      <c r="L657" s="15" t="s">
        <v>129</v>
      </c>
      <c r="M657" s="44">
        <f>SUMIFS('Saldos Iniciales'!$D$2:$D$38,'Saldos Iniciales'!$A$2:$A$38,C657,'Saldos Iniciales'!$B$2:$B$38,D657)+SUMIFS($K$1:$K$1033,$C$1:$C$1033,C657,$D$1:$D$1033,D657,$B$1:$B$1033,"&lt;="&amp;B657)</f>
        <v>-164816.68</v>
      </c>
      <c r="N657" s="65" t="str">
        <f>IF(tblMovimientos[[#This Row],[Tipo de Movimiento]]="Ingreso",tblMovimientos[[#This Row],[Monto (S/)]],"0")</f>
        <v>0</v>
      </c>
      <c r="O657" s="65">
        <f>IF(tblMovimientos[[#This Row],[Tipo de Movimiento]]="Egreso",tblMovimientos[[#This Row],[Monto (S/)]],"0")</f>
        <v>0.33</v>
      </c>
      <c r="P657" s="28">
        <f>IF(tblMovimientos[[#This Row],[Tipo de Movimiento]]="Ingreso",tblMovimientos[[#This Row],[Ingreso]],-tblMovimientos[[#This Row],[Egreso]])</f>
        <v>-0.33</v>
      </c>
    </row>
    <row r="658" spans="1:16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169</v>
      </c>
      <c r="E658" s="4" t="str">
        <f>_xlfn.XLOOKUP(tblMovimientos[[#This Row],[Cuenta Bancaria]],Listas!$B:$B,Listas!$C:$C,"")</f>
        <v xml:space="preserve">Amerant Bank </v>
      </c>
      <c r="F658" s="41" t="s">
        <v>9</v>
      </c>
      <c r="G658" s="41" t="s">
        <v>85</v>
      </c>
      <c r="H658" s="4" t="str">
        <f>IFERROR(_xlfn.XLOOKUP(G658,Listas!E:E,Listas!F:F,""),"")</f>
        <v>Operativo</v>
      </c>
      <c r="I658" s="46" t="str">
        <f>IFERROR(_xlfn.XLOOKUP(G658,Listas!E:E,Listas!G:G,""),"")</f>
        <v>Interno</v>
      </c>
      <c r="J658" s="43">
        <v>2000</v>
      </c>
      <c r="K658" s="5">
        <f t="shared" si="5"/>
        <v>2000</v>
      </c>
      <c r="L658" s="15" t="s">
        <v>129</v>
      </c>
      <c r="M658" s="44">
        <f>SUMIFS('Saldos Iniciales'!$D$2:$D$38,'Saldos Iniciales'!$A$2:$A$38,C658,'Saldos Iniciales'!$B$2:$B$38,D658)+SUMIFS($K$1:$K$1033,$C$1:$C$1033,C658,$D$1:$D$1033,D658,$B$1:$B$1033,"&lt;="&amp;B658)</f>
        <v>2676.2200000000021</v>
      </c>
      <c r="N658" s="65">
        <f>IF(tblMovimientos[[#This Row],[Tipo de Movimiento]]="Ingreso",tblMovimientos[[#This Row],[Monto (S/)]],"0")</f>
        <v>2000</v>
      </c>
      <c r="O658" s="65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2000</v>
      </c>
    </row>
    <row r="659" spans="1:16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169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694</v>
      </c>
      <c r="K659" s="5">
        <f t="shared" si="5"/>
        <v>-694</v>
      </c>
      <c r="L659" s="15" t="s">
        <v>129</v>
      </c>
      <c r="M659" s="44">
        <f>SUMIFS('Saldos Iniciales'!$D$2:$D$38,'Saldos Iniciales'!$A$2:$A$38,C659,'Saldos Iniciales'!$B$2:$B$38,D659)+SUMIFS($K$1:$K$1033,$C$1:$C$1033,C659,$D$1:$D$1033,D659,$B$1:$B$1033,"&lt;="&amp;B659)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694</v>
      </c>
      <c r="P659" s="28">
        <f>IF(tblMovimientos[[#This Row],[Tipo de Movimiento]]="Ingreso",tblMovimientos[[#This Row],[Ingreso]],-tblMovimientos[[#This Row],[Egreso]])</f>
        <v>-694</v>
      </c>
    </row>
    <row r="660" spans="1:16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169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1032.81</v>
      </c>
      <c r="K660" s="5">
        <f t="shared" si="5"/>
        <v>-1032.81</v>
      </c>
      <c r="L660" s="15" t="s">
        <v>129</v>
      </c>
      <c r="M660" s="44">
        <f>SUMIFS('Saldos Iniciales'!$D$2:$D$38,'Saldos Iniciales'!$A$2:$A$38,C660,'Saldos Iniciales'!$B$2:$B$38,D660)+SUMIFS($K$1:$K$1033,$C$1:$C$1033,C660,$D$1:$D$1033,D660,$B$1:$B$1033,"&lt;="&amp;B660)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1032.81</v>
      </c>
      <c r="P660" s="28">
        <f>IF(tblMovimientos[[#This Row],[Tipo de Movimiento]]="Ingreso",tblMovimientos[[#This Row],[Ingreso]],-tblMovimientos[[#This Row],[Egreso]])</f>
        <v>-1032.81</v>
      </c>
    </row>
    <row r="661" spans="1:16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169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38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108.04</v>
      </c>
      <c r="K661" s="5">
        <f t="shared" si="5"/>
        <v>-108.04</v>
      </c>
      <c r="L661" s="15" t="s">
        <v>129</v>
      </c>
      <c r="M661" s="44">
        <f>SUMIFS('Saldos Iniciales'!$D$2:$D$38,'Saldos Iniciales'!$A$2:$A$38,C661,'Saldos Iniciales'!$B$2:$B$38,D661)+SUMIFS($K$1:$K$1033,$C$1:$C$1033,C661,$D$1:$D$1033,D661,$B$1:$B$1033,"&lt;="&amp;B661)</f>
        <v>2676.2200000000021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108.04</v>
      </c>
      <c r="P661" s="28">
        <f>IF(tblMovimientos[[#This Row],[Tipo de Movimiento]]="Ingreso",tblMovimientos[[#This Row],[Ingreso]],-tblMovimientos[[#This Row],[Egreso]])</f>
        <v>-108.04</v>
      </c>
    </row>
    <row r="662" spans="1:16" x14ac:dyDescent="0.3">
      <c r="B662" s="39">
        <v>46233</v>
      </c>
      <c r="C662" s="46" t="str">
        <f>_xlfn.XLOOKUP(tblMovimientos[[#This Row],[Cuenta Bancaria]],Listas!$B:$B,Listas!$A:$A,"")</f>
        <v>Go Blue</v>
      </c>
      <c r="D662" s="41" t="s">
        <v>126</v>
      </c>
      <c r="E662" s="4" t="str">
        <f>_xlfn.XLOOKUP(tblMovimientos[[#This Row],[Cuenta Bancaria]],Listas!$B:$B,Listas!$C:$C,"")</f>
        <v xml:space="preserve">Amerant Bank 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2000</v>
      </c>
      <c r="K662" s="5">
        <f t="shared" si="5"/>
        <v>-2000</v>
      </c>
      <c r="L662" s="15" t="s">
        <v>129</v>
      </c>
      <c r="M662" s="44">
        <f>SUMIFS('Saldos Iniciales'!$D$2:$D$38,'Saldos Iniciales'!$A$2:$A$38,C662,'Saldos Iniciales'!$B$2:$B$38,D662)+SUMIFS($K$1:$K$1033,$C$1:$C$1033,C662,$D$1:$D$1033,D662,$B$1:$B$1033,"&lt;="&amp;B662)</f>
        <v>8958.7099999999973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2000</v>
      </c>
      <c r="P662" s="28">
        <f>IF(tblMovimientos[[#This Row],[Tipo de Movimiento]]="Ingreso",tblMovimientos[[#This Row],[Ingreso]],-tblMovimientos[[#This Row],[Egreso]])</f>
        <v>-2000</v>
      </c>
    </row>
    <row r="663" spans="1:16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101</v>
      </c>
      <c r="E663" s="4" t="str">
        <f>_xlfn.XLOOKUP(tblMovimientos[[#This Row],[Cuenta Bancaria]],Listas!$B:$B,Listas!$C:$C,"")</f>
        <v>Bank of America</v>
      </c>
      <c r="F663" s="41" t="s">
        <v>10</v>
      </c>
      <c r="G663" s="41" t="s">
        <v>64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 t="shared" si="5"/>
        <v>-1000</v>
      </c>
      <c r="L663" s="15" t="s">
        <v>129</v>
      </c>
      <c r="M663" s="44">
        <f>SUMIFS('Saldos Iniciales'!$D$2:$D$38,'Saldos Iniciales'!$A$2:$A$38,C663,'Saldos Iniciales'!$B$2:$B$38,D663)+SUMIFS($K$1:$K$1033,$C$1:$C$1033,C663,$D$1:$D$1033,D663,$B$1:$B$1033,"&lt;="&amp;B663)</f>
        <v>19386.89</v>
      </c>
      <c r="N663" s="65" t="str">
        <f>IF(tblMovimientos[[#This Row],[Tipo de Movimiento]]="Ingreso",tblMovimientos[[#This Row],[Monto (S/)]],"0")</f>
        <v>0</v>
      </c>
      <c r="O663" s="65">
        <f>IF(tblMovimientos[[#This Row],[Tipo de Movimiento]]="Egreso",tblMovimientos[[#This Row],[Monto (S/)]],"0")</f>
        <v>1000</v>
      </c>
      <c r="P663" s="28">
        <f>IF(tblMovimientos[[#This Row],[Tipo de Movimiento]]="Ingreso",tblMovimientos[[#This Row],[Ingreso]],-tblMovimientos[[#This Row],[Egreso]])</f>
        <v>-1000</v>
      </c>
    </row>
    <row r="664" spans="1:16" x14ac:dyDescent="0.3">
      <c r="B664" s="39">
        <v>46234</v>
      </c>
      <c r="C664" s="46" t="str">
        <f>_xlfn.XLOOKUP(tblMovimientos[[#This Row],[Cuenta Bancaria]],Listas!$B:$B,Listas!$A:$A,"")</f>
        <v>SSP Capital</v>
      </c>
      <c r="D664" s="41" t="s">
        <v>102</v>
      </c>
      <c r="E664" s="4" t="str">
        <f>_xlfn.XLOOKUP(tblMovimientos[[#This Row],[Cuenta Bancaria]],Listas!$B:$B,Listas!$C:$C,"")</f>
        <v>Bank of America</v>
      </c>
      <c r="F664" s="41" t="s">
        <v>9</v>
      </c>
      <c r="G664" s="41" t="s">
        <v>85</v>
      </c>
      <c r="H664" s="4" t="str">
        <f>IFERROR(_xlfn.XLOOKUP(G664,Listas!E:E,Listas!F:F,""),"")</f>
        <v>Operativo</v>
      </c>
      <c r="I664" s="46" t="str">
        <f>IFERROR(_xlfn.XLOOKUP(G664,Listas!E:E,Listas!G:G,""),"")</f>
        <v>Interno</v>
      </c>
      <c r="J664" s="43">
        <v>1000</v>
      </c>
      <c r="K664" s="5">
        <f t="shared" si="5"/>
        <v>1000</v>
      </c>
      <c r="L664" s="15" t="s">
        <v>129</v>
      </c>
      <c r="M664" s="44">
        <f>SUMIFS('Saldos Iniciales'!$D$2:$D$38,'Saldos Iniciales'!$A$2:$A$38,C664,'Saldos Iniciales'!$B$2:$B$38,D664)+SUMIFS($K$1:$K$1033,$C$1:$C$1033,C664,$D$1:$D$1033,D664,$B$1:$B$1033,"&lt;="&amp;B664)</f>
        <v>1170.8200000000002</v>
      </c>
      <c r="N664" s="65">
        <f>IF(tblMovimientos[[#This Row],[Tipo de Movimiento]]="Ingreso",tblMovimientos[[#This Row],[Monto (S/)]],"0")</f>
        <v>1000</v>
      </c>
      <c r="O664" s="65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1000</v>
      </c>
    </row>
    <row r="665" spans="1:16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40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1707.52</v>
      </c>
      <c r="K665" s="5">
        <f t="shared" si="5"/>
        <v>-1707.52</v>
      </c>
      <c r="L665" s="15" t="s">
        <v>129</v>
      </c>
      <c r="M665" s="44">
        <f>SUMIFS('Saldos Iniciales'!$D$2:$D$38,'Saldos Iniciales'!$A$2:$A$38,C665,'Saldos Iniciales'!$B$2:$B$38,D665)+SUMIFS($K$1:$K$1033,$C$1:$C$1033,C665,$D$1:$D$1033,D665,$B$1:$B$1033,"&lt;="&amp;B665)</f>
        <v>-167135.29999999999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1707.52</v>
      </c>
      <c r="P665" s="28">
        <f>IF(tblMovimientos[[#This Row],[Tipo de Movimiento]]="Ingreso",tblMovimientos[[#This Row],[Ingreso]],-tblMovimientos[[#This Row],[Egreso]])</f>
        <v>-1707.52</v>
      </c>
    </row>
    <row r="666" spans="1:16" x14ac:dyDescent="0.3">
      <c r="B666" s="39">
        <v>46234</v>
      </c>
      <c r="C666" s="46" t="str">
        <f>_xlfn.XLOOKUP(tblMovimientos[[#This Row],[Cuenta Bancaria]],Listas!$B:$B,Listas!$A:$A,"")</f>
        <v>CFT Group</v>
      </c>
      <c r="D666" s="41" t="s">
        <v>94</v>
      </c>
      <c r="E666" s="4" t="str">
        <f>_xlfn.XLOOKUP(tblMovimientos[[#This Row],[Cuenta Bancaria]],Listas!$B:$B,Listas!$C:$C,"")</f>
        <v>Bank of America</v>
      </c>
      <c r="F666" s="41" t="s">
        <v>10</v>
      </c>
      <c r="G666" s="41" t="s">
        <v>45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611.1</v>
      </c>
      <c r="K666" s="5">
        <f t="shared" si="5"/>
        <v>-611.1</v>
      </c>
      <c r="L666" s="15" t="s">
        <v>129</v>
      </c>
      <c r="M666" s="44">
        <f>SUMIFS('Saldos Iniciales'!$D$2:$D$38,'Saldos Iniciales'!$A$2:$A$38,C666,'Saldos Iniciales'!$B$2:$B$38,D666)+SUMIFS($K$1:$K$1033,$C$1:$C$1033,C666,$D$1:$D$1033,D666,$B$1:$B$1033,"&lt;="&amp;B666)</f>
        <v>-167135.29999999999</v>
      </c>
      <c r="N666" s="65" t="str">
        <f>IF(tblMovimientos[[#This Row],[Tipo de Movimiento]]="Ingreso",tblMovimientos[[#This Row],[Monto (S/)]],"0")</f>
        <v>0</v>
      </c>
      <c r="O666" s="65">
        <f>IF(tblMovimientos[[#This Row],[Tipo de Movimiento]]="Egreso",tblMovimientos[[#This Row],[Monto (S/)]],"0")</f>
        <v>611.1</v>
      </c>
      <c r="P666" s="28">
        <f>IF(tblMovimientos[[#This Row],[Tipo de Movimiento]]="Ingreso",tblMovimientos[[#This Row],[Ingreso]],-tblMovimientos[[#This Row],[Egreso]])</f>
        <v>-611.1</v>
      </c>
    </row>
    <row r="667" spans="1:16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106</v>
      </c>
      <c r="E667" s="46" t="str">
        <f>_xlfn.XLOOKUP(tblMovimientos[[#This Row],[Cuenta Bancaria]],Listas!$B:$B,Listas!$C:$C,"")</f>
        <v xml:space="preserve">Amerant Bank </v>
      </c>
      <c r="F667" s="41" t="s">
        <v>9</v>
      </c>
      <c r="G667" s="41" t="s">
        <v>84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2426.71</v>
      </c>
      <c r="K667" s="5">
        <f t="shared" si="5"/>
        <v>2426.71</v>
      </c>
      <c r="L667" s="15" t="s">
        <v>129</v>
      </c>
      <c r="M667" s="44">
        <f>SUMIFS('Saldos Iniciales'!$D$2:$D$38,'Saldos Iniciales'!$A$2:$A$38,C667,'Saldos Iniciales'!$B$2:$B$38,D667)+SUMIFS($K$1:$K$1033,$C$1:$C$1033,C667,$D$1:$D$1033,D667,$B$1:$B$1033,"&lt;="&amp;B667)</f>
        <v>809107.32</v>
      </c>
      <c r="N667" s="65">
        <f>IF(tblMovimientos[[#This Row],[Tipo de Movimiento]]="Ingreso",tblMovimientos[[#This Row],[Monto (S/)]],"0")</f>
        <v>2426.71</v>
      </c>
      <c r="O667" s="65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2426.71</v>
      </c>
    </row>
    <row r="668" spans="1:16" x14ac:dyDescent="0.3">
      <c r="B668" s="39">
        <v>46234</v>
      </c>
      <c r="C668" s="46" t="str">
        <f>_xlfn.XLOOKUP(tblMovimientos[[#This Row],[Cuenta Bancaria]],Listas!$B:$B,Listas!$A:$A,"")</f>
        <v>SSP Capital</v>
      </c>
      <c r="D668" s="41" t="s">
        <v>104</v>
      </c>
      <c r="E668" s="4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45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345943.44</v>
      </c>
      <c r="K668" s="5">
        <f t="shared" si="5"/>
        <v>-345943.44</v>
      </c>
      <c r="L668" s="15" t="s">
        <v>129</v>
      </c>
      <c r="M668" s="44">
        <f>SUMIFS('Saldos Iniciales'!$D$2:$D$38,'Saldos Iniciales'!$A$2:$A$38,C668,'Saldos Iniciales'!$B$2:$B$38,D668)+SUMIFS($K$1:$K$1033,$C$1:$C$1033,C668,$D$1:$D$1033,D668,$B$1:$B$1033,"&lt;="&amp;B668)</f>
        <v>689293.00999999931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345943.44</v>
      </c>
      <c r="P668" s="28">
        <f>IF(tblMovimientos[[#This Row],[Tipo de Movimiento]]="Ingreso",tblMovimientos[[#This Row],[Ingreso]],-tblMovimientos[[#This Row],[Egreso]])</f>
        <v>-345943.44</v>
      </c>
    </row>
    <row r="669" spans="1:16" x14ac:dyDescent="0.3">
      <c r="B669" s="39">
        <v>46237</v>
      </c>
      <c r="C669" s="46" t="str">
        <f>_xlfn.XLOOKUP(tblMovimientos[[#This Row],[Cuenta Bancaria]],Listas!$B:$B,Listas!$A:$A,"")</f>
        <v>Sacred Valley Capital</v>
      </c>
      <c r="D669" s="41" t="s">
        <v>114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 t="shared" si="5"/>
        <v>-29.95</v>
      </c>
      <c r="L669" s="15" t="s">
        <v>132</v>
      </c>
      <c r="M669" s="44">
        <f>SUMIFS('Saldos Iniciales'!$D$2:$D$38,'Saldos Iniciales'!$A$2:$A$38,C669,'Saldos Iniciales'!$B$2:$B$38,D669)+SUMIFS($K$1:$K$1033,$C$1:$C$1033,C669,$D$1:$D$1033,D669,$B$1:$B$1033,"&lt;="&amp;B669)</f>
        <v>24.450000000000003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</row>
    <row r="670" spans="1:16" x14ac:dyDescent="0.3">
      <c r="B670" s="39">
        <v>46237</v>
      </c>
      <c r="C670" s="46" t="str">
        <f>_xlfn.XLOOKUP(tblMovimientos[[#This Row],[Cuenta Bancaria]],Listas!$B:$B,Listas!$A:$A,"")</f>
        <v>YWC Capital</v>
      </c>
      <c r="D670" s="41" t="s">
        <v>115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29.95</v>
      </c>
      <c r="K670" s="5">
        <f t="shared" si="5"/>
        <v>-29.95</v>
      </c>
      <c r="L670" s="15" t="s">
        <v>132</v>
      </c>
      <c r="M670" s="44">
        <f>SUMIFS('Saldos Iniciales'!$D$2:$D$38,'Saldos Iniciales'!$A$2:$A$38,C670,'Saldos Iniciales'!$B$2:$B$38,D670)+SUMIFS($K$1:$K$1033,$C$1:$C$1033,C670,$D$1:$D$1033,D670,$B$1:$B$1033,"&lt;="&amp;B670)</f>
        <v>2177.87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29.95</v>
      </c>
      <c r="P670" s="28">
        <f>IF(tblMovimientos[[#This Row],[Tipo de Movimiento]]="Ingreso",tblMovimientos[[#This Row],[Ingreso]],-tblMovimientos[[#This Row],[Egreso]])</f>
        <v>-29.95</v>
      </c>
    </row>
    <row r="671" spans="1:16" x14ac:dyDescent="0.3">
      <c r="B671" s="39">
        <v>46237</v>
      </c>
      <c r="C671" s="46" t="str">
        <f>_xlfn.XLOOKUP(tblMovimientos[[#This Row],[Cuenta Bancaria]],Listas!$B:$B,Listas!$A:$A,"")</f>
        <v>Arbor Capital Properties</v>
      </c>
      <c r="D671" s="41" t="s">
        <v>120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44</v>
      </c>
      <c r="H671" s="4" t="str">
        <f>IFERROR(_xlfn.XLOOKUP(G671,Listas!E:E,Listas!F:F,""),"")</f>
        <v>Operativo</v>
      </c>
      <c r="I671" s="46" t="str">
        <f>IFERROR(_xlfn.XLOOKUP(G671,Listas!E:E,Listas!G:G,""),"")</f>
        <v>Externo</v>
      </c>
      <c r="J671" s="43">
        <v>16</v>
      </c>
      <c r="K671" s="5">
        <f t="shared" ref="K671:K695" si="6">IF(F671="Ingreso",J671,-J671)</f>
        <v>-16</v>
      </c>
      <c r="L671" s="15" t="s">
        <v>132</v>
      </c>
      <c r="M671" s="44">
        <f>SUMIFS('Saldos Iniciales'!$D$2:$D$38,'Saldos Iniciales'!$A$2:$A$38,C671,'Saldos Iniciales'!$B$2:$B$38,D671)+SUMIFS($K$1:$K$1033,$C$1:$C$1033,C671,$D$1:$D$1033,D671,$B$1:$B$1033,"&lt;="&amp;B671)</f>
        <v>1396.08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16</v>
      </c>
      <c r="P671" s="28">
        <f>IF(tblMovimientos[[#This Row],[Tipo de Movimiento]]="Ingreso",tblMovimientos[[#This Row],[Ingreso]],-tblMovimientos[[#This Row],[Egreso]])</f>
        <v>-16</v>
      </c>
    </row>
    <row r="672" spans="1:16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121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46</v>
      </c>
      <c r="H672" s="4" t="str">
        <f>IFERROR(_xlfn.XLOOKUP(G672,Listas!E:E,Listas!F:F,""),"")</f>
        <v>Financiamiento</v>
      </c>
      <c r="I672" s="46" t="str">
        <f>IFERROR(_xlfn.XLOOKUP(G672,Listas!E:E,Listas!G:G,""),"")</f>
        <v>Externo</v>
      </c>
      <c r="J672" s="43">
        <v>8533.33</v>
      </c>
      <c r="K672" s="5">
        <f t="shared" si="6"/>
        <v>-8533.33</v>
      </c>
      <c r="L672" s="15" t="s">
        <v>132</v>
      </c>
      <c r="M672" s="44">
        <f>SUMIFS('Saldos Iniciales'!$D$2:$D$38,'Saldos Iniciales'!$A$2:$A$38,C672,'Saldos Iniciales'!$B$2:$B$38,D672)+SUMIFS($K$1:$K$1033,$C$1:$C$1033,C672,$D$1:$D$1033,D672,$B$1:$B$1033,"&lt;="&amp;B672)</f>
        <v>13493.819999999963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8533.33</v>
      </c>
      <c r="P672" s="28">
        <f>IF(tblMovimientos[[#This Row],[Tipo de Movimiento]]="Ingreso",tblMovimientos[[#This Row],[Ingreso]],-tblMovimientos[[#This Row],[Egreso]])</f>
        <v>-8533.33</v>
      </c>
    </row>
    <row r="673" spans="1:16" x14ac:dyDescent="0.3">
      <c r="B673" s="39">
        <v>46237</v>
      </c>
      <c r="C673" s="46" t="str">
        <f>_xlfn.XLOOKUP(tblMovimientos[[#This Row],[Cuenta Bancaria]],Listas!$B:$B,Listas!$A:$A,"")</f>
        <v>2515 Overbrook</v>
      </c>
      <c r="D673" s="41" t="s">
        <v>122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44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10</v>
      </c>
      <c r="K673" s="5">
        <f t="shared" si="6"/>
        <v>-10</v>
      </c>
      <c r="L673" s="15" t="s">
        <v>132</v>
      </c>
      <c r="M673" s="44">
        <f>SUMIFS('Saldos Iniciales'!$D$2:$D$38,'Saldos Iniciales'!$A$2:$A$38,C673,'Saldos Iniciales'!$B$2:$B$38,D673)+SUMIFS($K$1:$K$1033,$C$1:$C$1033,C673,$D$1:$D$1033,D673,$B$1:$B$1033,"&lt;="&amp;B673)</f>
        <v>310.42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10</v>
      </c>
      <c r="P673" s="28">
        <f>IF(tblMovimientos[[#This Row],[Tipo de Movimiento]]="Ingreso",tblMovimientos[[#This Row],[Ingreso]],-tblMovimientos[[#This Row],[Egreso]])</f>
        <v>-10</v>
      </c>
    </row>
    <row r="674" spans="1:16" x14ac:dyDescent="0.3">
      <c r="B674" s="39">
        <v>46237</v>
      </c>
      <c r="C674" s="46" t="str">
        <f>_xlfn.XLOOKUP(tblMovimientos[[#This Row],[Cuenta Bancaria]],Listas!$B:$B,Listas!$A:$A,"")</f>
        <v>112 Florida Ave</v>
      </c>
      <c r="D674" s="41" t="s">
        <v>123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48</v>
      </c>
      <c r="H674" s="4" t="str">
        <f>IFERROR(_xlfn.XLOOKUP(G674,Listas!E:E,Listas!F:F,""),"")</f>
        <v>Financiamiento</v>
      </c>
      <c r="I674" s="46" t="str">
        <f>IFERROR(_xlfn.XLOOKUP(G674,Listas!E:E,Listas!G:G,""),"")</f>
        <v>Externo</v>
      </c>
      <c r="J674" s="43">
        <v>9798.6299999999992</v>
      </c>
      <c r="K674" s="5">
        <f t="shared" si="6"/>
        <v>-9798.6299999999992</v>
      </c>
      <c r="L674" s="15" t="s">
        <v>132</v>
      </c>
      <c r="M674" s="44">
        <f>SUMIFS('Saldos Iniciales'!$D$2:$D$38,'Saldos Iniciales'!$A$2:$A$38,C674,'Saldos Iniciales'!$B$2:$B$38,D674)+SUMIFS($K$1:$K$1033,$C$1:$C$1033,C674,$D$1:$D$1033,D674,$B$1:$B$1033,"&lt;="&amp;B674)</f>
        <v>8724.1700000000037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9798.6299999999992</v>
      </c>
      <c r="P674" s="28">
        <f>IF(tblMovimientos[[#This Row],[Tipo de Movimiento]]="Ingreso",tblMovimientos[[#This Row],[Ingreso]],-tblMovimientos[[#This Row],[Egreso]])</f>
        <v>-9798.6299999999992</v>
      </c>
    </row>
    <row r="675" spans="1:16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1900</v>
      </c>
      <c r="K675" s="5">
        <f t="shared" si="6"/>
        <v>-1900</v>
      </c>
      <c r="L675" s="15" t="s">
        <v>132</v>
      </c>
      <c r="M675" s="44">
        <f>SUMIFS('Saldos Iniciales'!$D$2:$D$38,'Saldos Iniciales'!$A$2:$A$38,C675,'Saldos Iniciales'!$B$2:$B$38,D675)+SUMIFS($K$1:$K$1033,$C$1:$C$1033,C675,$D$1:$D$1033,D675,$B$1:$B$1033,"&lt;="&amp;B675)</f>
        <v>15106.099999999997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1900</v>
      </c>
      <c r="P675" s="28">
        <f>IF(tblMovimientos[[#This Row],[Tipo de Movimiento]]="Ingreso",tblMovimientos[[#This Row],[Ingreso]],-tblMovimientos[[#This Row],[Egreso]])</f>
        <v>-1900</v>
      </c>
    </row>
    <row r="676" spans="1:16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240</v>
      </c>
      <c r="K676" s="5">
        <f t="shared" si="6"/>
        <v>-240</v>
      </c>
      <c r="L676" s="15" t="s">
        <v>132</v>
      </c>
      <c r="M676" s="44">
        <f>SUMIFS('Saldos Iniciales'!$D$2:$D$38,'Saldos Iniciales'!$A$2:$A$38,C676,'Saldos Iniciales'!$B$2:$B$38,D676)+SUMIFS($K$1:$K$1033,$C$1:$C$1033,C676,$D$1:$D$1033,D676,$B$1:$B$1033,"&lt;="&amp;B676)</f>
        <v>15106.099999999997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240</v>
      </c>
      <c r="P676" s="28">
        <f>IF(tblMovimientos[[#This Row],[Tipo de Movimiento]]="Ingreso",tblMovimientos[[#This Row],[Ingreso]],-tblMovimientos[[#This Row],[Egreso]])</f>
        <v>-240</v>
      </c>
    </row>
    <row r="677" spans="1:16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100</v>
      </c>
      <c r="K677" s="5">
        <f t="shared" si="6"/>
        <v>-100</v>
      </c>
      <c r="L677" s="15" t="s">
        <v>132</v>
      </c>
      <c r="M677" s="44">
        <f>SUMIFS('Saldos Iniciales'!$D$2:$D$38,'Saldos Iniciales'!$A$2:$A$38,C677,'Saldos Iniciales'!$B$2:$B$38,D677)+SUMIFS($K$1:$K$1033,$C$1:$C$1033,C677,$D$1:$D$1033,D677,$B$1:$B$1033,"&lt;="&amp;B677)</f>
        <v>15106.099999999997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100</v>
      </c>
      <c r="P677" s="28">
        <f>IF(tblMovimientos[[#This Row],[Tipo de Movimiento]]="Ingreso",tblMovimientos[[#This Row],[Ingreso]],-tblMovimientos[[#This Row],[Egreso]])</f>
        <v>-100</v>
      </c>
    </row>
    <row r="678" spans="1:16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 t="shared" si="6"/>
        <v>-220</v>
      </c>
      <c r="L678" s="15" t="s">
        <v>132</v>
      </c>
      <c r="M678" s="44">
        <f>SUMIFS('Saldos Iniciales'!$D$2:$D$38,'Saldos Iniciales'!$A$2:$A$38,C678,'Saldos Iniciales'!$B$2:$B$38,D678)+SUMIFS($K$1:$K$1033,$C$1:$C$1033,C678,$D$1:$D$1033,D678,$B$1:$B$1033,"&lt;="&amp;B678)</f>
        <v>15106.099999999997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</row>
    <row r="679" spans="1:16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220</v>
      </c>
      <c r="K679" s="5">
        <f t="shared" si="6"/>
        <v>-220</v>
      </c>
      <c r="L679" s="15" t="s">
        <v>132</v>
      </c>
      <c r="M679" s="44">
        <f>SUMIFS('Saldos Iniciales'!$D$2:$D$38,'Saldos Iniciales'!$A$2:$A$38,C679,'Saldos Iniciales'!$B$2:$B$38,D679)+SUMIFS($K$1:$K$1033,$C$1:$C$1033,C679,$D$1:$D$1033,D679,$B$1:$B$1033,"&lt;="&amp;B679)</f>
        <v>15106.099999999997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220</v>
      </c>
      <c r="P679" s="28">
        <f>IF(tblMovimientos[[#This Row],[Tipo de Movimiento]]="Ingreso",tblMovimientos[[#This Row],[Ingreso]],-tblMovimientos[[#This Row],[Egreso]])</f>
        <v>-220</v>
      </c>
    </row>
    <row r="680" spans="1:16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150</v>
      </c>
      <c r="K680" s="5">
        <f t="shared" si="6"/>
        <v>-150</v>
      </c>
      <c r="L680" s="15" t="s">
        <v>132</v>
      </c>
      <c r="M680" s="44">
        <f>SUMIFS('Saldos Iniciales'!$D$2:$D$38,'Saldos Iniciales'!$A$2:$A$38,C680,'Saldos Iniciales'!$B$2:$B$38,D680)+SUMIFS($K$1:$K$1033,$C$1:$C$1033,C680,$D$1:$D$1033,D680,$B$1:$B$1033,"&lt;="&amp;B680)</f>
        <v>15106.099999999997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150</v>
      </c>
      <c r="P680" s="28">
        <f>IF(tblMovimientos[[#This Row],[Tipo de Movimiento]]="Ingreso",tblMovimientos[[#This Row],[Ingreso]],-tblMovimientos[[#This Row],[Egreso]])</f>
        <v>-150</v>
      </c>
    </row>
    <row r="681" spans="1:16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295</v>
      </c>
      <c r="K681" s="5">
        <f t="shared" si="6"/>
        <v>-295</v>
      </c>
      <c r="L681" s="15" t="s">
        <v>132</v>
      </c>
      <c r="M681" s="44">
        <f>SUMIFS('Saldos Iniciales'!$D$2:$D$38,'Saldos Iniciales'!$A$2:$A$38,C681,'Saldos Iniciales'!$B$2:$B$38,D681)+SUMIFS($K$1:$K$1033,$C$1:$C$1033,C681,$D$1:$D$1033,D681,$B$1:$B$1033,"&lt;="&amp;B681)</f>
        <v>15106.099999999997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295</v>
      </c>
      <c r="P681" s="28">
        <f>IF(tblMovimientos[[#This Row],[Tipo de Movimiento]]="Ingreso",tblMovimientos[[#This Row],[Ingreso]],-tblMovimientos[[#This Row],[Egreso]])</f>
        <v>-295</v>
      </c>
    </row>
    <row r="682" spans="1:16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395</v>
      </c>
      <c r="K682" s="5">
        <f t="shared" si="6"/>
        <v>-395</v>
      </c>
      <c r="L682" s="15" t="s">
        <v>132</v>
      </c>
      <c r="M682" s="44">
        <f>SUMIFS('Saldos Iniciales'!$D$2:$D$38,'Saldos Iniciales'!$A$2:$A$38,C682,'Saldos Iniciales'!$B$2:$B$38,D682)+SUMIFS($K$1:$K$1033,$C$1:$C$1033,C682,$D$1:$D$1033,D682,$B$1:$B$1033,"&lt;="&amp;B682)</f>
        <v>15106.099999999997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395</v>
      </c>
      <c r="P682" s="28">
        <f>IF(tblMovimientos[[#This Row],[Tipo de Movimiento]]="Ingreso",tblMovimientos[[#This Row],[Ingreso]],-tblMovimientos[[#This Row],[Egreso]])</f>
        <v>-395</v>
      </c>
    </row>
    <row r="683" spans="1:16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38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1086.42</v>
      </c>
      <c r="K683" s="5">
        <f t="shared" si="6"/>
        <v>-1086.42</v>
      </c>
      <c r="L683" s="15" t="s">
        <v>132</v>
      </c>
      <c r="M683" s="44">
        <f>SUMIFS('Saldos Iniciales'!$D$2:$D$38,'Saldos Iniciales'!$A$2:$A$38,C683,'Saldos Iniciales'!$B$2:$B$38,D683)+SUMIFS($K$1:$K$1033,$C$1:$C$1033,C683,$D$1:$D$1033,D683,$B$1:$B$1033,"&lt;="&amp;B683)</f>
        <v>15106.099999999997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1086.42</v>
      </c>
      <c r="P683" s="28">
        <f>IF(tblMovimientos[[#This Row],[Tipo de Movimiento]]="Ingreso",tblMovimientos[[#This Row],[Ingreso]],-tblMovimientos[[#This Row],[Egreso]])</f>
        <v>-1086.42</v>
      </c>
    </row>
    <row r="684" spans="1:16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 t="shared" si="6"/>
        <v>-55</v>
      </c>
      <c r="L684" s="15" t="s">
        <v>132</v>
      </c>
      <c r="M684" s="44">
        <f>SUMIFS('Saldos Iniciales'!$D$2:$D$38,'Saldos Iniciales'!$A$2:$A$38,C684,'Saldos Iniciales'!$B$2:$B$38,D684)+SUMIFS($K$1:$K$1033,$C$1:$C$1033,C684,$D$1:$D$1033,D684,$B$1:$B$1033,"&lt;="&amp;B684)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</row>
    <row r="685" spans="1:16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 t="shared" si="6"/>
        <v>-3309.58</v>
      </c>
      <c r="L685" s="15" t="s">
        <v>132</v>
      </c>
      <c r="M685" s="44">
        <f>SUMIFS('Saldos Iniciales'!$D$2:$D$38,'Saldos Iniciales'!$A$2:$A$38,C685,'Saldos Iniciales'!$B$2:$B$38,D685)+SUMIFS($K$1:$K$1033,$C$1:$C$1033,C685,$D$1:$D$1033,D685,$B$1:$B$1033,"&lt;="&amp;B685)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</row>
    <row r="686" spans="1:16" x14ac:dyDescent="0.3">
      <c r="B686" s="39">
        <v>46237</v>
      </c>
      <c r="C686" s="46" t="str">
        <f>_xlfn.XLOOKUP(tblMovimientos[[#This Row],[Cuenta Bancaria]],Listas!$B:$B,Listas!$A:$A,"")</f>
        <v>3628 Thomas Ave</v>
      </c>
      <c r="D686" s="41" t="s">
        <v>124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48</v>
      </c>
      <c r="H686" s="4" t="str">
        <f>IFERROR(_xlfn.XLOOKUP(G686,Listas!E:E,Listas!F:F,""),"")</f>
        <v>Financiamiento</v>
      </c>
      <c r="I686" s="46" t="str">
        <f>IFERROR(_xlfn.XLOOKUP(G686,Listas!E:E,Listas!G:G,""),"")</f>
        <v>Externo</v>
      </c>
      <c r="J686" s="43">
        <v>8773.0400000000009</v>
      </c>
      <c r="K686" s="5">
        <f t="shared" si="6"/>
        <v>-8773.0400000000009</v>
      </c>
      <c r="L686" s="15" t="s">
        <v>132</v>
      </c>
      <c r="M686" s="44">
        <f>SUMIFS('Saldos Iniciales'!$D$2:$D$38,'Saldos Iniciales'!$A$2:$A$38,C686,'Saldos Iniciales'!$B$2:$B$38,D686)+SUMIFS($K$1:$K$1033,$C$1:$C$1033,C686,$D$1:$D$1033,D686,$B$1:$B$1033,"&lt;="&amp;B686)</f>
        <v>15106.099999999997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8773.0400000000009</v>
      </c>
      <c r="P686" s="28">
        <f>IF(tblMovimientos[[#This Row],[Tipo de Movimiento]]="Ingreso",tblMovimientos[[#This Row],[Ingreso]],-tblMovimientos[[#This Row],[Egreso]])</f>
        <v>-8773.0400000000009</v>
      </c>
    </row>
    <row r="687" spans="1:16" x14ac:dyDescent="0.3">
      <c r="B687" s="39">
        <v>46238</v>
      </c>
      <c r="C687" s="46" t="str">
        <f>_xlfn.XLOOKUP(tblMovimientos[[#This Row],[Cuenta Bancaria]],Listas!$B:$B,Listas!$A:$A,"")</f>
        <v>SSP Capital</v>
      </c>
      <c r="D687" s="41" t="s">
        <v>101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609.70000000000005</v>
      </c>
      <c r="K687" s="5">
        <f t="shared" si="6"/>
        <v>-609.70000000000005</v>
      </c>
      <c r="L687" s="15" t="s">
        <v>132</v>
      </c>
      <c r="M687" s="44">
        <f>SUMIFS('Saldos Iniciales'!$D$2:$D$38,'Saldos Iniciales'!$A$2:$A$38,C687,'Saldos Iniciales'!$B$2:$B$38,D687)+SUMIFS($K$1:$K$1033,$C$1:$C$1033,C687,$D$1:$D$1033,D687,$B$1:$B$1033,"&lt;="&amp;B687)</f>
        <v>18777.190000000002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609.70000000000005</v>
      </c>
      <c r="P687" s="28">
        <f>IF(tblMovimientos[[#This Row],[Tipo de Movimiento]]="Ingreso",tblMovimientos[[#This Row],[Ingreso]],-tblMovimientos[[#This Row],[Egreso]])</f>
        <v>-609.70000000000005</v>
      </c>
    </row>
    <row r="688" spans="1:16" x14ac:dyDescent="0.3">
      <c r="B688" s="39">
        <v>46238</v>
      </c>
      <c r="C688" s="46" t="str">
        <f>_xlfn.XLOOKUP(tblMovimientos[[#This Row],[Cuenta Bancaria]],Listas!$B:$B,Listas!$A:$A,"")</f>
        <v>Cross Family Trust</v>
      </c>
      <c r="D688" s="41" t="s">
        <v>110</v>
      </c>
      <c r="E688" s="4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6000</v>
      </c>
      <c r="K688" s="5">
        <f t="shared" si="6"/>
        <v>-6000</v>
      </c>
      <c r="L688" s="15" t="s">
        <v>132</v>
      </c>
      <c r="M688" s="44">
        <f>SUMIFS('Saldos Iniciales'!$D$2:$D$38,'Saldos Iniciales'!$A$2:$A$38,C688,'Saldos Iniciales'!$B$2:$B$38,D688)+SUMIFS($K$1:$K$1033,$C$1:$C$1033,C688,$D$1:$D$1033,D688,$B$1:$B$1033,"&lt;="&amp;B688)</f>
        <v>39206.89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6000</v>
      </c>
      <c r="P688" s="28">
        <f>IF(tblMovimientos[[#This Row],[Tipo de Movimiento]]="Ingreso",tblMovimientos[[#This Row],[Ingreso]],-tblMovimientos[[#This Row],[Egreso]])</f>
        <v>-6000</v>
      </c>
    </row>
    <row r="689" spans="2:16" x14ac:dyDescent="0.3">
      <c r="B689" s="39">
        <v>46238</v>
      </c>
      <c r="C689" s="46" t="str">
        <f>_xlfn.XLOOKUP(tblMovimientos[[#This Row],[Cuenta Bancaria]],Listas!$B:$B,Listas!$A:$A,"")</f>
        <v>Go Blue</v>
      </c>
      <c r="D689" s="41" t="s">
        <v>169</v>
      </c>
      <c r="E689" s="4" t="str">
        <f>_xlfn.XLOOKUP(tblMovimientos[[#This Row],[Cuenta Bancaria]],Listas!$B:$B,Listas!$C:$C,"")</f>
        <v xml:space="preserve">Amerant Bank 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390.93</v>
      </c>
      <c r="K689" s="5">
        <f t="shared" si="6"/>
        <v>-390.93</v>
      </c>
      <c r="L689" s="15" t="s">
        <v>132</v>
      </c>
      <c r="M689" s="44">
        <f>SUMIFS('Saldos Iniciales'!$D$2:$D$38,'Saldos Iniciales'!$A$2:$A$38,C689,'Saldos Iniciales'!$B$2:$B$38,D689)+SUMIFS($K$1:$K$1033,$C$1:$C$1033,C689,$D$1:$D$1033,D689,$B$1:$B$1033,"&lt;="&amp;B689)</f>
        <v>2285.2900000000022</v>
      </c>
      <c r="N689" s="65" t="str">
        <f>IF(tblMovimientos[[#This Row],[Tipo de Movimiento]]="Ingreso",tblMovimientos[[#This Row],[Monto (S/)]],"0")</f>
        <v>0</v>
      </c>
      <c r="O689" s="65">
        <f>IF(tblMovimientos[[#This Row],[Tipo de Movimiento]]="Egreso",tblMovimientos[[#This Row],[Monto (S/)]],"0")</f>
        <v>390.93</v>
      </c>
      <c r="P689" s="28">
        <f>IF(tblMovimientos[[#This Row],[Tipo de Movimiento]]="Ingreso",tblMovimientos[[#This Row],[Ingreso]],-tblMovimientos[[#This Row],[Egreso]])</f>
        <v>-390.93</v>
      </c>
    </row>
    <row r="690" spans="2:16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4000</v>
      </c>
      <c r="K690" s="5">
        <f t="shared" si="6"/>
        <v>4000</v>
      </c>
      <c r="L690" s="15" t="s">
        <v>132</v>
      </c>
      <c r="M690" s="44">
        <f>SUMIFS('Saldos Iniciales'!$D$2:$D$38,'Saldos Iniciales'!$A$2:$A$38,C690,'Saldos Iniciales'!$B$2:$B$38,D690)+SUMIFS($K$1:$K$1033,$C$1:$C$1033,C690,$D$1:$D$1033,D690,$B$1:$B$1033,"&lt;="&amp;B690)</f>
        <v>17097.410000000003</v>
      </c>
      <c r="N690" s="65">
        <f>IF(tblMovimientos[[#This Row],[Tipo de Movimiento]]="Ingreso",tblMovimientos[[#This Row],[Monto (S/)]],"0")</f>
        <v>4000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4000</v>
      </c>
    </row>
    <row r="691" spans="2:16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9</v>
      </c>
      <c r="G691" s="41" t="s">
        <v>69</v>
      </c>
      <c r="H691" s="4" t="str">
        <f>IFERROR(_xlfn.XLOOKUP(G691,Listas!E:E,Listas!F:F,""),"")</f>
        <v>Operativo</v>
      </c>
      <c r="I691" s="46" t="str">
        <f>IFERROR(_xlfn.XLOOKUP(G691,Listas!E:E,Listas!G:G,""),"")</f>
        <v>Interno</v>
      </c>
      <c r="J691" s="43">
        <v>2000</v>
      </c>
      <c r="K691" s="5">
        <f t="shared" si="6"/>
        <v>2000</v>
      </c>
      <c r="L691" s="15" t="s">
        <v>132</v>
      </c>
      <c r="M691" s="44">
        <f>SUMIFS('Saldos Iniciales'!$D$2:$D$38,'Saldos Iniciales'!$A$2:$A$38,C691,'Saldos Iniciales'!$B$2:$B$38,D691)+SUMIFS($K$1:$K$1033,$C$1:$C$1033,C691,$D$1:$D$1033,D691,$B$1:$B$1033,"&lt;="&amp;B691)</f>
        <v>17097.410000000003</v>
      </c>
      <c r="N691" s="65">
        <f>IF(tblMovimientos[[#This Row],[Tipo de Movimiento]]="Ingreso",tblMovimientos[[#This Row],[Monto (S/)]],"0")</f>
        <v>2000</v>
      </c>
      <c r="O691" s="65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2000</v>
      </c>
    </row>
    <row r="692" spans="2:16" x14ac:dyDescent="0.3">
      <c r="B692" s="39">
        <v>46239</v>
      </c>
      <c r="C692" s="46" t="str">
        <f>_xlfn.XLOOKUP(tblMovimientos[[#This Row],[Cuenta Bancaria]],Listas!$B:$B,Listas!$A:$A,"")</f>
        <v>SSP Capital</v>
      </c>
      <c r="D692" s="41" t="s">
        <v>101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41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7679.78</v>
      </c>
      <c r="K692" s="5">
        <f t="shared" si="6"/>
        <v>-7679.78</v>
      </c>
      <c r="L692" s="15" t="s">
        <v>132</v>
      </c>
      <c r="M692" s="44">
        <f>SUMIFS('Saldos Iniciales'!$D$2:$D$38,'Saldos Iniciales'!$A$2:$A$38,C692,'Saldos Iniciales'!$B$2:$B$38,D692)+SUMIFS($K$1:$K$1033,$C$1:$C$1033,C692,$D$1:$D$1033,D692,$B$1:$B$1033,"&lt;="&amp;B692)</f>
        <v>17097.410000000003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7679.78</v>
      </c>
      <c r="P692" s="28">
        <f>IF(tblMovimientos[[#This Row],[Tipo de Movimiento]]="Ingreso",tblMovimientos[[#This Row],[Ingreso]],-tblMovimientos[[#This Row],[Egreso]])</f>
        <v>-7679.78</v>
      </c>
    </row>
    <row r="693" spans="2:16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4000</v>
      </c>
      <c r="K693" s="5">
        <f t="shared" si="6"/>
        <v>-4000</v>
      </c>
      <c r="L693" s="15" t="s">
        <v>132</v>
      </c>
      <c r="M693" s="44">
        <f>SUMIFS('Saldos Iniciales'!$D$2:$D$38,'Saldos Iniciales'!$A$2:$A$38,C693,'Saldos Iniciales'!$B$2:$B$38,D693)+SUMIFS($K$1:$K$1033,$C$1:$C$1033,C693,$D$1:$D$1033,D693,$B$1:$B$1033,"&lt;="&amp;B693)</f>
        <v>1283465.7999999998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4000</v>
      </c>
      <c r="P693" s="28">
        <f>IF(tblMovimientos[[#This Row],[Tipo de Movimiento]]="Ingreso",tblMovimientos[[#This Row],[Ingreso]],-tblMovimientos[[#This Row],[Egreso]])</f>
        <v>-4000</v>
      </c>
    </row>
    <row r="694" spans="2:16" x14ac:dyDescent="0.3">
      <c r="B694" s="39">
        <v>46239</v>
      </c>
      <c r="C694" s="46" t="str">
        <f>_xlfn.XLOOKUP(tblMovimientos[[#This Row],[Cuenta Bancaria]],Listas!$B:$B,Listas!$A:$A,"")</f>
        <v>A&amp;M Imports</v>
      </c>
      <c r="D694" s="41" t="s">
        <v>100</v>
      </c>
      <c r="E694" s="4" t="str">
        <f>_xlfn.XLOOKUP(tblMovimientos[[#This Row],[Cuenta Bancaria]],Listas!$B:$B,Listas!$C:$C,"")</f>
        <v>Bank of America</v>
      </c>
      <c r="F694" s="41" t="s">
        <v>10</v>
      </c>
      <c r="G694" s="41" t="s">
        <v>48</v>
      </c>
      <c r="H694" s="4" t="str">
        <f>IFERROR(_xlfn.XLOOKUP(G694,Listas!E:E,Listas!F:F,""),"")</f>
        <v>Financiamiento</v>
      </c>
      <c r="I694" s="46" t="str">
        <f>IFERROR(_xlfn.XLOOKUP(G694,Listas!E:E,Listas!G:G,""),"")</f>
        <v>Externo</v>
      </c>
      <c r="J694" s="43">
        <v>2000</v>
      </c>
      <c r="K694" s="5">
        <f t="shared" si="6"/>
        <v>-2000</v>
      </c>
      <c r="L694" s="15" t="s">
        <v>132</v>
      </c>
      <c r="M694" s="44">
        <f>SUMIFS('Saldos Iniciales'!$D$2:$D$38,'Saldos Iniciales'!$A$2:$A$38,C694,'Saldos Iniciales'!$B$2:$B$38,D694)+SUMIFS($K$1:$K$1033,$C$1:$C$1033,C694,$D$1:$D$1033,D694,$B$1:$B$1033,"&lt;="&amp;B694)</f>
        <v>1283465.7999999998</v>
      </c>
      <c r="N694" s="65" t="str">
        <f>IF(tblMovimientos[[#This Row],[Tipo de Movimiento]]="Ingreso",tblMovimientos[[#This Row],[Monto (S/)]],"0")</f>
        <v>0</v>
      </c>
      <c r="O694" s="65">
        <f>IF(tblMovimientos[[#This Row],[Tipo de Movimiento]]="Egreso",tblMovimientos[[#This Row],[Monto (S/)]],"0")</f>
        <v>2000</v>
      </c>
      <c r="P694" s="28">
        <f>IF(tblMovimientos[[#This Row],[Tipo de Movimiento]]="Ingreso",tblMovimientos[[#This Row],[Ingreso]],-tblMovimientos[[#This Row],[Egreso]])</f>
        <v>-2000</v>
      </c>
    </row>
    <row r="695" spans="2:16" x14ac:dyDescent="0.3">
      <c r="B695" s="39">
        <v>46239</v>
      </c>
      <c r="C695" s="46" t="str">
        <f>_xlfn.XLOOKUP(tblMovimientos[[#This Row],[Cuenta Bancaria]],Listas!$B:$B,Listas!$A:$A,"")</f>
        <v>Electrama</v>
      </c>
      <c r="D695" s="41" t="s">
        <v>113</v>
      </c>
      <c r="E695" s="4" t="str">
        <f>_xlfn.XLOOKUP(tblMovimientos[[#This Row],[Cuenta Bancaria]],Listas!$B:$B,Listas!$C:$C,"")</f>
        <v>Chase Bank</v>
      </c>
      <c r="F695" s="41" t="s">
        <v>10</v>
      </c>
      <c r="G695" s="41" t="s">
        <v>44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40</v>
      </c>
      <c r="K695" s="5">
        <f t="shared" si="6"/>
        <v>-40</v>
      </c>
      <c r="L695" s="15" t="s">
        <v>132</v>
      </c>
      <c r="M695" s="44">
        <f>SUMIFS('Saldos Iniciales'!$D$2:$D$38,'Saldos Iniciales'!$A$2:$A$38,C695,'Saldos Iniciales'!$B$2:$B$38,D695)+SUMIFS($K$1:$K$1033,$C$1:$C$1033,C695,$D$1:$D$1033,D695,$B$1:$B$1033,"&lt;="&amp;B695)</f>
        <v>14540.45</v>
      </c>
      <c r="N695" s="65" t="str">
        <f>IF(tblMovimientos[[#This Row],[Tipo de Movimiento]]="Ingreso",tblMovimientos[[#This Row],[Monto (S/)]],"0")</f>
        <v>0</v>
      </c>
      <c r="O695" s="65">
        <f>IF(tblMovimientos[[#This Row],[Tipo de Movimiento]]="Egreso",tblMovimientos[[#This Row],[Monto (S/)]],"0")</f>
        <v>40</v>
      </c>
      <c r="P695" s="28">
        <f>IF(tblMovimientos[[#This Row],[Tipo de Movimiento]]="Ingreso",tblMovimientos[[#This Row],[Ingreso]],-tblMovimientos[[#This Row],[Egreso]])</f>
        <v>-40</v>
      </c>
    </row>
    <row r="696" spans="2:16" x14ac:dyDescent="0.3">
      <c r="B696" s="39">
        <v>46240</v>
      </c>
      <c r="C696" s="46" t="str">
        <f>_xlfn.XLOOKUP(tblMovimientos[[#This Row],[Cuenta Bancaria]],Listas!$B:$B,Listas!$A:$A,"")</f>
        <v>SSP Capital</v>
      </c>
      <c r="D696" s="41" t="s">
        <v>101</v>
      </c>
      <c r="E696" s="4" t="str">
        <f>_xlfn.XLOOKUP(tblMovimientos[[#This Row],[Cuenta Bancaria]],Listas!$B:$B,Listas!$C:$C,"")</f>
        <v>Bank of America</v>
      </c>
      <c r="F696" s="41" t="s">
        <v>9</v>
      </c>
      <c r="G696" s="41" t="s">
        <v>85</v>
      </c>
      <c r="H696" s="4" t="str">
        <f>IFERROR(_xlfn.XLOOKUP(G696,Listas!E:E,Listas!F:F,""),"")</f>
        <v>Operativo</v>
      </c>
      <c r="I696" s="46" t="str">
        <f>IFERROR(_xlfn.XLOOKUP(G696,Listas!E:E,Listas!G:G,""),"")</f>
        <v>Interno</v>
      </c>
      <c r="J696" s="43">
        <v>20000</v>
      </c>
      <c r="K696" s="5">
        <f t="shared" ref="K696:K759" si="7">IF(F696="Ingreso",J696,-J696)</f>
        <v>20000</v>
      </c>
      <c r="L696" s="15" t="s">
        <v>132</v>
      </c>
      <c r="M696" s="44">
        <f>SUMIFS('Saldos Iniciales'!$D$2:$D$38,'Saldos Iniciales'!$A$2:$A$38,C696,'Saldos Iniciales'!$B$2:$B$38,D696)+SUMIFS($K$1:$K$1033,$C$1:$C$1033,C696,$D$1:$D$1033,D696,$B$1:$B$1033,"&lt;="&amp;B696)</f>
        <v>46377.560000000005</v>
      </c>
      <c r="N696" s="65">
        <f>IF(tblMovimientos[[#This Row],[Tipo de Movimiento]]="Ingreso",tblMovimientos[[#This Row],[Monto (S/)]],"0")</f>
        <v>20000</v>
      </c>
      <c r="O696" s="65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20000</v>
      </c>
    </row>
    <row r="697" spans="2:16" x14ac:dyDescent="0.3">
      <c r="B697" s="39">
        <v>46240</v>
      </c>
      <c r="C697" s="46" t="str">
        <f>_xlfn.XLOOKUP(tblMovimientos[[#This Row],[Cuenta Bancaria]],Listas!$B:$B,Listas!$A:$A,"")</f>
        <v>SSP Capital</v>
      </c>
      <c r="D697" s="41" t="s">
        <v>101</v>
      </c>
      <c r="E697" s="4" t="str">
        <f>_xlfn.XLOOKUP(tblMovimientos[[#This Row],[Cuenta Bancaria]],Listas!$B:$B,Listas!$C:$C,"")</f>
        <v>Bank of America</v>
      </c>
      <c r="F697" s="41" t="s">
        <v>9</v>
      </c>
      <c r="G697" s="41" t="s">
        <v>69</v>
      </c>
      <c r="H697" s="4" t="str">
        <f>IFERROR(_xlfn.XLOOKUP(G697,Listas!E:E,Listas!F:F,""),"")</f>
        <v>Operativo</v>
      </c>
      <c r="I697" s="46" t="str">
        <f>IFERROR(_xlfn.XLOOKUP(G697,Listas!E:E,Listas!G:G,""),"")</f>
        <v>Interno</v>
      </c>
      <c r="J697" s="43">
        <v>9280.15</v>
      </c>
      <c r="K697" s="5">
        <f t="shared" si="7"/>
        <v>9280.15</v>
      </c>
      <c r="L697" s="15" t="s">
        <v>132</v>
      </c>
      <c r="M697" s="44">
        <f>SUMIFS('Saldos Iniciales'!$D$2:$D$38,'Saldos Iniciales'!$A$2:$A$38,C697,'Saldos Iniciales'!$B$2:$B$38,D697)+SUMIFS($K$1:$K$1033,$C$1:$C$1033,C697,$D$1:$D$1033,D697,$B$1:$B$1033,"&lt;="&amp;B697)</f>
        <v>46377.560000000005</v>
      </c>
      <c r="N697" s="65">
        <f>IF(tblMovimientos[[#This Row],[Tipo de Movimiento]]="Ingreso",tblMovimientos[[#This Row],[Monto (S/)]],"0")</f>
        <v>9280.15</v>
      </c>
      <c r="O697" s="65" t="str">
        <f>IF(tblMovimientos[[#This Row],[Tipo de Movimiento]]="Egreso",tblMovimientos[[#This Row],[Monto (S/)]],"0")</f>
        <v>0</v>
      </c>
      <c r="P697" s="28">
        <f>IF(tblMovimientos[[#This Row],[Tipo de Movimiento]]="Ingreso",tblMovimientos[[#This Row],[Ingreso]],-tblMovimientos[[#This Row],[Egreso]])</f>
        <v>9280.15</v>
      </c>
    </row>
    <row r="698" spans="2:16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61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60000</v>
      </c>
      <c r="K698" s="5">
        <f t="shared" si="7"/>
        <v>-60000</v>
      </c>
      <c r="L698" s="15" t="s">
        <v>132</v>
      </c>
      <c r="M698" s="44">
        <f>SUMIFS('Saldos Iniciales'!$D$2:$D$38,'Saldos Iniciales'!$A$2:$A$38,C698,'Saldos Iniciales'!$B$2:$B$38,D698)+SUMIFS($K$1:$K$1033,$C$1:$C$1033,C698,$D$1:$D$1033,D698,$B$1:$B$1033,"&lt;="&amp;B698)</f>
        <v>1180491.7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60000</v>
      </c>
      <c r="P698" s="28">
        <f>IF(tblMovimientos[[#This Row],[Tipo de Movimiento]]="Ingreso",tblMovimientos[[#This Row],[Ingreso]],-tblMovimientos[[#This Row],[Egreso]])</f>
        <v>-60000</v>
      </c>
    </row>
    <row r="699" spans="2:16" x14ac:dyDescent="0.3">
      <c r="B699" s="39">
        <v>46240</v>
      </c>
      <c r="C699" s="46" t="str">
        <f>_xlfn.XLOOKUP(tblMovimientos[[#This Row],[Cuenta Bancaria]],Listas!$B:$B,Listas!$A:$A,"")</f>
        <v>A&amp;M Imports</v>
      </c>
      <c r="D699" s="41" t="s">
        <v>100</v>
      </c>
      <c r="E699" s="4" t="str">
        <f>_xlfn.XLOOKUP(tblMovimientos[[#This Row],[Cuenta Bancaria]],Listas!$B:$B,Listas!$C:$C,"")</f>
        <v>Bank of America</v>
      </c>
      <c r="F699" s="41" t="s">
        <v>10</v>
      </c>
      <c r="G699" s="41" t="s">
        <v>48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9280.15</v>
      </c>
      <c r="K699" s="5">
        <f t="shared" si="7"/>
        <v>-9280.15</v>
      </c>
      <c r="L699" s="15" t="s">
        <v>132</v>
      </c>
      <c r="M699" s="44">
        <f>SUMIFS('Saldos Iniciales'!$D$2:$D$38,'Saldos Iniciales'!$A$2:$A$38,C699,'Saldos Iniciales'!$B$2:$B$38,D699)+SUMIFS($K$1:$K$1033,$C$1:$C$1033,C699,$D$1:$D$1033,D699,$B$1:$B$1033,"&lt;="&amp;B699)</f>
        <v>1180491.7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9280.15</v>
      </c>
      <c r="P699" s="28">
        <f>IF(tblMovimientos[[#This Row],[Tipo de Movimiento]]="Ingreso",tblMovimientos[[#This Row],[Ingreso]],-tblMovimientos[[#This Row],[Egreso]])</f>
        <v>-9280.15</v>
      </c>
    </row>
    <row r="700" spans="2:16" x14ac:dyDescent="0.3">
      <c r="B700" s="39">
        <v>46240</v>
      </c>
      <c r="C700" s="46" t="str">
        <f>_xlfn.XLOOKUP(tblMovimientos[[#This Row],[Cuenta Bancaria]],Listas!$B:$B,Listas!$A:$A,"")</f>
        <v>A&amp;M Imports</v>
      </c>
      <c r="D700" s="41" t="s">
        <v>100</v>
      </c>
      <c r="E700" s="4" t="str">
        <f>_xlfn.XLOOKUP(tblMovimientos[[#This Row],[Cuenta Bancaria]],Listas!$B:$B,Listas!$C:$C,"")</f>
        <v>Bank of America</v>
      </c>
      <c r="F700" s="41" t="s">
        <v>10</v>
      </c>
      <c r="G700" s="41" t="s">
        <v>48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33693.949999999997</v>
      </c>
      <c r="K700" s="5">
        <f t="shared" si="7"/>
        <v>-33693.949999999997</v>
      </c>
      <c r="L700" s="15" t="s">
        <v>132</v>
      </c>
      <c r="M700" s="44">
        <f>SUMIFS('Saldos Iniciales'!$D$2:$D$38,'Saldos Iniciales'!$A$2:$A$38,C700,'Saldos Iniciales'!$B$2:$B$38,D700)+SUMIFS($K$1:$K$1033,$C$1:$C$1033,C700,$D$1:$D$1033,D700,$B$1:$B$1033,"&lt;="&amp;B700)</f>
        <v>1180491.7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33693.949999999997</v>
      </c>
      <c r="P700" s="28">
        <f>IF(tblMovimientos[[#This Row],[Tipo de Movimiento]]="Ingreso",tblMovimientos[[#This Row],[Ingreso]],-tblMovimientos[[#This Row],[Egreso]])</f>
        <v>-33693.949999999997</v>
      </c>
    </row>
    <row r="701" spans="2:16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46</v>
      </c>
      <c r="H701" s="4" t="str">
        <f>IFERROR(_xlfn.XLOOKUP(G701,Listas!E:E,Listas!F:F,""),"")</f>
        <v>Financiamiento</v>
      </c>
      <c r="I701" s="46" t="str">
        <f>IFERROR(_xlfn.XLOOKUP(G701,Listas!E:E,Listas!G:G,""),"")</f>
        <v>Externo</v>
      </c>
      <c r="J701" s="43">
        <v>2975</v>
      </c>
      <c r="K701" s="5">
        <f t="shared" si="7"/>
        <v>-2975</v>
      </c>
      <c r="L701" s="15" t="s">
        <v>132</v>
      </c>
      <c r="M701" s="44">
        <f>SUMIFS('Saldos Iniciales'!$D$2:$D$38,'Saldos Iniciales'!$A$2:$A$38,C701,'Saldos Iniciales'!$B$2:$B$38,D701)+SUMIFS($K$1:$K$1033,$C$1:$C$1033,C701,$D$1:$D$1033,D701,$B$1:$B$1033,"&lt;="&amp;B701)</f>
        <v>1396603.0100000007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2975</v>
      </c>
      <c r="P701" s="28">
        <f>IF(tblMovimientos[[#This Row],[Tipo de Movimiento]]="Ingreso",tblMovimientos[[#This Row],[Ingreso]],-tblMovimientos[[#This Row],[Egreso]])</f>
        <v>-2975</v>
      </c>
    </row>
    <row r="702" spans="2:16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46</v>
      </c>
      <c r="H702" s="4" t="str">
        <f>IFERROR(_xlfn.XLOOKUP(G702,Listas!E:E,Listas!F:F,""),"")</f>
        <v>Financiamiento</v>
      </c>
      <c r="I702" s="46" t="str">
        <f>IFERROR(_xlfn.XLOOKUP(G702,Listas!E:E,Listas!G:G,""),"")</f>
        <v>Externo</v>
      </c>
      <c r="J702" s="43">
        <v>11666.67</v>
      </c>
      <c r="K702" s="5">
        <f t="shared" si="7"/>
        <v>-11666.67</v>
      </c>
      <c r="L702" s="15" t="s">
        <v>132</v>
      </c>
      <c r="M702" s="44">
        <f>SUMIFS('Saldos Iniciales'!$D$2:$D$38,'Saldos Iniciales'!$A$2:$A$38,C702,'Saldos Iniciales'!$B$2:$B$38,D702)+SUMIFS($K$1:$K$1033,$C$1:$C$1033,C702,$D$1:$D$1033,D702,$B$1:$B$1033,"&lt;="&amp;B702)</f>
        <v>1396603.0100000007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11666.67</v>
      </c>
      <c r="P702" s="28">
        <f>IF(tblMovimientos[[#This Row],[Tipo de Movimiento]]="Ingreso",tblMovimientos[[#This Row],[Ingreso]],-tblMovimientos[[#This Row],[Egreso]])</f>
        <v>-11666.67</v>
      </c>
    </row>
    <row r="703" spans="2:16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45000</v>
      </c>
      <c r="K703" s="5">
        <f t="shared" si="7"/>
        <v>-45000</v>
      </c>
      <c r="L703" s="15" t="s">
        <v>132</v>
      </c>
      <c r="M703" s="44">
        <f>SUMIFS('Saldos Iniciales'!$D$2:$D$38,'Saldos Iniciales'!$A$2:$A$38,C703,'Saldos Iniciales'!$B$2:$B$38,D703)+SUMIFS($K$1:$K$1033,$C$1:$C$1033,C703,$D$1:$D$1033,D703,$B$1:$B$1033,"&lt;="&amp;B703)</f>
        <v>1396603.0100000007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45000</v>
      </c>
      <c r="P703" s="28">
        <f>IF(tblMovimientos[[#This Row],[Tipo de Movimiento]]="Ingreso",tblMovimientos[[#This Row],[Ingreso]],-tblMovimientos[[#This Row],[Egreso]])</f>
        <v>-45000</v>
      </c>
    </row>
    <row r="704" spans="2:16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75000</v>
      </c>
      <c r="K704" s="5">
        <f t="shared" si="7"/>
        <v>-75000</v>
      </c>
      <c r="L704" s="15" t="s">
        <v>132</v>
      </c>
      <c r="M704" s="44">
        <f>SUMIFS('Saldos Iniciales'!$D$2:$D$38,'Saldos Iniciales'!$A$2:$A$38,C704,'Saldos Iniciales'!$B$2:$B$38,D704)+SUMIFS($K$1:$K$1033,$C$1:$C$1033,C704,$D$1:$D$1033,D704,$B$1:$B$1033,"&lt;="&amp;B704)</f>
        <v>1396603.0100000007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75000</v>
      </c>
      <c r="P704" s="28">
        <f>IF(tblMovimientos[[#This Row],[Tipo de Movimiento]]="Ingreso",tblMovimientos[[#This Row],[Ingreso]],-tblMovimientos[[#This Row],[Egreso]])</f>
        <v>-75000</v>
      </c>
    </row>
    <row r="705" spans="2:16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80000</v>
      </c>
      <c r="K705" s="5">
        <f t="shared" si="7"/>
        <v>-80000</v>
      </c>
      <c r="L705" s="15" t="s">
        <v>132</v>
      </c>
      <c r="M705" s="44">
        <f>SUMIFS('Saldos Iniciales'!$D$2:$D$38,'Saldos Iniciales'!$A$2:$A$38,C705,'Saldos Iniciales'!$B$2:$B$38,D705)+SUMIFS($K$1:$K$1033,$C$1:$C$1033,C705,$D$1:$D$1033,D705,$B$1:$B$1033,"&lt;="&amp;B705)</f>
        <v>1396603.0100000007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80000</v>
      </c>
      <c r="P705" s="28">
        <f>IF(tblMovimientos[[#This Row],[Tipo de Movimiento]]="Ingreso",tblMovimientos[[#This Row],[Ingreso]],-tblMovimientos[[#This Row],[Egreso]])</f>
        <v>-80000</v>
      </c>
    </row>
    <row r="706" spans="2:16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 t="shared" si="7"/>
        <v>-100000</v>
      </c>
      <c r="L706" s="15" t="s">
        <v>132</v>
      </c>
      <c r="M706" s="44">
        <f>SUMIFS('Saldos Iniciales'!$D$2:$D$38,'Saldos Iniciales'!$A$2:$A$38,C706,'Saldos Iniciales'!$B$2:$B$38,D706)+SUMIFS($K$1:$K$1033,$C$1:$C$1033,C706,$D$1:$D$1033,D706,$B$1:$B$1033,"&lt;="&amp;B706)</f>
        <v>1396603.0100000007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</row>
    <row r="707" spans="2:16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100000</v>
      </c>
      <c r="K707" s="5">
        <f t="shared" si="7"/>
        <v>-100000</v>
      </c>
      <c r="L707" s="15" t="s">
        <v>132</v>
      </c>
      <c r="M707" s="44">
        <f>SUMIFS('Saldos Iniciales'!$D$2:$D$38,'Saldos Iniciales'!$A$2:$A$38,C707,'Saldos Iniciales'!$B$2:$B$38,D707)+SUMIFS($K$1:$K$1033,$C$1:$C$1033,C707,$D$1:$D$1033,D707,$B$1:$B$1033,"&lt;="&amp;B707)</f>
        <v>1396603.0100000007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100000</v>
      </c>
      <c r="P707" s="28">
        <f>IF(tblMovimientos[[#This Row],[Tipo de Movimiento]]="Ingreso",tblMovimientos[[#This Row],[Ingreso]],-tblMovimientos[[#This Row],[Egreso]])</f>
        <v>-100000</v>
      </c>
    </row>
    <row r="708" spans="2:16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100000</v>
      </c>
      <c r="K708" s="5">
        <f t="shared" si="7"/>
        <v>-100000</v>
      </c>
      <c r="L708" s="15" t="s">
        <v>132</v>
      </c>
      <c r="M708" s="44">
        <f>SUMIFS('Saldos Iniciales'!$D$2:$D$38,'Saldos Iniciales'!$A$2:$A$38,C708,'Saldos Iniciales'!$B$2:$B$38,D708)+SUMIFS($K$1:$K$1033,$C$1:$C$1033,C708,$D$1:$D$1033,D708,$B$1:$B$1033,"&lt;="&amp;B708)</f>
        <v>1396603.0100000007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100000</v>
      </c>
      <c r="P708" s="28">
        <f>IF(tblMovimientos[[#This Row],[Tipo de Movimiento]]="Ingreso",tblMovimientos[[#This Row],[Ingreso]],-tblMovimientos[[#This Row],[Egreso]])</f>
        <v>-100000</v>
      </c>
    </row>
    <row r="709" spans="2:16" x14ac:dyDescent="0.3">
      <c r="B709" s="39">
        <v>46240</v>
      </c>
      <c r="C709" s="46" t="str">
        <f>_xlfn.XLOOKUP(tblMovimientos[[#This Row],[Cuenta Bancaria]],Listas!$B:$B,Listas!$A:$A,"")</f>
        <v>CFT Group</v>
      </c>
      <c r="D709" s="41" t="s">
        <v>95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61</v>
      </c>
      <c r="H709" s="4" t="str">
        <f>IFERROR(_xlfn.XLOOKUP(G709,Listas!E:E,Listas!F:F,""),"")</f>
        <v>Operativo</v>
      </c>
      <c r="I709" s="46" t="str">
        <f>IFERROR(_xlfn.XLOOKUP(G709,Listas!E:E,Listas!G:G,""),"")</f>
        <v>Externo</v>
      </c>
      <c r="J709" s="43">
        <v>200000</v>
      </c>
      <c r="K709" s="5">
        <f t="shared" si="7"/>
        <v>-200000</v>
      </c>
      <c r="L709" s="15" t="s">
        <v>132</v>
      </c>
      <c r="M709" s="44">
        <f>SUMIFS('Saldos Iniciales'!$D$2:$D$38,'Saldos Iniciales'!$A$2:$A$38,C709,'Saldos Iniciales'!$B$2:$B$38,D709)+SUMIFS($K$1:$K$1033,$C$1:$C$1033,C709,$D$1:$D$1033,D709,$B$1:$B$1033,"&lt;="&amp;B709)</f>
        <v>1396603.0100000007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200000</v>
      </c>
      <c r="P709" s="28">
        <f>IF(tblMovimientos[[#This Row],[Tipo de Movimiento]]="Ingreso",tblMovimientos[[#This Row],[Ingreso]],-tblMovimientos[[#This Row],[Egreso]])</f>
        <v>-200000</v>
      </c>
    </row>
    <row r="710" spans="2:16" x14ac:dyDescent="0.3">
      <c r="B710" s="39">
        <v>46240</v>
      </c>
      <c r="C710" s="46" t="str">
        <f>_xlfn.XLOOKUP(tblMovimientos[[#This Row],[Cuenta Bancaria]],Listas!$B:$B,Listas!$A:$A,"")</f>
        <v>CFT Group</v>
      </c>
      <c r="D710" s="41" t="s">
        <v>95</v>
      </c>
      <c r="E710" s="4" t="str">
        <f>_xlfn.XLOOKUP(tblMovimientos[[#This Row],[Cuenta Bancaria]],Listas!$B:$B,Listas!$C:$C,"")</f>
        <v xml:space="preserve">Amerant Bank </v>
      </c>
      <c r="F710" s="41" t="s">
        <v>10</v>
      </c>
      <c r="G710" s="41" t="s">
        <v>50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600000</v>
      </c>
      <c r="K710" s="5">
        <f t="shared" si="7"/>
        <v>-600000</v>
      </c>
      <c r="L710" s="15" t="s">
        <v>132</v>
      </c>
      <c r="M710" s="44">
        <f>SUMIFS('Saldos Iniciales'!$D$2:$D$38,'Saldos Iniciales'!$A$2:$A$38,C710,'Saldos Iniciales'!$B$2:$B$38,D710)+SUMIFS($K$1:$K$1033,$C$1:$C$1033,C710,$D$1:$D$1033,D710,$B$1:$B$1033,"&lt;="&amp;B710)</f>
        <v>1396603.0100000007</v>
      </c>
      <c r="N710" s="65" t="str">
        <f>IF(tblMovimientos[[#This Row],[Tipo de Movimiento]]="Ingreso",tblMovimientos[[#This Row],[Monto (S/)]],"0")</f>
        <v>0</v>
      </c>
      <c r="O710" s="65">
        <f>IF(tblMovimientos[[#This Row],[Tipo de Movimiento]]="Egreso",tblMovimientos[[#This Row],[Monto (S/)]],"0")</f>
        <v>600000</v>
      </c>
      <c r="P710" s="28">
        <f>IF(tblMovimientos[[#This Row],[Tipo de Movimiento]]="Ingreso",tblMovimientos[[#This Row],[Ingreso]],-tblMovimientos[[#This Row],[Egreso]])</f>
        <v>-600000</v>
      </c>
    </row>
    <row r="711" spans="2:16" x14ac:dyDescent="0.3">
      <c r="B711" s="39">
        <v>46240</v>
      </c>
      <c r="C711" s="46" t="str">
        <f>_xlfn.XLOOKUP(tblMovimientos[[#This Row],[Cuenta Bancaria]],Listas!$B:$B,Listas!$A:$A,"")</f>
        <v>Cross Family Trust</v>
      </c>
      <c r="D711" s="41" t="s">
        <v>111</v>
      </c>
      <c r="E711" s="4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53</v>
      </c>
      <c r="H711" s="4" t="str">
        <f>IFERROR(_xlfn.XLOOKUP(G711,Listas!E:E,Listas!F:F,""),"")</f>
        <v>Inversion</v>
      </c>
      <c r="I711" s="46" t="str">
        <f>IFERROR(_xlfn.XLOOKUP(G711,Listas!E:E,Listas!G:G,""),"")</f>
        <v>Interno</v>
      </c>
      <c r="J711" s="43">
        <v>13000</v>
      </c>
      <c r="K711" s="5">
        <f t="shared" si="7"/>
        <v>-13000</v>
      </c>
      <c r="L711" s="15" t="s">
        <v>132</v>
      </c>
      <c r="M711" s="44">
        <f>SUMIFS('Saldos Iniciales'!$D$2:$D$38,'Saldos Iniciales'!$A$2:$A$38,C711,'Saldos Iniciales'!$B$2:$B$38,D711)+SUMIFS($K$1:$K$1033,$C$1:$C$1033,C711,$D$1:$D$1033,D711,$B$1:$B$1033,"&lt;="&amp;B711)</f>
        <v>68717.600000000006</v>
      </c>
      <c r="N711" s="65" t="str">
        <f>IF(tblMovimientos[[#This Row],[Tipo de Movimiento]]="Ingreso",tblMovimientos[[#This Row],[Monto (S/)]],"0")</f>
        <v>0</v>
      </c>
      <c r="O711" s="65">
        <f>IF(tblMovimientos[[#This Row],[Tipo de Movimiento]]="Egreso",tblMovimientos[[#This Row],[Monto (S/)]],"0")</f>
        <v>13000</v>
      </c>
      <c r="P711" s="28">
        <f>IF(tblMovimientos[[#This Row],[Tipo de Movimiento]]="Ingreso",tblMovimientos[[#This Row],[Ingreso]],-tblMovimientos[[#This Row],[Egreso]])</f>
        <v>-13000</v>
      </c>
    </row>
    <row r="712" spans="2:16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9</v>
      </c>
      <c r="G712" s="41" t="s">
        <v>71</v>
      </c>
      <c r="H712" s="4" t="str">
        <f>IFERROR(_xlfn.XLOOKUP(G712,Listas!E:E,Listas!F:F,""),"")</f>
        <v>Operativo</v>
      </c>
      <c r="I712" s="46" t="str">
        <f>IFERROR(_xlfn.XLOOKUP(G712,Listas!E:E,Listas!G:G,""),"")</f>
        <v>Interno</v>
      </c>
      <c r="J712" s="43">
        <v>600000</v>
      </c>
      <c r="K712" s="5">
        <f t="shared" si="7"/>
        <v>600000</v>
      </c>
      <c r="L712" s="15" t="s">
        <v>132</v>
      </c>
      <c r="M712" s="44">
        <f>SUMIFS('Saldos Iniciales'!$D$2:$D$38,'Saldos Iniciales'!$A$2:$A$38,C712,'Saldos Iniciales'!$B$2:$B$38,D712)+SUMIFS($K$1:$K$1033,$C$1:$C$1033,C712,$D$1:$D$1033,D712,$B$1:$B$1033,"&lt;="&amp;B712)</f>
        <v>1249899.0099999993</v>
      </c>
      <c r="N712" s="65">
        <f>IF(tblMovimientos[[#This Row],[Tipo de Movimiento]]="Ingreso",tblMovimientos[[#This Row],[Monto (S/)]],"0")</f>
        <v>600000</v>
      </c>
      <c r="O712" s="65" t="str">
        <f>IF(tblMovimientos[[#This Row],[Tipo de Movimiento]]="Egreso",tblMovimientos[[#This Row],[Monto (S/)]],"0")</f>
        <v>0</v>
      </c>
      <c r="P712" s="28">
        <f>IF(tblMovimientos[[#This Row],[Tipo de Movimiento]]="Ingreso",tblMovimientos[[#This Row],[Ingreso]],-tblMovimientos[[#This Row],[Egreso]])</f>
        <v>600000</v>
      </c>
    </row>
    <row r="713" spans="2:16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38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385</v>
      </c>
      <c r="K713" s="5">
        <f t="shared" si="7"/>
        <v>-385</v>
      </c>
      <c r="L713" s="15" t="s">
        <v>132</v>
      </c>
      <c r="M713" s="44">
        <f>SUMIFS('Saldos Iniciales'!$D$2:$D$38,'Saldos Iniciales'!$A$2:$A$38,C713,'Saldos Iniciales'!$B$2:$B$38,D713)+SUMIFS($K$1:$K$1033,$C$1:$C$1033,C713,$D$1:$D$1033,D713,$B$1:$B$1033,"&lt;="&amp;B713)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385</v>
      </c>
      <c r="P713" s="28">
        <f>IF(tblMovimientos[[#This Row],[Tipo de Movimiento]]="Ingreso",tblMovimientos[[#This Row],[Ingreso]],-tblMovimientos[[#This Row],[Egreso]])</f>
        <v>-385</v>
      </c>
    </row>
    <row r="714" spans="2:16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56</v>
      </c>
      <c r="H714" s="4" t="str">
        <f>IFERROR(_xlfn.XLOOKUP(G714,Listas!E:E,Listas!F:F,""),"")</f>
        <v>Inversion</v>
      </c>
      <c r="I714" s="46" t="str">
        <f>IFERROR(_xlfn.XLOOKUP(G714,Listas!E:E,Listas!G:G,""),"")</f>
        <v>Externo</v>
      </c>
      <c r="J714" s="43">
        <v>4375</v>
      </c>
      <c r="K714" s="5">
        <f t="shared" si="7"/>
        <v>-4375</v>
      </c>
      <c r="L714" s="15" t="s">
        <v>132</v>
      </c>
      <c r="M714" s="44">
        <f>SUMIFS('Saldos Iniciales'!$D$2:$D$38,'Saldos Iniciales'!$A$2:$A$38,C714,'Saldos Iniciales'!$B$2:$B$38,D714)+SUMIFS($K$1:$K$1033,$C$1:$C$1033,C714,$D$1:$D$1033,D714,$B$1:$B$1033,"&lt;="&amp;B714)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4375</v>
      </c>
      <c r="P714" s="28">
        <f>IF(tblMovimientos[[#This Row],[Tipo de Movimiento]]="Ingreso",tblMovimientos[[#This Row],[Ingreso]],-tblMovimientos[[#This Row],[Egreso]])</f>
        <v>-4375</v>
      </c>
    </row>
    <row r="715" spans="2:16" x14ac:dyDescent="0.3">
      <c r="B715" s="39">
        <v>46240</v>
      </c>
      <c r="C715" s="46" t="str">
        <f>_xlfn.XLOOKUP(tblMovimientos[[#This Row],[Cuenta Bancaria]],Listas!$B:$B,Listas!$A:$A,"")</f>
        <v>SSP Capital</v>
      </c>
      <c r="D715" s="41" t="s">
        <v>104</v>
      </c>
      <c r="E715" s="4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38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14634</v>
      </c>
      <c r="K715" s="5">
        <f t="shared" si="7"/>
        <v>-14634</v>
      </c>
      <c r="L715" s="15" t="s">
        <v>132</v>
      </c>
      <c r="M715" s="44">
        <f>SUMIFS('Saldos Iniciales'!$D$2:$D$38,'Saldos Iniciales'!$A$2:$A$38,C715,'Saldos Iniciales'!$B$2:$B$38,D715)+SUMIFS($K$1:$K$1033,$C$1:$C$1033,C715,$D$1:$D$1033,D715,$B$1:$B$1033,"&lt;="&amp;B715)</f>
        <v>1249899.0099999993</v>
      </c>
      <c r="N715" s="65" t="str">
        <f>IF(tblMovimientos[[#This Row],[Tipo de Movimiento]]="Ingreso",tblMovimientos[[#This Row],[Monto (S/)]],"0")</f>
        <v>0</v>
      </c>
      <c r="O715" s="65">
        <f>IF(tblMovimientos[[#This Row],[Tipo de Movimiento]]="Egreso",tblMovimientos[[#This Row],[Monto (S/)]],"0")</f>
        <v>14634</v>
      </c>
      <c r="P715" s="28">
        <f>IF(tblMovimientos[[#This Row],[Tipo de Movimiento]]="Ingreso",tblMovimientos[[#This Row],[Ingreso]],-tblMovimientos[[#This Row],[Egreso]])</f>
        <v>-14634</v>
      </c>
    </row>
    <row r="716" spans="2:16" x14ac:dyDescent="0.3">
      <c r="B716" s="39">
        <v>46240</v>
      </c>
      <c r="C716" s="46" t="str">
        <f>_xlfn.XLOOKUP(tblMovimientos[[#This Row],[Cuenta Bancaria]],Listas!$B:$B,Listas!$A:$A,"")</f>
        <v>SSP Capital</v>
      </c>
      <c r="D716" s="41" t="s">
        <v>104</v>
      </c>
      <c r="E716" s="4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64</v>
      </c>
      <c r="H716" s="4" t="str">
        <f>IFERROR(_xlfn.XLOOKUP(G716,Listas!E:E,Listas!F:F,""),"")</f>
        <v>Operativo</v>
      </c>
      <c r="I716" s="46" t="str">
        <f>IFERROR(_xlfn.XLOOKUP(G716,Listas!E:E,Listas!G:G,""),"")</f>
        <v>Interno</v>
      </c>
      <c r="J716" s="43">
        <v>20000</v>
      </c>
      <c r="K716" s="5">
        <f t="shared" si="7"/>
        <v>-20000</v>
      </c>
      <c r="L716" s="15" t="s">
        <v>132</v>
      </c>
      <c r="M716" s="44">
        <f>SUMIFS('Saldos Iniciales'!$D$2:$D$38,'Saldos Iniciales'!$A$2:$A$38,C716,'Saldos Iniciales'!$B$2:$B$38,D716)+SUMIFS($K$1:$K$1033,$C$1:$C$1033,C716,$D$1:$D$1033,D716,$B$1:$B$1033,"&lt;="&amp;B716)</f>
        <v>1249899.0099999993</v>
      </c>
      <c r="N716" s="65" t="str">
        <f>IF(tblMovimientos[[#This Row],[Tipo de Movimiento]]="Ingreso",tblMovimientos[[#This Row],[Monto (S/)]],"0")</f>
        <v>0</v>
      </c>
      <c r="O716" s="65">
        <f>IF(tblMovimientos[[#This Row],[Tipo de Movimiento]]="Egreso",tblMovimientos[[#This Row],[Monto (S/)]],"0")</f>
        <v>20000</v>
      </c>
      <c r="P716" s="28">
        <f>IF(tblMovimientos[[#This Row],[Tipo de Movimiento]]="Ingreso",tblMovimientos[[#This Row],[Ingreso]],-tblMovimientos[[#This Row],[Egreso]])</f>
        <v>-20000</v>
      </c>
    </row>
    <row r="717" spans="2:16" x14ac:dyDescent="0.3">
      <c r="B717" s="39">
        <v>46240</v>
      </c>
      <c r="C717" s="46" t="str">
        <f>_xlfn.XLOOKUP(tblMovimientos[[#This Row],[Cuenta Bancaria]],Listas!$B:$B,Listas!$A:$A,"")</f>
        <v>Green Harbor Trust</v>
      </c>
      <c r="D717" s="41" t="s">
        <v>125</v>
      </c>
      <c r="E717" s="4" t="str">
        <f>_xlfn.XLOOKUP(tblMovimientos[[#This Row],[Cuenta Bancaria]],Listas!$B:$B,Listas!$C:$C,"")</f>
        <v xml:space="preserve">Amerant Bank </v>
      </c>
      <c r="F717" s="41" t="s">
        <v>9</v>
      </c>
      <c r="G717" s="41" t="s">
        <v>77</v>
      </c>
      <c r="H717" s="4" t="str">
        <f>IFERROR(_xlfn.XLOOKUP(G717,Listas!E:E,Listas!F:F,""),"")</f>
        <v>Inversion</v>
      </c>
      <c r="I717" s="46" t="str">
        <f>IFERROR(_xlfn.XLOOKUP(G717,Listas!E:E,Listas!G:G,""),"")</f>
        <v>Interno</v>
      </c>
      <c r="J717" s="43">
        <v>13000</v>
      </c>
      <c r="K717" s="5">
        <f t="shared" si="7"/>
        <v>13000</v>
      </c>
      <c r="L717" s="15" t="s">
        <v>132</v>
      </c>
      <c r="M717" s="44">
        <f>SUMIFS('Saldos Iniciales'!$D$2:$D$38,'Saldos Iniciales'!$A$2:$A$38,C717,'Saldos Iniciales'!$B$2:$B$38,D717)+SUMIFS($K$1:$K$1033,$C$1:$C$1033,C717,$D$1:$D$1033,D717,$B$1:$B$1033,"&lt;="&amp;B717)</f>
        <v>345</v>
      </c>
      <c r="N717" s="65">
        <f>IF(tblMovimientos[[#This Row],[Tipo de Movimiento]]="Ingreso",tblMovimientos[[#This Row],[Monto (S/)]],"0")</f>
        <v>13000</v>
      </c>
      <c r="O717" s="65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13000</v>
      </c>
    </row>
    <row r="718" spans="2:16" x14ac:dyDescent="0.3">
      <c r="B718" s="39">
        <v>46240</v>
      </c>
      <c r="C718" s="46" t="str">
        <f>_xlfn.XLOOKUP(tblMovimientos[[#This Row],[Cuenta Bancaria]],Listas!$B:$B,Listas!$A:$A,"")</f>
        <v>Green Harbor Trust</v>
      </c>
      <c r="D718" s="41" t="s">
        <v>125</v>
      </c>
      <c r="E718" s="4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52</v>
      </c>
      <c r="H718" s="4" t="str">
        <f>IFERROR(_xlfn.XLOOKUP(G718,Listas!E:E,Listas!F:F,""),"")</f>
        <v>Inversion</v>
      </c>
      <c r="I718" s="46" t="str">
        <f>IFERROR(_xlfn.XLOOKUP(G718,Listas!E:E,Listas!G:G,""),"")</f>
        <v>Externo</v>
      </c>
      <c r="J718" s="43">
        <v>13000</v>
      </c>
      <c r="K718" s="5">
        <f t="shared" si="7"/>
        <v>-13000</v>
      </c>
      <c r="L718" s="15" t="s">
        <v>132</v>
      </c>
      <c r="M718" s="44">
        <f>SUMIFS('Saldos Iniciales'!$D$2:$D$38,'Saldos Iniciales'!$A$2:$A$38,C718,'Saldos Iniciales'!$B$2:$B$38,D718)+SUMIFS($K$1:$K$1033,$C$1:$C$1033,C718,$D$1:$D$1033,D718,$B$1:$B$1033,"&lt;="&amp;B718)</f>
        <v>345</v>
      </c>
      <c r="N718" s="65" t="str">
        <f>IF(tblMovimientos[[#This Row],[Tipo de Movimiento]]="Ingreso",tblMovimientos[[#This Row],[Monto (S/)]],"0")</f>
        <v>0</v>
      </c>
      <c r="O718" s="65">
        <f>IF(tblMovimientos[[#This Row],[Tipo de Movimiento]]="Egreso",tblMovimientos[[#This Row],[Monto (S/)]],"0")</f>
        <v>13000</v>
      </c>
      <c r="P718" s="28">
        <f>IF(tblMovimientos[[#This Row],[Tipo de Movimiento]]="Ingreso",tblMovimientos[[#This Row],[Ingreso]],-tblMovimientos[[#This Row],[Egreso]])</f>
        <v>-13000</v>
      </c>
    </row>
    <row r="719" spans="2:16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9</v>
      </c>
      <c r="G719" s="41" t="s">
        <v>77</v>
      </c>
      <c r="H719" s="4" t="str">
        <f>IFERROR(_xlfn.XLOOKUP(G719,Listas!E:E,Listas!F:F,""),"")</f>
        <v>Inversion</v>
      </c>
      <c r="I719" s="46" t="str">
        <f>IFERROR(_xlfn.XLOOKUP(G719,Listas!E:E,Listas!G:G,""),"")</f>
        <v>Interno</v>
      </c>
      <c r="J719" s="43">
        <v>13000</v>
      </c>
      <c r="K719" s="5">
        <f t="shared" si="7"/>
        <v>13000</v>
      </c>
      <c r="L719" s="15" t="s">
        <v>132</v>
      </c>
      <c r="M719" s="44">
        <f>SUMIFS('Saldos Iniciales'!$D$2:$D$38,'Saldos Iniciales'!$A$2:$A$38,C719,'Saldos Iniciales'!$B$2:$B$38,D719)+SUMIFS($K$1:$K$1033,$C$1:$C$1033,C719,$D$1:$D$1033,D719,$B$1:$B$1033,"&lt;="&amp;B719)</f>
        <v>10184.749999999998</v>
      </c>
      <c r="N719" s="65">
        <f>IF(tblMovimientos[[#This Row],[Tipo de Movimiento]]="Ingreso",tblMovimientos[[#This Row],[Monto (S/)]],"0")</f>
        <v>13000</v>
      </c>
      <c r="O719" s="65" t="str">
        <f>IF(tblMovimientos[[#This Row],[Tipo de Movimiento]]="Egreso",tblMovimientos[[#This Row],[Monto (S/)]],"0")</f>
        <v>0</v>
      </c>
      <c r="P719" s="28">
        <f>IF(tblMovimientos[[#This Row],[Tipo de Movimiento]]="Ingreso",tblMovimientos[[#This Row],[Ingreso]],-tblMovimientos[[#This Row],[Egreso]])</f>
        <v>13000</v>
      </c>
    </row>
    <row r="720" spans="2:16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38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15</v>
      </c>
      <c r="K720" s="5">
        <f t="shared" si="7"/>
        <v>-15</v>
      </c>
      <c r="L720" s="15" t="s">
        <v>132</v>
      </c>
      <c r="M720" s="44">
        <f>SUMIFS('Saldos Iniciales'!$D$2:$D$38,'Saldos Iniciales'!$A$2:$A$38,C720,'Saldos Iniciales'!$B$2:$B$38,D720)+SUMIFS($K$1:$K$1033,$C$1:$C$1033,C720,$D$1:$D$1033,D720,$B$1:$B$1033,"&lt;="&amp;B720)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15</v>
      </c>
      <c r="P720" s="28">
        <f>IF(tblMovimientos[[#This Row],[Tipo de Movimiento]]="Ingreso",tblMovimientos[[#This Row],[Ingreso]],-tblMovimientos[[#This Row],[Egreso]])</f>
        <v>-15</v>
      </c>
    </row>
    <row r="721" spans="1:16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38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2413.56</v>
      </c>
      <c r="K721" s="5">
        <f t="shared" si="7"/>
        <v>-2413.56</v>
      </c>
      <c r="L721" s="15" t="s">
        <v>132</v>
      </c>
      <c r="M721" s="44">
        <f>SUMIFS('Saldos Iniciales'!$D$2:$D$38,'Saldos Iniciales'!$A$2:$A$38,C721,'Saldos Iniciales'!$B$2:$B$38,D721)+SUMIFS($K$1:$K$1033,$C$1:$C$1033,C721,$D$1:$D$1033,D721,$B$1:$B$1033,"&lt;="&amp;B721)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2413.56</v>
      </c>
      <c r="P721" s="28">
        <f>IF(tblMovimientos[[#This Row],[Tipo de Movimiento]]="Ingreso",tblMovimientos[[#This Row],[Ingreso]],-tblMovimientos[[#This Row],[Egreso]])</f>
        <v>-2413.56</v>
      </c>
    </row>
    <row r="722" spans="1:16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44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15</v>
      </c>
      <c r="K722" s="5">
        <f t="shared" si="7"/>
        <v>-15</v>
      </c>
      <c r="L722" s="15" t="s">
        <v>132</v>
      </c>
      <c r="M722" s="44">
        <f>SUMIFS('Saldos Iniciales'!$D$2:$D$38,'Saldos Iniciales'!$A$2:$A$38,C722,'Saldos Iniciales'!$B$2:$B$38,D722)+SUMIFS($K$1:$K$1033,$C$1:$C$1033,C722,$D$1:$D$1033,D722,$B$1:$B$1033,"&lt;="&amp;B722)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15</v>
      </c>
      <c r="P722" s="28">
        <f>IF(tblMovimientos[[#This Row],[Tipo de Movimiento]]="Ingreso",tblMovimientos[[#This Row],[Ingreso]],-tblMovimientos[[#This Row],[Egreso]])</f>
        <v>-15</v>
      </c>
    </row>
    <row r="723" spans="1:16" x14ac:dyDescent="0.3">
      <c r="B723" s="39">
        <v>46240</v>
      </c>
      <c r="C723" s="46" t="str">
        <f>_xlfn.XLOOKUP(tblMovimientos[[#This Row],[Cuenta Bancaria]],Listas!$B:$B,Listas!$A:$A,"")</f>
        <v>Go Blue</v>
      </c>
      <c r="D723" s="41" t="s">
        <v>126</v>
      </c>
      <c r="E723" s="4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5950.82</v>
      </c>
      <c r="K723" s="5">
        <f t="shared" si="7"/>
        <v>-5950.82</v>
      </c>
      <c r="L723" s="15" t="s">
        <v>132</v>
      </c>
      <c r="M723" s="44">
        <f>SUMIFS('Saldos Iniciales'!$D$2:$D$38,'Saldos Iniciales'!$A$2:$A$38,C723,'Saldos Iniciales'!$B$2:$B$38,D723)+SUMIFS($K$1:$K$1033,$C$1:$C$1033,C723,$D$1:$D$1033,D723,$B$1:$B$1033,"&lt;="&amp;B723)</f>
        <v>10184.749999999998</v>
      </c>
      <c r="N723" s="65" t="str">
        <f>IF(tblMovimientos[[#This Row],[Tipo de Movimiento]]="Ingreso",tblMovimientos[[#This Row],[Monto (S/)]],"0")</f>
        <v>0</v>
      </c>
      <c r="O723" s="65">
        <f>IF(tblMovimientos[[#This Row],[Tipo de Movimiento]]="Egreso",tblMovimientos[[#This Row],[Monto (S/)]],"0")</f>
        <v>5950.82</v>
      </c>
      <c r="P723" s="28">
        <f>IF(tblMovimientos[[#This Row],[Tipo de Movimiento]]="Ingreso",tblMovimientos[[#This Row],[Ingreso]],-tblMovimientos[[#This Row],[Egreso]])</f>
        <v>-5950.82</v>
      </c>
    </row>
    <row r="724" spans="1:16" x14ac:dyDescent="0.3">
      <c r="B724" s="39">
        <v>46240</v>
      </c>
      <c r="C724" s="46" t="str">
        <f>_xlfn.XLOOKUP(tblMovimientos[[#This Row],[Cuenta Bancaria]],Listas!$B:$B,Listas!$A:$A,"")</f>
        <v>Go Blue</v>
      </c>
      <c r="D724" s="41" t="s">
        <v>126</v>
      </c>
      <c r="E724" s="4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44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15</v>
      </c>
      <c r="K724" s="5">
        <f t="shared" si="7"/>
        <v>-15</v>
      </c>
      <c r="L724" s="15" t="s">
        <v>132</v>
      </c>
      <c r="M724" s="44">
        <f>SUMIFS('Saldos Iniciales'!$D$2:$D$38,'Saldos Iniciales'!$A$2:$A$38,C724,'Saldos Iniciales'!$B$2:$B$38,D724)+SUMIFS($K$1:$K$1033,$C$1:$C$1033,C724,$D$1:$D$1033,D724,$B$1:$B$1033,"&lt;="&amp;B724)</f>
        <v>10184.749999999998</v>
      </c>
      <c r="N724" s="65" t="str">
        <f>IF(tblMovimientos[[#This Row],[Tipo de Movimiento]]="Ingreso",tblMovimientos[[#This Row],[Monto (S/)]],"0")</f>
        <v>0</v>
      </c>
      <c r="O724" s="65">
        <f>IF(tblMovimientos[[#This Row],[Tipo de Movimiento]]="Egreso",tblMovimientos[[#This Row],[Monto (S/)]],"0")</f>
        <v>15</v>
      </c>
      <c r="P724" s="28">
        <f>IF(tblMovimientos[[#This Row],[Tipo de Movimiento]]="Ingreso",tblMovimientos[[#This Row],[Ingreso]],-tblMovimientos[[#This Row],[Egreso]])</f>
        <v>-15</v>
      </c>
    </row>
    <row r="725" spans="1:16" x14ac:dyDescent="0.3">
      <c r="B725" s="39">
        <v>46240</v>
      </c>
      <c r="C725" s="46" t="str">
        <f>_xlfn.XLOOKUP(tblMovimientos[[#This Row],[Cuenta Bancaria]],Listas!$B:$B,Listas!$A:$A,"")</f>
        <v>Cross Security Trust</v>
      </c>
      <c r="D725" s="41" t="s">
        <v>112</v>
      </c>
      <c r="E725" s="4" t="str">
        <f>_xlfn.XLOOKUP(tblMovimientos[[#This Row],[Cuenta Bancaria]],Listas!$B:$B,Listas!$C:$C,"")</f>
        <v>Bank of America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22.98</v>
      </c>
      <c r="K725" s="5">
        <f t="shared" si="7"/>
        <v>-22.98</v>
      </c>
      <c r="L725" s="15" t="s">
        <v>132</v>
      </c>
      <c r="M725" s="44">
        <f>SUMIFS('Saldos Iniciales'!$D$2:$D$38,'Saldos Iniciales'!$A$2:$A$38,C725,'Saldos Iniciales'!$B$2:$B$38,D725)+SUMIFS($K$1:$K$1033,$C$1:$C$1033,C725,$D$1:$D$1033,D725,$B$1:$B$1033,"&lt;="&amp;B725)</f>
        <v>88067.39</v>
      </c>
      <c r="N725" s="65" t="str">
        <f>IF(tblMovimientos[[#This Row],[Tipo de Movimiento]]="Ingreso",tblMovimientos[[#This Row],[Monto (S/)]],"0")</f>
        <v>0</v>
      </c>
      <c r="O725" s="65">
        <f>IF(tblMovimientos[[#This Row],[Tipo de Movimiento]]="Egreso",tblMovimientos[[#This Row],[Monto (S/)]],"0")</f>
        <v>22.98</v>
      </c>
      <c r="P725" s="28">
        <f>IF(tblMovimientos[[#This Row],[Tipo de Movimiento]]="Ingreso",tblMovimientos[[#This Row],[Ingreso]],-tblMovimientos[[#This Row],[Egreso]])</f>
        <v>-22.98</v>
      </c>
    </row>
    <row r="726" spans="1:16" x14ac:dyDescent="0.3">
      <c r="B726" s="39">
        <v>46240</v>
      </c>
      <c r="C726" s="46" t="str">
        <f>_xlfn.XLOOKUP(tblMovimientos[[#This Row],[Cuenta Bancaria]],Listas!$B:$B,Listas!$A:$A,"")</f>
        <v>Electrama</v>
      </c>
      <c r="D726" s="41" t="s">
        <v>113</v>
      </c>
      <c r="E726" s="4" t="str">
        <f>_xlfn.XLOOKUP(tblMovimientos[[#This Row],[Cuenta Bancaria]],Listas!$B:$B,Listas!$C:$C,"")</f>
        <v>Chase Bank</v>
      </c>
      <c r="F726" s="41" t="s">
        <v>10</v>
      </c>
      <c r="G726" s="41" t="s">
        <v>38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1270.43</v>
      </c>
      <c r="K726" s="5">
        <f t="shared" si="7"/>
        <v>-1270.43</v>
      </c>
      <c r="L726" s="15" t="s">
        <v>132</v>
      </c>
      <c r="M726" s="44">
        <f>SUMIFS('Saldos Iniciales'!$D$2:$D$38,'Saldos Iniciales'!$A$2:$A$38,C726,'Saldos Iniciales'!$B$2:$B$38,D726)+SUMIFS($K$1:$K$1033,$C$1:$C$1033,C726,$D$1:$D$1033,D726,$B$1:$B$1033,"&lt;="&amp;B726)</f>
        <v>13270.02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1270.43</v>
      </c>
      <c r="P726" s="28">
        <f>IF(tblMovimientos[[#This Row],[Tipo de Movimiento]]="Ingreso",tblMovimientos[[#This Row],[Ingreso]],-tblMovimientos[[#This Row],[Egreso]])</f>
        <v>-1270.43</v>
      </c>
    </row>
    <row r="727" spans="1:16" x14ac:dyDescent="0.3">
      <c r="B727" s="39">
        <v>46241</v>
      </c>
      <c r="C727" s="46" t="str">
        <f>_xlfn.XLOOKUP(tblMovimientos[[#This Row],[Cuenta Bancaria]],Listas!$B:$B,Listas!$A:$A,"")</f>
        <v>2515 Overbrook</v>
      </c>
      <c r="D727" s="41" t="s">
        <v>121</v>
      </c>
      <c r="E727" s="72" t="str">
        <f>_xlfn.XLOOKUP(tblMovimientos[[#This Row],[Cuenta Bancaria]],Listas!$B:$B,Listas!$C:$C,"")</f>
        <v>Bank of America</v>
      </c>
      <c r="F727" s="41" t="s">
        <v>9</v>
      </c>
      <c r="G727" s="41" t="s">
        <v>87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62.9</v>
      </c>
      <c r="K727" s="5">
        <f t="shared" si="7"/>
        <v>62.9</v>
      </c>
      <c r="L727" s="15" t="s">
        <v>132</v>
      </c>
      <c r="M727" s="44">
        <f>SUMIFS('Saldos Iniciales'!$D$2:$D$38,'Saldos Iniciales'!$A$2:$A$38,C727,'Saldos Iniciales'!$B$2:$B$38,D727)+SUMIFS($K$1:$K$1033,$C$1:$C$1033,C727,$D$1:$D$1033,D727,$B$1:$B$1033,"&lt;="&amp;B727)</f>
        <v>10949.219999999963</v>
      </c>
      <c r="N727" s="65">
        <f>IF(tblMovimientos[[#This Row],[Tipo de Movimiento]]="Ingreso",tblMovimientos[[#This Row],[Monto (S/)]],"0")</f>
        <v>62.9</v>
      </c>
      <c r="O727" s="65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62.9</v>
      </c>
    </row>
    <row r="728" spans="1:16" x14ac:dyDescent="0.3">
      <c r="B728" s="39">
        <v>46241</v>
      </c>
      <c r="C728" s="46" t="str">
        <f>_xlfn.XLOOKUP(tblMovimientos[[#This Row],[Cuenta Bancaria]],Listas!$B:$B,Listas!$A:$A,"")</f>
        <v>2515 Overbrook</v>
      </c>
      <c r="D728" s="41" t="s">
        <v>121</v>
      </c>
      <c r="E728" s="72" t="str">
        <f>_xlfn.XLOOKUP(tblMovimientos[[#This Row],[Cuenta Bancaria]],Listas!$B:$B,Listas!$C:$C,"")</f>
        <v>Bank of America</v>
      </c>
      <c r="F728" s="41" t="s">
        <v>9</v>
      </c>
      <c r="G728" s="41" t="s">
        <v>87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42.5</v>
      </c>
      <c r="K728" s="5">
        <f t="shared" si="7"/>
        <v>42.5</v>
      </c>
      <c r="L728" s="15" t="s">
        <v>132</v>
      </c>
      <c r="M728" s="44">
        <f>SUMIFS('Saldos Iniciales'!$D$2:$D$38,'Saldos Iniciales'!$A$2:$A$38,C728,'Saldos Iniciales'!$B$2:$B$38,D728)+SUMIFS($K$1:$K$1033,$C$1:$C$1033,C728,$D$1:$D$1033,D728,$B$1:$B$1033,"&lt;="&amp;B728)</f>
        <v>10949.219999999963</v>
      </c>
      <c r="N728" s="65">
        <f>IF(tblMovimientos[[#This Row],[Tipo de Movimiento]]="Ingreso",tblMovimientos[[#This Row],[Monto (S/)]],"0")</f>
        <v>42.5</v>
      </c>
      <c r="O728" s="65" t="str">
        <f>IF(tblMovimientos[[#This Row],[Tipo de Movimiento]]="Egreso",tblMovimientos[[#This Row],[Monto (S/)]],"0")</f>
        <v>0</v>
      </c>
      <c r="P728" s="28">
        <f>IF(tblMovimientos[[#This Row],[Tipo de Movimiento]]="Ingreso",tblMovimientos[[#This Row],[Ingreso]],-tblMovimientos[[#This Row],[Egreso]])</f>
        <v>42.5</v>
      </c>
    </row>
    <row r="729" spans="1:16" x14ac:dyDescent="0.3">
      <c r="B729" s="39">
        <v>46241</v>
      </c>
      <c r="C729" s="46" t="str">
        <f>_xlfn.XLOOKUP(tblMovimientos[[#This Row],[Cuenta Bancaria]],Listas!$B:$B,Listas!$A:$A,"")</f>
        <v>2515 Overbrook</v>
      </c>
      <c r="D729" s="41" t="s">
        <v>121</v>
      </c>
      <c r="E729" s="72" t="str">
        <f>_xlfn.XLOOKUP(tblMovimientos[[#This Row],[Cuenta Bancaria]],Listas!$B:$B,Listas!$C:$C,"")</f>
        <v>Bank of America</v>
      </c>
      <c r="F729" s="41" t="s">
        <v>10</v>
      </c>
      <c r="G729" s="41" t="s">
        <v>38</v>
      </c>
      <c r="H729" s="4" t="str">
        <f>IFERROR(_xlfn.XLOOKUP(G729,Listas!E:E,Listas!F:F,""),"")</f>
        <v>Operativo</v>
      </c>
      <c r="I729" s="46" t="str">
        <f>IFERROR(_xlfn.XLOOKUP(G729,Listas!E:E,Listas!G:G,""),"")</f>
        <v>Externo</v>
      </c>
      <c r="J729" s="43">
        <v>205</v>
      </c>
      <c r="K729" s="5">
        <f t="shared" si="7"/>
        <v>-205</v>
      </c>
      <c r="L729" s="15" t="s">
        <v>132</v>
      </c>
      <c r="M729" s="44">
        <f>SUMIFS('Saldos Iniciales'!$D$2:$D$38,'Saldos Iniciales'!$A$2:$A$38,C729,'Saldos Iniciales'!$B$2:$B$38,D729)+SUMIFS($K$1:$K$1033,$C$1:$C$1033,C729,$D$1:$D$1033,D729,$B$1:$B$1033,"&lt;="&amp;B729)</f>
        <v>10949.219999999963</v>
      </c>
      <c r="N729" s="65" t="str">
        <f>IF(tblMovimientos[[#This Row],[Tipo de Movimiento]]="Ingreso",tblMovimientos[[#This Row],[Monto (S/)]],"0")</f>
        <v>0</v>
      </c>
      <c r="O729" s="65">
        <f>IF(tblMovimientos[[#This Row],[Tipo de Movimiento]]="Egreso",tblMovimientos[[#This Row],[Monto (S/)]],"0")</f>
        <v>205</v>
      </c>
      <c r="P729" s="28">
        <f>IF(tblMovimientos[[#This Row],[Tipo de Movimiento]]="Ingreso",tblMovimientos[[#This Row],[Ingreso]],-tblMovimientos[[#This Row],[Egreso]])</f>
        <v>-205</v>
      </c>
    </row>
    <row r="730" spans="1:16" x14ac:dyDescent="0.3">
      <c r="B730" s="39">
        <v>46241</v>
      </c>
      <c r="C730" s="46" t="str">
        <f>_xlfn.XLOOKUP(tblMovimientos[[#This Row],[Cuenta Bancaria]],Listas!$B:$B,Listas!$A:$A,"")</f>
        <v>2515 Overbrook</v>
      </c>
      <c r="D730" s="41" t="s">
        <v>121</v>
      </c>
      <c r="E730" s="72" t="str">
        <f>_xlfn.XLOOKUP(tblMovimientos[[#This Row],[Cuenta Bancaria]],Listas!$B:$B,Listas!$C:$C,"")</f>
        <v>Bank of America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2445</v>
      </c>
      <c r="K730" s="5">
        <f t="shared" si="7"/>
        <v>-2445</v>
      </c>
      <c r="L730" s="15" t="s">
        <v>132</v>
      </c>
      <c r="M730" s="44">
        <f>SUMIFS('Saldos Iniciales'!$D$2:$D$38,'Saldos Iniciales'!$A$2:$A$38,C730,'Saldos Iniciales'!$B$2:$B$38,D730)+SUMIFS($K$1:$K$1033,$C$1:$C$1033,C730,$D$1:$D$1033,D730,$B$1:$B$1033,"&lt;="&amp;B730)</f>
        <v>10949.219999999963</v>
      </c>
      <c r="N730" s="65" t="str">
        <f>IF(tblMovimientos[[#This Row],[Tipo de Movimiento]]="Ingreso",tblMovimientos[[#This Row],[Monto (S/)]],"0")</f>
        <v>0</v>
      </c>
      <c r="O730" s="65">
        <f>IF(tblMovimientos[[#This Row],[Tipo de Movimiento]]="Egreso",tblMovimientos[[#This Row],[Monto (S/)]],"0")</f>
        <v>2445</v>
      </c>
      <c r="P730" s="28">
        <f>IF(tblMovimientos[[#This Row],[Tipo de Movimiento]]="Ingreso",tblMovimientos[[#This Row],[Ingreso]],-tblMovimientos[[#This Row],[Egreso]])</f>
        <v>-2445</v>
      </c>
    </row>
    <row r="731" spans="1:16" x14ac:dyDescent="0.3">
      <c r="B731" s="39">
        <v>46241</v>
      </c>
      <c r="C731" s="46" t="str">
        <f>_xlfn.XLOOKUP(tblMovimientos[[#This Row],[Cuenta Bancaria]],Listas!$B:$B,Listas!$A:$A,"")</f>
        <v>3628 Thomas Ave</v>
      </c>
      <c r="D731" s="41" t="s">
        <v>124</v>
      </c>
      <c r="E731" s="72" t="str">
        <f>_xlfn.XLOOKUP(tblMovimientos[[#This Row],[Cuenta Bancaria]],Listas!$B:$B,Listas!$C:$C,"")</f>
        <v>Bank of America</v>
      </c>
      <c r="F731" s="41" t="s">
        <v>9</v>
      </c>
      <c r="G731" s="41" t="s">
        <v>87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5000</v>
      </c>
      <c r="K731" s="5">
        <f t="shared" si="7"/>
        <v>5000</v>
      </c>
      <c r="L731" s="15" t="s">
        <v>132</v>
      </c>
      <c r="M731" s="44">
        <f>SUMIFS('Saldos Iniciales'!$D$2:$D$38,'Saldos Iniciales'!$A$2:$A$38,C731,'Saldos Iniciales'!$B$2:$B$38,D731)+SUMIFS($K$1:$K$1033,$C$1:$C$1033,C731,$D$1:$D$1033,D731,$B$1:$B$1033,"&lt;="&amp;B731)</f>
        <v>20106.099999999999</v>
      </c>
      <c r="N731" s="65">
        <f>IF(tblMovimientos[[#This Row],[Tipo de Movimiento]]="Ingreso",tblMovimientos[[#This Row],[Monto (S/)]],"0")</f>
        <v>5000</v>
      </c>
      <c r="O731" s="65" t="str">
        <f>IF(tblMovimientos[[#This Row],[Tipo de Movimiento]]="Egreso",tblMovimientos[[#This Row],[Monto (S/)]],"0")</f>
        <v>0</v>
      </c>
      <c r="P731" s="28">
        <f>IF(tblMovimientos[[#This Row],[Tipo de Movimiento]]="Ingreso",tblMovimientos[[#This Row],[Ingreso]],-tblMovimientos[[#This Row],[Egreso]])</f>
        <v>5000</v>
      </c>
    </row>
    <row r="732" spans="1:16" x14ac:dyDescent="0.3">
      <c r="B732" s="39">
        <v>46244</v>
      </c>
      <c r="C732" s="46" t="str">
        <f>_xlfn.XLOOKUP(tblMovimientos[[#This Row],[Cuenta Bancaria]],Listas!$B:$B,Listas!$A:$A,"")</f>
        <v>SSP Capital</v>
      </c>
      <c r="D732" s="41" t="s">
        <v>101</v>
      </c>
      <c r="E732" s="72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1291.6500000000001</v>
      </c>
      <c r="K732" s="5">
        <f t="shared" si="7"/>
        <v>-1291.6500000000001</v>
      </c>
      <c r="L732" s="15" t="s">
        <v>132</v>
      </c>
      <c r="M732" s="44">
        <f>SUMIFS('Saldos Iniciales'!$D$2:$D$38,'Saldos Iniciales'!$A$2:$A$38,C732,'Saldos Iniciales'!$B$2:$B$38,D732)+SUMIFS($K$1:$K$1033,$C$1:$C$1033,C732,$D$1:$D$1033,D732,$B$1:$B$1033,"&lt;="&amp;B732)</f>
        <v>45085.91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1291.6500000000001</v>
      </c>
      <c r="P732" s="28">
        <f>IF(tblMovimientos[[#This Row],[Tipo de Movimiento]]="Ingreso",tblMovimientos[[#This Row],[Ingreso]],-tblMovimientos[[#This Row],[Egreso]])</f>
        <v>-1291.6500000000001</v>
      </c>
    </row>
    <row r="733" spans="1:16" x14ac:dyDescent="0.3">
      <c r="B733" s="39">
        <v>46244</v>
      </c>
      <c r="C733" s="46" t="str">
        <f>_xlfn.XLOOKUP(tblMovimientos[[#This Row],[Cuenta Bancaria]],Listas!$B:$B,Listas!$A:$A,"")</f>
        <v>CFT Group</v>
      </c>
      <c r="D733" s="41" t="s">
        <v>94</v>
      </c>
      <c r="E733" s="72" t="str">
        <f>_xlfn.XLOOKUP(tblMovimientos[[#This Row],[Cuenta Bancaria]],Listas!$B:$B,Listas!$C:$C,"")</f>
        <v>Bank of America</v>
      </c>
      <c r="F733" s="41" t="s">
        <v>9</v>
      </c>
      <c r="G733" s="41" t="s">
        <v>69</v>
      </c>
      <c r="H733" s="4" t="str">
        <f>IFERROR(_xlfn.XLOOKUP(G733,Listas!E:E,Listas!F:F,""),"")</f>
        <v>Operativo</v>
      </c>
      <c r="I733" s="46" t="str">
        <f>IFERROR(_xlfn.XLOOKUP(G733,Listas!E:E,Listas!G:G,""),"")</f>
        <v>Interno</v>
      </c>
      <c r="J733" s="43">
        <v>106686.57</v>
      </c>
      <c r="K733" s="5">
        <f t="shared" si="7"/>
        <v>106686.57</v>
      </c>
      <c r="L733" s="15" t="s">
        <v>132</v>
      </c>
      <c r="M733" s="44">
        <f>SUMIFS('Saldos Iniciales'!$D$2:$D$38,'Saldos Iniciales'!$A$2:$A$38,C733,'Saldos Iniciales'!$B$2:$B$38,D733)+SUMIFS($K$1:$K$1033,$C$1:$C$1033,C733,$D$1:$D$1033,D733,$B$1:$B$1033,"&lt;="&amp;B733)</f>
        <v>-60448.73000000001</v>
      </c>
      <c r="N733" s="65">
        <f>IF(tblMovimientos[[#This Row],[Tipo de Movimiento]]="Ingreso",tblMovimientos[[#This Row],[Monto (S/)]],"0")</f>
        <v>106686.57</v>
      </c>
      <c r="O733" s="65" t="str">
        <f>IF(tblMovimientos[[#This Row],[Tipo de Movimiento]]="Egreso",tblMovimientos[[#This Row],[Monto (S/)]],"0")</f>
        <v>0</v>
      </c>
      <c r="P733" s="28">
        <f>IF(tblMovimientos[[#This Row],[Tipo de Movimiento]]="Ingreso",tblMovimientos[[#This Row],[Ingreso]],-tblMovimientos[[#This Row],[Egreso]])</f>
        <v>106686.57</v>
      </c>
    </row>
    <row r="734" spans="1:16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2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1050</v>
      </c>
      <c r="K734" s="5">
        <f t="shared" si="7"/>
        <v>-1050</v>
      </c>
      <c r="L734" s="15" t="s">
        <v>132</v>
      </c>
      <c r="M734" s="44">
        <f>SUMIFS('Saldos Iniciales'!$D$2:$D$38,'Saldos Iniciales'!$A$2:$A$38,C734,'Saldos Iniciales'!$B$2:$B$38,D734)+SUMIFS($K$1:$K$1033,$C$1:$C$1033,C734,$D$1:$D$1033,D734,$B$1:$B$1033,"&lt;="&amp;B734)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1050</v>
      </c>
      <c r="P734" s="28">
        <f>IF(tblMovimientos[[#This Row],[Tipo de Movimiento]]="Ingreso",tblMovimientos[[#This Row],[Ingreso]],-tblMovimientos[[#This Row],[Egreso]])</f>
        <v>-1050</v>
      </c>
    </row>
    <row r="735" spans="1:16" x14ac:dyDescent="0.3">
      <c r="A735" s="45"/>
      <c r="B735" s="39">
        <v>46244</v>
      </c>
      <c r="C735" s="46" t="str">
        <f>_xlfn.XLOOKUP(tblMovimientos[[#This Row],[Cuenta Bancaria]],Listas!$B:$B,Listas!$A:$A,"")</f>
        <v>2515 Overbrook</v>
      </c>
      <c r="D735" s="41" t="s">
        <v>121</v>
      </c>
      <c r="E735" s="73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1971.27</v>
      </c>
      <c r="K735" s="5">
        <f t="shared" si="7"/>
        <v>-1971.27</v>
      </c>
      <c r="L735" s="15" t="s">
        <v>132</v>
      </c>
      <c r="M735" s="44">
        <f>SUMIFS('Saldos Iniciales'!$D$2:$D$38,'Saldos Iniciales'!$A$2:$A$38,C735,'Saldos Iniciales'!$B$2:$B$38,D735)+SUMIFS($K$1:$K$1033,$C$1:$C$1033,C735,$D$1:$D$1033,D735,$B$1:$B$1033,"&lt;="&amp;B735)</f>
        <v>3390.2899999999645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1971.27</v>
      </c>
      <c r="P735" s="28">
        <f>IF(tblMovimientos[[#This Row],[Tipo de Movimiento]]="Ingreso",tblMovimientos[[#This Row],[Ingreso]],-tblMovimientos[[#This Row],[Egreso]])</f>
        <v>-1971.27</v>
      </c>
    </row>
    <row r="736" spans="1:16" x14ac:dyDescent="0.3">
      <c r="B736" s="39">
        <v>46244</v>
      </c>
      <c r="C736" s="46" t="str">
        <f>_xlfn.XLOOKUP(tblMovimientos[[#This Row],[Cuenta Bancaria]],Listas!$B:$B,Listas!$A:$A,"")</f>
        <v>2515 Overbrook</v>
      </c>
      <c r="D736" s="41" t="s">
        <v>121</v>
      </c>
      <c r="E736" s="72" t="str">
        <f>_xlfn.XLOOKUP(tblMovimientos[[#This Row],[Cuenta Bancaria]],Listas!$B:$B,Listas!$C:$C,"")</f>
        <v>Bank of America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500</v>
      </c>
      <c r="K736" s="5">
        <f t="shared" si="7"/>
        <v>-500</v>
      </c>
      <c r="L736" s="15" t="s">
        <v>132</v>
      </c>
      <c r="M736" s="44">
        <f>SUMIFS('Saldos Iniciales'!$D$2:$D$38,'Saldos Iniciales'!$A$2:$A$38,C736,'Saldos Iniciales'!$B$2:$B$38,D736)+SUMIFS($K$1:$K$1033,$C$1:$C$1033,C736,$D$1:$D$1033,D736,$B$1:$B$1033,"&lt;="&amp;B736)</f>
        <v>3390.2899999999645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500</v>
      </c>
      <c r="P736" s="28">
        <f>IF(tblMovimientos[[#This Row],[Tipo de Movimiento]]="Ingreso",tblMovimientos[[#This Row],[Ingreso]],-tblMovimientos[[#This Row],[Egreso]])</f>
        <v>-500</v>
      </c>
    </row>
    <row r="737" spans="2:16" x14ac:dyDescent="0.3">
      <c r="B737" s="39">
        <v>46244</v>
      </c>
      <c r="C737" s="46" t="str">
        <f>_xlfn.XLOOKUP(tblMovimientos[[#This Row],[Cuenta Bancaria]],Listas!$B:$B,Listas!$A:$A,"")</f>
        <v>2515 Overbrook</v>
      </c>
      <c r="D737" s="41" t="s">
        <v>121</v>
      </c>
      <c r="E737" s="72" t="str">
        <f>_xlfn.XLOOKUP(tblMovimientos[[#This Row],[Cuenta Bancaria]],Listas!$B:$B,Listas!$C:$C,"")</f>
        <v>Bank of America</v>
      </c>
      <c r="F737" s="41" t="s">
        <v>10</v>
      </c>
      <c r="G737" s="41" t="s">
        <v>38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2625</v>
      </c>
      <c r="K737" s="5">
        <f t="shared" si="7"/>
        <v>-2625</v>
      </c>
      <c r="L737" s="15" t="s">
        <v>132</v>
      </c>
      <c r="M737" s="44">
        <f>SUMIFS('Saldos Iniciales'!$D$2:$D$38,'Saldos Iniciales'!$A$2:$A$38,C737,'Saldos Iniciales'!$B$2:$B$38,D737)+SUMIFS($K$1:$K$1033,$C$1:$C$1033,C737,$D$1:$D$1033,D737,$B$1:$B$1033,"&lt;="&amp;B737)</f>
        <v>3390.2899999999645</v>
      </c>
      <c r="N737" s="65" t="str">
        <f>IF(tblMovimientos[[#This Row],[Tipo de Movimiento]]="Ingreso",tblMovimientos[[#This Row],[Monto (S/)]],"0")</f>
        <v>0</v>
      </c>
      <c r="O737" s="65">
        <f>IF(tblMovimientos[[#This Row],[Tipo de Movimiento]]="Egreso",tblMovimientos[[#This Row],[Monto (S/)]],"0")</f>
        <v>2625</v>
      </c>
      <c r="P737" s="28">
        <f>IF(tblMovimientos[[#This Row],[Tipo de Movimiento]]="Ingreso",tblMovimientos[[#This Row],[Ingreso]],-tblMovimientos[[#This Row],[Egreso]])</f>
        <v>-2625</v>
      </c>
    </row>
    <row r="738" spans="2:16" x14ac:dyDescent="0.3">
      <c r="B738" s="39">
        <v>46244</v>
      </c>
      <c r="C738" s="46" t="str">
        <f>_xlfn.XLOOKUP(tblMovimientos[[#This Row],[Cuenta Bancaria]],Listas!$B:$B,Listas!$A:$A,"")</f>
        <v>2515 Overbrook</v>
      </c>
      <c r="D738" s="41" t="s">
        <v>121</v>
      </c>
      <c r="E738" s="72" t="str">
        <f>_xlfn.XLOOKUP(tblMovimientos[[#This Row],[Cuenta Bancaria]],Listas!$B:$B,Listas!$C:$C,"")</f>
        <v>Bank of America</v>
      </c>
      <c r="F738" s="41" t="s">
        <v>10</v>
      </c>
      <c r="G738" s="41" t="s">
        <v>38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1412.66</v>
      </c>
      <c r="K738" s="5">
        <f t="shared" si="7"/>
        <v>-1412.66</v>
      </c>
      <c r="L738" s="15" t="s">
        <v>132</v>
      </c>
      <c r="M738" s="44">
        <f>SUMIFS('Saldos Iniciales'!$D$2:$D$38,'Saldos Iniciales'!$A$2:$A$38,C738,'Saldos Iniciales'!$B$2:$B$38,D738)+SUMIFS($K$1:$K$1033,$C$1:$C$1033,C738,$D$1:$D$1033,D738,$B$1:$B$1033,"&lt;="&amp;B738)</f>
        <v>3390.2899999999645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1412.66</v>
      </c>
      <c r="P738" s="28">
        <f>IF(tblMovimientos[[#This Row],[Tipo de Movimiento]]="Ingreso",tblMovimientos[[#This Row],[Ingreso]],-tblMovimientos[[#This Row],[Egreso]])</f>
        <v>-1412.66</v>
      </c>
    </row>
    <row r="739" spans="2:16" x14ac:dyDescent="0.3">
      <c r="B739" s="39">
        <v>46244</v>
      </c>
      <c r="C739" s="46" t="str">
        <f>_xlfn.XLOOKUP(tblMovimientos[[#This Row],[Cuenta Bancaria]],Listas!$B:$B,Listas!$A:$A,"")</f>
        <v>SSP Capital</v>
      </c>
      <c r="D739" s="41" t="s">
        <v>104</v>
      </c>
      <c r="E739" s="72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44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1980.24</v>
      </c>
      <c r="K739" s="5">
        <f t="shared" si="7"/>
        <v>-1980.24</v>
      </c>
      <c r="L739" s="15" t="s">
        <v>132</v>
      </c>
      <c r="M739" s="44">
        <f>SUMIFS('Saldos Iniciales'!$D$2:$D$38,'Saldos Iniciales'!$A$2:$A$38,C739,'Saldos Iniciales'!$B$2:$B$38,D739)+SUMIFS($K$1:$K$1033,$C$1:$C$1033,C739,$D$1:$D$1033,D739,$B$1:$B$1033,"&lt;="&amp;B739)</f>
        <v>1247918.7699999993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1980.24</v>
      </c>
      <c r="P739" s="28">
        <f>IF(tblMovimientos[[#This Row],[Tipo de Movimiento]]="Ingreso",tblMovimientos[[#This Row],[Ingreso]],-tblMovimientos[[#This Row],[Egreso]])</f>
        <v>-1980.24</v>
      </c>
    </row>
    <row r="740" spans="2:16" x14ac:dyDescent="0.3">
      <c r="B740" s="39">
        <v>46245</v>
      </c>
      <c r="C740" s="46" t="str">
        <f>_xlfn.XLOOKUP(tblMovimientos[[#This Row],[Cuenta Bancaria]],Listas!$B:$B,Listas!$A:$A,"")</f>
        <v>SSP Capital</v>
      </c>
      <c r="D740" s="41" t="s">
        <v>104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46</v>
      </c>
      <c r="H740" s="4" t="str">
        <f>IFERROR(_xlfn.XLOOKUP(G740,Listas!E:E,Listas!F:F,""),"")</f>
        <v>Financiamiento</v>
      </c>
      <c r="I740" s="46" t="str">
        <f>IFERROR(_xlfn.XLOOKUP(G740,Listas!E:E,Listas!G:G,""),"")</f>
        <v>Externo</v>
      </c>
      <c r="J740" s="43">
        <v>25572.5</v>
      </c>
      <c r="K740" s="5">
        <f t="shared" si="7"/>
        <v>-25572.5</v>
      </c>
      <c r="L740" s="15" t="s">
        <v>132</v>
      </c>
      <c r="M740" s="44">
        <f>SUMIFS('Saldos Iniciales'!$D$2:$D$38,'Saldos Iniciales'!$A$2:$A$38,C740,'Saldos Iniciales'!$B$2:$B$38,D740)+SUMIFS($K$1:$K$1033,$C$1:$C$1033,C740,$D$1:$D$1033,D740,$B$1:$B$1033,"&lt;="&amp;B740)</f>
        <v>772037.68999999936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25572.5</v>
      </c>
      <c r="P740" s="28">
        <f>IF(tblMovimientos[[#This Row],[Tipo de Movimiento]]="Ingreso",tblMovimientos[[#This Row],[Ingreso]],-tblMovimientos[[#This Row],[Egreso]])</f>
        <v>-25572.5</v>
      </c>
    </row>
    <row r="741" spans="2:16" x14ac:dyDescent="0.3">
      <c r="B741" s="39">
        <v>46245</v>
      </c>
      <c r="C741" s="46" t="str">
        <f>_xlfn.XLOOKUP(tblMovimientos[[#This Row],[Cuenta Bancaria]],Listas!$B:$B,Listas!$A:$A,"")</f>
        <v>SSP Capital</v>
      </c>
      <c r="D741" s="41" t="s">
        <v>104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46</v>
      </c>
      <c r="H741" s="4" t="str">
        <f>IFERROR(_xlfn.XLOOKUP(G741,Listas!E:E,Listas!F:F,""),"")</f>
        <v>Financiamiento</v>
      </c>
      <c r="I741" s="46" t="str">
        <f>IFERROR(_xlfn.XLOOKUP(G741,Listas!E:E,Listas!G:G,""),"")</f>
        <v>Externo</v>
      </c>
      <c r="J741" s="43">
        <v>29322.5</v>
      </c>
      <c r="K741" s="5">
        <f t="shared" si="7"/>
        <v>-29322.5</v>
      </c>
      <c r="L741" s="15" t="s">
        <v>132</v>
      </c>
      <c r="M741" s="44">
        <f>SUMIFS('Saldos Iniciales'!$D$2:$D$38,'Saldos Iniciales'!$A$2:$A$38,C741,'Saldos Iniciales'!$B$2:$B$38,D741)+SUMIFS($K$1:$K$1033,$C$1:$C$1033,C741,$D$1:$D$1033,D741,$B$1:$B$1033,"&lt;="&amp;B741)</f>
        <v>772037.68999999936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29322.5</v>
      </c>
      <c r="P741" s="28">
        <f>IF(tblMovimientos[[#This Row],[Tipo de Movimiento]]="Ingreso",tblMovimientos[[#This Row],[Ingreso]],-tblMovimientos[[#This Row],[Egreso]])</f>
        <v>-29322.5</v>
      </c>
    </row>
    <row r="742" spans="2:16" x14ac:dyDescent="0.3">
      <c r="B742" s="39">
        <v>46245</v>
      </c>
      <c r="C742" s="46" t="str">
        <f>_xlfn.XLOOKUP(tblMovimientos[[#This Row],[Cuenta Bancaria]],Listas!$B:$B,Listas!$A:$A,"")</f>
        <v>SSP Capital</v>
      </c>
      <c r="D742" s="41" t="s">
        <v>104</v>
      </c>
      <c r="E742" s="4" t="str">
        <f>_xlfn.XLOOKUP(tblMovimientos[[#This Row],[Cuenta Bancaria]],Listas!$B:$B,Listas!$C:$C,"")</f>
        <v xml:space="preserve">Amerant Bank </v>
      </c>
      <c r="F742" s="41" t="s">
        <v>10</v>
      </c>
      <c r="G742" s="41" t="s">
        <v>46</v>
      </c>
      <c r="H742" s="4" t="str">
        <f>IFERROR(_xlfn.XLOOKUP(G742,Listas!E:E,Listas!F:F,""),"")</f>
        <v>Financiamiento</v>
      </c>
      <c r="I742" s="46" t="str">
        <f>IFERROR(_xlfn.XLOOKUP(G742,Listas!E:E,Listas!G:G,""),"")</f>
        <v>Externo</v>
      </c>
      <c r="J742" s="43">
        <v>92917.72</v>
      </c>
      <c r="K742" s="5">
        <f t="shared" si="7"/>
        <v>-92917.72</v>
      </c>
      <c r="L742" s="15" t="s">
        <v>132</v>
      </c>
      <c r="M742" s="44">
        <f>SUMIFS('Saldos Iniciales'!$D$2:$D$38,'Saldos Iniciales'!$A$2:$A$38,C742,'Saldos Iniciales'!$B$2:$B$38,D742)+SUMIFS($K$1:$K$1033,$C$1:$C$1033,C742,$D$1:$D$1033,D742,$B$1:$B$1033,"&lt;="&amp;B742)</f>
        <v>772037.68999999936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92917.72</v>
      </c>
      <c r="P742" s="28">
        <f>IF(tblMovimientos[[#This Row],[Tipo de Movimiento]]="Ingreso",tblMovimientos[[#This Row],[Ingreso]],-tblMovimientos[[#This Row],[Egreso]])</f>
        <v>-92917.72</v>
      </c>
    </row>
    <row r="743" spans="2:16" x14ac:dyDescent="0.3">
      <c r="B743" s="39">
        <v>46245</v>
      </c>
      <c r="C743" s="46" t="str">
        <f>_xlfn.XLOOKUP(tblMovimientos[[#This Row],[Cuenta Bancaria]],Listas!$B:$B,Listas!$A:$A,"")</f>
        <v>SSP Capital</v>
      </c>
      <c r="D743" s="41" t="s">
        <v>104</v>
      </c>
      <c r="E743" s="4" t="str">
        <f>_xlfn.XLOOKUP(tblMovimientos[[#This Row],[Cuenta Bancaria]],Listas!$B:$B,Listas!$C:$C,"")</f>
        <v xml:space="preserve">Amerant Bank </v>
      </c>
      <c r="F743" s="41" t="s">
        <v>10</v>
      </c>
      <c r="G743" s="41" t="s">
        <v>46</v>
      </c>
      <c r="H743" s="4" t="str">
        <f>IFERROR(_xlfn.XLOOKUP(G743,Listas!E:E,Listas!F:F,""),"")</f>
        <v>Financiamiento</v>
      </c>
      <c r="I743" s="46" t="str">
        <f>IFERROR(_xlfn.XLOOKUP(G743,Listas!E:E,Listas!G:G,""),"")</f>
        <v>Externo</v>
      </c>
      <c r="J743" s="43">
        <v>97296.25</v>
      </c>
      <c r="K743" s="5">
        <f t="shared" si="7"/>
        <v>-97296.25</v>
      </c>
      <c r="L743" s="15" t="s">
        <v>132</v>
      </c>
      <c r="M743" s="44">
        <f>SUMIFS('Saldos Iniciales'!$D$2:$D$38,'Saldos Iniciales'!$A$2:$A$38,C743,'Saldos Iniciales'!$B$2:$B$38,D743)+SUMIFS($K$1:$K$1033,$C$1:$C$1033,C743,$D$1:$D$1033,D743,$B$1:$B$1033,"&lt;="&amp;B743)</f>
        <v>772037.68999999936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97296.25</v>
      </c>
      <c r="P743" s="28">
        <f>IF(tblMovimientos[[#This Row],[Tipo de Movimiento]]="Ingreso",tblMovimientos[[#This Row],[Ingreso]],-tblMovimientos[[#This Row],[Egreso]])</f>
        <v>-97296.25</v>
      </c>
    </row>
    <row r="744" spans="2:16" x14ac:dyDescent="0.3">
      <c r="B744" s="39">
        <v>46245</v>
      </c>
      <c r="C744" s="46" t="str">
        <f>_xlfn.XLOOKUP(tblMovimientos[[#This Row],[Cuenta Bancaria]],Listas!$B:$B,Listas!$A:$A,"")</f>
        <v>SSP Capital</v>
      </c>
      <c r="D744" s="41" t="s">
        <v>104</v>
      </c>
      <c r="E744" s="4" t="str">
        <f>_xlfn.XLOOKUP(tblMovimientos[[#This Row],[Cuenta Bancaria]],Listas!$B:$B,Listas!$C:$C,"")</f>
        <v xml:space="preserve">Amerant Bank </v>
      </c>
      <c r="F744" s="41" t="s">
        <v>10</v>
      </c>
      <c r="G744" s="41" t="s">
        <v>46</v>
      </c>
      <c r="H744" s="4" t="str">
        <f>IFERROR(_xlfn.XLOOKUP(G744,Listas!E:E,Listas!F:F,""),"")</f>
        <v>Financiamiento</v>
      </c>
      <c r="I744" s="46" t="str">
        <f>IFERROR(_xlfn.XLOOKUP(G744,Listas!E:E,Listas!G:G,""),"")</f>
        <v>Externo</v>
      </c>
      <c r="J744" s="43">
        <v>230772.11</v>
      </c>
      <c r="K744" s="5">
        <f t="shared" si="7"/>
        <v>-230772.11</v>
      </c>
      <c r="L744" s="15" t="s">
        <v>132</v>
      </c>
      <c r="M744" s="44">
        <f>SUMIFS('Saldos Iniciales'!$D$2:$D$38,'Saldos Iniciales'!$A$2:$A$38,C744,'Saldos Iniciales'!$B$2:$B$38,D744)+SUMIFS($K$1:$K$1033,$C$1:$C$1033,C744,$D$1:$D$1033,D744,$B$1:$B$1033,"&lt;="&amp;B744)</f>
        <v>772037.68999999936</v>
      </c>
      <c r="N744" s="65" t="str">
        <f>IF(tblMovimientos[[#This Row],[Tipo de Movimiento]]="Ingreso",tblMovimientos[[#This Row],[Monto (S/)]],"0")</f>
        <v>0</v>
      </c>
      <c r="O744" s="65">
        <f>IF(tblMovimientos[[#This Row],[Tipo de Movimiento]]="Egreso",tblMovimientos[[#This Row],[Monto (S/)]],"0")</f>
        <v>230772.11</v>
      </c>
      <c r="P744" s="28">
        <f>IF(tblMovimientos[[#This Row],[Tipo de Movimiento]]="Ingreso",tblMovimientos[[#This Row],[Ingreso]],-tblMovimientos[[#This Row],[Egreso]])</f>
        <v>-230772.11</v>
      </c>
    </row>
    <row r="745" spans="2:16" x14ac:dyDescent="0.3">
      <c r="B745" s="39">
        <v>46245</v>
      </c>
      <c r="C745" s="46" t="str">
        <f>_xlfn.XLOOKUP(tblMovimientos[[#This Row],[Cuenta Bancaria]],Listas!$B:$B,Listas!$A:$A,"")</f>
        <v>3628 Thomas Ave</v>
      </c>
      <c r="D745" s="41" t="s">
        <v>124</v>
      </c>
      <c r="E745" s="72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663.66</v>
      </c>
      <c r="K745" s="5">
        <f t="shared" si="7"/>
        <v>-663.66</v>
      </c>
      <c r="L745" s="15" t="s">
        <v>132</v>
      </c>
      <c r="M745" s="44">
        <f>SUMIFS('Saldos Iniciales'!$D$2:$D$38,'Saldos Iniciales'!$A$2:$A$38,C745,'Saldos Iniciales'!$B$2:$B$38,D745)+SUMIFS($K$1:$K$1033,$C$1:$C$1033,C745,$D$1:$D$1033,D745,$B$1:$B$1033,"&lt;="&amp;B745)</f>
        <v>19442.439999999995</v>
      </c>
      <c r="N745" s="65" t="str">
        <f>IF(tblMovimientos[[#This Row],[Tipo de Movimiento]]="Ingreso",tblMovimientos[[#This Row],[Monto (S/)]],"0")</f>
        <v>0</v>
      </c>
      <c r="O745" s="65">
        <f>IF(tblMovimientos[[#This Row],[Tipo de Movimiento]]="Egreso",tblMovimientos[[#This Row],[Monto (S/)]],"0")</f>
        <v>663.66</v>
      </c>
      <c r="P745" s="28">
        <f>IF(tblMovimientos[[#This Row],[Tipo de Movimiento]]="Ingreso",tblMovimientos[[#This Row],[Ingreso]],-tblMovimientos[[#This Row],[Egreso]])</f>
        <v>-663.66</v>
      </c>
    </row>
    <row r="746" spans="2:16" x14ac:dyDescent="0.3">
      <c r="B746" s="39">
        <v>46246</v>
      </c>
      <c r="C746" s="46" t="str">
        <f>_xlfn.XLOOKUP(tblMovimientos[[#This Row],[Cuenta Bancaria]],Listas!$B:$B,Listas!$A:$A,"")</f>
        <v>SSP Capital</v>
      </c>
      <c r="D746" s="41" t="s">
        <v>101</v>
      </c>
      <c r="E746" s="4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6</v>
      </c>
      <c r="K746" s="5">
        <f t="shared" si="7"/>
        <v>-6</v>
      </c>
      <c r="L746" s="15" t="s">
        <v>132</v>
      </c>
      <c r="M746" s="44">
        <f>SUMIFS('Saldos Iniciales'!$D$2:$D$38,'Saldos Iniciales'!$A$2:$A$38,C746,'Saldos Iniciales'!$B$2:$B$38,D746)+SUMIFS($K$1:$K$1033,$C$1:$C$1033,C746,$D$1:$D$1033,D746,$B$1:$B$1033,"&lt;="&amp;B746)</f>
        <v>45079.91</v>
      </c>
      <c r="N746" s="65" t="str">
        <f>IF(tblMovimientos[[#This Row],[Tipo de Movimiento]]="Ingreso",tblMovimientos[[#This Row],[Monto (S/)]],"0")</f>
        <v>0</v>
      </c>
      <c r="O746" s="65">
        <f>IF(tblMovimientos[[#This Row],[Tipo de Movimiento]]="Egreso",tblMovimientos[[#This Row],[Monto (S/)]],"0")</f>
        <v>6</v>
      </c>
      <c r="P746" s="28">
        <f>IF(tblMovimientos[[#This Row],[Tipo de Movimiento]]="Ingreso",tblMovimientos[[#This Row],[Ingreso]],-tblMovimientos[[#This Row],[Egreso]])</f>
        <v>-6</v>
      </c>
    </row>
    <row r="747" spans="2:16" x14ac:dyDescent="0.3">
      <c r="B747" s="39">
        <v>46246</v>
      </c>
      <c r="C747" s="46" t="str">
        <f>_xlfn.XLOOKUP(tblMovimientos[[#This Row],[Cuenta Bancaria]],Listas!$B:$B,Listas!$A:$A,"")</f>
        <v>Cross Family Trust</v>
      </c>
      <c r="D747" s="41" t="s">
        <v>111</v>
      </c>
      <c r="E747" s="4" t="str">
        <f>_xlfn.XLOOKUP(tblMovimientos[[#This Row],[Cuenta Bancaria]],Listas!$B:$B,Listas!$C:$C,"")</f>
        <v xml:space="preserve">Amerant Bank </v>
      </c>
      <c r="F747" s="41" t="s">
        <v>9</v>
      </c>
      <c r="G747" s="41" t="s">
        <v>79</v>
      </c>
      <c r="H747" s="4" t="str">
        <f>IFERROR(_xlfn.XLOOKUP(G747,Listas!E:E,Listas!F:F,""),"")</f>
        <v>Inversion</v>
      </c>
      <c r="I747" s="46" t="str">
        <f>IFERROR(_xlfn.XLOOKUP(G747,Listas!E:E,Listas!G:G,""),"")</f>
        <v>Externo</v>
      </c>
      <c r="J747" s="43">
        <v>560000</v>
      </c>
      <c r="K747" s="5">
        <f t="shared" si="7"/>
        <v>560000</v>
      </c>
      <c r="L747" s="15" t="s">
        <v>132</v>
      </c>
      <c r="M747" s="44">
        <f>SUMIFS('Saldos Iniciales'!$D$2:$D$38,'Saldos Iniciales'!$A$2:$A$38,C747,'Saldos Iniciales'!$B$2:$B$38,D747)+SUMIFS($K$1:$K$1033,$C$1:$C$1033,C747,$D$1:$D$1033,D747,$B$1:$B$1033,"&lt;="&amp;B747)</f>
        <v>628717.6</v>
      </c>
      <c r="N747" s="65">
        <f>IF(tblMovimientos[[#This Row],[Tipo de Movimiento]]="Ingreso",tblMovimientos[[#This Row],[Monto (S/)]],"0")</f>
        <v>560000</v>
      </c>
      <c r="O747" s="65" t="str">
        <f>IF(tblMovimientos[[#This Row],[Tipo de Movimiento]]="Egreso",tblMovimientos[[#This Row],[Monto (S/)]],"0")</f>
        <v>0</v>
      </c>
      <c r="P747" s="28">
        <f>IF(tblMovimientos[[#This Row],[Tipo de Movimiento]]="Ingreso",tblMovimientos[[#This Row],[Ingreso]],-tblMovimientos[[#This Row],[Egreso]])</f>
        <v>560000</v>
      </c>
    </row>
    <row r="748" spans="2:16" x14ac:dyDescent="0.3">
      <c r="B748" s="39">
        <v>46246</v>
      </c>
      <c r="C748" s="46" t="str">
        <f>_xlfn.XLOOKUP(tblMovimientos[[#This Row],[Cuenta Bancaria]],Listas!$B:$B,Listas!$A:$A,"")</f>
        <v>Soweto</v>
      </c>
      <c r="D748" s="41" t="s">
        <v>116</v>
      </c>
      <c r="E748" s="74" t="str">
        <f>_xlfn.XLOOKUP(tblMovimientos[[#This Row],[Cuenta Bancaria]],Listas!$B:$B,Listas!$C:$C,"")</f>
        <v>Citibank</v>
      </c>
      <c r="F748" s="41" t="s">
        <v>10</v>
      </c>
      <c r="G748" s="41" t="s">
        <v>60</v>
      </c>
      <c r="H748" s="4" t="str">
        <f>IFERROR(_xlfn.XLOOKUP(G748,Listas!E:E,Listas!F:F,""),"")</f>
        <v>Inversion</v>
      </c>
      <c r="I748" s="46" t="str">
        <f>IFERROR(_xlfn.XLOOKUP(G748,Listas!E:E,Listas!G:G,""),"")</f>
        <v>Interno</v>
      </c>
      <c r="J748" s="43">
        <v>560000</v>
      </c>
      <c r="K748" s="5">
        <f t="shared" si="7"/>
        <v>-560000</v>
      </c>
      <c r="L748" s="15" t="s">
        <v>132</v>
      </c>
      <c r="M748" s="44">
        <f>SUMIFS('Saldos Iniciales'!$D$2:$D$38,'Saldos Iniciales'!$A$2:$A$38,C748,'Saldos Iniciales'!$B$2:$B$38,D748)+SUMIFS($K$1:$K$1033,$C$1:$C$1033,C748,$D$1:$D$1033,D748,$B$1:$B$1033,"&lt;="&amp;B748)</f>
        <v>754424.72</v>
      </c>
      <c r="N748" s="65" t="str">
        <f>IF(tblMovimientos[[#This Row],[Tipo de Movimiento]]="Ingreso",tblMovimientos[[#This Row],[Monto (S/)]],"0")</f>
        <v>0</v>
      </c>
      <c r="O748" s="65">
        <f>IF(tblMovimientos[[#This Row],[Tipo de Movimiento]]="Egreso",tblMovimientos[[#This Row],[Monto (S/)]],"0")</f>
        <v>560000</v>
      </c>
      <c r="P748" s="28">
        <f>IF(tblMovimientos[[#This Row],[Tipo de Movimiento]]="Ingreso",tblMovimientos[[#This Row],[Ingreso]],-tblMovimientos[[#This Row],[Egreso]])</f>
        <v>-560000</v>
      </c>
    </row>
    <row r="749" spans="2:16" x14ac:dyDescent="0.3">
      <c r="B749" s="39">
        <v>46246</v>
      </c>
      <c r="C749" s="46" t="str">
        <f>_xlfn.XLOOKUP(tblMovimientos[[#This Row],[Cuenta Bancaria]],Listas!$B:$B,Listas!$A:$A,"")</f>
        <v>Soweto</v>
      </c>
      <c r="D749" s="41" t="s">
        <v>116</v>
      </c>
      <c r="E749" s="74" t="str">
        <f>_xlfn.XLOOKUP(tblMovimientos[[#This Row],[Cuenta Bancaria]],Listas!$B:$B,Listas!$C:$C,"")</f>
        <v>Citibank</v>
      </c>
      <c r="F749" s="41" t="s">
        <v>10</v>
      </c>
      <c r="G749" s="41" t="s">
        <v>60</v>
      </c>
      <c r="H749" s="4" t="str">
        <f>IFERROR(_xlfn.XLOOKUP(G749,Listas!E:E,Listas!F:F,""),"")</f>
        <v>Inversion</v>
      </c>
      <c r="I749" s="46" t="str">
        <f>IFERROR(_xlfn.XLOOKUP(G749,Listas!E:E,Listas!G:G,""),"")</f>
        <v>Interno</v>
      </c>
      <c r="J749" s="43">
        <v>70000</v>
      </c>
      <c r="K749" s="5">
        <f t="shared" si="7"/>
        <v>-70000</v>
      </c>
      <c r="L749" s="15" t="s">
        <v>132</v>
      </c>
      <c r="M749" s="44">
        <f>SUMIFS('Saldos Iniciales'!$D$2:$D$38,'Saldos Iniciales'!$A$2:$A$38,C749,'Saldos Iniciales'!$B$2:$B$38,D749)+SUMIFS($K$1:$K$1033,$C$1:$C$1033,C749,$D$1:$D$1033,D749,$B$1:$B$1033,"&lt;="&amp;B749)</f>
        <v>754424.72</v>
      </c>
      <c r="N749" s="65" t="str">
        <f>IF(tblMovimientos[[#This Row],[Tipo de Movimiento]]="Ingreso",tblMovimientos[[#This Row],[Monto (S/)]],"0")</f>
        <v>0</v>
      </c>
      <c r="O749" s="65">
        <f>IF(tblMovimientos[[#This Row],[Tipo de Movimiento]]="Egreso",tblMovimientos[[#This Row],[Monto (S/)]],"0")</f>
        <v>70000</v>
      </c>
      <c r="P749" s="28">
        <f>IF(tblMovimientos[[#This Row],[Tipo de Movimiento]]="Ingreso",tblMovimientos[[#This Row],[Ingreso]],-tblMovimientos[[#This Row],[Egreso]])</f>
        <v>-70000</v>
      </c>
    </row>
    <row r="750" spans="2:16" x14ac:dyDescent="0.3">
      <c r="B750" s="39">
        <v>46246</v>
      </c>
      <c r="C750" s="46" t="str">
        <f>_xlfn.XLOOKUP(tblMovimientos[[#This Row],[Cuenta Bancaria]],Listas!$B:$B,Listas!$A:$A,"")</f>
        <v>Soweto</v>
      </c>
      <c r="D750" s="41" t="s">
        <v>116</v>
      </c>
      <c r="E750" s="74" t="str">
        <f>_xlfn.XLOOKUP(tblMovimientos[[#This Row],[Cuenta Bancaria]],Listas!$B:$B,Listas!$C:$C,"")</f>
        <v>Citibank</v>
      </c>
      <c r="F750" s="41" t="s">
        <v>10</v>
      </c>
      <c r="G750" s="41" t="s">
        <v>60</v>
      </c>
      <c r="H750" s="4" t="str">
        <f>IFERROR(_xlfn.XLOOKUP(G750,Listas!E:E,Listas!F:F,""),"")</f>
        <v>Inversion</v>
      </c>
      <c r="I750" s="46" t="str">
        <f>IFERROR(_xlfn.XLOOKUP(G750,Listas!E:E,Listas!G:G,""),"")</f>
        <v>Interno</v>
      </c>
      <c r="J750" s="43">
        <v>70000</v>
      </c>
      <c r="K750" s="5">
        <f t="shared" si="7"/>
        <v>-70000</v>
      </c>
      <c r="L750" s="15" t="s">
        <v>132</v>
      </c>
      <c r="M750" s="44">
        <f>SUMIFS('Saldos Iniciales'!$D$2:$D$38,'Saldos Iniciales'!$A$2:$A$38,C750,'Saldos Iniciales'!$B$2:$B$38,D750)+SUMIFS($K$1:$K$1033,$C$1:$C$1033,C750,$D$1:$D$1033,D750,$B$1:$B$1033,"&lt;="&amp;B750)</f>
        <v>754424.72</v>
      </c>
      <c r="N750" s="65" t="str">
        <f>IF(tblMovimientos[[#This Row],[Tipo de Movimiento]]="Ingreso",tblMovimientos[[#This Row],[Monto (S/)]],"0")</f>
        <v>0</v>
      </c>
      <c r="O750" s="65">
        <f>IF(tblMovimientos[[#This Row],[Tipo de Movimiento]]="Egreso",tblMovimientos[[#This Row],[Monto (S/)]],"0")</f>
        <v>70000</v>
      </c>
      <c r="P750" s="28">
        <f>IF(tblMovimientos[[#This Row],[Tipo de Movimiento]]="Ingreso",tblMovimientos[[#This Row],[Ingreso]],-tblMovimientos[[#This Row],[Egreso]])</f>
        <v>-70000</v>
      </c>
    </row>
    <row r="751" spans="2:16" x14ac:dyDescent="0.3">
      <c r="B751" s="39">
        <v>46246</v>
      </c>
      <c r="C751" s="46" t="str">
        <f>_xlfn.XLOOKUP(tblMovimientos[[#This Row],[Cuenta Bancaria]],Listas!$B:$B,Listas!$A:$A,"")</f>
        <v>Cross Security Trust</v>
      </c>
      <c r="D751" s="41" t="s">
        <v>112</v>
      </c>
      <c r="E751" s="74" t="str">
        <f>_xlfn.XLOOKUP(tblMovimientos[[#This Row],[Cuenta Bancaria]],Listas!$B:$B,Listas!$C:$C,"")</f>
        <v>Bank of America</v>
      </c>
      <c r="F751" s="41" t="s">
        <v>9</v>
      </c>
      <c r="G751" s="41" t="s">
        <v>79</v>
      </c>
      <c r="H751" s="4" t="str">
        <f>IFERROR(_xlfn.XLOOKUP(G751,Listas!E:E,Listas!F:F,""),"")</f>
        <v>Inversion</v>
      </c>
      <c r="I751" s="46" t="str">
        <f>IFERROR(_xlfn.XLOOKUP(G751,Listas!E:E,Listas!G:G,""),"")</f>
        <v>Externo</v>
      </c>
      <c r="J751" s="43">
        <v>70000</v>
      </c>
      <c r="K751" s="5">
        <f t="shared" si="7"/>
        <v>70000</v>
      </c>
      <c r="L751" s="15" t="s">
        <v>132</v>
      </c>
      <c r="M751" s="44">
        <f>SUMIFS('Saldos Iniciales'!$D$2:$D$38,'Saldos Iniciales'!$A$2:$A$38,C751,'Saldos Iniciales'!$B$2:$B$38,D751)+SUMIFS($K$1:$K$1033,$C$1:$C$1033,C751,$D$1:$D$1033,D751,$B$1:$B$1033,"&lt;="&amp;B751)</f>
        <v>158067.38999999998</v>
      </c>
      <c r="N751" s="65">
        <f>IF(tblMovimientos[[#This Row],[Tipo de Movimiento]]="Ingreso",tblMovimientos[[#This Row],[Monto (S/)]],"0")</f>
        <v>70000</v>
      </c>
      <c r="O751" s="65" t="str">
        <f>IF(tblMovimientos[[#This Row],[Tipo de Movimiento]]="Egreso",tblMovimientos[[#This Row],[Monto (S/)]],"0")</f>
        <v>0</v>
      </c>
      <c r="P751" s="28">
        <f>IF(tblMovimientos[[#This Row],[Tipo de Movimiento]]="Ingreso",tblMovimientos[[#This Row],[Ingreso]],-tblMovimientos[[#This Row],[Egreso]])</f>
        <v>70000</v>
      </c>
    </row>
    <row r="752" spans="2:16" x14ac:dyDescent="0.3">
      <c r="B752" s="39">
        <v>46246</v>
      </c>
      <c r="C752" s="46" t="str">
        <f>_xlfn.XLOOKUP(tblMovimientos[[#This Row],[Cuenta Bancaria]],Listas!$B:$B,Listas!$A:$A,"")</f>
        <v>3628 Thomas Ave</v>
      </c>
      <c r="D752" s="41" t="s">
        <v>124</v>
      </c>
      <c r="E752" s="4" t="str">
        <f>_xlfn.XLOOKUP(tblMovimientos[[#This Row],[Cuenta Bancaria]],Listas!$B:$B,Listas!$C:$C,"")</f>
        <v>Bank of America</v>
      </c>
      <c r="F752" s="41" t="s">
        <v>10</v>
      </c>
      <c r="G752" s="41" t="s">
        <v>38</v>
      </c>
      <c r="H752" s="4" t="str">
        <f>IFERROR(_xlfn.XLOOKUP(G752,Listas!E:E,Listas!F:F,""),"")</f>
        <v>Operativo</v>
      </c>
      <c r="I752" s="46" t="str">
        <f>IFERROR(_xlfn.XLOOKUP(G752,Listas!E:E,Listas!G:G,""),"")</f>
        <v>Externo</v>
      </c>
      <c r="J752" s="43">
        <v>106.4</v>
      </c>
      <c r="K752" s="5">
        <f t="shared" si="7"/>
        <v>-106.4</v>
      </c>
      <c r="L752" s="15" t="s">
        <v>132</v>
      </c>
      <c r="M752" s="44">
        <f>SUMIFS('Saldos Iniciales'!$D$2:$D$38,'Saldos Iniciales'!$A$2:$A$38,C752,'Saldos Iniciales'!$B$2:$B$38,D752)+SUMIFS($K$1:$K$1033,$C$1:$C$1033,C752,$D$1:$D$1033,D752,$B$1:$B$1033,"&lt;="&amp;B752)</f>
        <v>19336.039999999997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106.4</v>
      </c>
      <c r="P752" s="28">
        <f>IF(tblMovimientos[[#This Row],[Tipo de Movimiento]]="Ingreso",tblMovimientos[[#This Row],[Ingreso]],-tblMovimientos[[#This Row],[Egreso]])</f>
        <v>-106.4</v>
      </c>
    </row>
    <row r="753" spans="2:16" x14ac:dyDescent="0.3">
      <c r="B753" s="39">
        <v>46246</v>
      </c>
      <c r="C753" s="46" t="str">
        <f>_xlfn.XLOOKUP(tblMovimientos[[#This Row],[Cuenta Bancaria]],Listas!$B:$B,Listas!$A:$A,"")</f>
        <v>Soweto</v>
      </c>
      <c r="D753" s="41" t="s">
        <v>116</v>
      </c>
      <c r="E753" s="4" t="str">
        <f>_xlfn.XLOOKUP(tblMovimientos[[#This Row],[Cuenta Bancaria]],Listas!$B:$B,Listas!$C:$C,"")</f>
        <v>Citibank</v>
      </c>
      <c r="F753" s="41" t="s">
        <v>10</v>
      </c>
      <c r="G753" s="41" t="s">
        <v>44</v>
      </c>
      <c r="H753" s="4" t="str">
        <f>IFERROR(_xlfn.XLOOKUP(G753,Listas!E:E,Listas!F:F,""),"")</f>
        <v>Operativo</v>
      </c>
      <c r="I753" s="46" t="str">
        <f>IFERROR(_xlfn.XLOOKUP(G753,Listas!E:E,Listas!G:G,""),"")</f>
        <v>Externo</v>
      </c>
      <c r="J753" s="43">
        <v>55</v>
      </c>
      <c r="K753" s="5">
        <f t="shared" si="7"/>
        <v>-55</v>
      </c>
      <c r="L753" s="15" t="s">
        <v>132</v>
      </c>
      <c r="M753" s="44">
        <f>SUMIFS('Saldos Iniciales'!$D$2:$D$38,'Saldos Iniciales'!$A$2:$A$38,C753,'Saldos Iniciales'!$B$2:$B$38,D753)+SUMIFS($K$1:$K$1033,$C$1:$C$1033,C753,$D$1:$D$1033,D753,$B$1:$B$1033,"&lt;="&amp;B753)</f>
        <v>754424.72</v>
      </c>
      <c r="N753" s="65" t="str">
        <f>IF(tblMovimientos[[#This Row],[Tipo de Movimiento]]="Ingreso",tblMovimientos[[#This Row],[Monto (S/)]],"0")</f>
        <v>0</v>
      </c>
      <c r="O753" s="65">
        <f>IF(tblMovimientos[[#This Row],[Tipo de Movimiento]]="Egreso",tblMovimientos[[#This Row],[Monto (S/)]],"0")</f>
        <v>55</v>
      </c>
      <c r="P753" s="28">
        <f>IF(tblMovimientos[[#This Row],[Tipo de Movimiento]]="Ingreso",tblMovimientos[[#This Row],[Ingreso]],-tblMovimientos[[#This Row],[Egreso]])</f>
        <v>-55</v>
      </c>
    </row>
    <row r="754" spans="2:16" x14ac:dyDescent="0.3">
      <c r="B754" s="39">
        <v>46246</v>
      </c>
      <c r="C754" s="46" t="str">
        <f>_xlfn.XLOOKUP(tblMovimientos[[#This Row],[Cuenta Bancaria]],Listas!$B:$B,Listas!$A:$A,"")</f>
        <v>Soweto</v>
      </c>
      <c r="D754" s="41" t="s">
        <v>116</v>
      </c>
      <c r="E754" s="4" t="str">
        <f>_xlfn.XLOOKUP(tblMovimientos[[#This Row],[Cuenta Bancaria]],Listas!$B:$B,Listas!$C:$C,"")</f>
        <v>Citibank</v>
      </c>
      <c r="F754" s="41" t="s">
        <v>10</v>
      </c>
      <c r="G754" s="41" t="s">
        <v>44</v>
      </c>
      <c r="H754" s="4" t="str">
        <f>IFERROR(_xlfn.XLOOKUP(G754,Listas!E:E,Listas!F:F,""),"")</f>
        <v>Operativo</v>
      </c>
      <c r="I754" s="46" t="str">
        <f>IFERROR(_xlfn.XLOOKUP(G754,Listas!E:E,Listas!G:G,""),"")</f>
        <v>Externo</v>
      </c>
      <c r="J754" s="43">
        <v>55</v>
      </c>
      <c r="K754" s="5">
        <f t="shared" si="7"/>
        <v>-55</v>
      </c>
      <c r="L754" s="15" t="s">
        <v>132</v>
      </c>
      <c r="M754" s="44">
        <f>SUMIFS('Saldos Iniciales'!$D$2:$D$38,'Saldos Iniciales'!$A$2:$A$38,C754,'Saldos Iniciales'!$B$2:$B$38,D754)+SUMIFS($K$1:$K$1033,$C$1:$C$1033,C754,$D$1:$D$1033,D754,$B$1:$B$1033,"&lt;="&amp;B754)</f>
        <v>754424.72</v>
      </c>
      <c r="N754" s="65" t="str">
        <f>IF(tblMovimientos[[#This Row],[Tipo de Movimiento]]="Ingreso",tblMovimientos[[#This Row],[Monto (S/)]],"0")</f>
        <v>0</v>
      </c>
      <c r="O754" s="65">
        <f>IF(tblMovimientos[[#This Row],[Tipo de Movimiento]]="Egreso",tblMovimientos[[#This Row],[Monto (S/)]],"0")</f>
        <v>55</v>
      </c>
      <c r="P754" s="28">
        <f>IF(tblMovimientos[[#This Row],[Tipo de Movimiento]]="Ingreso",tblMovimientos[[#This Row],[Ingreso]],-tblMovimientos[[#This Row],[Egreso]])</f>
        <v>-55</v>
      </c>
    </row>
    <row r="755" spans="2:16" x14ac:dyDescent="0.3">
      <c r="B755" s="39">
        <v>46246</v>
      </c>
      <c r="C755" s="46" t="str">
        <f>_xlfn.XLOOKUP(tblMovimientos[[#This Row],[Cuenta Bancaria]],Listas!$B:$B,Listas!$A:$A,"")</f>
        <v>Soweto</v>
      </c>
      <c r="D755" s="41" t="s">
        <v>116</v>
      </c>
      <c r="E755" s="4" t="str">
        <f>_xlfn.XLOOKUP(tblMovimientos[[#This Row],[Cuenta Bancaria]],Listas!$B:$B,Listas!$C:$C,"")</f>
        <v>Citibank</v>
      </c>
      <c r="F755" s="41" t="s">
        <v>10</v>
      </c>
      <c r="G755" s="41" t="s">
        <v>44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55</v>
      </c>
      <c r="K755" s="5">
        <f t="shared" si="7"/>
        <v>-55</v>
      </c>
      <c r="L755" s="15" t="s">
        <v>132</v>
      </c>
      <c r="M755" s="44">
        <f>SUMIFS('Saldos Iniciales'!$D$2:$D$38,'Saldos Iniciales'!$A$2:$A$38,C755,'Saldos Iniciales'!$B$2:$B$38,D755)+SUMIFS($K$1:$K$1033,$C$1:$C$1033,C755,$D$1:$D$1033,D755,$B$1:$B$1033,"&lt;="&amp;B755)</f>
        <v>754424.72</v>
      </c>
      <c r="N755" s="65" t="str">
        <f>IF(tblMovimientos[[#This Row],[Tipo de Movimiento]]="Ingreso",tblMovimientos[[#This Row],[Monto (S/)]],"0")</f>
        <v>0</v>
      </c>
      <c r="O755" s="65">
        <f>IF(tblMovimientos[[#This Row],[Tipo de Movimiento]]="Egreso",tblMovimientos[[#This Row],[Monto (S/)]],"0")</f>
        <v>55</v>
      </c>
      <c r="P755" s="28">
        <f>IF(tblMovimientos[[#This Row],[Tipo de Movimiento]]="Ingreso",tblMovimientos[[#This Row],[Ingreso]],-tblMovimientos[[#This Row],[Egreso]])</f>
        <v>-55</v>
      </c>
    </row>
    <row r="756" spans="2:16" x14ac:dyDescent="0.3">
      <c r="B756" s="39">
        <v>46247</v>
      </c>
      <c r="C756" s="46" t="str">
        <f>_xlfn.XLOOKUP(tblMovimientos[[#This Row],[Cuenta Bancaria]],Listas!$B:$B,Listas!$A:$A,"")</f>
        <v>A&amp;M Imports</v>
      </c>
      <c r="D756" s="41" t="s">
        <v>100</v>
      </c>
      <c r="E756" s="4" t="str">
        <f>_xlfn.XLOOKUP(tblMovimientos[[#This Row],[Cuenta Bancaria]],Listas!$B:$B,Listas!$C:$C,"")</f>
        <v>Bank of America</v>
      </c>
      <c r="F756" s="41" t="s">
        <v>10</v>
      </c>
      <c r="G756" s="41" t="s">
        <v>61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60000</v>
      </c>
      <c r="K756" s="5">
        <f t="shared" si="7"/>
        <v>-60000</v>
      </c>
      <c r="L756" s="15" t="s">
        <v>132</v>
      </c>
      <c r="M756" s="44">
        <f>SUMIFS('Saldos Iniciales'!$D$2:$D$38,'Saldos Iniciales'!$A$2:$A$38,C756,'Saldos Iniciales'!$B$2:$B$38,D756)+SUMIFS($K$1:$K$1033,$C$1:$C$1033,C756,$D$1:$D$1033,D756,$B$1:$B$1033,"&lt;="&amp;B756)</f>
        <v>1120491.7</v>
      </c>
      <c r="N756" s="65" t="str">
        <f>IF(tblMovimientos[[#This Row],[Tipo de Movimiento]]="Ingreso",tblMovimientos[[#This Row],[Monto (S/)]],"0")</f>
        <v>0</v>
      </c>
      <c r="O756" s="65">
        <f>IF(tblMovimientos[[#This Row],[Tipo de Movimiento]]="Egreso",tblMovimientos[[#This Row],[Monto (S/)]],"0")</f>
        <v>60000</v>
      </c>
      <c r="P756" s="28">
        <f>IF(tblMovimientos[[#This Row],[Tipo de Movimiento]]="Ingreso",tblMovimientos[[#This Row],[Ingreso]],-tblMovimientos[[#This Row],[Egreso]])</f>
        <v>-60000</v>
      </c>
    </row>
    <row r="757" spans="2:16" x14ac:dyDescent="0.3">
      <c r="B757" s="39">
        <v>46247</v>
      </c>
      <c r="C757" s="46" t="str">
        <f>_xlfn.XLOOKUP(tblMovimientos[[#This Row],[Cuenta Bancaria]],Listas!$B:$B,Listas!$A:$A,"")</f>
        <v>CFT Group</v>
      </c>
      <c r="D757" s="41" t="s">
        <v>94</v>
      </c>
      <c r="E757" s="4" t="str">
        <f>_xlfn.XLOOKUP(tblMovimientos[[#This Row],[Cuenta Bancaria]],Listas!$B:$B,Listas!$C:$C,"")</f>
        <v>Bank of America</v>
      </c>
      <c r="F757" s="41" t="s">
        <v>10</v>
      </c>
      <c r="G757" s="41" t="s">
        <v>64</v>
      </c>
      <c r="H757" s="4" t="str">
        <f>IFERROR(_xlfn.XLOOKUP(G757,Listas!E:E,Listas!F:F,""),"")</f>
        <v>Operativo</v>
      </c>
      <c r="I757" s="46" t="str">
        <f>IFERROR(_xlfn.XLOOKUP(G757,Listas!E:E,Listas!G:G,""),"")</f>
        <v>Interno</v>
      </c>
      <c r="J757" s="43">
        <v>300000</v>
      </c>
      <c r="K757" s="5">
        <f t="shared" si="7"/>
        <v>-300000</v>
      </c>
      <c r="L757" s="15" t="s">
        <v>132</v>
      </c>
      <c r="M757" s="44">
        <f>SUMIFS('Saldos Iniciales'!$D$2:$D$38,'Saldos Iniciales'!$A$2:$A$38,C757,'Saldos Iniciales'!$B$2:$B$38,D757)+SUMIFS($K$1:$K$1033,$C$1:$C$1033,C757,$D$1:$D$1033,D757,$B$1:$B$1033,"&lt;="&amp;B757)</f>
        <v>-370448.73000000004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300000</v>
      </c>
      <c r="P757" s="28">
        <f>IF(tblMovimientos[[#This Row],[Tipo de Movimiento]]="Ingreso",tblMovimientos[[#This Row],[Ingreso]],-tblMovimientos[[#This Row],[Egreso]])</f>
        <v>-300000</v>
      </c>
    </row>
    <row r="758" spans="2:16" x14ac:dyDescent="0.3">
      <c r="B758" s="39">
        <v>46247</v>
      </c>
      <c r="C758" s="46" t="str">
        <f>_xlfn.XLOOKUP(tblMovimientos[[#This Row],[Cuenta Bancaria]],Listas!$B:$B,Listas!$A:$A,"")</f>
        <v>CFT Group</v>
      </c>
      <c r="D758" s="41" t="s">
        <v>94</v>
      </c>
      <c r="E758" s="4" t="str">
        <f>_xlfn.XLOOKUP(tblMovimientos[[#This Row],[Cuenta Bancaria]],Listas!$B:$B,Listas!$C:$C,"")</f>
        <v>Bank of America</v>
      </c>
      <c r="F758" s="41" t="s">
        <v>10</v>
      </c>
      <c r="G758" s="41" t="s">
        <v>64</v>
      </c>
      <c r="H758" s="4" t="str">
        <f>IFERROR(_xlfn.XLOOKUP(G758,Listas!E:E,Listas!F:F,""),"")</f>
        <v>Operativo</v>
      </c>
      <c r="I758" s="46" t="str">
        <f>IFERROR(_xlfn.XLOOKUP(G758,Listas!E:E,Listas!G:G,""),"")</f>
        <v>Interno</v>
      </c>
      <c r="J758" s="43">
        <v>10000</v>
      </c>
      <c r="K758" s="5">
        <f t="shared" si="7"/>
        <v>-10000</v>
      </c>
      <c r="L758" s="15" t="s">
        <v>132</v>
      </c>
      <c r="M758" s="44">
        <f>SUMIFS('Saldos Iniciales'!$D$2:$D$38,'Saldos Iniciales'!$A$2:$A$38,C758,'Saldos Iniciales'!$B$2:$B$38,D758)+SUMIFS($K$1:$K$1033,$C$1:$C$1033,C758,$D$1:$D$1033,D758,$B$1:$B$1033,"&lt;="&amp;B758)</f>
        <v>-370448.73000000004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10000</v>
      </c>
      <c r="P758" s="28">
        <f>IF(tblMovimientos[[#This Row],[Tipo de Movimiento]]="Ingreso",tblMovimientos[[#This Row],[Ingreso]],-tblMovimientos[[#This Row],[Egreso]])</f>
        <v>-10000</v>
      </c>
    </row>
    <row r="759" spans="2:16" x14ac:dyDescent="0.3">
      <c r="B759" s="39">
        <v>46247</v>
      </c>
      <c r="C759" s="46" t="str">
        <f>_xlfn.XLOOKUP(tblMovimientos[[#This Row],[Cuenta Bancaria]],Listas!$B:$B,Listas!$A:$A,"")</f>
        <v>2515 Overbrook</v>
      </c>
      <c r="D759" s="41" t="s">
        <v>121</v>
      </c>
      <c r="E759" s="4" t="str">
        <f>_xlfn.XLOOKUP(tblMovimientos[[#This Row],[Cuenta Bancaria]],Listas!$B:$B,Listas!$C:$C,"")</f>
        <v>Bank of America</v>
      </c>
      <c r="F759" s="41" t="s">
        <v>9</v>
      </c>
      <c r="G759" s="41" t="s">
        <v>85</v>
      </c>
      <c r="H759" s="4" t="str">
        <f>IFERROR(_xlfn.XLOOKUP(G759,Listas!E:E,Listas!F:F,""),"")</f>
        <v>Operativo</v>
      </c>
      <c r="I759" s="46" t="str">
        <f>IFERROR(_xlfn.XLOOKUP(G759,Listas!E:E,Listas!G:G,""),"")</f>
        <v>Interno</v>
      </c>
      <c r="J759" s="43">
        <v>10000</v>
      </c>
      <c r="K759" s="5">
        <f t="shared" si="7"/>
        <v>10000</v>
      </c>
      <c r="L759" s="15" t="s">
        <v>132</v>
      </c>
      <c r="M759" s="44">
        <f>SUMIFS('Saldos Iniciales'!$D$2:$D$38,'Saldos Iniciales'!$A$2:$A$38,C759,'Saldos Iniciales'!$B$2:$B$38,D759)+SUMIFS($K$1:$K$1033,$C$1:$C$1033,C759,$D$1:$D$1033,D759,$B$1:$B$1033,"&lt;="&amp;B759)</f>
        <v>13390.289999999964</v>
      </c>
      <c r="N759" s="65">
        <f>IF(tblMovimientos[[#This Row],[Tipo de Movimiento]]="Ingreso",tblMovimientos[[#This Row],[Monto (S/)]],"0")</f>
        <v>10000</v>
      </c>
      <c r="O759" s="65" t="str">
        <f>IF(tblMovimientos[[#This Row],[Tipo de Movimiento]]="Egreso",tblMovimientos[[#This Row],[Monto (S/)]],"0")</f>
        <v>0</v>
      </c>
      <c r="P759" s="28">
        <f>IF(tblMovimientos[[#This Row],[Tipo de Movimiento]]="Ingreso",tblMovimientos[[#This Row],[Ingreso]],-tblMovimientos[[#This Row],[Egreso]])</f>
        <v>10000</v>
      </c>
    </row>
    <row r="760" spans="2:16" x14ac:dyDescent="0.3">
      <c r="B760" s="39">
        <v>46247</v>
      </c>
      <c r="C760" s="46" t="str">
        <f>_xlfn.XLOOKUP(tblMovimientos[[#This Row],[Cuenta Bancaria]],Listas!$B:$B,Listas!$A:$A,"")</f>
        <v>CFT Group</v>
      </c>
      <c r="D760" s="41" t="s">
        <v>95</v>
      </c>
      <c r="E760" s="4" t="str">
        <f>_xlfn.XLOOKUP(tblMovimientos[[#This Row],[Cuenta Bancaria]],Listas!$B:$B,Listas!$C:$C,"")</f>
        <v xml:space="preserve">Amerant Bank </v>
      </c>
      <c r="F760" s="41" t="s">
        <v>9</v>
      </c>
      <c r="G760" s="41" t="s">
        <v>68</v>
      </c>
      <c r="H760" s="4" t="str">
        <f>IFERROR(_xlfn.XLOOKUP(G760,Listas!E:E,Listas!F:F,""),"")</f>
        <v>Operativo</v>
      </c>
      <c r="I760" s="46" t="str">
        <f>IFERROR(_xlfn.XLOOKUP(G760,Listas!E:E,Listas!G:G,""),"")</f>
        <v>Externo</v>
      </c>
      <c r="J760" s="43">
        <v>18088.189999999999</v>
      </c>
      <c r="K760" s="5">
        <f t="shared" ref="K760:K823" si="8">IF(F760="Ingreso",J760,-J760)</f>
        <v>18088.189999999999</v>
      </c>
      <c r="L760" s="15" t="s">
        <v>132</v>
      </c>
      <c r="M760" s="44">
        <f>SUMIFS('Saldos Iniciales'!$D$2:$D$38,'Saldos Iniciales'!$A$2:$A$38,C760,'Saldos Iniciales'!$B$2:$B$38,D760)+SUMIFS($K$1:$K$1033,$C$1:$C$1033,C760,$D$1:$D$1033,D760,$B$1:$B$1033,"&lt;="&amp;B760)</f>
        <v>1487768.4100000008</v>
      </c>
      <c r="N760" s="65">
        <f>IF(tblMovimientos[[#This Row],[Tipo de Movimiento]]="Ingreso",tblMovimientos[[#This Row],[Monto (S/)]],"0")</f>
        <v>18088.189999999999</v>
      </c>
      <c r="O760" s="65" t="str">
        <f>IF(tblMovimientos[[#This Row],[Tipo de Movimiento]]="Egreso",tblMovimientos[[#This Row],[Monto (S/)]],"0")</f>
        <v>0</v>
      </c>
      <c r="P760" s="28">
        <f>IF(tblMovimientos[[#This Row],[Tipo de Movimiento]]="Ingreso",tblMovimientos[[#This Row],[Ingreso]],-tblMovimientos[[#This Row],[Egreso]])</f>
        <v>18088.189999999999</v>
      </c>
    </row>
    <row r="761" spans="2:16" x14ac:dyDescent="0.3">
      <c r="B761" s="39">
        <v>46247</v>
      </c>
      <c r="C761" s="46" t="str">
        <f>_xlfn.XLOOKUP(tblMovimientos[[#This Row],[Cuenta Bancaria]],Listas!$B:$B,Listas!$A:$A,"")</f>
        <v>CFT Group</v>
      </c>
      <c r="D761" s="41" t="s">
        <v>95</v>
      </c>
      <c r="E761" s="4" t="str">
        <f>_xlfn.XLOOKUP(tblMovimientos[[#This Row],[Cuenta Bancaria]],Listas!$B:$B,Listas!$C:$C,"")</f>
        <v xml:space="preserve">Amerant Bank </v>
      </c>
      <c r="F761" s="41" t="s">
        <v>9</v>
      </c>
      <c r="G761" s="41" t="s">
        <v>85</v>
      </c>
      <c r="H761" s="4" t="str">
        <f>IFERROR(_xlfn.XLOOKUP(G761,Listas!E:E,Listas!F:F,""),"")</f>
        <v>Operativo</v>
      </c>
      <c r="I761" s="46" t="str">
        <f>IFERROR(_xlfn.XLOOKUP(G761,Listas!E:E,Listas!G:G,""),"")</f>
        <v>Interno</v>
      </c>
      <c r="J761" s="43">
        <v>300000</v>
      </c>
      <c r="K761" s="5">
        <f t="shared" si="8"/>
        <v>300000</v>
      </c>
      <c r="L761" s="15" t="s">
        <v>132</v>
      </c>
      <c r="M761" s="44">
        <f>SUMIFS('Saldos Iniciales'!$D$2:$D$38,'Saldos Iniciales'!$A$2:$A$38,C761,'Saldos Iniciales'!$B$2:$B$38,D761)+SUMIFS($K$1:$K$1033,$C$1:$C$1033,C761,$D$1:$D$1033,D761,$B$1:$B$1033,"&lt;="&amp;B761)</f>
        <v>1487768.4100000008</v>
      </c>
      <c r="N761" s="65">
        <f>IF(tblMovimientos[[#This Row],[Tipo de Movimiento]]="Ingreso",tblMovimientos[[#This Row],[Monto (S/)]],"0")</f>
        <v>300000</v>
      </c>
      <c r="O761" s="65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300000</v>
      </c>
    </row>
    <row r="762" spans="2:16" x14ac:dyDescent="0.3">
      <c r="B762" s="39">
        <v>46247</v>
      </c>
      <c r="C762" s="46" t="str">
        <f>_xlfn.XLOOKUP(tblMovimientos[[#This Row],[Cuenta Bancaria]],Listas!$B:$B,Listas!$A:$A,"")</f>
        <v>CFT Group</v>
      </c>
      <c r="D762" s="41" t="s">
        <v>95</v>
      </c>
      <c r="E762" s="4" t="str">
        <f>_xlfn.XLOOKUP(tblMovimientos[[#This Row],[Cuenta Bancaria]],Listas!$B:$B,Listas!$C:$C,"")</f>
        <v xml:space="preserve">Amerant Bank </v>
      </c>
      <c r="F762" s="41" t="s">
        <v>9</v>
      </c>
      <c r="G762" s="41" t="s">
        <v>77</v>
      </c>
      <c r="H762" s="4" t="str">
        <f>IFERROR(_xlfn.XLOOKUP(G762,Listas!E:E,Listas!F:F,""),"")</f>
        <v>Inversion</v>
      </c>
      <c r="I762" s="46" t="str">
        <f>IFERROR(_xlfn.XLOOKUP(G762,Listas!E:E,Listas!G:G,""),"")</f>
        <v>Interno</v>
      </c>
      <c r="J762" s="43">
        <v>500000</v>
      </c>
      <c r="K762" s="5">
        <f t="shared" si="8"/>
        <v>500000</v>
      </c>
      <c r="L762" s="15" t="s">
        <v>132</v>
      </c>
      <c r="M762" s="44">
        <f>SUMIFS('Saldos Iniciales'!$D$2:$D$38,'Saldos Iniciales'!$A$2:$A$38,C762,'Saldos Iniciales'!$B$2:$B$38,D762)+SUMIFS($K$1:$K$1033,$C$1:$C$1033,C762,$D$1:$D$1033,D762,$B$1:$B$1033,"&lt;="&amp;B762)</f>
        <v>1487768.4100000008</v>
      </c>
      <c r="N762" s="65">
        <f>IF(tblMovimientos[[#This Row],[Tipo de Movimiento]]="Ingreso",tblMovimientos[[#This Row],[Monto (S/)]],"0")</f>
        <v>500000</v>
      </c>
      <c r="O762" s="65" t="str">
        <f>IF(tblMovimientos[[#This Row],[Tipo de Movimiento]]="Egreso",tblMovimientos[[#This Row],[Monto (S/)]],"0")</f>
        <v>0</v>
      </c>
      <c r="P762" s="28">
        <f>IF(tblMovimientos[[#This Row],[Tipo de Movimiento]]="Ingreso",tblMovimientos[[#This Row],[Ingreso]],-tblMovimientos[[#This Row],[Egreso]])</f>
        <v>500000</v>
      </c>
    </row>
    <row r="763" spans="2:16" x14ac:dyDescent="0.3">
      <c r="B763" s="39">
        <v>46247</v>
      </c>
      <c r="C763" s="46" t="str">
        <f>_xlfn.XLOOKUP(tblMovimientos[[#This Row],[Cuenta Bancaria]],Listas!$B:$B,Listas!$A:$A,"")</f>
        <v>CFT Group</v>
      </c>
      <c r="D763" s="41" t="s">
        <v>95</v>
      </c>
      <c r="E763" s="4" t="str">
        <f>_xlfn.XLOOKUP(tblMovimientos[[#This Row],[Cuenta Bancaria]],Listas!$B:$B,Listas!$C:$C,"")</f>
        <v xml:space="preserve">Amerant Bank </v>
      </c>
      <c r="F763" s="41" t="s">
        <v>10</v>
      </c>
      <c r="G763" s="41" t="s">
        <v>46</v>
      </c>
      <c r="H763" s="4" t="str">
        <f>IFERROR(_xlfn.XLOOKUP(G763,Listas!E:E,Listas!F:F,""),"")</f>
        <v>Financiamiento</v>
      </c>
      <c r="I763" s="46" t="str">
        <f>IFERROR(_xlfn.XLOOKUP(G763,Listas!E:E,Listas!G:G,""),"")</f>
        <v>Externo</v>
      </c>
      <c r="J763" s="43">
        <v>2916.67</v>
      </c>
      <c r="K763" s="5">
        <f t="shared" si="8"/>
        <v>-2916.67</v>
      </c>
      <c r="L763" s="15" t="s">
        <v>132</v>
      </c>
      <c r="M763" s="44">
        <f>SUMIFS('Saldos Iniciales'!$D$2:$D$38,'Saldos Iniciales'!$A$2:$A$38,C763,'Saldos Iniciales'!$B$2:$B$38,D763)+SUMIFS($K$1:$K$1033,$C$1:$C$1033,C763,$D$1:$D$1033,D763,$B$1:$B$1033,"&lt;="&amp;B763)</f>
        <v>1487768.4100000008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2916.67</v>
      </c>
      <c r="P763" s="28">
        <f>IF(tblMovimientos[[#This Row],[Tipo de Movimiento]]="Ingreso",tblMovimientos[[#This Row],[Ingreso]],-tblMovimientos[[#This Row],[Egreso]])</f>
        <v>-2916.67</v>
      </c>
    </row>
    <row r="764" spans="2:16" x14ac:dyDescent="0.3">
      <c r="B764" s="39">
        <v>46247</v>
      </c>
      <c r="C764" s="46" t="str">
        <f>_xlfn.XLOOKUP(tblMovimientos[[#This Row],[Cuenta Bancaria]],Listas!$B:$B,Listas!$A:$A,"")</f>
        <v>CFT Group</v>
      </c>
      <c r="D764" s="41" t="s">
        <v>95</v>
      </c>
      <c r="E764" s="4" t="str">
        <f>_xlfn.XLOOKUP(tblMovimientos[[#This Row],[Cuenta Bancaria]],Listas!$B:$B,Listas!$C:$C,"")</f>
        <v xml:space="preserve">Amerant Bank </v>
      </c>
      <c r="F764" s="41" t="s">
        <v>10</v>
      </c>
      <c r="G764" s="41" t="s">
        <v>46</v>
      </c>
      <c r="H764" s="4" t="str">
        <f>IFERROR(_xlfn.XLOOKUP(G764,Listas!E:E,Listas!F:F,""),"")</f>
        <v>Financiamiento</v>
      </c>
      <c r="I764" s="46" t="str">
        <f>IFERROR(_xlfn.XLOOKUP(G764,Listas!E:E,Listas!G:G,""),"")</f>
        <v>Externo</v>
      </c>
      <c r="J764" s="43">
        <v>3616.67</v>
      </c>
      <c r="K764" s="5">
        <f t="shared" si="8"/>
        <v>-3616.67</v>
      </c>
      <c r="L764" s="15" t="s">
        <v>132</v>
      </c>
      <c r="M764" s="44">
        <f>SUMIFS('Saldos Iniciales'!$D$2:$D$38,'Saldos Iniciales'!$A$2:$A$38,C764,'Saldos Iniciales'!$B$2:$B$38,D764)+SUMIFS($K$1:$K$1033,$C$1:$C$1033,C764,$D$1:$D$1033,D764,$B$1:$B$1033,"&lt;="&amp;B764)</f>
        <v>1487768.4100000008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3616.67</v>
      </c>
      <c r="P764" s="28">
        <f>IF(tblMovimientos[[#This Row],[Tipo de Movimiento]]="Ingreso",tblMovimientos[[#This Row],[Ingreso]],-tblMovimientos[[#This Row],[Egreso]])</f>
        <v>-3616.67</v>
      </c>
    </row>
    <row r="765" spans="2:16" x14ac:dyDescent="0.3">
      <c r="B765" s="39">
        <v>46247</v>
      </c>
      <c r="C765" s="46" t="str">
        <f>_xlfn.XLOOKUP(tblMovimientos[[#This Row],[Cuenta Bancaria]],Listas!$B:$B,Listas!$A:$A,"")</f>
        <v>CFT Group</v>
      </c>
      <c r="D765" s="41" t="s">
        <v>95</v>
      </c>
      <c r="E765" s="4" t="str">
        <f>_xlfn.XLOOKUP(tblMovimientos[[#This Row],[Cuenta Bancaria]],Listas!$B:$B,Listas!$C:$C,"")</f>
        <v xml:space="preserve">Amerant Bank </v>
      </c>
      <c r="F765" s="41" t="s">
        <v>10</v>
      </c>
      <c r="G765" s="41" t="s">
        <v>46</v>
      </c>
      <c r="H765" s="4" t="str">
        <f>IFERROR(_xlfn.XLOOKUP(G765,Listas!E:E,Listas!F:F,""),"")</f>
        <v>Financiamiento</v>
      </c>
      <c r="I765" s="46" t="str">
        <f>IFERROR(_xlfn.XLOOKUP(G765,Listas!E:E,Listas!G:G,""),"")</f>
        <v>Externo</v>
      </c>
      <c r="J765" s="43">
        <v>5166.67</v>
      </c>
      <c r="K765" s="5">
        <f t="shared" si="8"/>
        <v>-5166.67</v>
      </c>
      <c r="L765" s="15" t="s">
        <v>132</v>
      </c>
      <c r="M765" s="44">
        <f>SUMIFS('Saldos Iniciales'!$D$2:$D$38,'Saldos Iniciales'!$A$2:$A$38,C765,'Saldos Iniciales'!$B$2:$B$38,D765)+SUMIFS($K$1:$K$1033,$C$1:$C$1033,C765,$D$1:$D$1033,D765,$B$1:$B$1033,"&lt;="&amp;B765)</f>
        <v>1487768.4100000008</v>
      </c>
      <c r="N765" s="65" t="str">
        <f>IF(tblMovimientos[[#This Row],[Tipo de Movimiento]]="Ingreso",tblMovimientos[[#This Row],[Monto (S/)]],"0")</f>
        <v>0</v>
      </c>
      <c r="O765" s="65">
        <f>IF(tblMovimientos[[#This Row],[Tipo de Movimiento]]="Egreso",tblMovimientos[[#This Row],[Monto (S/)]],"0")</f>
        <v>5166.67</v>
      </c>
      <c r="P765" s="28">
        <f>IF(tblMovimientos[[#This Row],[Tipo de Movimiento]]="Ingreso",tblMovimientos[[#This Row],[Ingreso]],-tblMovimientos[[#This Row],[Egreso]])</f>
        <v>-5166.67</v>
      </c>
    </row>
    <row r="766" spans="2:16" x14ac:dyDescent="0.3">
      <c r="B766" s="39">
        <v>46247</v>
      </c>
      <c r="C766" s="46" t="str">
        <f>_xlfn.XLOOKUP(tblMovimientos[[#This Row],[Cuenta Bancaria]],Listas!$B:$B,Listas!$A:$A,"")</f>
        <v>CFT Group</v>
      </c>
      <c r="D766" s="41" t="s">
        <v>95</v>
      </c>
      <c r="E766" s="4" t="str">
        <f>_xlfn.XLOOKUP(tblMovimientos[[#This Row],[Cuenta Bancaria]],Listas!$B:$B,Listas!$C:$C,"")</f>
        <v xml:space="preserve">Amerant Bank </v>
      </c>
      <c r="F766" s="41" t="s">
        <v>10</v>
      </c>
      <c r="G766" s="41" t="s">
        <v>46</v>
      </c>
      <c r="H766" s="4" t="str">
        <f>IFERROR(_xlfn.XLOOKUP(G766,Listas!E:E,Listas!F:F,""),"")</f>
        <v>Financiamiento</v>
      </c>
      <c r="I766" s="46" t="str">
        <f>IFERROR(_xlfn.XLOOKUP(G766,Listas!E:E,Listas!G:G,""),"")</f>
        <v>Externo</v>
      </c>
      <c r="J766" s="43">
        <v>12055.56</v>
      </c>
      <c r="K766" s="5">
        <f t="shared" si="8"/>
        <v>-12055.56</v>
      </c>
      <c r="L766" s="15" t="s">
        <v>132</v>
      </c>
      <c r="M766" s="44">
        <f>SUMIFS('Saldos Iniciales'!$D$2:$D$38,'Saldos Iniciales'!$A$2:$A$38,C766,'Saldos Iniciales'!$B$2:$B$38,D766)+SUMIFS($K$1:$K$1033,$C$1:$C$1033,C766,$D$1:$D$1033,D766,$B$1:$B$1033,"&lt;="&amp;B766)</f>
        <v>1487768.4100000008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12055.56</v>
      </c>
      <c r="P766" s="28">
        <f>IF(tblMovimientos[[#This Row],[Tipo de Movimiento]]="Ingreso",tblMovimientos[[#This Row],[Ingreso]],-tblMovimientos[[#This Row],[Egreso]])</f>
        <v>-12055.56</v>
      </c>
    </row>
    <row r="767" spans="2:16" x14ac:dyDescent="0.3">
      <c r="B767" s="39">
        <v>46247</v>
      </c>
      <c r="C767" s="46" t="str">
        <f>_xlfn.XLOOKUP(tblMovimientos[[#This Row],[Cuenta Bancaria]],Listas!$B:$B,Listas!$A:$A,"")</f>
        <v>CFT Group</v>
      </c>
      <c r="D767" s="41" t="s">
        <v>95</v>
      </c>
      <c r="E767" s="4" t="str">
        <f>_xlfn.XLOOKUP(tblMovimientos[[#This Row],[Cuenta Bancaria]],Listas!$B:$B,Listas!$C:$C,"")</f>
        <v xml:space="preserve">Amerant Bank </v>
      </c>
      <c r="F767" s="41" t="s">
        <v>10</v>
      </c>
      <c r="G767" s="41" t="s">
        <v>46</v>
      </c>
      <c r="H767" s="4" t="str">
        <f>IFERROR(_xlfn.XLOOKUP(G767,Listas!E:E,Listas!F:F,""),"")</f>
        <v>Financiamiento</v>
      </c>
      <c r="I767" s="46" t="str">
        <f>IFERROR(_xlfn.XLOOKUP(G767,Listas!E:E,Listas!G:G,""),"")</f>
        <v>Externo</v>
      </c>
      <c r="J767" s="43">
        <v>14011.67</v>
      </c>
      <c r="K767" s="5">
        <f t="shared" si="8"/>
        <v>-14011.67</v>
      </c>
      <c r="L767" s="15" t="s">
        <v>132</v>
      </c>
      <c r="M767" s="44">
        <f>SUMIFS('Saldos Iniciales'!$D$2:$D$38,'Saldos Iniciales'!$A$2:$A$38,C767,'Saldos Iniciales'!$B$2:$B$38,D767)+SUMIFS($K$1:$K$1033,$C$1:$C$1033,C767,$D$1:$D$1033,D767,$B$1:$B$1033,"&lt;="&amp;B767)</f>
        <v>1487768.4100000008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14011.67</v>
      </c>
      <c r="P767" s="28">
        <f>IF(tblMovimientos[[#This Row],[Tipo de Movimiento]]="Ingreso",tblMovimientos[[#This Row],[Ingreso]],-tblMovimientos[[#This Row],[Egreso]])</f>
        <v>-14011.67</v>
      </c>
    </row>
    <row r="768" spans="2:16" x14ac:dyDescent="0.3">
      <c r="B768" s="39">
        <v>46247</v>
      </c>
      <c r="C768" s="46" t="str">
        <f>_xlfn.XLOOKUP(tblMovimientos[[#This Row],[Cuenta Bancaria]],Listas!$B:$B,Listas!$A:$A,"")</f>
        <v>CFT Group</v>
      </c>
      <c r="D768" s="41" t="s">
        <v>95</v>
      </c>
      <c r="E768" s="4" t="str">
        <f>_xlfn.XLOOKUP(tblMovimientos[[#This Row],[Cuenta Bancaria]],Listas!$B:$B,Listas!$C:$C,"")</f>
        <v xml:space="preserve">Amerant Bank </v>
      </c>
      <c r="F768" s="41" t="s">
        <v>10</v>
      </c>
      <c r="G768" s="41" t="s">
        <v>46</v>
      </c>
      <c r="H768" s="4" t="str">
        <f>IFERROR(_xlfn.XLOOKUP(G768,Listas!E:E,Listas!F:F,""),"")</f>
        <v>Financiamiento</v>
      </c>
      <c r="I768" s="46" t="str">
        <f>IFERROR(_xlfn.XLOOKUP(G768,Listas!E:E,Listas!G:G,""),"")</f>
        <v>Externo</v>
      </c>
      <c r="J768" s="43">
        <v>22166.67</v>
      </c>
      <c r="K768" s="5">
        <f t="shared" si="8"/>
        <v>-22166.67</v>
      </c>
      <c r="L768" s="15" t="s">
        <v>132</v>
      </c>
      <c r="M768" s="44">
        <f>SUMIFS('Saldos Iniciales'!$D$2:$D$38,'Saldos Iniciales'!$A$2:$A$38,C768,'Saldos Iniciales'!$B$2:$B$38,D768)+SUMIFS($K$1:$K$1033,$C$1:$C$1033,C768,$D$1:$D$1033,D768,$B$1:$B$1033,"&lt;="&amp;B768)</f>
        <v>1487768.4100000008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22166.67</v>
      </c>
      <c r="P768" s="28">
        <f>IF(tblMovimientos[[#This Row],[Tipo de Movimiento]]="Ingreso",tblMovimientos[[#This Row],[Ingreso]],-tblMovimientos[[#This Row],[Egreso]])</f>
        <v>-22166.67</v>
      </c>
    </row>
    <row r="769" spans="1:16" x14ac:dyDescent="0.3">
      <c r="B769" s="39">
        <v>46247</v>
      </c>
      <c r="C769" s="46" t="str">
        <f>_xlfn.XLOOKUP(tblMovimientos[[#This Row],[Cuenta Bancaria]],Listas!$B:$B,Listas!$A:$A,"")</f>
        <v>CFT Group</v>
      </c>
      <c r="D769" s="41" t="s">
        <v>95</v>
      </c>
      <c r="E769" s="4" t="str">
        <f>_xlfn.XLOOKUP(tblMovimientos[[#This Row],[Cuenta Bancaria]],Listas!$B:$B,Listas!$C:$C,"")</f>
        <v xml:space="preserve">Amerant Bank </v>
      </c>
      <c r="F769" s="41" t="s">
        <v>10</v>
      </c>
      <c r="G769" s="41" t="s">
        <v>46</v>
      </c>
      <c r="H769" s="4" t="str">
        <f>IFERROR(_xlfn.XLOOKUP(G769,Listas!E:E,Listas!F:F,""),"")</f>
        <v>Financiamiento</v>
      </c>
      <c r="I769" s="46" t="str">
        <f>IFERROR(_xlfn.XLOOKUP(G769,Listas!E:E,Listas!G:G,""),"")</f>
        <v>Externo</v>
      </c>
      <c r="J769" s="43">
        <v>24111.11</v>
      </c>
      <c r="K769" s="5">
        <f t="shared" si="8"/>
        <v>-24111.11</v>
      </c>
      <c r="L769" s="15" t="s">
        <v>132</v>
      </c>
      <c r="M769" s="44">
        <f>SUMIFS('Saldos Iniciales'!$D$2:$D$38,'Saldos Iniciales'!$A$2:$A$38,C769,'Saldos Iniciales'!$B$2:$B$38,D769)+SUMIFS($K$1:$K$1033,$C$1:$C$1033,C769,$D$1:$D$1033,D769,$B$1:$B$1033,"&lt;="&amp;B769)</f>
        <v>1487768.4100000008</v>
      </c>
      <c r="N769" s="65" t="str">
        <f>IF(tblMovimientos[[#This Row],[Tipo de Movimiento]]="Ingreso",tblMovimientos[[#This Row],[Monto (S/)]],"0")</f>
        <v>0</v>
      </c>
      <c r="O769" s="65">
        <f>IF(tblMovimientos[[#This Row],[Tipo de Movimiento]]="Egreso",tblMovimientos[[#This Row],[Monto (S/)]],"0")</f>
        <v>24111.11</v>
      </c>
      <c r="P769" s="28">
        <f>IF(tblMovimientos[[#This Row],[Tipo de Movimiento]]="Ingreso",tblMovimientos[[#This Row],[Ingreso]],-tblMovimientos[[#This Row],[Egreso]])</f>
        <v>-24111.11</v>
      </c>
    </row>
    <row r="770" spans="1:16" x14ac:dyDescent="0.3">
      <c r="B770" s="39">
        <v>46247</v>
      </c>
      <c r="C770" s="46" t="str">
        <f>_xlfn.XLOOKUP(tblMovimientos[[#This Row],[Cuenta Bancaria]],Listas!$B:$B,Listas!$A:$A,"")</f>
        <v>CFT Group</v>
      </c>
      <c r="D770" s="41" t="s">
        <v>95</v>
      </c>
      <c r="E770" s="4" t="str">
        <f>_xlfn.XLOOKUP(tblMovimientos[[#This Row],[Cuenta Bancaria]],Listas!$B:$B,Listas!$C:$C,"")</f>
        <v xml:space="preserve">Amerant Bank </v>
      </c>
      <c r="F770" s="41" t="s">
        <v>10</v>
      </c>
      <c r="G770" s="41" t="s">
        <v>46</v>
      </c>
      <c r="H770" s="4" t="str">
        <f>IFERROR(_xlfn.XLOOKUP(G770,Listas!E:E,Listas!F:F,""),"")</f>
        <v>Financiamiento</v>
      </c>
      <c r="I770" s="46" t="str">
        <f>IFERROR(_xlfn.XLOOKUP(G770,Listas!E:E,Listas!G:G,""),"")</f>
        <v>Externo</v>
      </c>
      <c r="J770" s="43">
        <v>27083.33</v>
      </c>
      <c r="K770" s="5">
        <f t="shared" si="8"/>
        <v>-27083.33</v>
      </c>
      <c r="L770" s="15" t="s">
        <v>132</v>
      </c>
      <c r="M770" s="44">
        <f>SUMIFS('Saldos Iniciales'!$D$2:$D$38,'Saldos Iniciales'!$A$2:$A$38,C770,'Saldos Iniciales'!$B$2:$B$38,D770)+SUMIFS($K$1:$K$1033,$C$1:$C$1033,C770,$D$1:$D$1033,D770,$B$1:$B$1033,"&lt;="&amp;B770)</f>
        <v>1487768.4100000008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27083.33</v>
      </c>
      <c r="P770" s="28">
        <f>IF(tblMovimientos[[#This Row],[Tipo de Movimiento]]="Ingreso",tblMovimientos[[#This Row],[Ingreso]],-tblMovimientos[[#This Row],[Egreso]])</f>
        <v>-27083.33</v>
      </c>
    </row>
    <row r="771" spans="1:16" x14ac:dyDescent="0.3">
      <c r="B771" s="39">
        <v>46247</v>
      </c>
      <c r="C771" s="46" t="str">
        <f>_xlfn.XLOOKUP(tblMovimientos[[#This Row],[Cuenta Bancaria]],Listas!$B:$B,Listas!$A:$A,"")</f>
        <v>CFT Group</v>
      </c>
      <c r="D771" s="41" t="s">
        <v>95</v>
      </c>
      <c r="E771" s="4" t="str">
        <f>_xlfn.XLOOKUP(tblMovimientos[[#This Row],[Cuenta Bancaria]],Listas!$B:$B,Listas!$C:$C,"")</f>
        <v xml:space="preserve">Amerant Bank </v>
      </c>
      <c r="F771" s="41" t="s">
        <v>10</v>
      </c>
      <c r="G771" s="41" t="s">
        <v>46</v>
      </c>
      <c r="H771" s="4" t="str">
        <f>IFERROR(_xlfn.XLOOKUP(G771,Listas!E:E,Listas!F:F,""),"")</f>
        <v>Financiamiento</v>
      </c>
      <c r="I771" s="46" t="str">
        <f>IFERROR(_xlfn.XLOOKUP(G771,Listas!E:E,Listas!G:G,""),"")</f>
        <v>Externo</v>
      </c>
      <c r="J771" s="43">
        <v>40000</v>
      </c>
      <c r="K771" s="5">
        <f t="shared" si="8"/>
        <v>-40000</v>
      </c>
      <c r="L771" s="15" t="s">
        <v>132</v>
      </c>
      <c r="M771" s="44">
        <f>SUMIFS('Saldos Iniciales'!$D$2:$D$38,'Saldos Iniciales'!$A$2:$A$38,C771,'Saldos Iniciales'!$B$2:$B$38,D771)+SUMIFS($K$1:$K$1033,$C$1:$C$1033,C771,$D$1:$D$1033,D771,$B$1:$B$1033,"&lt;="&amp;B771)</f>
        <v>1487768.4100000008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40000</v>
      </c>
      <c r="P771" s="28">
        <f>IF(tblMovimientos[[#This Row],[Tipo de Movimiento]]="Ingreso",tblMovimientos[[#This Row],[Ingreso]],-tblMovimientos[[#This Row],[Egreso]])</f>
        <v>-40000</v>
      </c>
    </row>
    <row r="772" spans="1:16" x14ac:dyDescent="0.3">
      <c r="B772" s="39">
        <v>46247</v>
      </c>
      <c r="C772" s="46" t="str">
        <f>_xlfn.XLOOKUP(tblMovimientos[[#This Row],[Cuenta Bancaria]],Listas!$B:$B,Listas!$A:$A,"")</f>
        <v>CFT Group</v>
      </c>
      <c r="D772" s="41" t="s">
        <v>95</v>
      </c>
      <c r="E772" s="4" t="str">
        <f>_xlfn.XLOOKUP(tblMovimientos[[#This Row],[Cuenta Bancaria]],Listas!$B:$B,Listas!$C:$C,"")</f>
        <v xml:space="preserve">Amerant Bank </v>
      </c>
      <c r="F772" s="41" t="s">
        <v>10</v>
      </c>
      <c r="G772" s="41" t="s">
        <v>46</v>
      </c>
      <c r="H772" s="4" t="str">
        <f>IFERROR(_xlfn.XLOOKUP(G772,Listas!E:E,Listas!F:F,""),"")</f>
        <v>Financiamiento</v>
      </c>
      <c r="I772" s="46" t="str">
        <f>IFERROR(_xlfn.XLOOKUP(G772,Listas!E:E,Listas!G:G,""),"")</f>
        <v>Externo</v>
      </c>
      <c r="J772" s="43">
        <v>57866.67</v>
      </c>
      <c r="K772" s="5">
        <f t="shared" si="8"/>
        <v>-57866.67</v>
      </c>
      <c r="L772" s="15" t="s">
        <v>132</v>
      </c>
      <c r="M772" s="44">
        <f>SUMIFS('Saldos Iniciales'!$D$2:$D$38,'Saldos Iniciales'!$A$2:$A$38,C772,'Saldos Iniciales'!$B$2:$B$38,D772)+SUMIFS($K$1:$K$1033,$C$1:$C$1033,C772,$D$1:$D$1033,D772,$B$1:$B$1033,"&lt;="&amp;B772)</f>
        <v>1487768.4100000008</v>
      </c>
      <c r="N772" s="65" t="str">
        <f>IF(tblMovimientos[[#This Row],[Tipo de Movimiento]]="Ingreso",tblMovimientos[[#This Row],[Monto (S/)]],"0")</f>
        <v>0</v>
      </c>
      <c r="O772" s="65">
        <f>IF(tblMovimientos[[#This Row],[Tipo de Movimiento]]="Egreso",tblMovimientos[[#This Row],[Monto (S/)]],"0")</f>
        <v>57866.67</v>
      </c>
      <c r="P772" s="28">
        <f>IF(tblMovimientos[[#This Row],[Tipo de Movimiento]]="Ingreso",tblMovimientos[[#This Row],[Ingreso]],-tblMovimientos[[#This Row],[Egreso]])</f>
        <v>-57866.67</v>
      </c>
    </row>
    <row r="773" spans="1:16" x14ac:dyDescent="0.3">
      <c r="B773" s="39">
        <v>46247</v>
      </c>
      <c r="C773" s="46" t="str">
        <f>_xlfn.XLOOKUP(tblMovimientos[[#This Row],[Cuenta Bancaria]],Listas!$B:$B,Listas!$A:$A,"")</f>
        <v>CFT Group</v>
      </c>
      <c r="D773" s="41" t="s">
        <v>95</v>
      </c>
      <c r="E773" s="4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60000</v>
      </c>
      <c r="K773" s="5">
        <f t="shared" si="8"/>
        <v>-60000</v>
      </c>
      <c r="L773" s="15" t="s">
        <v>132</v>
      </c>
      <c r="M773" s="44">
        <f>SUMIFS('Saldos Iniciales'!$D$2:$D$38,'Saldos Iniciales'!$A$2:$A$38,C773,'Saldos Iniciales'!$B$2:$B$38,D773)+SUMIFS($K$1:$K$1033,$C$1:$C$1033,C773,$D$1:$D$1033,D773,$B$1:$B$1033,"&lt;="&amp;B773)</f>
        <v>1487768.4100000008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60000</v>
      </c>
      <c r="P773" s="28">
        <f>IF(tblMovimientos[[#This Row],[Tipo de Movimiento]]="Ingreso",tblMovimientos[[#This Row],[Ingreso]],-tblMovimientos[[#This Row],[Egreso]])</f>
        <v>-60000</v>
      </c>
    </row>
    <row r="774" spans="1:16" x14ac:dyDescent="0.3">
      <c r="B774" s="39">
        <v>46247</v>
      </c>
      <c r="C774" s="46" t="str">
        <f>_xlfn.XLOOKUP(tblMovimientos[[#This Row],[Cuenta Bancaria]],Listas!$B:$B,Listas!$A:$A,"")</f>
        <v>CFT Group</v>
      </c>
      <c r="D774" s="41" t="s">
        <v>95</v>
      </c>
      <c r="E774" s="4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72333.33</v>
      </c>
      <c r="K774" s="5">
        <f t="shared" si="8"/>
        <v>-72333.33</v>
      </c>
      <c r="L774" s="15" t="s">
        <v>132</v>
      </c>
      <c r="M774" s="44">
        <f>SUMIFS('Saldos Iniciales'!$D$2:$D$38,'Saldos Iniciales'!$A$2:$A$38,C774,'Saldos Iniciales'!$B$2:$B$38,D774)+SUMIFS($K$1:$K$1033,$C$1:$C$1033,C774,$D$1:$D$1033,D774,$B$1:$B$1033,"&lt;="&amp;B774)</f>
        <v>1487768.4100000008</v>
      </c>
      <c r="N774" s="65" t="str">
        <f>IF(tblMovimientos[[#This Row],[Tipo de Movimiento]]="Ingreso",tblMovimientos[[#This Row],[Monto (S/)]],"0")</f>
        <v>0</v>
      </c>
      <c r="O774" s="65">
        <f>IF(tblMovimientos[[#This Row],[Tipo de Movimiento]]="Egreso",tblMovimientos[[#This Row],[Monto (S/)]],"0")</f>
        <v>72333.33</v>
      </c>
      <c r="P774" s="28">
        <f>IF(tblMovimientos[[#This Row],[Tipo de Movimiento]]="Ingreso",tblMovimientos[[#This Row],[Ingreso]],-tblMovimientos[[#This Row],[Egreso]])</f>
        <v>-72333.33</v>
      </c>
    </row>
    <row r="775" spans="1:16" x14ac:dyDescent="0.3">
      <c r="B775" s="39">
        <v>46247</v>
      </c>
      <c r="C775" s="46" t="str">
        <f>_xlfn.XLOOKUP(tblMovimientos[[#This Row],[Cuenta Bancaria]],Listas!$B:$B,Listas!$A:$A,"")</f>
        <v>CFT Group</v>
      </c>
      <c r="D775" s="41" t="s">
        <v>95</v>
      </c>
      <c r="E775" s="4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85594.44</v>
      </c>
      <c r="K775" s="5">
        <f t="shared" si="8"/>
        <v>-85594.44</v>
      </c>
      <c r="L775" s="15" t="s">
        <v>132</v>
      </c>
      <c r="M775" s="44">
        <f>SUMIFS('Saldos Iniciales'!$D$2:$D$38,'Saldos Iniciales'!$A$2:$A$38,C775,'Saldos Iniciales'!$B$2:$B$38,D775)+SUMIFS($K$1:$K$1033,$C$1:$C$1033,C775,$D$1:$D$1033,D775,$B$1:$B$1033,"&lt;="&amp;B775)</f>
        <v>1487768.4100000008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85594.44</v>
      </c>
      <c r="P775" s="28">
        <f>IF(tblMovimientos[[#This Row],[Tipo de Movimiento]]="Ingreso",tblMovimientos[[#This Row],[Ingreso]],-tblMovimientos[[#This Row],[Egreso]])</f>
        <v>-85594.44</v>
      </c>
    </row>
    <row r="776" spans="1:16" x14ac:dyDescent="0.3">
      <c r="B776" s="39">
        <v>46247</v>
      </c>
      <c r="C776" s="46" t="str">
        <f>_xlfn.XLOOKUP(tblMovimientos[[#This Row],[Cuenta Bancaria]],Listas!$B:$B,Listas!$A:$A,"")</f>
        <v>CFT Group</v>
      </c>
      <c r="D776" s="41" t="s">
        <v>95</v>
      </c>
      <c r="E776" s="4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100000</v>
      </c>
      <c r="K776" s="5">
        <f t="shared" si="8"/>
        <v>-100000</v>
      </c>
      <c r="L776" s="15" t="s">
        <v>132</v>
      </c>
      <c r="M776" s="44">
        <f>SUMIFS('Saldos Iniciales'!$D$2:$D$38,'Saldos Iniciales'!$A$2:$A$38,C776,'Saldos Iniciales'!$B$2:$B$38,D776)+SUMIFS($K$1:$K$1033,$C$1:$C$1033,C776,$D$1:$D$1033,D776,$B$1:$B$1033,"&lt;="&amp;B776)</f>
        <v>1487768.4100000008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100000</v>
      </c>
      <c r="P776" s="28">
        <f>IF(tblMovimientos[[#This Row],[Tipo de Movimiento]]="Ingreso",tblMovimientos[[#This Row],[Ingreso]],-tblMovimientos[[#This Row],[Egreso]])</f>
        <v>-100000</v>
      </c>
    </row>
    <row r="777" spans="1:16" x14ac:dyDescent="0.3">
      <c r="B777" s="39">
        <v>46247</v>
      </c>
      <c r="C777" s="46" t="str">
        <f>_xlfn.XLOOKUP(tblMovimientos[[#This Row],[Cuenta Bancaria]],Listas!$B:$B,Listas!$A:$A,"")</f>
        <v>CFT Group</v>
      </c>
      <c r="D777" s="41" t="s">
        <v>95</v>
      </c>
      <c r="E777" s="4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200000</v>
      </c>
      <c r="K777" s="5">
        <f t="shared" si="8"/>
        <v>-200000</v>
      </c>
      <c r="L777" s="15" t="s">
        <v>132</v>
      </c>
      <c r="M777" s="44">
        <f>SUMIFS('Saldos Iniciales'!$D$2:$D$38,'Saldos Iniciales'!$A$2:$A$38,C777,'Saldos Iniciales'!$B$2:$B$38,D777)+SUMIFS($K$1:$K$1033,$C$1:$C$1033,C777,$D$1:$D$1033,D777,$B$1:$B$1033,"&lt;="&amp;B777)</f>
        <v>1487768.4100000008</v>
      </c>
      <c r="N777" s="65" t="str">
        <f>IF(tblMovimientos[[#This Row],[Tipo de Movimiento]]="Ingreso",tblMovimientos[[#This Row],[Monto (S/)]],"0")</f>
        <v>0</v>
      </c>
      <c r="O777" s="65">
        <f>IF(tblMovimientos[[#This Row],[Tipo de Movimiento]]="Egreso",tblMovimientos[[#This Row],[Monto (S/)]],"0")</f>
        <v>200000</v>
      </c>
      <c r="P777" s="28">
        <f>IF(tblMovimientos[[#This Row],[Tipo de Movimiento]]="Ingreso",tblMovimientos[[#This Row],[Ingreso]],-tblMovimientos[[#This Row],[Egreso]])</f>
        <v>-200000</v>
      </c>
    </row>
    <row r="778" spans="1:16" x14ac:dyDescent="0.3">
      <c r="A778" s="45"/>
      <c r="B778" s="39">
        <v>46247</v>
      </c>
      <c r="C778" s="46" t="str">
        <f>_xlfn.XLOOKUP(tblMovimientos[[#This Row],[Cuenta Bancaria]],Listas!$B:$B,Listas!$A:$A,"")</f>
        <v>Cross Family Trust</v>
      </c>
      <c r="D778" s="41" t="s">
        <v>111</v>
      </c>
      <c r="E778" s="46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64</v>
      </c>
      <c r="H778" s="46" t="str">
        <f>IFERROR(_xlfn.XLOOKUP(G778,Listas!E:E,Listas!F:F,""),"")</f>
        <v>Operativo</v>
      </c>
      <c r="I778" s="46" t="str">
        <f>IFERROR(_xlfn.XLOOKUP(G778,Listas!E:E,Listas!G:G,""),"")</f>
        <v>Interno</v>
      </c>
      <c r="J778" s="43">
        <v>10000</v>
      </c>
      <c r="K778" s="5">
        <f t="shared" si="8"/>
        <v>-10000</v>
      </c>
      <c r="L778" s="15" t="s">
        <v>132</v>
      </c>
      <c r="M778" s="44">
        <f>SUMIFS('Saldos Iniciales'!$D$2:$D$38,'Saldos Iniciales'!$A$2:$A$38,C778,'Saldos Iniciales'!$B$2:$B$38,D778)+SUMIFS($K$1:$K$1033,$C$1:$C$1033,C778,$D$1:$D$1033,D778,$B$1:$B$1033,"&lt;="&amp;B778)</f>
        <v>118717.6</v>
      </c>
      <c r="N778" s="65" t="str">
        <f>IF(tblMovimientos[[#This Row],[Tipo de Movimiento]]="Ingreso",tblMovimientos[[#This Row],[Monto (S/)]],"0")</f>
        <v>0</v>
      </c>
      <c r="O778" s="65">
        <f>IF(tblMovimientos[[#This Row],[Tipo de Movimiento]]="Egreso",tblMovimientos[[#This Row],[Monto (S/)]],"0")</f>
        <v>10000</v>
      </c>
      <c r="P778" s="28">
        <f>IF(tblMovimientos[[#This Row],[Tipo de Movimiento]]="Ingreso",tblMovimientos[[#This Row],[Ingreso]],-tblMovimientos[[#This Row],[Egreso]])</f>
        <v>-10000</v>
      </c>
    </row>
    <row r="779" spans="1:16" x14ac:dyDescent="0.3">
      <c r="B779" s="39">
        <v>46247</v>
      </c>
      <c r="C779" s="46" t="str">
        <f>_xlfn.XLOOKUP(tblMovimientos[[#This Row],[Cuenta Bancaria]],Listas!$B:$B,Listas!$A:$A,"")</f>
        <v>Cross Family Trust</v>
      </c>
      <c r="D779" s="41" t="s">
        <v>111</v>
      </c>
      <c r="E779" s="4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53</v>
      </c>
      <c r="H779" s="4" t="str">
        <f>IFERROR(_xlfn.XLOOKUP(G779,Listas!E:E,Listas!F:F,""),"")</f>
        <v>Inversion</v>
      </c>
      <c r="I779" s="46" t="str">
        <f>IFERROR(_xlfn.XLOOKUP(G779,Listas!E:E,Listas!G:G,""),"")</f>
        <v>Interno</v>
      </c>
      <c r="J779" s="43">
        <v>500000</v>
      </c>
      <c r="K779" s="5">
        <f t="shared" si="8"/>
        <v>-500000</v>
      </c>
      <c r="L779" s="15" t="s">
        <v>132</v>
      </c>
      <c r="M779" s="44">
        <f>SUMIFS('Saldos Iniciales'!$D$2:$D$38,'Saldos Iniciales'!$A$2:$A$38,C779,'Saldos Iniciales'!$B$2:$B$38,D779)+SUMIFS($K$1:$K$1033,$C$1:$C$1033,C779,$D$1:$D$1033,D779,$B$1:$B$1033,"&lt;="&amp;B779)</f>
        <v>118717.6</v>
      </c>
      <c r="N779" s="65" t="str">
        <f>IF(tblMovimientos[[#This Row],[Tipo de Movimiento]]="Ingreso",tblMovimientos[[#This Row],[Monto (S/)]],"0")</f>
        <v>0</v>
      </c>
      <c r="O779" s="65">
        <f>IF(tblMovimientos[[#This Row],[Tipo de Movimiento]]="Egreso",tblMovimientos[[#This Row],[Monto (S/)]],"0")</f>
        <v>500000</v>
      </c>
      <c r="P779" s="28">
        <f>IF(tblMovimientos[[#This Row],[Tipo de Movimiento]]="Ingreso",tblMovimientos[[#This Row],[Ingreso]],-tblMovimientos[[#This Row],[Egreso]])</f>
        <v>-500000</v>
      </c>
    </row>
    <row r="780" spans="1:16" x14ac:dyDescent="0.3">
      <c r="B780" s="39">
        <v>46247</v>
      </c>
      <c r="C780" s="46" t="str">
        <f>_xlfn.XLOOKUP(tblMovimientos[[#This Row],[Cuenta Bancaria]],Listas!$B:$B,Listas!$A:$A,"")</f>
        <v>SSP Capital</v>
      </c>
      <c r="D780" s="41" t="s">
        <v>104</v>
      </c>
      <c r="E780" s="4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9902.7800000000007</v>
      </c>
      <c r="K780" s="5">
        <f t="shared" si="8"/>
        <v>-9902.7800000000007</v>
      </c>
      <c r="L780" s="15" t="s">
        <v>132</v>
      </c>
      <c r="M780" s="44">
        <f>SUMIFS('Saldos Iniciales'!$D$2:$D$38,'Saldos Iniciales'!$A$2:$A$38,C780,'Saldos Iniciales'!$B$2:$B$38,D780)+SUMIFS($K$1:$K$1033,$C$1:$C$1033,C780,$D$1:$D$1033,D780,$B$1:$B$1033,"&lt;="&amp;B780)</f>
        <v>568040.45999999926</v>
      </c>
      <c r="N780" s="65" t="str">
        <f>IF(tblMovimientos[[#This Row],[Tipo de Movimiento]]="Ingreso",tblMovimientos[[#This Row],[Monto (S/)]],"0")</f>
        <v>0</v>
      </c>
      <c r="O780" s="65">
        <f>IF(tblMovimientos[[#This Row],[Tipo de Movimiento]]="Egreso",tblMovimientos[[#This Row],[Monto (S/)]],"0")</f>
        <v>9902.7800000000007</v>
      </c>
      <c r="P780" s="28">
        <f>IF(tblMovimientos[[#This Row],[Tipo de Movimiento]]="Ingreso",tblMovimientos[[#This Row],[Ingreso]],-tblMovimientos[[#This Row],[Egreso]])</f>
        <v>-9902.7800000000007</v>
      </c>
    </row>
    <row r="781" spans="1:16" x14ac:dyDescent="0.3">
      <c r="B781" s="39">
        <v>46247</v>
      </c>
      <c r="C781" s="46" t="str">
        <f>_xlfn.XLOOKUP(tblMovimientos[[#This Row],[Cuenta Bancaria]],Listas!$B:$B,Listas!$A:$A,"")</f>
        <v>SSP Capital</v>
      </c>
      <c r="D781" s="41" t="s">
        <v>104</v>
      </c>
      <c r="E781" s="4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55455.56</v>
      </c>
      <c r="K781" s="5">
        <f t="shared" si="8"/>
        <v>-55455.56</v>
      </c>
      <c r="L781" s="15" t="s">
        <v>132</v>
      </c>
      <c r="M781" s="44">
        <f>SUMIFS('Saldos Iniciales'!$D$2:$D$38,'Saldos Iniciales'!$A$2:$A$38,C781,'Saldos Iniciales'!$B$2:$B$38,D781)+SUMIFS($K$1:$K$1033,$C$1:$C$1033,C781,$D$1:$D$1033,D781,$B$1:$B$1033,"&lt;="&amp;B781)</f>
        <v>568040.45999999926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55455.56</v>
      </c>
      <c r="P781" s="28">
        <f>IF(tblMovimientos[[#This Row],[Tipo de Movimiento]]="Ingreso",tblMovimientos[[#This Row],[Ingreso]],-tblMovimientos[[#This Row],[Egreso]])</f>
        <v>-55455.56</v>
      </c>
    </row>
    <row r="782" spans="1:16" x14ac:dyDescent="0.3">
      <c r="B782" s="39">
        <v>46247</v>
      </c>
      <c r="C782" s="46" t="str">
        <f>_xlfn.XLOOKUP(tblMovimientos[[#This Row],[Cuenta Bancaria]],Listas!$B:$B,Listas!$A:$A,"")</f>
        <v>SSP Capital</v>
      </c>
      <c r="D782" s="41" t="s">
        <v>104</v>
      </c>
      <c r="E782" s="4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138638.89000000001</v>
      </c>
      <c r="K782" s="5">
        <f t="shared" si="8"/>
        <v>-138638.89000000001</v>
      </c>
      <c r="L782" s="15" t="s">
        <v>132</v>
      </c>
      <c r="M782" s="44">
        <f>SUMIFS('Saldos Iniciales'!$D$2:$D$38,'Saldos Iniciales'!$A$2:$A$38,C782,'Saldos Iniciales'!$B$2:$B$38,D782)+SUMIFS($K$1:$K$1033,$C$1:$C$1033,C782,$D$1:$D$1033,D782,$B$1:$B$1033,"&lt;="&amp;B782)</f>
        <v>568040.45999999926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138638.89000000001</v>
      </c>
      <c r="P782" s="28">
        <f>IF(tblMovimientos[[#This Row],[Tipo de Movimiento]]="Ingreso",tblMovimientos[[#This Row],[Ingreso]],-tblMovimientos[[#This Row],[Egreso]])</f>
        <v>-138638.89000000001</v>
      </c>
    </row>
    <row r="783" spans="1:16" x14ac:dyDescent="0.3">
      <c r="B783" s="39">
        <v>46247</v>
      </c>
      <c r="C783" s="46" t="str">
        <f>_xlfn.XLOOKUP(tblMovimientos[[#This Row],[Cuenta Bancaria]],Listas!$B:$B,Listas!$A:$A,"")</f>
        <v>Green Harbor Trust</v>
      </c>
      <c r="D783" s="41" t="s">
        <v>125</v>
      </c>
      <c r="E783" s="4" t="str">
        <f>_xlfn.XLOOKUP(tblMovimientos[[#This Row],[Cuenta Bancaria]],Listas!$B:$B,Listas!$C:$C,"")</f>
        <v xml:space="preserve">Amerant Bank </v>
      </c>
      <c r="F783" s="41" t="s">
        <v>9</v>
      </c>
      <c r="G783" s="41" t="s">
        <v>85</v>
      </c>
      <c r="H783" s="4" t="str">
        <f>IFERROR(_xlfn.XLOOKUP(G783,Listas!E:E,Listas!F:F,""),"")</f>
        <v>Operativo</v>
      </c>
      <c r="I783" s="46" t="str">
        <f>IFERROR(_xlfn.XLOOKUP(G783,Listas!E:E,Listas!G:G,""),"")</f>
        <v>Interno</v>
      </c>
      <c r="J783" s="43">
        <v>10000</v>
      </c>
      <c r="K783" s="5">
        <f t="shared" si="8"/>
        <v>10000</v>
      </c>
      <c r="L783" s="15" t="s">
        <v>132</v>
      </c>
      <c r="M783" s="44">
        <f>SUMIFS('Saldos Iniciales'!$D$2:$D$38,'Saldos Iniciales'!$A$2:$A$38,C783,'Saldos Iniciales'!$B$2:$B$38,D783)+SUMIFS($K$1:$K$1033,$C$1:$C$1033,C783,$D$1:$D$1033,D783,$B$1:$B$1033,"&lt;="&amp;B783)</f>
        <v>345</v>
      </c>
      <c r="N783" s="65">
        <f>IF(tblMovimientos[[#This Row],[Tipo de Movimiento]]="Ingreso",tblMovimientos[[#This Row],[Monto (S/)]],"0")</f>
        <v>10000</v>
      </c>
      <c r="O783" s="65" t="str">
        <f>IF(tblMovimientos[[#This Row],[Tipo de Movimiento]]="Egreso",tblMovimientos[[#This Row],[Monto (S/)]],"0")</f>
        <v>0</v>
      </c>
      <c r="P783" s="28">
        <f>IF(tblMovimientos[[#This Row],[Tipo de Movimiento]]="Ingreso",tblMovimientos[[#This Row],[Ingreso]],-tblMovimientos[[#This Row],[Egreso]])</f>
        <v>10000</v>
      </c>
    </row>
    <row r="784" spans="1:16" x14ac:dyDescent="0.3">
      <c r="A784" s="45"/>
      <c r="B784" s="39">
        <v>46247</v>
      </c>
      <c r="C784" s="46" t="str">
        <f>_xlfn.XLOOKUP(tblMovimientos[[#This Row],[Cuenta Bancaria]],Listas!$B:$B,Listas!$A:$A,"")</f>
        <v>Green Harbor Trust</v>
      </c>
      <c r="D784" s="41" t="s">
        <v>125</v>
      </c>
      <c r="E784" s="46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64</v>
      </c>
      <c r="H784" s="46" t="str">
        <f>IFERROR(_xlfn.XLOOKUP(G784,Listas!E:E,Listas!F:F,""),"")</f>
        <v>Operativo</v>
      </c>
      <c r="I784" s="46" t="str">
        <f>IFERROR(_xlfn.XLOOKUP(G784,Listas!E:E,Listas!G:G,""),"")</f>
        <v>Interno</v>
      </c>
      <c r="J784" s="43">
        <v>10000</v>
      </c>
      <c r="K784" s="5">
        <f t="shared" si="8"/>
        <v>-10000</v>
      </c>
      <c r="L784" s="15" t="s">
        <v>132</v>
      </c>
      <c r="M784" s="44">
        <f>SUMIFS('Saldos Iniciales'!$D$2:$D$38,'Saldos Iniciales'!$A$2:$A$38,C784,'Saldos Iniciales'!$B$2:$B$38,D784)+SUMIFS($K$1:$K$1033,$C$1:$C$1033,C784,$D$1:$D$1033,D784,$B$1:$B$1033,"&lt;="&amp;B784)</f>
        <v>345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10000</v>
      </c>
      <c r="P784" s="28">
        <f>IF(tblMovimientos[[#This Row],[Tipo de Movimiento]]="Ingreso",tblMovimientos[[#This Row],[Ingreso]],-tblMovimientos[[#This Row],[Egreso]])</f>
        <v>-10000</v>
      </c>
    </row>
    <row r="785" spans="1:16" x14ac:dyDescent="0.3">
      <c r="B785" s="39">
        <v>46247</v>
      </c>
      <c r="C785" s="46" t="str">
        <f>_xlfn.XLOOKUP(tblMovimientos[[#This Row],[Cuenta Bancaria]],Listas!$B:$B,Listas!$A:$A,"")</f>
        <v>Go Blue</v>
      </c>
      <c r="D785" s="41" t="s">
        <v>126</v>
      </c>
      <c r="E785" s="4" t="str">
        <f>_xlfn.XLOOKUP(tblMovimientos[[#This Row],[Cuenta Bancaria]],Listas!$B:$B,Listas!$C:$C,"")</f>
        <v xml:space="preserve">Amerant Bank </v>
      </c>
      <c r="F785" s="41" t="s">
        <v>9</v>
      </c>
      <c r="G785" s="41" t="s">
        <v>85</v>
      </c>
      <c r="H785" s="4" t="str">
        <f>IFERROR(_xlfn.XLOOKUP(G785,Listas!E:E,Listas!F:F,""),"")</f>
        <v>Operativo</v>
      </c>
      <c r="I785" s="46" t="str">
        <f>IFERROR(_xlfn.XLOOKUP(G785,Listas!E:E,Listas!G:G,""),"")</f>
        <v>Interno</v>
      </c>
      <c r="J785" s="43">
        <v>10000</v>
      </c>
      <c r="K785" s="5">
        <f t="shared" si="8"/>
        <v>10000</v>
      </c>
      <c r="L785" s="15" t="s">
        <v>132</v>
      </c>
      <c r="M785" s="44">
        <f>SUMIFS('Saldos Iniciales'!$D$2:$D$38,'Saldos Iniciales'!$A$2:$A$38,C785,'Saldos Iniciales'!$B$2:$B$38,D785)+SUMIFS($K$1:$K$1033,$C$1:$C$1033,C785,$D$1:$D$1033,D785,$B$1:$B$1033,"&lt;="&amp;B785)</f>
        <v>12455.609999999997</v>
      </c>
      <c r="N785" s="65">
        <f>IF(tblMovimientos[[#This Row],[Tipo de Movimiento]]="Ingreso",tblMovimientos[[#This Row],[Monto (S/)]],"0")</f>
        <v>10000</v>
      </c>
      <c r="O785" s="65" t="str">
        <f>IF(tblMovimientos[[#This Row],[Tipo de Movimiento]]="Egreso",tblMovimientos[[#This Row],[Monto (S/)]],"0")</f>
        <v>0</v>
      </c>
      <c r="P785" s="28">
        <f>IF(tblMovimientos[[#This Row],[Tipo de Movimiento]]="Ingreso",tblMovimientos[[#This Row],[Ingreso]],-tblMovimientos[[#This Row],[Egreso]])</f>
        <v>10000</v>
      </c>
    </row>
    <row r="786" spans="1:16" x14ac:dyDescent="0.3">
      <c r="B786" s="39">
        <v>46247</v>
      </c>
      <c r="C786" s="46" t="str">
        <f>_xlfn.XLOOKUP(tblMovimientos[[#This Row],[Cuenta Bancaria]],Listas!$B:$B,Listas!$A:$A,"")</f>
        <v>Go Blue</v>
      </c>
      <c r="D786" s="41" t="s">
        <v>126</v>
      </c>
      <c r="E786" s="4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38</v>
      </c>
      <c r="H786" s="4" t="str">
        <f>IFERROR(_xlfn.XLOOKUP(G786,Listas!E:E,Listas!F:F,""),"")</f>
        <v>Operativo</v>
      </c>
      <c r="I786" s="46" t="str">
        <f>IFERROR(_xlfn.XLOOKUP(G786,Listas!E:E,Listas!G:G,""),"")</f>
        <v>Externo</v>
      </c>
      <c r="J786" s="43">
        <v>2500</v>
      </c>
      <c r="K786" s="5">
        <f t="shared" si="8"/>
        <v>-2500</v>
      </c>
      <c r="L786" s="15" t="s">
        <v>132</v>
      </c>
      <c r="M786" s="44">
        <f>SUMIFS('Saldos Iniciales'!$D$2:$D$38,'Saldos Iniciales'!$A$2:$A$38,C786,'Saldos Iniciales'!$B$2:$B$38,D786)+SUMIFS($K$1:$K$1033,$C$1:$C$1033,C786,$D$1:$D$1033,D786,$B$1:$B$1033,"&lt;="&amp;B786)</f>
        <v>12455.609999999997</v>
      </c>
      <c r="N786" s="65" t="str">
        <f>IF(tblMovimientos[[#This Row],[Tipo de Movimiento]]="Ingreso",tblMovimientos[[#This Row],[Monto (S/)]],"0")</f>
        <v>0</v>
      </c>
      <c r="O786" s="65">
        <f>IF(tblMovimientos[[#This Row],[Tipo de Movimiento]]="Egreso",tblMovimientos[[#This Row],[Monto (S/)]],"0")</f>
        <v>2500</v>
      </c>
      <c r="P786" s="28">
        <f>IF(tblMovimientos[[#This Row],[Tipo de Movimiento]]="Ingreso",tblMovimientos[[#This Row],[Ingreso]],-tblMovimientos[[#This Row],[Egreso]])</f>
        <v>-2500</v>
      </c>
    </row>
    <row r="787" spans="1:16" x14ac:dyDescent="0.3">
      <c r="B787" s="39">
        <v>46247</v>
      </c>
      <c r="C787" s="46" t="str">
        <f>_xlfn.XLOOKUP(tblMovimientos[[#This Row],[Cuenta Bancaria]],Listas!$B:$B,Listas!$A:$A,"")</f>
        <v>Go Blue</v>
      </c>
      <c r="D787" s="41" t="s">
        <v>126</v>
      </c>
      <c r="E787" s="4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44</v>
      </c>
      <c r="H787" s="4" t="str">
        <f>IFERROR(_xlfn.XLOOKUP(G787,Listas!E:E,Listas!F:F,""),"")</f>
        <v>Operativo</v>
      </c>
      <c r="I787" s="46" t="str">
        <f>IFERROR(_xlfn.XLOOKUP(G787,Listas!E:E,Listas!G:G,""),"")</f>
        <v>Externo</v>
      </c>
      <c r="J787" s="43">
        <v>15</v>
      </c>
      <c r="K787" s="5">
        <f t="shared" si="8"/>
        <v>-15</v>
      </c>
      <c r="L787" s="15" t="s">
        <v>132</v>
      </c>
      <c r="M787" s="44">
        <f>SUMIFS('Saldos Iniciales'!$D$2:$D$38,'Saldos Iniciales'!$A$2:$A$38,C787,'Saldos Iniciales'!$B$2:$B$38,D787)+SUMIFS($K$1:$K$1033,$C$1:$C$1033,C787,$D$1:$D$1033,D787,$B$1:$B$1033,"&lt;="&amp;B787)</f>
        <v>12455.609999999997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15</v>
      </c>
      <c r="P787" s="28">
        <f>IF(tblMovimientos[[#This Row],[Tipo de Movimiento]]="Ingreso",tblMovimientos[[#This Row],[Ingreso]],-tblMovimientos[[#This Row],[Egreso]])</f>
        <v>-15</v>
      </c>
    </row>
    <row r="788" spans="1:16" x14ac:dyDescent="0.3">
      <c r="B788" s="39">
        <v>46247</v>
      </c>
      <c r="C788" s="46" t="str">
        <f>_xlfn.XLOOKUP(tblMovimientos[[#This Row],[Cuenta Bancaria]],Listas!$B:$B,Listas!$A:$A,"")</f>
        <v>Go Blue</v>
      </c>
      <c r="D788" s="41" t="s">
        <v>126</v>
      </c>
      <c r="E788" s="4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38</v>
      </c>
      <c r="H788" s="4" t="str">
        <f>IFERROR(_xlfn.XLOOKUP(G788,Listas!E:E,Listas!F:F,""),"")</f>
        <v>Operativo</v>
      </c>
      <c r="I788" s="46" t="str">
        <f>IFERROR(_xlfn.XLOOKUP(G788,Listas!E:E,Listas!G:G,""),"")</f>
        <v>Externo</v>
      </c>
      <c r="J788" s="43">
        <v>5199.1400000000003</v>
      </c>
      <c r="K788" s="5">
        <f t="shared" si="8"/>
        <v>-5199.1400000000003</v>
      </c>
      <c r="L788" s="15" t="s">
        <v>132</v>
      </c>
      <c r="M788" s="44">
        <f>SUMIFS('Saldos Iniciales'!$D$2:$D$38,'Saldos Iniciales'!$A$2:$A$38,C788,'Saldos Iniciales'!$B$2:$B$38,D788)+SUMIFS($K$1:$K$1033,$C$1:$C$1033,C788,$D$1:$D$1033,D788,$B$1:$B$1033,"&lt;="&amp;B788)</f>
        <v>12455.609999999997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5199.1400000000003</v>
      </c>
      <c r="P788" s="28">
        <f>IF(tblMovimientos[[#This Row],[Tipo de Movimiento]]="Ingreso",tblMovimientos[[#This Row],[Ingreso]],-tblMovimientos[[#This Row],[Egreso]])</f>
        <v>-5199.1400000000003</v>
      </c>
    </row>
    <row r="789" spans="1:16" x14ac:dyDescent="0.3">
      <c r="B789" s="39">
        <v>46247</v>
      </c>
      <c r="C789" s="46" t="str">
        <f>_xlfn.XLOOKUP(tblMovimientos[[#This Row],[Cuenta Bancaria]],Listas!$B:$B,Listas!$A:$A,"")</f>
        <v>Go Blue</v>
      </c>
      <c r="D789" s="41" t="s">
        <v>126</v>
      </c>
      <c r="E789" s="4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44</v>
      </c>
      <c r="H789" s="4" t="str">
        <f>IFERROR(_xlfn.XLOOKUP(G789,Listas!E:E,Listas!F:F,""),"")</f>
        <v>Operativo</v>
      </c>
      <c r="I789" s="46" t="str">
        <f>IFERROR(_xlfn.XLOOKUP(G789,Listas!E:E,Listas!G:G,""),"")</f>
        <v>Externo</v>
      </c>
      <c r="J789" s="43">
        <v>15</v>
      </c>
      <c r="K789" s="5">
        <f t="shared" si="8"/>
        <v>-15</v>
      </c>
      <c r="L789" s="15" t="s">
        <v>132</v>
      </c>
      <c r="M789" s="44">
        <f>SUMIFS('Saldos Iniciales'!$D$2:$D$38,'Saldos Iniciales'!$A$2:$A$38,C789,'Saldos Iniciales'!$B$2:$B$38,D789)+SUMIFS($K$1:$K$1033,$C$1:$C$1033,C789,$D$1:$D$1033,D789,$B$1:$B$1033,"&lt;="&amp;B789)</f>
        <v>12455.609999999997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15</v>
      </c>
      <c r="P789" s="28">
        <f>IF(tblMovimientos[[#This Row],[Tipo de Movimiento]]="Ingreso",tblMovimientos[[#This Row],[Ingreso]],-tblMovimientos[[#This Row],[Egreso]])</f>
        <v>-15</v>
      </c>
    </row>
    <row r="790" spans="1:16" x14ac:dyDescent="0.3">
      <c r="A790" s="45"/>
      <c r="B790" s="39">
        <v>46247</v>
      </c>
      <c r="C790" s="46" t="str">
        <f>_xlfn.XLOOKUP(tblMovimientos[[#This Row],[Cuenta Bancaria]],Listas!$B:$B,Listas!$A:$A,"")</f>
        <v>CFT Group</v>
      </c>
      <c r="D790" s="41" t="s">
        <v>96</v>
      </c>
      <c r="E790" s="46" t="str">
        <f>_xlfn.XLOOKUP(tblMovimientos[[#This Row],[Cuenta Bancaria]],Listas!$B:$B,Listas!$C:$C,"")</f>
        <v>Northern Trust</v>
      </c>
      <c r="F790" s="41" t="s">
        <v>10</v>
      </c>
      <c r="G790" s="41" t="s">
        <v>44</v>
      </c>
      <c r="H790" s="46" t="str">
        <f>IFERROR(_xlfn.XLOOKUP(G790,Listas!E:E,Listas!F:F,""),"")</f>
        <v>Operativo</v>
      </c>
      <c r="I790" s="46" t="str">
        <f>IFERROR(_xlfn.XLOOKUP(G790,Listas!E:E,Listas!G:G,""),"")</f>
        <v>Externo</v>
      </c>
      <c r="J790" s="43">
        <v>18.8</v>
      </c>
      <c r="K790" s="5">
        <f t="shared" si="8"/>
        <v>-18.8</v>
      </c>
      <c r="L790" s="15" t="s">
        <v>132</v>
      </c>
      <c r="M790" s="44">
        <f>SUMIFS('Saldos Iniciales'!$D$2:$D$38,'Saldos Iniciales'!$A$2:$A$38,C790,'Saldos Iniciales'!$B$2:$B$38,D790)+SUMIFS($K$1:$K$1033,$C$1:$C$1033,C790,$D$1:$D$1033,D790,$B$1:$B$1033,"&lt;="&amp;B790)</f>
        <v>5237.2300000000005</v>
      </c>
      <c r="N790" s="65" t="str">
        <f>IF(tblMovimientos[[#This Row],[Tipo de Movimiento]]="Ingreso",tblMovimientos[[#This Row],[Monto (S/)]],"0")</f>
        <v>0</v>
      </c>
      <c r="O790" s="65">
        <f>IF(tblMovimientos[[#This Row],[Tipo de Movimiento]]="Egreso",tblMovimientos[[#This Row],[Monto (S/)]],"0")</f>
        <v>18.8</v>
      </c>
      <c r="P790" s="28">
        <f>IF(tblMovimientos[[#This Row],[Tipo de Movimiento]]="Ingreso",tblMovimientos[[#This Row],[Ingreso]],-tblMovimientos[[#This Row],[Egreso]])</f>
        <v>-18.8</v>
      </c>
    </row>
    <row r="791" spans="1:16" x14ac:dyDescent="0.3">
      <c r="B791" s="39">
        <v>46247</v>
      </c>
      <c r="C791" s="46" t="str">
        <f>_xlfn.XLOOKUP(tblMovimientos[[#This Row],[Cuenta Bancaria]],Listas!$B:$B,Listas!$A:$A,"")</f>
        <v>SSP Capital</v>
      </c>
      <c r="D791" s="41" t="s">
        <v>105</v>
      </c>
      <c r="E791" s="4" t="str">
        <f>_xlfn.XLOOKUP(tblMovimientos[[#This Row],[Cuenta Bancaria]],Listas!$B:$B,Listas!$C:$C,"")</f>
        <v>Northern Trust</v>
      </c>
      <c r="F791" s="41" t="s">
        <v>10</v>
      </c>
      <c r="G791" s="41" t="s">
        <v>44</v>
      </c>
      <c r="H791" s="4" t="str">
        <f>IFERROR(_xlfn.XLOOKUP(G791,Listas!E:E,Listas!F:F,""),"")</f>
        <v>Operativo</v>
      </c>
      <c r="I791" s="46" t="str">
        <f>IFERROR(_xlfn.XLOOKUP(G791,Listas!E:E,Listas!G:G,""),"")</f>
        <v>Externo</v>
      </c>
      <c r="J791" s="43">
        <v>108.95</v>
      </c>
      <c r="K791" s="5">
        <f t="shared" si="8"/>
        <v>-108.95</v>
      </c>
      <c r="L791" s="15" t="s">
        <v>132</v>
      </c>
      <c r="M791" s="44">
        <f>SUMIFS('Saldos Iniciales'!$D$2:$D$38,'Saldos Iniciales'!$A$2:$A$38,C791,'Saldos Iniciales'!$B$2:$B$38,D791)+SUMIFS($K$1:$K$1033,$C$1:$C$1033,C791,$D$1:$D$1033,D791,$B$1:$B$1033,"&lt;="&amp;B791)</f>
        <v>4652.25</v>
      </c>
      <c r="N791" s="65" t="str">
        <f>IF(tblMovimientos[[#This Row],[Tipo de Movimiento]]="Ingreso",tblMovimientos[[#This Row],[Monto (S/)]],"0")</f>
        <v>0</v>
      </c>
      <c r="O791" s="65">
        <f>IF(tblMovimientos[[#This Row],[Tipo de Movimiento]]="Egreso",tblMovimientos[[#This Row],[Monto (S/)]],"0")</f>
        <v>108.95</v>
      </c>
      <c r="P791" s="28">
        <f>IF(tblMovimientos[[#This Row],[Tipo de Movimiento]]="Ingreso",tblMovimientos[[#This Row],[Ingreso]],-tblMovimientos[[#This Row],[Egreso]])</f>
        <v>-108.95</v>
      </c>
    </row>
    <row r="792" spans="1:16" x14ac:dyDescent="0.3">
      <c r="B792" s="39">
        <v>46248</v>
      </c>
      <c r="C792" s="46" t="str">
        <f>_xlfn.XLOOKUP(tblMovimientos[[#This Row],[Cuenta Bancaria]],Listas!$B:$B,Listas!$A:$A,"")</f>
        <v>2515 Overbrook</v>
      </c>
      <c r="D792" s="41" t="s">
        <v>121</v>
      </c>
      <c r="E792" s="74" t="str">
        <f>_xlfn.XLOOKUP(tblMovimientos[[#This Row],[Cuenta Bancaria]],Listas!$B:$B,Listas!$C:$C,"")</f>
        <v>Bank of America</v>
      </c>
      <c r="F792" s="41" t="s">
        <v>10</v>
      </c>
      <c r="G792" s="41" t="s">
        <v>44</v>
      </c>
      <c r="H792" s="4" t="str">
        <f>IFERROR(_xlfn.XLOOKUP(G792,Listas!E:E,Listas!F:F,""),"")</f>
        <v>Operativo</v>
      </c>
      <c r="I792" s="46" t="str">
        <f>IFERROR(_xlfn.XLOOKUP(G792,Listas!E:E,Listas!G:G,""),"")</f>
        <v>Externo</v>
      </c>
      <c r="J792" s="43">
        <v>15</v>
      </c>
      <c r="K792" s="5">
        <f t="shared" si="8"/>
        <v>-15</v>
      </c>
      <c r="L792" s="15" t="s">
        <v>132</v>
      </c>
      <c r="M792" s="44">
        <f>SUMIFS('Saldos Iniciales'!$D$2:$D$38,'Saldos Iniciales'!$A$2:$A$38,C792,'Saldos Iniciales'!$B$2:$B$38,D792)+SUMIFS($K$1:$K$1033,$C$1:$C$1033,C792,$D$1:$D$1033,D792,$B$1:$B$1033,"&lt;="&amp;B792)</f>
        <v>13375.289999999964</v>
      </c>
      <c r="N792" s="65" t="str">
        <f>IF(tblMovimientos[[#This Row],[Tipo de Movimiento]]="Ingreso",tblMovimientos[[#This Row],[Monto (S/)]],"0")</f>
        <v>0</v>
      </c>
      <c r="O792" s="65">
        <f>IF(tblMovimientos[[#This Row],[Tipo de Movimiento]]="Egreso",tblMovimientos[[#This Row],[Monto (S/)]],"0")</f>
        <v>15</v>
      </c>
      <c r="P792" s="28">
        <f>IF(tblMovimientos[[#This Row],[Tipo de Movimiento]]="Ingreso",tblMovimientos[[#This Row],[Ingreso]],-tblMovimientos[[#This Row],[Egreso]])</f>
        <v>-15</v>
      </c>
    </row>
    <row r="793" spans="1:16" x14ac:dyDescent="0.3">
      <c r="B793" s="39">
        <v>46248</v>
      </c>
      <c r="C793" s="46" t="str">
        <f>_xlfn.XLOOKUP(tblMovimientos[[#This Row],[Cuenta Bancaria]],Listas!$B:$B,Listas!$A:$A,"")</f>
        <v>CFT Group</v>
      </c>
      <c r="D793" s="41" t="s">
        <v>95</v>
      </c>
      <c r="E793" s="74" t="str">
        <f>_xlfn.XLOOKUP(tblMovimientos[[#This Row],[Cuenta Bancaria]],Listas!$B:$B,Listas!$C:$C,"")</f>
        <v xml:space="preserve">Amerant Bank </v>
      </c>
      <c r="F793" s="41" t="s">
        <v>10</v>
      </c>
      <c r="G793" s="41" t="s">
        <v>61</v>
      </c>
      <c r="H793" s="4" t="str">
        <f>IFERROR(_xlfn.XLOOKUP(G793,Listas!E:E,Listas!F:F,""),"")</f>
        <v>Operativo</v>
      </c>
      <c r="I793" s="46" t="str">
        <f>IFERROR(_xlfn.XLOOKUP(G793,Listas!E:E,Listas!G:G,""),"")</f>
        <v>Externo</v>
      </c>
      <c r="J793" s="43">
        <v>100000</v>
      </c>
      <c r="K793" s="5">
        <f t="shared" si="8"/>
        <v>-100000</v>
      </c>
      <c r="L793" s="15" t="s">
        <v>132</v>
      </c>
      <c r="M793" s="44">
        <f>SUMIFS('Saldos Iniciales'!$D$2:$D$38,'Saldos Iniciales'!$A$2:$A$38,C793,'Saldos Iniciales'!$B$2:$B$38,D793)+SUMIFS($K$1:$K$1033,$C$1:$C$1033,C793,$D$1:$D$1033,D793,$B$1:$B$1033,"&lt;="&amp;B793)</f>
        <v>1387768.4100000008</v>
      </c>
      <c r="N793" s="65" t="str">
        <f>IF(tblMovimientos[[#This Row],[Tipo de Movimiento]]="Ingreso",tblMovimientos[[#This Row],[Monto (S/)]],"0")</f>
        <v>0</v>
      </c>
      <c r="O793" s="65">
        <f>IF(tblMovimientos[[#This Row],[Tipo de Movimiento]]="Egreso",tblMovimientos[[#This Row],[Monto (S/)]],"0")</f>
        <v>100000</v>
      </c>
      <c r="P793" s="28">
        <f>IF(tblMovimientos[[#This Row],[Tipo de Movimiento]]="Ingreso",tblMovimientos[[#This Row],[Ingreso]],-tblMovimientos[[#This Row],[Egreso]])</f>
        <v>-100000</v>
      </c>
    </row>
    <row r="794" spans="1:16" x14ac:dyDescent="0.3">
      <c r="B794" s="39">
        <v>46248</v>
      </c>
      <c r="C794" s="46" t="str">
        <f>_xlfn.XLOOKUP(tblMovimientos[[#This Row],[Cuenta Bancaria]],Listas!$B:$B,Listas!$A:$A,"")</f>
        <v>Cross Security Trust</v>
      </c>
      <c r="D794" s="41" t="s">
        <v>112</v>
      </c>
      <c r="E794" s="4" t="str">
        <f>_xlfn.XLOOKUP(tblMovimientos[[#This Row],[Cuenta Bancaria]],Listas!$B:$B,Listas!$C:$C,"")</f>
        <v>Bank of America</v>
      </c>
      <c r="F794" s="41" t="s">
        <v>9</v>
      </c>
      <c r="G794" s="41" t="s">
        <v>84</v>
      </c>
      <c r="H794" s="4" t="str">
        <f>IFERROR(_xlfn.XLOOKUP(G794,Listas!E:E,Listas!F:F,""),"")</f>
        <v>Operativo</v>
      </c>
      <c r="I794" s="46" t="str">
        <f>IFERROR(_xlfn.XLOOKUP(G794,Listas!E:E,Listas!G:G,""),"")</f>
        <v>Externo</v>
      </c>
      <c r="J794" s="43">
        <v>3.87</v>
      </c>
      <c r="K794" s="5">
        <f t="shared" si="8"/>
        <v>3.87</v>
      </c>
      <c r="L794" s="15" t="s">
        <v>132</v>
      </c>
      <c r="M794" s="44">
        <f>SUMIFS('Saldos Iniciales'!$D$2:$D$38,'Saldos Iniciales'!$A$2:$A$38,C794,'Saldos Iniciales'!$B$2:$B$38,D794)+SUMIFS($K$1:$K$1033,$C$1:$C$1033,C794,$D$1:$D$1033,D794,$B$1:$B$1033,"&lt;="&amp;B794)</f>
        <v>158071.25999999998</v>
      </c>
      <c r="N794" s="65">
        <f>IF(tblMovimientos[[#This Row],[Tipo de Movimiento]]="Ingreso",tblMovimientos[[#This Row],[Monto (S/)]],"0")</f>
        <v>3.87</v>
      </c>
      <c r="O794" s="65" t="str">
        <f>IF(tblMovimientos[[#This Row],[Tipo de Movimiento]]="Egreso",tblMovimientos[[#This Row],[Monto (S/)]],"0")</f>
        <v>0</v>
      </c>
      <c r="P794" s="28">
        <f>IF(tblMovimientos[[#This Row],[Tipo de Movimiento]]="Ingreso",tblMovimientos[[#This Row],[Ingreso]],-tblMovimientos[[#This Row],[Egreso]])</f>
        <v>3.87</v>
      </c>
    </row>
    <row r="795" spans="1:16" x14ac:dyDescent="0.3">
      <c r="B795" s="39">
        <v>46251</v>
      </c>
      <c r="C795" s="46" t="str">
        <f>_xlfn.XLOOKUP(tblMovimientos[[#This Row],[Cuenta Bancaria]],Listas!$B:$B,Listas!$A:$A,"")</f>
        <v>SSP Capital</v>
      </c>
      <c r="D795" s="41" t="s">
        <v>102</v>
      </c>
      <c r="E795" s="74" t="str">
        <f>_xlfn.XLOOKUP(tblMovimientos[[#This Row],[Cuenta Bancaria]],Listas!$B:$B,Listas!$C:$C,"")</f>
        <v>Bank of America</v>
      </c>
      <c r="F795" s="41" t="s">
        <v>10</v>
      </c>
      <c r="G795" s="41" t="s">
        <v>44</v>
      </c>
      <c r="H795" s="4" t="str">
        <f>IFERROR(_xlfn.XLOOKUP(G795,Listas!E:E,Listas!F:F,""),"")</f>
        <v>Operativo</v>
      </c>
      <c r="I795" s="46" t="str">
        <f>IFERROR(_xlfn.XLOOKUP(G795,Listas!E:E,Listas!G:G,""),"")</f>
        <v>Externo</v>
      </c>
      <c r="J795" s="43">
        <v>29.75</v>
      </c>
      <c r="K795" s="5">
        <f t="shared" si="8"/>
        <v>-29.75</v>
      </c>
      <c r="L795" s="15" t="s">
        <v>132</v>
      </c>
      <c r="M795" s="44">
        <f>SUMIFS('Saldos Iniciales'!$D$2:$D$38,'Saldos Iniciales'!$A$2:$A$38,C795,'Saldos Iniciales'!$B$2:$B$38,D795)+SUMIFS($K$1:$K$1033,$C$1:$C$1033,C795,$D$1:$D$1033,D795,$B$1:$B$1033,"&lt;="&amp;B795)</f>
        <v>1141.0700000000002</v>
      </c>
      <c r="N795" s="65" t="str">
        <f>IF(tblMovimientos[[#This Row],[Tipo de Movimiento]]="Ingreso",tblMovimientos[[#This Row],[Monto (S/)]],"0")</f>
        <v>0</v>
      </c>
      <c r="O795" s="65">
        <f>IF(tblMovimientos[[#This Row],[Tipo de Movimiento]]="Egreso",tblMovimientos[[#This Row],[Monto (S/)]],"0")</f>
        <v>29.75</v>
      </c>
      <c r="P795" s="28">
        <f>IF(tblMovimientos[[#This Row],[Tipo de Movimiento]]="Ingreso",tblMovimientos[[#This Row],[Ingreso]],-tblMovimientos[[#This Row],[Egreso]])</f>
        <v>-29.75</v>
      </c>
    </row>
    <row r="796" spans="1:16" x14ac:dyDescent="0.3">
      <c r="B796" s="39">
        <v>46251</v>
      </c>
      <c r="C796" s="46" t="str">
        <f>_xlfn.XLOOKUP(tblMovimientos[[#This Row],[Cuenta Bancaria]],Listas!$B:$B,Listas!$A:$A,"")</f>
        <v>A&amp;M Imports</v>
      </c>
      <c r="D796" s="41" t="s">
        <v>100</v>
      </c>
      <c r="E796" s="74" t="str">
        <f>_xlfn.XLOOKUP(tblMovimientos[[#This Row],[Cuenta Bancaria]],Listas!$B:$B,Listas!$C:$C,"")</f>
        <v>Bank of America</v>
      </c>
      <c r="F796" s="41" t="s">
        <v>10</v>
      </c>
      <c r="G796" s="41" t="s">
        <v>44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420.6</v>
      </c>
      <c r="K796" s="5">
        <f t="shared" si="8"/>
        <v>-420.6</v>
      </c>
      <c r="L796" s="15" t="s">
        <v>132</v>
      </c>
      <c r="M796" s="44">
        <f>SUMIFS('Saldos Iniciales'!$D$2:$D$38,'Saldos Iniciales'!$A$2:$A$38,C796,'Saldos Iniciales'!$B$2:$B$38,D796)+SUMIFS($K$1:$K$1033,$C$1:$C$1033,C796,$D$1:$D$1033,D796,$B$1:$B$1033,"&lt;="&amp;B796)</f>
        <v>1120071.0999999999</v>
      </c>
      <c r="N796" s="65" t="str">
        <f>IF(tblMovimientos[[#This Row],[Tipo de Movimiento]]="Ingreso",tblMovimientos[[#This Row],[Monto (S/)]],"0")</f>
        <v>0</v>
      </c>
      <c r="O796" s="65">
        <f>IF(tblMovimientos[[#This Row],[Tipo de Movimiento]]="Egreso",tblMovimientos[[#This Row],[Monto (S/)]],"0")</f>
        <v>420.6</v>
      </c>
      <c r="P796" s="28">
        <f>IF(tblMovimientos[[#This Row],[Tipo de Movimiento]]="Ingreso",tblMovimientos[[#This Row],[Ingreso]],-tblMovimientos[[#This Row],[Egreso]])</f>
        <v>-420.6</v>
      </c>
    </row>
    <row r="797" spans="1:16" x14ac:dyDescent="0.3">
      <c r="B797" s="39">
        <v>46251</v>
      </c>
      <c r="C797" s="46" t="str">
        <f>_xlfn.XLOOKUP(tblMovimientos[[#This Row],[Cuenta Bancaria]],Listas!$B:$B,Listas!$A:$A,"")</f>
        <v>SSP Capital</v>
      </c>
      <c r="D797" s="41" t="s">
        <v>104</v>
      </c>
      <c r="E797" s="74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39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34801.339999999997</v>
      </c>
      <c r="K797" s="5">
        <f t="shared" si="8"/>
        <v>-34801.339999999997</v>
      </c>
      <c r="L797" s="15" t="s">
        <v>132</v>
      </c>
      <c r="M797" s="44">
        <f>SUMIFS('Saldos Iniciales'!$D$2:$D$38,'Saldos Iniciales'!$A$2:$A$38,C797,'Saldos Iniciales'!$B$2:$B$38,D797)+SUMIFS($K$1:$K$1033,$C$1:$C$1033,C797,$D$1:$D$1033,D797,$B$1:$B$1033,"&lt;="&amp;B797)</f>
        <v>533239.1199999993</v>
      </c>
      <c r="N797" s="65" t="str">
        <f>IF(tblMovimientos[[#This Row],[Tipo de Movimiento]]="Ingreso",tblMovimientos[[#This Row],[Monto (S/)]],"0")</f>
        <v>0</v>
      </c>
      <c r="O797" s="65">
        <f>IF(tblMovimientos[[#This Row],[Tipo de Movimiento]]="Egreso",tblMovimientos[[#This Row],[Monto (S/)]],"0")</f>
        <v>34801.339999999997</v>
      </c>
      <c r="P797" s="28">
        <f>IF(tblMovimientos[[#This Row],[Tipo de Movimiento]]="Ingreso",tblMovimientos[[#This Row],[Ingreso]],-tblMovimientos[[#This Row],[Egreso]])</f>
        <v>-34801.339999999997</v>
      </c>
    </row>
    <row r="798" spans="1:16" x14ac:dyDescent="0.3">
      <c r="B798" s="39">
        <v>46251</v>
      </c>
      <c r="C798" s="46" t="str">
        <f>_xlfn.XLOOKUP(tblMovimientos[[#This Row],[Cuenta Bancaria]],Listas!$B:$B,Listas!$A:$A,"")</f>
        <v>Go Blue</v>
      </c>
      <c r="D798" s="41" t="s">
        <v>126</v>
      </c>
      <c r="E798" s="74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175</v>
      </c>
      <c r="K798" s="5">
        <f t="shared" si="8"/>
        <v>-175</v>
      </c>
      <c r="L798" s="15" t="s">
        <v>132</v>
      </c>
      <c r="M798" s="44">
        <f>SUMIFS('Saldos Iniciales'!$D$2:$D$38,'Saldos Iniciales'!$A$2:$A$38,C798,'Saldos Iniciales'!$B$2:$B$38,D798)+SUMIFS($K$1:$K$1033,$C$1:$C$1033,C798,$D$1:$D$1033,D798,$B$1:$B$1033,"&lt;="&amp;B798)</f>
        <v>12280.609999999997</v>
      </c>
      <c r="N798" s="65" t="str">
        <f>IF(tblMovimientos[[#This Row],[Tipo de Movimiento]]="Ingreso",tblMovimientos[[#This Row],[Monto (S/)]],"0")</f>
        <v>0</v>
      </c>
      <c r="O798" s="65">
        <f>IF(tblMovimientos[[#This Row],[Tipo de Movimiento]]="Egreso",tblMovimientos[[#This Row],[Monto (S/)]],"0")</f>
        <v>175</v>
      </c>
      <c r="P798" s="28">
        <f>IF(tblMovimientos[[#This Row],[Tipo de Movimiento]]="Ingreso",tblMovimientos[[#This Row],[Ingreso]],-tblMovimientos[[#This Row],[Egreso]])</f>
        <v>-175</v>
      </c>
    </row>
    <row r="799" spans="1:16" x14ac:dyDescent="0.3">
      <c r="B799" s="39">
        <v>46252</v>
      </c>
      <c r="C799" s="46" t="str">
        <f>_xlfn.XLOOKUP(tblMovimientos[[#This Row],[Cuenta Bancaria]],Listas!$B:$B,Listas!$A:$A,"")</f>
        <v>SSP Capital</v>
      </c>
      <c r="D799" s="41" t="s">
        <v>101</v>
      </c>
      <c r="E799" s="74" t="str">
        <f>_xlfn.XLOOKUP(tblMovimientos[[#This Row],[Cuenta Bancaria]],Listas!$B:$B,Listas!$C:$C,"")</f>
        <v>Bank of America</v>
      </c>
      <c r="F799" s="41" t="s">
        <v>10</v>
      </c>
      <c r="G799" s="41" t="s">
        <v>38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2490.36</v>
      </c>
      <c r="K799" s="5">
        <f t="shared" si="8"/>
        <v>-2490.36</v>
      </c>
      <c r="L799" s="15" t="s">
        <v>132</v>
      </c>
      <c r="M799" s="44">
        <f>SUMIFS('Saldos Iniciales'!$D$2:$D$38,'Saldos Iniciales'!$A$2:$A$38,C799,'Saldos Iniciales'!$B$2:$B$38,D799)+SUMIFS($K$1:$K$1033,$C$1:$C$1033,C799,$D$1:$D$1033,D799,$B$1:$B$1033,"&lt;="&amp;B799)</f>
        <v>42589.55</v>
      </c>
      <c r="N799" s="65" t="str">
        <f>IF(tblMovimientos[[#This Row],[Tipo de Movimiento]]="Ingreso",tblMovimientos[[#This Row],[Monto (S/)]],"0")</f>
        <v>0</v>
      </c>
      <c r="O799" s="65">
        <f>IF(tblMovimientos[[#This Row],[Tipo de Movimiento]]="Egreso",tblMovimientos[[#This Row],[Monto (S/)]],"0")</f>
        <v>2490.36</v>
      </c>
      <c r="P799" s="28">
        <f>IF(tblMovimientos[[#This Row],[Tipo de Movimiento]]="Ingreso",tblMovimientos[[#This Row],[Ingreso]],-tblMovimientos[[#This Row],[Egreso]])</f>
        <v>-2490.36</v>
      </c>
    </row>
    <row r="800" spans="1:16" x14ac:dyDescent="0.3">
      <c r="B800" s="39">
        <v>46252</v>
      </c>
      <c r="C800" s="46" t="str">
        <f>_xlfn.XLOOKUP(tblMovimientos[[#This Row],[Cuenta Bancaria]],Listas!$B:$B,Listas!$A:$A,"")</f>
        <v>CFT Group</v>
      </c>
      <c r="D800" s="41" t="s">
        <v>94</v>
      </c>
      <c r="E800" s="74" t="str">
        <f>_xlfn.XLOOKUP(tblMovimientos[[#This Row],[Cuenta Bancaria]],Listas!$B:$B,Listas!$C:$C,"")</f>
        <v>Bank of America</v>
      </c>
      <c r="F800" s="41" t="s">
        <v>9</v>
      </c>
      <c r="G800" s="41" t="s">
        <v>68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105861.78</v>
      </c>
      <c r="K800" s="5">
        <f t="shared" si="8"/>
        <v>105861.78</v>
      </c>
      <c r="L800" s="15" t="s">
        <v>132</v>
      </c>
      <c r="M800" s="44">
        <f>SUMIFS('Saldos Iniciales'!$D$2:$D$38,'Saldos Iniciales'!$A$2:$A$38,C800,'Saldos Iniciales'!$B$2:$B$38,D800)+SUMIFS($K$1:$K$1033,$C$1:$C$1033,C800,$D$1:$D$1033,D800,$B$1:$B$1033,"&lt;="&amp;B800)</f>
        <v>-264586.95</v>
      </c>
      <c r="N800" s="65">
        <f>IF(tblMovimientos[[#This Row],[Tipo de Movimiento]]="Ingreso",tblMovimientos[[#This Row],[Monto (S/)]],"0")</f>
        <v>105861.78</v>
      </c>
      <c r="O800" s="65" t="str">
        <f>IF(tblMovimientos[[#This Row],[Tipo de Movimiento]]="Egreso",tblMovimientos[[#This Row],[Monto (S/)]],"0")</f>
        <v>0</v>
      </c>
      <c r="P800" s="28">
        <f>IF(tblMovimientos[[#This Row],[Tipo de Movimiento]]="Ingreso",tblMovimientos[[#This Row],[Ingreso]],-tblMovimientos[[#This Row],[Egreso]])</f>
        <v>105861.78</v>
      </c>
    </row>
    <row r="801" spans="1:16" x14ac:dyDescent="0.3">
      <c r="B801" s="39">
        <v>46253</v>
      </c>
      <c r="C801" s="46" t="str">
        <f>_xlfn.XLOOKUP(tblMovimientos[[#This Row],[Cuenta Bancaria]],Listas!$B:$B,Listas!$A:$A,"")</f>
        <v>SSP Capital</v>
      </c>
      <c r="D801" s="41" t="s">
        <v>101</v>
      </c>
      <c r="E801" s="74" t="str">
        <f>_xlfn.XLOOKUP(tblMovimientos[[#This Row],[Cuenta Bancaria]],Listas!$B:$B,Listas!$C:$C,"")</f>
        <v>Bank of America</v>
      </c>
      <c r="F801" s="41" t="s">
        <v>10</v>
      </c>
      <c r="G801" s="41" t="s">
        <v>41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737.04</v>
      </c>
      <c r="K801" s="5">
        <f t="shared" si="8"/>
        <v>-737.04</v>
      </c>
      <c r="L801" s="15" t="s">
        <v>132</v>
      </c>
      <c r="M801" s="44">
        <f>SUMIFS('Saldos Iniciales'!$D$2:$D$38,'Saldos Iniciales'!$A$2:$A$38,C801,'Saldos Iniciales'!$B$2:$B$38,D801)+SUMIFS($K$1:$K$1033,$C$1:$C$1033,C801,$D$1:$D$1033,D801,$B$1:$B$1033,"&lt;="&amp;B801)</f>
        <v>41852.51</v>
      </c>
      <c r="N801" s="65" t="str">
        <f>IF(tblMovimientos[[#This Row],[Tipo de Movimiento]]="Ingreso",tblMovimientos[[#This Row],[Monto (S/)]],"0")</f>
        <v>0</v>
      </c>
      <c r="O801" s="65">
        <f>IF(tblMovimientos[[#This Row],[Tipo de Movimiento]]="Egreso",tblMovimientos[[#This Row],[Monto (S/)]],"0")</f>
        <v>737.04</v>
      </c>
      <c r="P801" s="28">
        <f>IF(tblMovimientos[[#This Row],[Tipo de Movimiento]]="Ingreso",tblMovimientos[[#This Row],[Ingreso]],-tblMovimientos[[#This Row],[Egreso]])</f>
        <v>-737.04</v>
      </c>
    </row>
    <row r="802" spans="1:16" x14ac:dyDescent="0.3">
      <c r="B802" s="39">
        <v>46253</v>
      </c>
      <c r="C802" s="46" t="str">
        <f>_xlfn.XLOOKUP(tblMovimientos[[#This Row],[Cuenta Bancaria]],Listas!$B:$B,Listas!$A:$A,"")</f>
        <v>SSP Capital</v>
      </c>
      <c r="D802" s="41" t="s">
        <v>102</v>
      </c>
      <c r="E802" s="74" t="str">
        <f>_xlfn.XLOOKUP(tblMovimientos[[#This Row],[Cuenta Bancaria]],Listas!$B:$B,Listas!$C:$C,"")</f>
        <v>Bank of America</v>
      </c>
      <c r="F802" s="41" t="s">
        <v>10</v>
      </c>
      <c r="G802" s="41" t="s">
        <v>41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166.66</v>
      </c>
      <c r="K802" s="5">
        <f t="shared" si="8"/>
        <v>-166.66</v>
      </c>
      <c r="L802" s="15" t="s">
        <v>132</v>
      </c>
      <c r="M802" s="44">
        <f>SUMIFS('Saldos Iniciales'!$D$2:$D$38,'Saldos Iniciales'!$A$2:$A$38,C802,'Saldos Iniciales'!$B$2:$B$38,D802)+SUMIFS($K$1:$K$1033,$C$1:$C$1033,C802,$D$1:$D$1033,D802,$B$1:$B$1033,"&lt;="&amp;B802)</f>
        <v>974.41000000000008</v>
      </c>
      <c r="N802" s="65" t="str">
        <f>IF(tblMovimientos[[#This Row],[Tipo de Movimiento]]="Ingreso",tblMovimientos[[#This Row],[Monto (S/)]],"0")</f>
        <v>0</v>
      </c>
      <c r="O802" s="65">
        <f>IF(tblMovimientos[[#This Row],[Tipo de Movimiento]]="Egreso",tblMovimientos[[#This Row],[Monto (S/)]],"0")</f>
        <v>166.66</v>
      </c>
      <c r="P802" s="28">
        <f>IF(tblMovimientos[[#This Row],[Tipo de Movimiento]]="Ingreso",tblMovimientos[[#This Row],[Ingreso]],-tblMovimientos[[#This Row],[Egreso]])</f>
        <v>-166.66</v>
      </c>
    </row>
    <row r="803" spans="1:16" x14ac:dyDescent="0.3">
      <c r="B803" s="39">
        <v>46253</v>
      </c>
      <c r="C803" s="46" t="str">
        <f>_xlfn.XLOOKUP(tblMovimientos[[#This Row],[Cuenta Bancaria]],Listas!$B:$B,Listas!$A:$A,"")</f>
        <v>SSP Capital</v>
      </c>
      <c r="D803" s="41" t="s">
        <v>104</v>
      </c>
      <c r="E803" s="74" t="str">
        <f>_xlfn.XLOOKUP(tblMovimientos[[#This Row],[Cuenta Bancaria]],Listas!$B:$B,Listas!$C:$C,"")</f>
        <v xml:space="preserve">Amerant Bank </v>
      </c>
      <c r="F803" s="41" t="s">
        <v>9</v>
      </c>
      <c r="G803" s="41" t="s">
        <v>76</v>
      </c>
      <c r="H803" s="4" t="str">
        <f>IFERROR(_xlfn.XLOOKUP(G803,Listas!E:E,Listas!F:F,""),"")</f>
        <v>Financiamiento</v>
      </c>
      <c r="I803" s="46" t="str">
        <f>IFERROR(_xlfn.XLOOKUP(G803,Listas!E:E,Listas!G:G,""),"")</f>
        <v>Externo</v>
      </c>
      <c r="J803" s="43">
        <v>500000</v>
      </c>
      <c r="K803" s="5">
        <f t="shared" si="8"/>
        <v>500000</v>
      </c>
      <c r="L803" s="15" t="s">
        <v>132</v>
      </c>
      <c r="M803" s="44">
        <f>SUMIFS('Saldos Iniciales'!$D$2:$D$38,'Saldos Iniciales'!$A$2:$A$38,C803,'Saldos Iniciales'!$B$2:$B$38,D803)+SUMIFS($K$1:$K$1033,$C$1:$C$1033,C803,$D$1:$D$1033,D803,$B$1:$B$1033,"&lt;="&amp;B803)</f>
        <v>1033239.1199999993</v>
      </c>
      <c r="N803" s="65">
        <f>IF(tblMovimientos[[#This Row],[Tipo de Movimiento]]="Ingreso",tblMovimientos[[#This Row],[Monto (S/)]],"0")</f>
        <v>500000</v>
      </c>
      <c r="O803" s="65" t="str">
        <f>IF(tblMovimientos[[#This Row],[Tipo de Movimiento]]="Egreso",tblMovimientos[[#This Row],[Monto (S/)]],"0")</f>
        <v>0</v>
      </c>
      <c r="P803" s="28">
        <f>IF(tblMovimientos[[#This Row],[Tipo de Movimiento]]="Ingreso",tblMovimientos[[#This Row],[Ingreso]],-tblMovimientos[[#This Row],[Egreso]])</f>
        <v>500000</v>
      </c>
    </row>
    <row r="804" spans="1:16" x14ac:dyDescent="0.3">
      <c r="B804" s="39">
        <v>46254</v>
      </c>
      <c r="C804" s="46" t="str">
        <f>_xlfn.XLOOKUP(tblMovimientos[[#This Row],[Cuenta Bancaria]],Listas!$B:$B,Listas!$A:$A,"")</f>
        <v>CFT Group</v>
      </c>
      <c r="D804" s="41" t="s">
        <v>95</v>
      </c>
      <c r="E804" s="74" t="str">
        <f>_xlfn.XLOOKUP(tblMovimientos[[#This Row],[Cuenta Bancaria]],Listas!$B:$B,Listas!$C:$C,"")</f>
        <v xml:space="preserve">Amerant Bank </v>
      </c>
      <c r="F804" s="41" t="s">
        <v>10</v>
      </c>
      <c r="G804" s="41" t="s">
        <v>46</v>
      </c>
      <c r="H804" s="4" t="str">
        <f>IFERROR(_xlfn.XLOOKUP(G804,Listas!E:E,Listas!F:F,""),"")</f>
        <v>Financiamiento</v>
      </c>
      <c r="I804" s="46" t="str">
        <f>IFERROR(_xlfn.XLOOKUP(G804,Listas!E:E,Listas!G:G,""),"")</f>
        <v>Externo</v>
      </c>
      <c r="J804" s="43">
        <v>3833.33</v>
      </c>
      <c r="K804" s="5">
        <f t="shared" si="8"/>
        <v>-3833.33</v>
      </c>
      <c r="L804" s="15" t="s">
        <v>132</v>
      </c>
      <c r="M804" s="44">
        <f>SUMIFS('Saldos Iniciales'!$D$2:$D$38,'Saldos Iniciales'!$A$2:$A$38,C804,'Saldos Iniciales'!$B$2:$B$38,D804)+SUMIFS($K$1:$K$1033,$C$1:$C$1033,C804,$D$1:$D$1033,D804,$B$1:$B$1033,"&lt;="&amp;B804)</f>
        <v>1042893.4100000007</v>
      </c>
      <c r="N804" s="65" t="str">
        <f>IF(tblMovimientos[[#This Row],[Tipo de Movimiento]]="Ingreso",tblMovimientos[[#This Row],[Monto (S/)]],"0")</f>
        <v>0</v>
      </c>
      <c r="O804" s="65">
        <f>IF(tblMovimientos[[#This Row],[Tipo de Movimiento]]="Egreso",tblMovimientos[[#This Row],[Monto (S/)]],"0")</f>
        <v>3833.33</v>
      </c>
      <c r="P804" s="28">
        <f>IF(tblMovimientos[[#This Row],[Tipo de Movimiento]]="Ingreso",tblMovimientos[[#This Row],[Ingreso]],-tblMovimientos[[#This Row],[Egreso]])</f>
        <v>-3833.33</v>
      </c>
    </row>
    <row r="805" spans="1:16" x14ac:dyDescent="0.3">
      <c r="B805" s="39">
        <v>46254</v>
      </c>
      <c r="C805" s="46" t="str">
        <f>_xlfn.XLOOKUP(tblMovimientos[[#This Row],[Cuenta Bancaria]],Listas!$B:$B,Listas!$A:$A,"")</f>
        <v>CFT Group</v>
      </c>
      <c r="D805" s="41" t="s">
        <v>95</v>
      </c>
      <c r="E805" s="74" t="str">
        <f>_xlfn.XLOOKUP(tblMovimientos[[#This Row],[Cuenta Bancaria]],Listas!$B:$B,Listas!$C:$C,"")</f>
        <v xml:space="preserve">Amerant Bank </v>
      </c>
      <c r="F805" s="41" t="s">
        <v>10</v>
      </c>
      <c r="G805" s="41" t="s">
        <v>46</v>
      </c>
      <c r="H805" s="4" t="str">
        <f>IFERROR(_xlfn.XLOOKUP(G805,Listas!E:E,Listas!F:F,""),"")</f>
        <v>Financiamiento</v>
      </c>
      <c r="I805" s="46" t="str">
        <f>IFERROR(_xlfn.XLOOKUP(G805,Listas!E:E,Listas!G:G,""),"")</f>
        <v>Externo</v>
      </c>
      <c r="J805" s="43">
        <v>70000</v>
      </c>
      <c r="K805" s="5">
        <f t="shared" si="8"/>
        <v>-70000</v>
      </c>
      <c r="L805" s="15" t="s">
        <v>132</v>
      </c>
      <c r="M805" s="44">
        <f>SUMIFS('Saldos Iniciales'!$D$2:$D$38,'Saldos Iniciales'!$A$2:$A$38,C805,'Saldos Iniciales'!$B$2:$B$38,D805)+SUMIFS($K$1:$K$1033,$C$1:$C$1033,C805,$D$1:$D$1033,D805,$B$1:$B$1033,"&lt;="&amp;B805)</f>
        <v>1042893.4100000007</v>
      </c>
      <c r="N805" s="65" t="str">
        <f>IF(tblMovimientos[[#This Row],[Tipo de Movimiento]]="Ingreso",tblMovimientos[[#This Row],[Monto (S/)]],"0")</f>
        <v>0</v>
      </c>
      <c r="O805" s="65">
        <f>IF(tblMovimientos[[#This Row],[Tipo de Movimiento]]="Egreso",tblMovimientos[[#This Row],[Monto (S/)]],"0")</f>
        <v>70000</v>
      </c>
      <c r="P805" s="28">
        <f>IF(tblMovimientos[[#This Row],[Tipo de Movimiento]]="Ingreso",tblMovimientos[[#This Row],[Ingreso]],-tblMovimientos[[#This Row],[Egreso]])</f>
        <v>-70000</v>
      </c>
    </row>
    <row r="806" spans="1:16" x14ac:dyDescent="0.3">
      <c r="A806" s="45"/>
      <c r="B806" s="39">
        <v>46254</v>
      </c>
      <c r="C806" s="46" t="str">
        <f>_xlfn.XLOOKUP(tblMovimientos[[#This Row],[Cuenta Bancaria]],Listas!$B:$B,Listas!$A:$A,"")</f>
        <v>CFT Group</v>
      </c>
      <c r="D806" s="41" t="s">
        <v>95</v>
      </c>
      <c r="E806" s="75" t="str">
        <f>_xlfn.XLOOKUP(tblMovimientos[[#This Row],[Cuenta Bancaria]],Listas!$B:$B,Listas!$C:$C,"")</f>
        <v xml:space="preserve">Amerant Bank </v>
      </c>
      <c r="F806" s="41" t="s">
        <v>10</v>
      </c>
      <c r="G806" s="41" t="s">
        <v>46</v>
      </c>
      <c r="H806" s="46" t="str">
        <f>IFERROR(_xlfn.XLOOKUP(G806,Listas!E:E,Listas!F:F,""),"")</f>
        <v>Financiamiento</v>
      </c>
      <c r="I806" s="46" t="str">
        <f>IFERROR(_xlfn.XLOOKUP(G806,Listas!E:E,Listas!G:G,""),"")</f>
        <v>Externo</v>
      </c>
      <c r="J806" s="43">
        <v>71041.67</v>
      </c>
      <c r="K806" s="5">
        <f t="shared" si="8"/>
        <v>-71041.67</v>
      </c>
      <c r="L806" s="15" t="s">
        <v>132</v>
      </c>
      <c r="M806" s="44">
        <f>SUMIFS('Saldos Iniciales'!$D$2:$D$38,'Saldos Iniciales'!$A$2:$A$38,C806,'Saldos Iniciales'!$B$2:$B$38,D806)+SUMIFS($K$1:$K$1033,$C$1:$C$1033,C806,$D$1:$D$1033,D806,$B$1:$B$1033,"&lt;="&amp;B806)</f>
        <v>1042893.4100000007</v>
      </c>
      <c r="N806" s="65" t="str">
        <f>IF(tblMovimientos[[#This Row],[Tipo de Movimiento]]="Ingreso",tblMovimientos[[#This Row],[Monto (S/)]],"0")</f>
        <v>0</v>
      </c>
      <c r="O806" s="65">
        <f>IF(tblMovimientos[[#This Row],[Tipo de Movimiento]]="Egreso",tblMovimientos[[#This Row],[Monto (S/)]],"0")</f>
        <v>71041.67</v>
      </c>
      <c r="P806" s="28">
        <f>IF(tblMovimientos[[#This Row],[Tipo de Movimiento]]="Ingreso",tblMovimientos[[#This Row],[Ingreso]],-tblMovimientos[[#This Row],[Egreso]])</f>
        <v>-71041.67</v>
      </c>
    </row>
    <row r="807" spans="1:16" x14ac:dyDescent="0.3">
      <c r="A807" s="45"/>
      <c r="B807" s="39">
        <v>46254</v>
      </c>
      <c r="C807" s="46" t="str">
        <f>_xlfn.XLOOKUP(tblMovimientos[[#This Row],[Cuenta Bancaria]],Listas!$B:$B,Listas!$A:$A,"")</f>
        <v>CFT Group</v>
      </c>
      <c r="D807" s="41" t="s">
        <v>95</v>
      </c>
      <c r="E807" s="75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46</v>
      </c>
      <c r="H807" s="46" t="str">
        <f>IFERROR(_xlfn.XLOOKUP(G807,Listas!E:E,Listas!F:F,""),"")</f>
        <v>Financiamiento</v>
      </c>
      <c r="I807" s="46" t="str">
        <f>IFERROR(_xlfn.XLOOKUP(G807,Listas!E:E,Listas!G:G,""),"")</f>
        <v>Externo</v>
      </c>
      <c r="J807" s="43">
        <v>100000</v>
      </c>
      <c r="K807" s="5">
        <f t="shared" si="8"/>
        <v>-100000</v>
      </c>
      <c r="L807" s="15" t="s">
        <v>132</v>
      </c>
      <c r="M807" s="44">
        <f>SUMIFS('Saldos Iniciales'!$D$2:$D$38,'Saldos Iniciales'!$A$2:$A$38,C807,'Saldos Iniciales'!$B$2:$B$38,D807)+SUMIFS($K$1:$K$1033,$C$1:$C$1033,C807,$D$1:$D$1033,D807,$B$1:$B$1033,"&lt;="&amp;B807)</f>
        <v>1042893.4100000007</v>
      </c>
      <c r="N807" s="65" t="str">
        <f>IF(tblMovimientos[[#This Row],[Tipo de Movimiento]]="Ingreso",tblMovimientos[[#This Row],[Monto (S/)]],"0")</f>
        <v>0</v>
      </c>
      <c r="O807" s="65">
        <f>IF(tblMovimientos[[#This Row],[Tipo de Movimiento]]="Egreso",tblMovimientos[[#This Row],[Monto (S/)]],"0")</f>
        <v>100000</v>
      </c>
      <c r="P807" s="28">
        <f>IF(tblMovimientos[[#This Row],[Tipo de Movimiento]]="Ingreso",tblMovimientos[[#This Row],[Ingreso]],-tblMovimientos[[#This Row],[Egreso]])</f>
        <v>-100000</v>
      </c>
    </row>
    <row r="808" spans="1:16" x14ac:dyDescent="0.3">
      <c r="B808" s="39">
        <v>46254</v>
      </c>
      <c r="C808" s="46" t="str">
        <f>_xlfn.XLOOKUP(tblMovimientos[[#This Row],[Cuenta Bancaria]],Listas!$B:$B,Listas!$A:$A,"")</f>
        <v>CFT Group</v>
      </c>
      <c r="D808" s="41" t="s">
        <v>95</v>
      </c>
      <c r="E808" s="74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46</v>
      </c>
      <c r="H808" s="4" t="str">
        <f>IFERROR(_xlfn.XLOOKUP(G808,Listas!E:E,Listas!F:F,""),"")</f>
        <v>Financiamiento</v>
      </c>
      <c r="I808" s="46" t="str">
        <f>IFERROR(_xlfn.XLOOKUP(G808,Listas!E:E,Listas!G:G,""),"")</f>
        <v>Externo</v>
      </c>
      <c r="J808" s="43">
        <v>100000</v>
      </c>
      <c r="K808" s="5">
        <f t="shared" si="8"/>
        <v>-100000</v>
      </c>
      <c r="L808" s="15" t="s">
        <v>132</v>
      </c>
      <c r="M808" s="44">
        <f>SUMIFS('Saldos Iniciales'!$D$2:$D$38,'Saldos Iniciales'!$A$2:$A$38,C808,'Saldos Iniciales'!$B$2:$B$38,D808)+SUMIFS($K$1:$K$1033,$C$1:$C$1033,C808,$D$1:$D$1033,D808,$B$1:$B$1033,"&lt;="&amp;B808)</f>
        <v>1042893.4100000007</v>
      </c>
      <c r="N808" s="65" t="str">
        <f>IF(tblMovimientos[[#This Row],[Tipo de Movimiento]]="Ingreso",tblMovimientos[[#This Row],[Monto (S/)]],"0")</f>
        <v>0</v>
      </c>
      <c r="O808" s="65">
        <f>IF(tblMovimientos[[#This Row],[Tipo de Movimiento]]="Egreso",tblMovimientos[[#This Row],[Monto (S/)]],"0")</f>
        <v>100000</v>
      </c>
      <c r="P808" s="28">
        <f>IF(tblMovimientos[[#This Row],[Tipo de Movimiento]]="Ingreso",tblMovimientos[[#This Row],[Ingreso]],-tblMovimientos[[#This Row],[Egreso]])</f>
        <v>-100000</v>
      </c>
    </row>
    <row r="809" spans="1:16" x14ac:dyDescent="0.3">
      <c r="B809" s="39">
        <v>46254</v>
      </c>
      <c r="C809" s="46" t="str">
        <f>_xlfn.XLOOKUP(tblMovimientos[[#This Row],[Cuenta Bancaria]],Listas!$B:$B,Listas!$A:$A,"")</f>
        <v>SSP Capital</v>
      </c>
      <c r="D809" s="41" t="s">
        <v>104</v>
      </c>
      <c r="E809" s="74" t="str">
        <f>_xlfn.XLOOKUP(tblMovimientos[[#This Row],[Cuenta Bancaria]],Listas!$B:$B,Listas!$C:$C,"")</f>
        <v xml:space="preserve">Amerant Bank </v>
      </c>
      <c r="F809" s="41" t="s">
        <v>10</v>
      </c>
      <c r="G809" s="41" t="s">
        <v>46</v>
      </c>
      <c r="H809" s="4" t="str">
        <f>IFERROR(_xlfn.XLOOKUP(G809,Listas!E:E,Listas!F:F,""),"")</f>
        <v>Financiamiento</v>
      </c>
      <c r="I809" s="46" t="str">
        <f>IFERROR(_xlfn.XLOOKUP(G809,Listas!E:E,Listas!G:G,""),"")</f>
        <v>Externo</v>
      </c>
      <c r="J809" s="43">
        <v>2555.56</v>
      </c>
      <c r="K809" s="5">
        <f t="shared" si="8"/>
        <v>-2555.56</v>
      </c>
      <c r="L809" s="15" t="s">
        <v>132</v>
      </c>
      <c r="M809" s="44">
        <f>SUMIFS('Saldos Iniciales'!$D$2:$D$38,'Saldos Iniciales'!$A$2:$A$38,C809,'Saldos Iniciales'!$B$2:$B$38,D809)+SUMIFS($K$1:$K$1033,$C$1:$C$1033,C809,$D$1:$D$1033,D809,$B$1:$B$1033,"&lt;="&amp;B809)</f>
        <v>897489.10999999929</v>
      </c>
      <c r="N809" s="65" t="str">
        <f>IF(tblMovimientos[[#This Row],[Tipo de Movimiento]]="Ingreso",tblMovimientos[[#This Row],[Monto (S/)]],"0")</f>
        <v>0</v>
      </c>
      <c r="O809" s="65">
        <f>IF(tblMovimientos[[#This Row],[Tipo de Movimiento]]="Egreso",tblMovimientos[[#This Row],[Monto (S/)]],"0")</f>
        <v>2555.56</v>
      </c>
      <c r="P809" s="28">
        <f>IF(tblMovimientos[[#This Row],[Tipo de Movimiento]]="Ingreso",tblMovimientos[[#This Row],[Ingreso]],-tblMovimientos[[#This Row],[Egreso]])</f>
        <v>-2555.56</v>
      </c>
    </row>
    <row r="810" spans="1:16" x14ac:dyDescent="0.3">
      <c r="B810" s="39">
        <v>46254</v>
      </c>
      <c r="C810" s="46" t="str">
        <f>_xlfn.XLOOKUP(tblMovimientos[[#This Row],[Cuenta Bancaria]],Listas!$B:$B,Listas!$A:$A,"")</f>
        <v>SSP Capital</v>
      </c>
      <c r="D810" s="41" t="s">
        <v>104</v>
      </c>
      <c r="E810" s="74" t="str">
        <f>_xlfn.XLOOKUP(tblMovimientos[[#This Row],[Cuenta Bancaria]],Listas!$B:$B,Listas!$C:$C,"")</f>
        <v xml:space="preserve">Amerant Bank </v>
      </c>
      <c r="F810" s="41" t="s">
        <v>10</v>
      </c>
      <c r="G810" s="41" t="s">
        <v>46</v>
      </c>
      <c r="H810" s="4" t="str">
        <f>IFERROR(_xlfn.XLOOKUP(G810,Listas!E:E,Listas!F:F,""),"")</f>
        <v>Financiamiento</v>
      </c>
      <c r="I810" s="46" t="str">
        <f>IFERROR(_xlfn.XLOOKUP(G810,Listas!E:E,Listas!G:G,""),"")</f>
        <v>Externo</v>
      </c>
      <c r="J810" s="43">
        <v>26250</v>
      </c>
      <c r="K810" s="5">
        <f t="shared" si="8"/>
        <v>-26250</v>
      </c>
      <c r="L810" s="15" t="s">
        <v>132</v>
      </c>
      <c r="M810" s="44">
        <f>SUMIFS('Saldos Iniciales'!$D$2:$D$38,'Saldos Iniciales'!$A$2:$A$38,C810,'Saldos Iniciales'!$B$2:$B$38,D810)+SUMIFS($K$1:$K$1033,$C$1:$C$1033,C810,$D$1:$D$1033,D810,$B$1:$B$1033,"&lt;="&amp;B810)</f>
        <v>897489.10999999929</v>
      </c>
      <c r="N810" s="65" t="str">
        <f>IF(tblMovimientos[[#This Row],[Tipo de Movimiento]]="Ingreso",tblMovimientos[[#This Row],[Monto (S/)]],"0")</f>
        <v>0</v>
      </c>
      <c r="O810" s="65">
        <f>IF(tblMovimientos[[#This Row],[Tipo de Movimiento]]="Egreso",tblMovimientos[[#This Row],[Monto (S/)]],"0")</f>
        <v>26250</v>
      </c>
      <c r="P810" s="28">
        <f>IF(tblMovimientos[[#This Row],[Tipo de Movimiento]]="Ingreso",tblMovimientos[[#This Row],[Ingreso]],-tblMovimientos[[#This Row],[Egreso]])</f>
        <v>-26250</v>
      </c>
    </row>
    <row r="811" spans="1:16" x14ac:dyDescent="0.3">
      <c r="B811" s="39">
        <v>46254</v>
      </c>
      <c r="C811" s="46" t="str">
        <f>_xlfn.XLOOKUP(tblMovimientos[[#This Row],[Cuenta Bancaria]],Listas!$B:$B,Listas!$A:$A,"")</f>
        <v>SSP Capital</v>
      </c>
      <c r="D811" s="41" t="s">
        <v>104</v>
      </c>
      <c r="E811" s="74" t="str">
        <f>_xlfn.XLOOKUP(tblMovimientos[[#This Row],[Cuenta Bancaria]],Listas!$B:$B,Listas!$C:$C,"")</f>
        <v xml:space="preserve">Amerant Bank </v>
      </c>
      <c r="F811" s="41" t="s">
        <v>10</v>
      </c>
      <c r="G811" s="41" t="s">
        <v>46</v>
      </c>
      <c r="H811" s="4" t="str">
        <f>IFERROR(_xlfn.XLOOKUP(G811,Listas!E:E,Listas!F:F,""),"")</f>
        <v>Financiamiento</v>
      </c>
      <c r="I811" s="46" t="str">
        <f>IFERROR(_xlfn.XLOOKUP(G811,Listas!E:E,Listas!G:G,""),"")</f>
        <v>Externo</v>
      </c>
      <c r="J811" s="43">
        <v>47361.11</v>
      </c>
      <c r="K811" s="5">
        <f t="shared" si="8"/>
        <v>-47361.11</v>
      </c>
      <c r="L811" s="15" t="s">
        <v>132</v>
      </c>
      <c r="M811" s="44">
        <f>SUMIFS('Saldos Iniciales'!$D$2:$D$38,'Saldos Iniciales'!$A$2:$A$38,C811,'Saldos Iniciales'!$B$2:$B$38,D811)+SUMIFS($K$1:$K$1033,$C$1:$C$1033,C811,$D$1:$D$1033,D811,$B$1:$B$1033,"&lt;="&amp;B811)</f>
        <v>897489.10999999929</v>
      </c>
      <c r="N811" s="65" t="str">
        <f>IF(tblMovimientos[[#This Row],[Tipo de Movimiento]]="Ingreso",tblMovimientos[[#This Row],[Monto (S/)]],"0")</f>
        <v>0</v>
      </c>
      <c r="O811" s="65">
        <f>IF(tblMovimientos[[#This Row],[Tipo de Movimiento]]="Egreso",tblMovimientos[[#This Row],[Monto (S/)]],"0")</f>
        <v>47361.11</v>
      </c>
      <c r="P811" s="28">
        <f>IF(tblMovimientos[[#This Row],[Tipo de Movimiento]]="Ingreso",tblMovimientos[[#This Row],[Ingreso]],-tblMovimientos[[#This Row],[Egreso]])</f>
        <v>-47361.11</v>
      </c>
    </row>
    <row r="812" spans="1:16" x14ac:dyDescent="0.3">
      <c r="B812" s="39">
        <v>46254</v>
      </c>
      <c r="C812" s="46" t="str">
        <f>_xlfn.XLOOKUP(tblMovimientos[[#This Row],[Cuenta Bancaria]],Listas!$B:$B,Listas!$A:$A,"")</f>
        <v>SSP Capital</v>
      </c>
      <c r="D812" s="41" t="s">
        <v>104</v>
      </c>
      <c r="E812" s="74" t="str">
        <f>_xlfn.XLOOKUP(tblMovimientos[[#This Row],[Cuenta Bancaria]],Listas!$B:$B,Listas!$C:$C,"")</f>
        <v xml:space="preserve">Amerant Bank </v>
      </c>
      <c r="F812" s="41" t="s">
        <v>10</v>
      </c>
      <c r="G812" s="41" t="s">
        <v>46</v>
      </c>
      <c r="H812" s="4" t="str">
        <f>IFERROR(_xlfn.XLOOKUP(G812,Listas!E:E,Listas!F:F,""),"")</f>
        <v>Financiamiento</v>
      </c>
      <c r="I812" s="46" t="str">
        <f>IFERROR(_xlfn.XLOOKUP(G812,Listas!E:E,Listas!G:G,""),"")</f>
        <v>Externo</v>
      </c>
      <c r="J812" s="43">
        <v>59583.34</v>
      </c>
      <c r="K812" s="5">
        <f t="shared" si="8"/>
        <v>-59583.34</v>
      </c>
      <c r="L812" s="15" t="s">
        <v>132</v>
      </c>
      <c r="M812" s="44">
        <f>SUMIFS('Saldos Iniciales'!$D$2:$D$38,'Saldos Iniciales'!$A$2:$A$38,C812,'Saldos Iniciales'!$B$2:$B$38,D812)+SUMIFS($K$1:$K$1033,$C$1:$C$1033,C812,$D$1:$D$1033,D812,$B$1:$B$1033,"&lt;="&amp;B812)</f>
        <v>897489.10999999929</v>
      </c>
      <c r="N812" s="65" t="str">
        <f>IF(tblMovimientos[[#This Row],[Tipo de Movimiento]]="Ingreso",tblMovimientos[[#This Row],[Monto (S/)]],"0")</f>
        <v>0</v>
      </c>
      <c r="O812" s="65">
        <f>IF(tblMovimientos[[#This Row],[Tipo de Movimiento]]="Egreso",tblMovimientos[[#This Row],[Monto (S/)]],"0")</f>
        <v>59583.34</v>
      </c>
      <c r="P812" s="28">
        <f>IF(tblMovimientos[[#This Row],[Tipo de Movimiento]]="Ingreso",tblMovimientos[[#This Row],[Ingreso]],-tblMovimientos[[#This Row],[Egreso]])</f>
        <v>-59583.34</v>
      </c>
    </row>
    <row r="813" spans="1:16" x14ac:dyDescent="0.3">
      <c r="B813" s="39">
        <v>46254</v>
      </c>
      <c r="C813" s="46" t="str">
        <f>_xlfn.XLOOKUP(tblMovimientos[[#This Row],[Cuenta Bancaria]],Listas!$B:$B,Listas!$A:$A,"")</f>
        <v>Go Blue</v>
      </c>
      <c r="D813" s="41" t="s">
        <v>126</v>
      </c>
      <c r="E813" s="74" t="str">
        <f>_xlfn.XLOOKUP(tblMovimientos[[#This Row],[Cuenta Bancaria]],Listas!$B:$B,Listas!$C:$C,"")</f>
        <v xml:space="preserve">Amerant Bank </v>
      </c>
      <c r="F813" s="41" t="s">
        <v>10</v>
      </c>
      <c r="G813" s="41" t="s">
        <v>40</v>
      </c>
      <c r="H813" s="4" t="str">
        <f>IFERROR(_xlfn.XLOOKUP(G813,Listas!E:E,Listas!F:F,""),"")</f>
        <v>Operativo</v>
      </c>
      <c r="I813" s="46" t="str">
        <f>IFERROR(_xlfn.XLOOKUP(G813,Listas!E:E,Listas!G:G,""),"")</f>
        <v>Externo</v>
      </c>
      <c r="J813" s="43">
        <v>1809.12</v>
      </c>
      <c r="K813" s="5">
        <f t="shared" si="8"/>
        <v>-1809.12</v>
      </c>
      <c r="L813" s="15" t="s">
        <v>132</v>
      </c>
      <c r="M813" s="44">
        <f>SUMIFS('Saldos Iniciales'!$D$2:$D$38,'Saldos Iniciales'!$A$2:$A$38,C813,'Saldos Iniciales'!$B$2:$B$38,D813)+SUMIFS($K$1:$K$1033,$C$1:$C$1033,C813,$D$1:$D$1033,D813,$B$1:$B$1033,"&lt;="&amp;B813)</f>
        <v>10456.489999999998</v>
      </c>
      <c r="N813" s="65" t="str">
        <f>IF(tblMovimientos[[#This Row],[Tipo de Movimiento]]="Ingreso",tblMovimientos[[#This Row],[Monto (S/)]],"0")</f>
        <v>0</v>
      </c>
      <c r="O813" s="65">
        <f>IF(tblMovimientos[[#This Row],[Tipo de Movimiento]]="Egreso",tblMovimientos[[#This Row],[Monto (S/)]],"0")</f>
        <v>1809.12</v>
      </c>
      <c r="P813" s="28">
        <f>IF(tblMovimientos[[#This Row],[Tipo de Movimiento]]="Ingreso",tblMovimientos[[#This Row],[Ingreso]],-tblMovimientos[[#This Row],[Egreso]])</f>
        <v>-1809.12</v>
      </c>
    </row>
    <row r="814" spans="1:16" x14ac:dyDescent="0.3">
      <c r="A814" s="45"/>
      <c r="B814" s="39">
        <v>46254</v>
      </c>
      <c r="C814" s="46" t="str">
        <f>_xlfn.XLOOKUP(tblMovimientos[[#This Row],[Cuenta Bancaria]],Listas!$B:$B,Listas!$A:$A,"")</f>
        <v>Go Blue</v>
      </c>
      <c r="D814" s="41" t="s">
        <v>126</v>
      </c>
      <c r="E814" s="75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44</v>
      </c>
      <c r="H814" s="46" t="str">
        <f>IFERROR(_xlfn.XLOOKUP(G814,Listas!E:E,Listas!F:F,""),"")</f>
        <v>Operativo</v>
      </c>
      <c r="I814" s="46" t="str">
        <f>IFERROR(_xlfn.XLOOKUP(G814,Listas!E:E,Listas!G:G,""),"")</f>
        <v>Externo</v>
      </c>
      <c r="J814" s="43">
        <v>15</v>
      </c>
      <c r="K814" s="5">
        <f t="shared" si="8"/>
        <v>-15</v>
      </c>
      <c r="L814" s="15" t="s">
        <v>132</v>
      </c>
      <c r="M814" s="44">
        <f>SUMIFS('Saldos Iniciales'!$D$2:$D$38,'Saldos Iniciales'!$A$2:$A$38,C814,'Saldos Iniciales'!$B$2:$B$38,D814)+SUMIFS($K$1:$K$1033,$C$1:$C$1033,C814,$D$1:$D$1033,D814,$B$1:$B$1033,"&lt;="&amp;B814)</f>
        <v>10456.489999999998</v>
      </c>
      <c r="N814" s="65" t="str">
        <f>IF(tblMovimientos[[#This Row],[Tipo de Movimiento]]="Ingreso",tblMovimientos[[#This Row],[Monto (S/)]],"0")</f>
        <v>0</v>
      </c>
      <c r="O814" s="65">
        <f>IF(tblMovimientos[[#This Row],[Tipo de Movimiento]]="Egreso",tblMovimientos[[#This Row],[Monto (S/)]],"0")</f>
        <v>15</v>
      </c>
      <c r="P814" s="28">
        <f>IF(tblMovimientos[[#This Row],[Tipo de Movimiento]]="Ingreso",tblMovimientos[[#This Row],[Ingreso]],-tblMovimientos[[#This Row],[Egreso]])</f>
        <v>-15</v>
      </c>
    </row>
    <row r="815" spans="1:16" x14ac:dyDescent="0.3">
      <c r="A815" s="45"/>
      <c r="B815" s="39">
        <v>46254</v>
      </c>
      <c r="C815" s="46" t="str">
        <f>_xlfn.XLOOKUP(tblMovimientos[[#This Row],[Cuenta Bancaria]],Listas!$B:$B,Listas!$A:$A,"")</f>
        <v>SSP Capital</v>
      </c>
      <c r="D815" s="41" t="s">
        <v>101</v>
      </c>
      <c r="E815" s="75" t="str">
        <f>_xlfn.XLOOKUP(tblMovimientos[[#This Row],[Cuenta Bancaria]],Listas!$B:$B,Listas!$C:$C,"")</f>
        <v>Bank of America</v>
      </c>
      <c r="F815" s="41" t="s">
        <v>10</v>
      </c>
      <c r="G815" s="41" t="s">
        <v>41</v>
      </c>
      <c r="H815" s="46" t="str">
        <f>IFERROR(_xlfn.XLOOKUP(G815,Listas!E:E,Listas!F:F,""),"")</f>
        <v>Operativo</v>
      </c>
      <c r="I815" s="46" t="str">
        <f>IFERROR(_xlfn.XLOOKUP(G815,Listas!E:E,Listas!G:G,""),"")</f>
        <v>Externo</v>
      </c>
      <c r="J815" s="43">
        <v>780.9</v>
      </c>
      <c r="K815" s="5">
        <f t="shared" si="8"/>
        <v>-780.9</v>
      </c>
      <c r="L815" s="15" t="s">
        <v>132</v>
      </c>
      <c r="M815" s="44">
        <f>SUMIFS('Saldos Iniciales'!$D$2:$D$38,'Saldos Iniciales'!$A$2:$A$38,C815,'Saldos Iniciales'!$B$2:$B$38,D815)+SUMIFS($K$1:$K$1033,$C$1:$C$1033,C815,$D$1:$D$1033,D815,$B$1:$B$1033,"&lt;="&amp;B815)</f>
        <v>41071.61</v>
      </c>
      <c r="N815" s="65" t="str">
        <f>IF(tblMovimientos[[#This Row],[Tipo de Movimiento]]="Ingreso",tblMovimientos[[#This Row],[Monto (S/)]],"0")</f>
        <v>0</v>
      </c>
      <c r="O815" s="65">
        <f>IF(tblMovimientos[[#This Row],[Tipo de Movimiento]]="Egreso",tblMovimientos[[#This Row],[Monto (S/)]],"0")</f>
        <v>780.9</v>
      </c>
      <c r="P815" s="28">
        <f>IF(tblMovimientos[[#This Row],[Tipo de Movimiento]]="Ingreso",tblMovimientos[[#This Row],[Ingreso]],-tblMovimientos[[#This Row],[Egreso]])</f>
        <v>-780.9</v>
      </c>
    </row>
    <row r="816" spans="1:16" x14ac:dyDescent="0.3">
      <c r="B816" s="39">
        <v>46254</v>
      </c>
      <c r="C816" s="46" t="str">
        <f>_xlfn.XLOOKUP(tblMovimientos[[#This Row],[Cuenta Bancaria]],Listas!$B:$B,Listas!$A:$A,"")</f>
        <v>A&amp;M Imports</v>
      </c>
      <c r="D816" s="41" t="s">
        <v>100</v>
      </c>
      <c r="E816" s="74" t="str">
        <f>_xlfn.XLOOKUP(tblMovimientos[[#This Row],[Cuenta Bancaria]],Listas!$B:$B,Listas!$C:$C,"")</f>
        <v>Bank of America</v>
      </c>
      <c r="F816" s="41" t="s">
        <v>10</v>
      </c>
      <c r="G816" s="41" t="s">
        <v>61</v>
      </c>
      <c r="H816" s="4" t="str">
        <f>IFERROR(_xlfn.XLOOKUP(G816,Listas!E:E,Listas!F:F,""),"")</f>
        <v>Operativo</v>
      </c>
      <c r="I816" s="46" t="str">
        <f>IFERROR(_xlfn.XLOOKUP(G816,Listas!E:E,Listas!G:G,""),"")</f>
        <v>Externo</v>
      </c>
      <c r="J816" s="43">
        <v>60000</v>
      </c>
      <c r="K816" s="5">
        <f t="shared" si="8"/>
        <v>-60000</v>
      </c>
      <c r="L816" s="15" t="s">
        <v>132</v>
      </c>
      <c r="M816" s="44">
        <f>SUMIFS('Saldos Iniciales'!$D$2:$D$38,'Saldos Iniciales'!$A$2:$A$38,C816,'Saldos Iniciales'!$B$2:$B$38,D816)+SUMIFS($K$1:$K$1033,$C$1:$C$1033,C816,$D$1:$D$1033,D816,$B$1:$B$1033,"&lt;="&amp;B816)</f>
        <v>1060071.0999999999</v>
      </c>
      <c r="N816" s="65" t="str">
        <f>IF(tblMovimientos[[#This Row],[Tipo de Movimiento]]="Ingreso",tblMovimientos[[#This Row],[Monto (S/)]],"0")</f>
        <v>0</v>
      </c>
      <c r="O816" s="65">
        <f>IF(tblMovimientos[[#This Row],[Tipo de Movimiento]]="Egreso",tblMovimientos[[#This Row],[Monto (S/)]],"0")</f>
        <v>60000</v>
      </c>
      <c r="P816" s="28">
        <f>IF(tblMovimientos[[#This Row],[Tipo de Movimiento]]="Ingreso",tblMovimientos[[#This Row],[Ingreso]],-tblMovimientos[[#This Row],[Egreso]])</f>
        <v>-60000</v>
      </c>
    </row>
    <row r="817" spans="1:16" x14ac:dyDescent="0.3">
      <c r="B817" s="39">
        <v>46255</v>
      </c>
      <c r="C817" s="46" t="str">
        <f>_xlfn.XLOOKUP(tblMovimientos[[#This Row],[Cuenta Bancaria]],Listas!$B:$B,Listas!$A:$A,"")</f>
        <v>Go Blue</v>
      </c>
      <c r="D817" s="41" t="s">
        <v>169</v>
      </c>
      <c r="E817" s="4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38</v>
      </c>
      <c r="H817" s="4" t="str">
        <f>IFERROR(_xlfn.XLOOKUP(G817,Listas!E:E,Listas!F:F,""),"")</f>
        <v>Operativo</v>
      </c>
      <c r="I817" s="46" t="str">
        <f>IFERROR(_xlfn.XLOOKUP(G817,Listas!E:E,Listas!G:G,""),"")</f>
        <v>Externo</v>
      </c>
      <c r="J817" s="43">
        <v>199.99</v>
      </c>
      <c r="K817" s="5">
        <f t="shared" si="8"/>
        <v>-199.99</v>
      </c>
      <c r="L817" s="15" t="s">
        <v>132</v>
      </c>
      <c r="M817" s="44">
        <f>SUMIFS('Saldos Iniciales'!$D$2:$D$38,'Saldos Iniciales'!$A$2:$A$38,C817,'Saldos Iniciales'!$B$2:$B$38,D817)+SUMIFS($K$1:$K$1033,$C$1:$C$1033,C817,$D$1:$D$1033,D817,$B$1:$B$1033,"&lt;="&amp;B817)</f>
        <v>2085.300000000002</v>
      </c>
      <c r="N817" s="65" t="str">
        <f>IF(tblMovimientos[[#This Row],[Tipo de Movimiento]]="Ingreso",tblMovimientos[[#This Row],[Monto (S/)]],"0")</f>
        <v>0</v>
      </c>
      <c r="O817" s="65">
        <f>IF(tblMovimientos[[#This Row],[Tipo de Movimiento]]="Egreso",tblMovimientos[[#This Row],[Monto (S/)]],"0")</f>
        <v>199.99</v>
      </c>
      <c r="P817" s="28">
        <f>IF(tblMovimientos[[#This Row],[Tipo de Movimiento]]="Ingreso",tblMovimientos[[#This Row],[Ingreso]],-tblMovimientos[[#This Row],[Egreso]])</f>
        <v>-199.99</v>
      </c>
    </row>
    <row r="818" spans="1:16" x14ac:dyDescent="0.3">
      <c r="B818" s="39">
        <v>46258</v>
      </c>
      <c r="C818" s="46" t="str">
        <f>_xlfn.XLOOKUP(tblMovimientos[[#This Row],[Cuenta Bancaria]],Listas!$B:$B,Listas!$A:$A,"")</f>
        <v>SSP Capital</v>
      </c>
      <c r="D818" s="41" t="s">
        <v>101</v>
      </c>
      <c r="E818" s="4" t="str">
        <f>_xlfn.XLOOKUP(tblMovimientos[[#This Row],[Cuenta Bancaria]],Listas!$B:$B,Listas!$C:$C,"")</f>
        <v>Bank of America</v>
      </c>
      <c r="F818" s="41" t="s">
        <v>10</v>
      </c>
      <c r="G818" s="41" t="s">
        <v>38</v>
      </c>
      <c r="H818" s="4" t="str">
        <f>IFERROR(_xlfn.XLOOKUP(G818,Listas!E:E,Listas!F:F,""),"")</f>
        <v>Operativo</v>
      </c>
      <c r="I818" s="46" t="str">
        <f>IFERROR(_xlfn.XLOOKUP(G818,Listas!E:E,Listas!G:G,""),"")</f>
        <v>Externo</v>
      </c>
      <c r="J818" s="43">
        <v>762.99</v>
      </c>
      <c r="K818" s="5">
        <f t="shared" si="8"/>
        <v>-762.99</v>
      </c>
      <c r="L818" s="15" t="s">
        <v>132</v>
      </c>
      <c r="M818" s="44">
        <f>SUMIFS('Saldos Iniciales'!$D$2:$D$38,'Saldos Iniciales'!$A$2:$A$38,C818,'Saldos Iniciales'!$B$2:$B$38,D818)+SUMIFS($K$1:$K$1033,$C$1:$C$1033,C818,$D$1:$D$1033,D818,$B$1:$B$1033,"&lt;="&amp;B818)</f>
        <v>40308.620000000003</v>
      </c>
      <c r="N818" s="65" t="str">
        <f>IF(tblMovimientos[[#This Row],[Tipo de Movimiento]]="Ingreso",tblMovimientos[[#This Row],[Monto (S/)]],"0")</f>
        <v>0</v>
      </c>
      <c r="O818" s="65">
        <f>IF(tblMovimientos[[#This Row],[Tipo de Movimiento]]="Egreso",tblMovimientos[[#This Row],[Monto (S/)]],"0")</f>
        <v>762.99</v>
      </c>
      <c r="P818" s="28">
        <f>IF(tblMovimientos[[#This Row],[Tipo de Movimiento]]="Ingreso",tblMovimientos[[#This Row],[Ingreso]],-tblMovimientos[[#This Row],[Egreso]])</f>
        <v>-762.99</v>
      </c>
    </row>
    <row r="819" spans="1:16" x14ac:dyDescent="0.3">
      <c r="A819" s="45"/>
      <c r="B819" s="39">
        <v>46258</v>
      </c>
      <c r="C819" s="46" t="str">
        <f>_xlfn.XLOOKUP(tblMovimientos[[#This Row],[Cuenta Bancaria]],Listas!$B:$B,Listas!$A:$A,"")</f>
        <v>A&amp;M Imports</v>
      </c>
      <c r="D819" s="41" t="s">
        <v>100</v>
      </c>
      <c r="E819" s="46" t="str">
        <f>_xlfn.XLOOKUP(tblMovimientos[[#This Row],[Cuenta Bancaria]],Listas!$B:$B,Listas!$C:$C,"")</f>
        <v>Bank of America</v>
      </c>
      <c r="F819" s="41" t="s">
        <v>9</v>
      </c>
      <c r="G819" s="41" t="s">
        <v>68</v>
      </c>
      <c r="H819" s="46" t="str">
        <f>IFERROR(_xlfn.XLOOKUP(G819,Listas!E:E,Listas!F:F,""),"")</f>
        <v>Operativo</v>
      </c>
      <c r="I819" s="46" t="str">
        <f>IFERROR(_xlfn.XLOOKUP(G819,Listas!E:E,Listas!G:G,""),"")</f>
        <v>Externo</v>
      </c>
      <c r="J819" s="43">
        <v>5731.99</v>
      </c>
      <c r="K819" s="5">
        <f t="shared" si="8"/>
        <v>5731.99</v>
      </c>
      <c r="L819" s="15" t="s">
        <v>132</v>
      </c>
      <c r="M819" s="44">
        <f>SUMIFS('Saldos Iniciales'!$D$2:$D$38,'Saldos Iniciales'!$A$2:$A$38,C819,'Saldos Iniciales'!$B$2:$B$38,D819)+SUMIFS($K$1:$K$1033,$C$1:$C$1033,C819,$D$1:$D$1033,D819,$B$1:$B$1033,"&lt;="&amp;B819)</f>
        <v>1065803.0899999999</v>
      </c>
      <c r="N819" s="65">
        <f>IF(tblMovimientos[[#This Row],[Tipo de Movimiento]]="Ingreso",tblMovimientos[[#This Row],[Monto (S/)]],"0")</f>
        <v>5731.99</v>
      </c>
      <c r="O819" s="65" t="str">
        <f>IF(tblMovimientos[[#This Row],[Tipo de Movimiento]]="Egreso",tblMovimientos[[#This Row],[Monto (S/)]],"0")</f>
        <v>0</v>
      </c>
      <c r="P819" s="28">
        <f>IF(tblMovimientos[[#This Row],[Tipo de Movimiento]]="Ingreso",tblMovimientos[[#This Row],[Ingreso]],-tblMovimientos[[#This Row],[Egreso]])</f>
        <v>5731.99</v>
      </c>
    </row>
    <row r="820" spans="1:16" x14ac:dyDescent="0.3">
      <c r="A820" s="45"/>
      <c r="B820" s="39">
        <v>46258</v>
      </c>
      <c r="C820" s="46" t="str">
        <f>_xlfn.XLOOKUP(tblMovimientos[[#This Row],[Cuenta Bancaria]],Listas!$B:$B,Listas!$A:$A,"")</f>
        <v>M1B</v>
      </c>
      <c r="D820" s="41" t="s">
        <v>97</v>
      </c>
      <c r="E820" s="46" t="str">
        <f>_xlfn.XLOOKUP(tblMovimientos[[#This Row],[Cuenta Bancaria]],Listas!$B:$B,Listas!$C:$C,"")</f>
        <v xml:space="preserve">Amerant Bank </v>
      </c>
      <c r="F820" s="41" t="s">
        <v>9</v>
      </c>
      <c r="G820" s="41" t="s">
        <v>68</v>
      </c>
      <c r="H820" s="46" t="str">
        <f>IFERROR(_xlfn.XLOOKUP(G820,Listas!E:E,Listas!F:F,""),"")</f>
        <v>Operativo</v>
      </c>
      <c r="I820" s="46" t="str">
        <f>IFERROR(_xlfn.XLOOKUP(G820,Listas!E:E,Listas!G:G,""),"")</f>
        <v>Externo</v>
      </c>
      <c r="J820" s="43">
        <v>457.74</v>
      </c>
      <c r="K820" s="5">
        <f t="shared" si="8"/>
        <v>457.74</v>
      </c>
      <c r="L820" s="15" t="s">
        <v>132</v>
      </c>
      <c r="M820" s="44">
        <f>SUMIFS('Saldos Iniciales'!$D$2:$D$38,'Saldos Iniciales'!$A$2:$A$38,C820,'Saldos Iniciales'!$B$2:$B$38,D820)+SUMIFS($K$1:$K$1033,$C$1:$C$1033,C820,$D$1:$D$1033,D820,$B$1:$B$1033,"&lt;="&amp;B820)</f>
        <v>78668.990000000165</v>
      </c>
      <c r="N820" s="65">
        <f>IF(tblMovimientos[[#This Row],[Tipo de Movimiento]]="Ingreso",tblMovimientos[[#This Row],[Monto (S/)]],"0")</f>
        <v>457.74</v>
      </c>
      <c r="O820" s="65" t="str">
        <f>IF(tblMovimientos[[#This Row],[Tipo de Movimiento]]="Egreso",tblMovimientos[[#This Row],[Monto (S/)]],"0")</f>
        <v>0</v>
      </c>
      <c r="P820" s="28">
        <f>IF(tblMovimientos[[#This Row],[Tipo de Movimiento]]="Ingreso",tblMovimientos[[#This Row],[Ingreso]],-tblMovimientos[[#This Row],[Egreso]])</f>
        <v>457.74</v>
      </c>
    </row>
    <row r="821" spans="1:16" x14ac:dyDescent="0.3">
      <c r="B821" s="39">
        <v>46258</v>
      </c>
      <c r="C821" s="46" t="str">
        <f>_xlfn.XLOOKUP(tblMovimientos[[#This Row],[Cuenta Bancaria]],Listas!$B:$B,Listas!$A:$A,"")</f>
        <v>Go Blue</v>
      </c>
      <c r="D821" s="41" t="s">
        <v>169</v>
      </c>
      <c r="E821" s="4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38</v>
      </c>
      <c r="H821" s="4" t="str">
        <f>IFERROR(_xlfn.XLOOKUP(G821,Listas!E:E,Listas!F:F,""),"")</f>
        <v>Operativo</v>
      </c>
      <c r="I821" s="46" t="str">
        <f>IFERROR(_xlfn.XLOOKUP(G821,Listas!E:E,Listas!G:G,""),"")</f>
        <v>Externo</v>
      </c>
      <c r="J821" s="43">
        <v>21.95</v>
      </c>
      <c r="K821" s="5">
        <f t="shared" si="8"/>
        <v>-21.95</v>
      </c>
      <c r="L821" s="15" t="s">
        <v>132</v>
      </c>
      <c r="M821" s="44">
        <f>SUMIFS('Saldos Iniciales'!$D$2:$D$38,'Saldos Iniciales'!$A$2:$A$38,C821,'Saldos Iniciales'!$B$2:$B$38,D821)+SUMIFS($K$1:$K$1033,$C$1:$C$1033,C821,$D$1:$D$1033,D821,$B$1:$B$1033,"&lt;="&amp;B821)</f>
        <v>2063.3500000000022</v>
      </c>
      <c r="N821" s="65" t="str">
        <f>IF(tblMovimientos[[#This Row],[Tipo de Movimiento]]="Ingreso",tblMovimientos[[#This Row],[Monto (S/)]],"0")</f>
        <v>0</v>
      </c>
      <c r="O821" s="65">
        <f>IF(tblMovimientos[[#This Row],[Tipo de Movimiento]]="Egreso",tblMovimientos[[#This Row],[Monto (S/)]],"0")</f>
        <v>21.95</v>
      </c>
      <c r="P821" s="28">
        <f>IF(tblMovimientos[[#This Row],[Tipo de Movimiento]]="Ingreso",tblMovimientos[[#This Row],[Ingreso]],-tblMovimientos[[#This Row],[Egreso]])</f>
        <v>-21.95</v>
      </c>
    </row>
    <row r="822" spans="1:16" x14ac:dyDescent="0.3">
      <c r="B822" s="39">
        <v>46258</v>
      </c>
      <c r="C822" s="46" t="str">
        <f>_xlfn.XLOOKUP(tblMovimientos[[#This Row],[Cuenta Bancaria]],Listas!$B:$B,Listas!$A:$A,"")</f>
        <v>CFT Group</v>
      </c>
      <c r="D822" s="41" t="s">
        <v>95</v>
      </c>
      <c r="E822" s="4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61</v>
      </c>
      <c r="H822" s="4" t="str">
        <f>IFERROR(_xlfn.XLOOKUP(G822,Listas!E:E,Listas!F:F,""),"")</f>
        <v>Operativo</v>
      </c>
      <c r="I822" s="46" t="str">
        <f>IFERROR(_xlfn.XLOOKUP(G822,Listas!E:E,Listas!G:G,""),"")</f>
        <v>Externo</v>
      </c>
      <c r="J822" s="43">
        <v>30000</v>
      </c>
      <c r="K822" s="5">
        <f t="shared" si="8"/>
        <v>-30000</v>
      </c>
      <c r="L822" s="15" t="s">
        <v>132</v>
      </c>
      <c r="M822" s="44">
        <f>SUMIFS('Saldos Iniciales'!$D$2:$D$38,'Saldos Iniciales'!$A$2:$A$38,C822,'Saldos Iniciales'!$B$2:$B$38,D822)+SUMIFS($K$1:$K$1033,$C$1:$C$1033,C822,$D$1:$D$1033,D822,$B$1:$B$1033,"&lt;="&amp;B822)</f>
        <v>712893.41000000073</v>
      </c>
      <c r="N822" s="65" t="str">
        <f>IF(tblMovimientos[[#This Row],[Tipo de Movimiento]]="Ingreso",tblMovimientos[[#This Row],[Monto (S/)]],"0")</f>
        <v>0</v>
      </c>
      <c r="O822" s="65">
        <f>IF(tblMovimientos[[#This Row],[Tipo de Movimiento]]="Egreso",tblMovimientos[[#This Row],[Monto (S/)]],"0")</f>
        <v>30000</v>
      </c>
      <c r="P822" s="28">
        <f>IF(tblMovimientos[[#This Row],[Tipo de Movimiento]]="Ingreso",tblMovimientos[[#This Row],[Ingreso]],-tblMovimientos[[#This Row],[Egreso]])</f>
        <v>-30000</v>
      </c>
    </row>
    <row r="823" spans="1:16" x14ac:dyDescent="0.3">
      <c r="B823" s="39">
        <v>46258</v>
      </c>
      <c r="C823" s="46" t="str">
        <f>_xlfn.XLOOKUP(tblMovimientos[[#This Row],[Cuenta Bancaria]],Listas!$B:$B,Listas!$A:$A,"")</f>
        <v>CFT Group</v>
      </c>
      <c r="D823" s="41" t="s">
        <v>95</v>
      </c>
      <c r="E823" s="4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61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100000</v>
      </c>
      <c r="K823" s="5">
        <f t="shared" si="8"/>
        <v>-100000</v>
      </c>
      <c r="L823" s="15" t="s">
        <v>132</v>
      </c>
      <c r="M823" s="44">
        <f>SUMIFS('Saldos Iniciales'!$D$2:$D$38,'Saldos Iniciales'!$A$2:$A$38,C823,'Saldos Iniciales'!$B$2:$B$38,D823)+SUMIFS($K$1:$K$1033,$C$1:$C$1033,C823,$D$1:$D$1033,D823,$B$1:$B$1033,"&lt;="&amp;B823)</f>
        <v>712893.41000000073</v>
      </c>
      <c r="N823" s="65" t="str">
        <f>IF(tblMovimientos[[#This Row],[Tipo de Movimiento]]="Ingreso",tblMovimientos[[#This Row],[Monto (S/)]],"0")</f>
        <v>0</v>
      </c>
      <c r="O823" s="65">
        <f>IF(tblMovimientos[[#This Row],[Tipo de Movimiento]]="Egreso",tblMovimientos[[#This Row],[Monto (S/)]],"0")</f>
        <v>100000</v>
      </c>
      <c r="P823" s="28">
        <f>IF(tblMovimientos[[#This Row],[Tipo de Movimiento]]="Ingreso",tblMovimientos[[#This Row],[Ingreso]],-tblMovimientos[[#This Row],[Egreso]])</f>
        <v>-100000</v>
      </c>
    </row>
    <row r="824" spans="1:16" x14ac:dyDescent="0.3">
      <c r="B824" s="39">
        <v>46258</v>
      </c>
      <c r="C824" s="46" t="str">
        <f>_xlfn.XLOOKUP(tblMovimientos[[#This Row],[Cuenta Bancaria]],Listas!$B:$B,Listas!$A:$A,"")</f>
        <v>CFT Group</v>
      </c>
      <c r="D824" s="41" t="s">
        <v>95</v>
      </c>
      <c r="E824" s="4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61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200000</v>
      </c>
      <c r="K824" s="5">
        <f t="shared" ref="K824:K887" si="9">IF(F824="Ingreso",J824,-J824)</f>
        <v>-200000</v>
      </c>
      <c r="L824" s="15" t="s">
        <v>132</v>
      </c>
      <c r="M824" s="44">
        <f>SUMIFS('Saldos Iniciales'!$D$2:$D$38,'Saldos Iniciales'!$A$2:$A$38,C824,'Saldos Iniciales'!$B$2:$B$38,D824)+SUMIFS($K$1:$K$1033,$C$1:$C$1033,C824,$D$1:$D$1033,D824,$B$1:$B$1033,"&lt;="&amp;B824)</f>
        <v>712893.41000000073</v>
      </c>
      <c r="N824" s="65" t="str">
        <f>IF(tblMovimientos[[#This Row],[Tipo de Movimiento]]="Ingreso",tblMovimientos[[#This Row],[Monto (S/)]],"0")</f>
        <v>0</v>
      </c>
      <c r="O824" s="65">
        <f>IF(tblMovimientos[[#This Row],[Tipo de Movimiento]]="Egreso",tblMovimientos[[#This Row],[Monto (S/)]],"0")</f>
        <v>200000</v>
      </c>
      <c r="P824" s="28">
        <f>IF(tblMovimientos[[#This Row],[Tipo de Movimiento]]="Ingreso",tblMovimientos[[#This Row],[Ingreso]],-tblMovimientos[[#This Row],[Egreso]])</f>
        <v>-200000</v>
      </c>
    </row>
    <row r="825" spans="1:16" x14ac:dyDescent="0.3">
      <c r="B825" s="39">
        <v>46259</v>
      </c>
      <c r="C825" s="46" t="str">
        <f>_xlfn.XLOOKUP(tblMovimientos[[#This Row],[Cuenta Bancaria]],Listas!$B:$B,Listas!$A:$A,"")</f>
        <v>A&amp;M Imports</v>
      </c>
      <c r="D825" s="41" t="s">
        <v>100</v>
      </c>
      <c r="E825" s="4" t="str">
        <f>_xlfn.XLOOKUP(tblMovimientos[[#This Row],[Cuenta Bancaria]],Listas!$B:$B,Listas!$C:$C,"")</f>
        <v>Bank of America</v>
      </c>
      <c r="F825" s="41" t="s">
        <v>9</v>
      </c>
      <c r="G825" s="41" t="s">
        <v>68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17345.61</v>
      </c>
      <c r="K825" s="5">
        <f t="shared" si="9"/>
        <v>17345.61</v>
      </c>
      <c r="L825" s="15" t="s">
        <v>132</v>
      </c>
      <c r="M825" s="44">
        <f>SUMIFS('Saldos Iniciales'!$D$2:$D$38,'Saldos Iniciales'!$A$2:$A$38,C825,'Saldos Iniciales'!$B$2:$B$38,D825)+SUMIFS($K$1:$K$1033,$C$1:$C$1033,C825,$D$1:$D$1033,D825,$B$1:$B$1033,"&lt;="&amp;B825)</f>
        <v>1083148.7</v>
      </c>
      <c r="N825" s="65">
        <f>IF(tblMovimientos[[#This Row],[Tipo de Movimiento]]="Ingreso",tblMovimientos[[#This Row],[Monto (S/)]],"0")</f>
        <v>17345.61</v>
      </c>
      <c r="O825" s="65" t="str">
        <f>IF(tblMovimientos[[#This Row],[Tipo de Movimiento]]="Egreso",tblMovimientos[[#This Row],[Monto (S/)]],"0")</f>
        <v>0</v>
      </c>
      <c r="P825" s="28">
        <f>IF(tblMovimientos[[#This Row],[Tipo de Movimiento]]="Ingreso",tblMovimientos[[#This Row],[Ingreso]],-tblMovimientos[[#This Row],[Egreso]])</f>
        <v>17345.61</v>
      </c>
    </row>
    <row r="826" spans="1:16" x14ac:dyDescent="0.3">
      <c r="B826" s="39">
        <v>46259</v>
      </c>
      <c r="C826" s="46" t="str">
        <f>_xlfn.XLOOKUP(tblMovimientos[[#This Row],[Cuenta Bancaria]],Listas!$B:$B,Listas!$A:$A,"")</f>
        <v>CFT Group</v>
      </c>
      <c r="D826" s="41" t="s">
        <v>94</v>
      </c>
      <c r="E826" s="4" t="str">
        <f>_xlfn.XLOOKUP(tblMovimientos[[#This Row],[Cuenta Bancaria]],Listas!$B:$B,Listas!$C:$C,"")</f>
        <v>Bank of America</v>
      </c>
      <c r="F826" s="41" t="s">
        <v>9</v>
      </c>
      <c r="G826" s="41" t="s">
        <v>68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145829.28</v>
      </c>
      <c r="K826" s="5">
        <f t="shared" si="9"/>
        <v>145829.28</v>
      </c>
      <c r="L826" s="15" t="s">
        <v>132</v>
      </c>
      <c r="M826" s="44">
        <f>SUMIFS('Saldos Iniciales'!$D$2:$D$38,'Saldos Iniciales'!$A$2:$A$38,C826,'Saldos Iniciales'!$B$2:$B$38,D826)+SUMIFS($K$1:$K$1033,$C$1:$C$1033,C826,$D$1:$D$1033,D826,$B$1:$B$1033,"&lt;="&amp;B826)</f>
        <v>-110700.78</v>
      </c>
      <c r="N826" s="65">
        <f>IF(tblMovimientos[[#This Row],[Tipo de Movimiento]]="Ingreso",tblMovimientos[[#This Row],[Monto (S/)]],"0")</f>
        <v>145829.28</v>
      </c>
      <c r="O826" s="65" t="str">
        <f>IF(tblMovimientos[[#This Row],[Tipo de Movimiento]]="Egreso",tblMovimientos[[#This Row],[Monto (S/)]],"0")</f>
        <v>0</v>
      </c>
      <c r="P826" s="28">
        <f>IF(tblMovimientos[[#This Row],[Tipo de Movimiento]]="Ingreso",tblMovimientos[[#This Row],[Ingreso]],-tblMovimientos[[#This Row],[Egreso]])</f>
        <v>145829.28</v>
      </c>
    </row>
    <row r="827" spans="1:16" x14ac:dyDescent="0.3">
      <c r="B827" s="39">
        <v>46259</v>
      </c>
      <c r="C827" s="46" t="str">
        <f>_xlfn.XLOOKUP(tblMovimientos[[#This Row],[Cuenta Bancaria]],Listas!$B:$B,Listas!$A:$A,"")</f>
        <v>CFT Group</v>
      </c>
      <c r="D827" s="41" t="s">
        <v>94</v>
      </c>
      <c r="E827" s="4" t="str">
        <f>_xlfn.XLOOKUP(tblMovimientos[[#This Row],[Cuenta Bancaria]],Listas!$B:$B,Listas!$C:$C,"")</f>
        <v>Bank of America</v>
      </c>
      <c r="F827" s="41" t="s">
        <v>9</v>
      </c>
      <c r="G827" s="41" t="s">
        <v>68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8056.89</v>
      </c>
      <c r="K827" s="5">
        <f t="shared" si="9"/>
        <v>8056.89</v>
      </c>
      <c r="L827" s="15" t="s">
        <v>132</v>
      </c>
      <c r="M827" s="44">
        <f>SUMIFS('Saldos Iniciales'!$D$2:$D$38,'Saldos Iniciales'!$A$2:$A$38,C827,'Saldos Iniciales'!$B$2:$B$38,D827)+SUMIFS($K$1:$K$1033,$C$1:$C$1033,C827,$D$1:$D$1033,D827,$B$1:$B$1033,"&lt;="&amp;B827)</f>
        <v>-110700.78</v>
      </c>
      <c r="N827" s="65">
        <f>IF(tblMovimientos[[#This Row],[Tipo de Movimiento]]="Ingreso",tblMovimientos[[#This Row],[Monto (S/)]],"0")</f>
        <v>8056.89</v>
      </c>
      <c r="O827" s="65" t="str">
        <f>IF(tblMovimientos[[#This Row],[Tipo de Movimiento]]="Egreso",tblMovimientos[[#This Row],[Monto (S/)]],"0")</f>
        <v>0</v>
      </c>
      <c r="P827" s="28">
        <f>IF(tblMovimientos[[#This Row],[Tipo de Movimiento]]="Ingreso",tblMovimientos[[#This Row],[Ingreso]],-tblMovimientos[[#This Row],[Egreso]])</f>
        <v>8056.89</v>
      </c>
    </row>
    <row r="828" spans="1:16" x14ac:dyDescent="0.3">
      <c r="B828" s="39">
        <v>46259</v>
      </c>
      <c r="C828" s="46" t="str">
        <f>_xlfn.XLOOKUP(tblMovimientos[[#This Row],[Cuenta Bancaria]],Listas!$B:$B,Listas!$A:$A,"")</f>
        <v>M1B</v>
      </c>
      <c r="D828" s="41" t="s">
        <v>97</v>
      </c>
      <c r="E828" s="4" t="str">
        <f>_xlfn.XLOOKUP(tblMovimientos[[#This Row],[Cuenta Bancaria]],Listas!$B:$B,Listas!$C:$C,"")</f>
        <v xml:space="preserve">Amerant Bank </v>
      </c>
      <c r="F828" s="41" t="s">
        <v>9</v>
      </c>
      <c r="G828" s="41" t="s">
        <v>68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6974.11</v>
      </c>
      <c r="K828" s="5">
        <f t="shared" si="9"/>
        <v>6974.11</v>
      </c>
      <c r="L828" s="15" t="s">
        <v>132</v>
      </c>
      <c r="M828" s="44">
        <f>SUMIFS('Saldos Iniciales'!$D$2:$D$38,'Saldos Iniciales'!$A$2:$A$38,C828,'Saldos Iniciales'!$B$2:$B$38,D828)+SUMIFS($K$1:$K$1033,$C$1:$C$1033,C828,$D$1:$D$1033,D828,$B$1:$B$1033,"&lt;="&amp;B828)</f>
        <v>85643.10000000018</v>
      </c>
      <c r="N828" s="65">
        <f>IF(tblMovimientos[[#This Row],[Tipo de Movimiento]]="Ingreso",tblMovimientos[[#This Row],[Monto (S/)]],"0")</f>
        <v>6974.11</v>
      </c>
      <c r="O828" s="65" t="str">
        <f>IF(tblMovimientos[[#This Row],[Tipo de Movimiento]]="Egreso",tblMovimientos[[#This Row],[Monto (S/)]],"0")</f>
        <v>0</v>
      </c>
      <c r="P828" s="28">
        <f>IF(tblMovimientos[[#This Row],[Tipo de Movimiento]]="Ingreso",tblMovimientos[[#This Row],[Ingreso]],-tblMovimientos[[#This Row],[Egreso]])</f>
        <v>6974.11</v>
      </c>
    </row>
    <row r="829" spans="1:16" x14ac:dyDescent="0.3">
      <c r="B829" s="39">
        <v>46260</v>
      </c>
      <c r="C829" s="46" t="str">
        <f>_xlfn.XLOOKUP(tblMovimientos[[#This Row],[Cuenta Bancaria]],Listas!$B:$B,Listas!$A:$A,"")</f>
        <v>A&amp;M Imports</v>
      </c>
      <c r="D829" s="41" t="s">
        <v>100</v>
      </c>
      <c r="E829" s="4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17545.53</v>
      </c>
      <c r="K829" s="5">
        <f t="shared" si="9"/>
        <v>17545.53</v>
      </c>
      <c r="L829" s="15" t="s">
        <v>132</v>
      </c>
      <c r="M829" s="44">
        <f>SUMIFS('Saldos Iniciales'!$D$2:$D$38,'Saldos Iniciales'!$A$2:$A$38,C829,'Saldos Iniciales'!$B$2:$B$38,D829)+SUMIFS($K$1:$K$1033,$C$1:$C$1033,C829,$D$1:$D$1033,D829,$B$1:$B$1033,"&lt;="&amp;B829)</f>
        <v>1100694.23</v>
      </c>
      <c r="N829" s="65">
        <f>IF(tblMovimientos[[#This Row],[Tipo de Movimiento]]="Ingreso",tblMovimientos[[#This Row],[Monto (S/)]],"0")</f>
        <v>17545.53</v>
      </c>
      <c r="O829" s="65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17545.53</v>
      </c>
    </row>
    <row r="830" spans="1:16" x14ac:dyDescent="0.3">
      <c r="B830" s="39">
        <v>46261</v>
      </c>
      <c r="C830" s="46" t="str">
        <f>_xlfn.XLOOKUP(tblMovimientos[[#This Row],[Cuenta Bancaria]],Listas!$B:$B,Listas!$A:$A,"")</f>
        <v>SSP Capital</v>
      </c>
      <c r="D830" s="41" t="s">
        <v>101</v>
      </c>
      <c r="E830" s="4" t="str">
        <f>_xlfn.XLOOKUP(tblMovimientos[[#This Row],[Cuenta Bancaria]],Listas!$B:$B,Listas!$C:$C,"")</f>
        <v>Bank of America</v>
      </c>
      <c r="F830" s="41" t="s">
        <v>10</v>
      </c>
      <c r="G830" s="41" t="s">
        <v>64</v>
      </c>
      <c r="H830" s="4" t="str">
        <f>IFERROR(_xlfn.XLOOKUP(G830,Listas!E:E,Listas!F:F,""),"")</f>
        <v>Operativo</v>
      </c>
      <c r="I830" s="46" t="str">
        <f>IFERROR(_xlfn.XLOOKUP(G830,Listas!E:E,Listas!G:G,""),"")</f>
        <v>Interno</v>
      </c>
      <c r="J830" s="43">
        <v>100</v>
      </c>
      <c r="K830" s="5">
        <f t="shared" si="9"/>
        <v>-100</v>
      </c>
      <c r="L830" s="15" t="s">
        <v>132</v>
      </c>
      <c r="M830" s="44">
        <f>SUMIFS('Saldos Iniciales'!$D$2:$D$38,'Saldos Iniciales'!$A$2:$A$38,C830,'Saldos Iniciales'!$B$2:$B$38,D830)+SUMIFS($K$1:$K$1033,$C$1:$C$1033,C830,$D$1:$D$1033,D830,$B$1:$B$1033,"&lt;="&amp;B830)</f>
        <v>40178.620000000003</v>
      </c>
      <c r="N830" s="65" t="str">
        <f>IF(tblMovimientos[[#This Row],[Tipo de Movimiento]]="Ingreso",tblMovimientos[[#This Row],[Monto (S/)]],"0")</f>
        <v>0</v>
      </c>
      <c r="O830" s="65">
        <f>IF(tblMovimientos[[#This Row],[Tipo de Movimiento]]="Egreso",tblMovimientos[[#This Row],[Monto (S/)]],"0")</f>
        <v>100</v>
      </c>
      <c r="P830" s="28">
        <f>IF(tblMovimientos[[#This Row],[Tipo de Movimiento]]="Ingreso",tblMovimientos[[#This Row],[Ingreso]],-tblMovimientos[[#This Row],[Egreso]])</f>
        <v>-100</v>
      </c>
    </row>
    <row r="831" spans="1:16" x14ac:dyDescent="0.3">
      <c r="B831" s="39">
        <v>46261</v>
      </c>
      <c r="C831" s="46" t="str">
        <f>_xlfn.XLOOKUP(tblMovimientos[[#This Row],[Cuenta Bancaria]],Listas!$B:$B,Listas!$A:$A,"")</f>
        <v>SSP Capital</v>
      </c>
      <c r="D831" s="41" t="s">
        <v>101</v>
      </c>
      <c r="E831" s="4" t="str">
        <f>_xlfn.XLOOKUP(tblMovimientos[[#This Row],[Cuenta Bancaria]],Listas!$B:$B,Listas!$C:$C,"")</f>
        <v>Bank of America</v>
      </c>
      <c r="F831" s="41" t="s">
        <v>10</v>
      </c>
      <c r="G831" s="41" t="s">
        <v>44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30</v>
      </c>
      <c r="K831" s="5">
        <f t="shared" si="9"/>
        <v>-30</v>
      </c>
      <c r="L831" s="15" t="s">
        <v>132</v>
      </c>
      <c r="M831" s="44">
        <f>SUMIFS('Saldos Iniciales'!$D$2:$D$38,'Saldos Iniciales'!$A$2:$A$38,C831,'Saldos Iniciales'!$B$2:$B$38,D831)+SUMIFS($K$1:$K$1033,$C$1:$C$1033,C831,$D$1:$D$1033,D831,$B$1:$B$1033,"&lt;="&amp;B831)</f>
        <v>40178.620000000003</v>
      </c>
      <c r="N831" s="65" t="str">
        <f>IF(tblMovimientos[[#This Row],[Tipo de Movimiento]]="Ingreso",tblMovimientos[[#This Row],[Monto (S/)]],"0")</f>
        <v>0</v>
      </c>
      <c r="O831" s="65">
        <f>IF(tblMovimientos[[#This Row],[Tipo de Movimiento]]="Egreso",tblMovimientos[[#This Row],[Monto (S/)]],"0")</f>
        <v>30</v>
      </c>
      <c r="P831" s="28">
        <f>IF(tblMovimientos[[#This Row],[Tipo de Movimiento]]="Ingreso",tblMovimientos[[#This Row],[Ingreso]],-tblMovimientos[[#This Row],[Egreso]])</f>
        <v>-30</v>
      </c>
    </row>
    <row r="832" spans="1:16" x14ac:dyDescent="0.3">
      <c r="B832" s="39">
        <v>46261</v>
      </c>
      <c r="C832" s="46" t="str">
        <f>_xlfn.XLOOKUP(tblMovimientos[[#This Row],[Cuenta Bancaria]],Listas!$B:$B,Listas!$A:$A,"")</f>
        <v>A&amp;M Imports</v>
      </c>
      <c r="D832" s="41" t="s">
        <v>100</v>
      </c>
      <c r="E832" s="4" t="str">
        <f>_xlfn.XLOOKUP(tblMovimientos[[#This Row],[Cuenta Bancaria]],Listas!$B:$B,Listas!$C:$C,"")</f>
        <v>Bank of America</v>
      </c>
      <c r="F832" s="41" t="s">
        <v>9</v>
      </c>
      <c r="G832" s="41" t="s">
        <v>80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185000</v>
      </c>
      <c r="K832" s="5">
        <f t="shared" si="9"/>
        <v>185000</v>
      </c>
      <c r="L832" s="15" t="s">
        <v>132</v>
      </c>
      <c r="M832" s="44">
        <f>SUMIFS('Saldos Iniciales'!$D$2:$D$38,'Saldos Iniciales'!$A$2:$A$38,C832,'Saldos Iniciales'!$B$2:$B$38,D832)+SUMIFS($K$1:$K$1033,$C$1:$C$1033,C832,$D$1:$D$1033,D832,$B$1:$B$1033,"&lt;="&amp;B832)</f>
        <v>1225694.23</v>
      </c>
      <c r="N832" s="65">
        <f>IF(tblMovimientos[[#This Row],[Tipo de Movimiento]]="Ingreso",tblMovimientos[[#This Row],[Monto (S/)]],"0")</f>
        <v>185000</v>
      </c>
      <c r="O832" s="65" t="str">
        <f>IF(tblMovimientos[[#This Row],[Tipo de Movimiento]]="Egreso",tblMovimientos[[#This Row],[Monto (S/)]],"0")</f>
        <v>0</v>
      </c>
      <c r="P832" s="28">
        <f>IF(tblMovimientos[[#This Row],[Tipo de Movimiento]]="Ingreso",tblMovimientos[[#This Row],[Ingreso]],-tblMovimientos[[#This Row],[Egreso]])</f>
        <v>185000</v>
      </c>
    </row>
    <row r="833" spans="1:16" x14ac:dyDescent="0.3">
      <c r="B833" s="39">
        <v>46261</v>
      </c>
      <c r="C833" s="46" t="str">
        <f>_xlfn.XLOOKUP(tblMovimientos[[#This Row],[Cuenta Bancaria]],Listas!$B:$B,Listas!$A:$A,"")</f>
        <v>A&amp;M Imports</v>
      </c>
      <c r="D833" s="41" t="s">
        <v>100</v>
      </c>
      <c r="E833" s="4" t="str">
        <f>_xlfn.XLOOKUP(tblMovimientos[[#This Row],[Cuenta Bancaria]],Listas!$B:$B,Listas!$C:$C,"")</f>
        <v>Bank of America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60000</v>
      </c>
      <c r="K833" s="5">
        <f t="shared" si="9"/>
        <v>-60000</v>
      </c>
      <c r="L833" s="15" t="s">
        <v>132</v>
      </c>
      <c r="M833" s="44">
        <f>SUMIFS('Saldos Iniciales'!$D$2:$D$38,'Saldos Iniciales'!$A$2:$A$38,C833,'Saldos Iniciales'!$B$2:$B$38,D833)+SUMIFS($K$1:$K$1033,$C$1:$C$1033,C833,$D$1:$D$1033,D833,$B$1:$B$1033,"&lt;="&amp;B833)</f>
        <v>1225694.23</v>
      </c>
      <c r="N833" s="65" t="str">
        <f>IF(tblMovimientos[[#This Row],[Tipo de Movimiento]]="Ingreso",tblMovimientos[[#This Row],[Monto (S/)]],"0")</f>
        <v>0</v>
      </c>
      <c r="O833" s="65">
        <f>IF(tblMovimientos[[#This Row],[Tipo de Movimiento]]="Egreso",tblMovimientos[[#This Row],[Monto (S/)]],"0")</f>
        <v>60000</v>
      </c>
      <c r="P833" s="28">
        <f>IF(tblMovimientos[[#This Row],[Tipo de Movimiento]]="Ingreso",tblMovimientos[[#This Row],[Ingreso]],-tblMovimientos[[#This Row],[Egreso]])</f>
        <v>-60000</v>
      </c>
    </row>
    <row r="834" spans="1:16" x14ac:dyDescent="0.3">
      <c r="B834" s="39">
        <v>46261</v>
      </c>
      <c r="C834" s="46" t="str">
        <f>_xlfn.XLOOKUP(tblMovimientos[[#This Row],[Cuenta Bancaria]],Listas!$B:$B,Listas!$A:$A,"")</f>
        <v>CFT Group</v>
      </c>
      <c r="D834" s="41" t="s">
        <v>94</v>
      </c>
      <c r="E834" s="4" t="str">
        <f>_xlfn.XLOOKUP(tblMovimientos[[#This Row],[Cuenta Bancaria]],Listas!$B:$B,Listas!$C:$C,"")</f>
        <v>Bank of America</v>
      </c>
      <c r="F834" s="41" t="s">
        <v>9</v>
      </c>
      <c r="G834" s="41" t="s">
        <v>68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116197.06</v>
      </c>
      <c r="K834" s="5">
        <f t="shared" si="9"/>
        <v>116197.06</v>
      </c>
      <c r="L834" s="15" t="s">
        <v>132</v>
      </c>
      <c r="M834" s="44">
        <f>SUMIFS('Saldos Iniciales'!$D$2:$D$38,'Saldos Iniciales'!$A$2:$A$38,C834,'Saldos Iniciales'!$B$2:$B$38,D834)+SUMIFS($K$1:$K$1033,$C$1:$C$1033,C834,$D$1:$D$1033,D834,$B$1:$B$1033,"&lt;="&amp;B834)</f>
        <v>-35503.72000000003</v>
      </c>
      <c r="N834" s="65">
        <f>IF(tblMovimientos[[#This Row],[Tipo de Movimiento]]="Ingreso",tblMovimientos[[#This Row],[Monto (S/)]],"0")</f>
        <v>116197.06</v>
      </c>
      <c r="O834" s="65" t="str">
        <f>IF(tblMovimientos[[#This Row],[Tipo de Movimiento]]="Egreso",tblMovimientos[[#This Row],[Monto (S/)]],"0")</f>
        <v>0</v>
      </c>
      <c r="P834" s="28">
        <f>IF(tblMovimientos[[#This Row],[Tipo de Movimiento]]="Ingreso",tblMovimientos[[#This Row],[Ingreso]],-tblMovimientos[[#This Row],[Egreso]])</f>
        <v>116197.06</v>
      </c>
    </row>
    <row r="835" spans="1:16" x14ac:dyDescent="0.3">
      <c r="B835" s="39">
        <v>46261</v>
      </c>
      <c r="C835" s="46" t="str">
        <f>_xlfn.XLOOKUP(tblMovimientos[[#This Row],[Cuenta Bancaria]],Listas!$B:$B,Listas!$A:$A,"")</f>
        <v>CFT Group</v>
      </c>
      <c r="D835" s="41" t="s">
        <v>94</v>
      </c>
      <c r="E835" s="4" t="str">
        <f>_xlfn.XLOOKUP(tblMovimientos[[#This Row],[Cuenta Bancaria]],Listas!$B:$B,Listas!$C:$C,"")</f>
        <v>Bank of America</v>
      </c>
      <c r="F835" s="41" t="s">
        <v>10</v>
      </c>
      <c r="G835" s="41" t="s">
        <v>50</v>
      </c>
      <c r="H835" s="4" t="str">
        <f>IFERROR(_xlfn.XLOOKUP(G835,Listas!E:E,Listas!F:F,""),"")</f>
        <v>Financiamiento</v>
      </c>
      <c r="I835" s="46" t="str">
        <f>IFERROR(_xlfn.XLOOKUP(G835,Listas!E:E,Listas!G:G,""),"")</f>
        <v>Externo</v>
      </c>
      <c r="J835" s="43">
        <v>21000</v>
      </c>
      <c r="K835" s="5">
        <f t="shared" si="9"/>
        <v>-21000</v>
      </c>
      <c r="L835" s="15" t="s">
        <v>132</v>
      </c>
      <c r="M835" s="44">
        <f>SUMIFS('Saldos Iniciales'!$D$2:$D$38,'Saldos Iniciales'!$A$2:$A$38,C835,'Saldos Iniciales'!$B$2:$B$38,D835)+SUMIFS($K$1:$K$1033,$C$1:$C$1033,C835,$D$1:$D$1033,D835,$B$1:$B$1033,"&lt;="&amp;B835)</f>
        <v>-35503.72000000003</v>
      </c>
      <c r="N835" s="65" t="str">
        <f>IF(tblMovimientos[[#This Row],[Tipo de Movimiento]]="Ingreso",tblMovimientos[[#This Row],[Monto (S/)]],"0")</f>
        <v>0</v>
      </c>
      <c r="O835" s="65">
        <f>IF(tblMovimientos[[#This Row],[Tipo de Movimiento]]="Egreso",tblMovimientos[[#This Row],[Monto (S/)]],"0")</f>
        <v>21000</v>
      </c>
      <c r="P835" s="28">
        <f>IF(tblMovimientos[[#This Row],[Tipo de Movimiento]]="Ingreso",tblMovimientos[[#This Row],[Ingreso]],-tblMovimientos[[#This Row],[Egreso]])</f>
        <v>-21000</v>
      </c>
    </row>
    <row r="836" spans="1:16" x14ac:dyDescent="0.3">
      <c r="B836" s="39">
        <v>46261</v>
      </c>
      <c r="C836" s="46" t="str">
        <f>_xlfn.XLOOKUP(tblMovimientos[[#This Row],[Cuenta Bancaria]],Listas!$B:$B,Listas!$A:$A,"")</f>
        <v>CFT Group</v>
      </c>
      <c r="D836" s="41" t="s">
        <v>94</v>
      </c>
      <c r="E836" s="4" t="str">
        <f>_xlfn.XLOOKUP(tblMovimientos[[#This Row],[Cuenta Bancaria]],Listas!$B:$B,Listas!$C:$C,"")</f>
        <v>Bank of America</v>
      </c>
      <c r="F836" s="41" t="s">
        <v>10</v>
      </c>
      <c r="G836" s="41" t="s">
        <v>50</v>
      </c>
      <c r="H836" s="4" t="str">
        <f>IFERROR(_xlfn.XLOOKUP(G836,Listas!E:E,Listas!F:F,""),"")</f>
        <v>Financiamiento</v>
      </c>
      <c r="I836" s="46" t="str">
        <f>IFERROR(_xlfn.XLOOKUP(G836,Listas!E:E,Listas!G:G,""),"")</f>
        <v>Externo</v>
      </c>
      <c r="J836" s="43">
        <v>20000</v>
      </c>
      <c r="K836" s="5">
        <f t="shared" si="9"/>
        <v>-20000</v>
      </c>
      <c r="L836" s="15" t="s">
        <v>132</v>
      </c>
      <c r="M836" s="44">
        <f>SUMIFS('Saldos Iniciales'!$D$2:$D$38,'Saldos Iniciales'!$A$2:$A$38,C836,'Saldos Iniciales'!$B$2:$B$38,D836)+SUMIFS($K$1:$K$1033,$C$1:$C$1033,C836,$D$1:$D$1033,D836,$B$1:$B$1033,"&lt;="&amp;B836)</f>
        <v>-35503.72000000003</v>
      </c>
      <c r="N836" s="65" t="str">
        <f>IF(tblMovimientos[[#This Row],[Tipo de Movimiento]]="Ingreso",tblMovimientos[[#This Row],[Monto (S/)]],"0")</f>
        <v>0</v>
      </c>
      <c r="O836" s="65">
        <f>IF(tblMovimientos[[#This Row],[Tipo de Movimiento]]="Egreso",tblMovimientos[[#This Row],[Monto (S/)]],"0")</f>
        <v>20000</v>
      </c>
      <c r="P836" s="28">
        <f>IF(tblMovimientos[[#This Row],[Tipo de Movimiento]]="Ingreso",tblMovimientos[[#This Row],[Ingreso]],-tblMovimientos[[#This Row],[Egreso]])</f>
        <v>-20000</v>
      </c>
    </row>
    <row r="837" spans="1:16" x14ac:dyDescent="0.3">
      <c r="B837" s="39">
        <v>46261</v>
      </c>
      <c r="C837" s="46" t="str">
        <f>_xlfn.XLOOKUP(tblMovimientos[[#This Row],[Cuenta Bancaria]],Listas!$B:$B,Listas!$A:$A,"")</f>
        <v>Sacred Valley Capital</v>
      </c>
      <c r="D837" s="41" t="s">
        <v>114</v>
      </c>
      <c r="E837" s="4" t="str">
        <f>_xlfn.XLOOKUP(tblMovimientos[[#This Row],[Cuenta Bancaria]],Listas!$B:$B,Listas!$C:$C,"")</f>
        <v>Bank of America</v>
      </c>
      <c r="F837" s="41" t="s">
        <v>9</v>
      </c>
      <c r="G837" s="41" t="s">
        <v>85</v>
      </c>
      <c r="H837" s="4" t="str">
        <f>IFERROR(_xlfn.XLOOKUP(G837,Listas!E:E,Listas!F:F,""),"")</f>
        <v>Operativo</v>
      </c>
      <c r="I837" s="46" t="str">
        <f>IFERROR(_xlfn.XLOOKUP(G837,Listas!E:E,Listas!G:G,""),"")</f>
        <v>Interno</v>
      </c>
      <c r="J837" s="43">
        <v>100</v>
      </c>
      <c r="K837" s="5">
        <f t="shared" si="9"/>
        <v>100</v>
      </c>
      <c r="L837" s="15" t="s">
        <v>132</v>
      </c>
      <c r="M837" s="44">
        <f>SUMIFS('Saldos Iniciales'!$D$2:$D$38,'Saldos Iniciales'!$A$2:$A$38,C837,'Saldos Iniciales'!$B$2:$B$38,D837)+SUMIFS($K$1:$K$1033,$C$1:$C$1033,C837,$D$1:$D$1033,D837,$B$1:$B$1033,"&lt;="&amp;B837)</f>
        <v>124.45</v>
      </c>
      <c r="N837" s="65">
        <f>IF(tblMovimientos[[#This Row],[Tipo de Movimiento]]="Ingreso",tblMovimientos[[#This Row],[Monto (S/)]],"0")</f>
        <v>100</v>
      </c>
      <c r="O837" s="65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100</v>
      </c>
    </row>
    <row r="838" spans="1:16" x14ac:dyDescent="0.3">
      <c r="B838" s="39">
        <v>46261</v>
      </c>
      <c r="C838" s="46" t="str">
        <f>_xlfn.XLOOKUP(tblMovimientos[[#This Row],[Cuenta Bancaria]],Listas!$B:$B,Listas!$A:$A,"")</f>
        <v>2515 Overbrook</v>
      </c>
      <c r="D838" s="41" t="s">
        <v>121</v>
      </c>
      <c r="E838" s="4" t="str">
        <f>_xlfn.XLOOKUP(tblMovimientos[[#This Row],[Cuenta Bancaria]],Listas!$B:$B,Listas!$C:$C,"")</f>
        <v>Bank of America</v>
      </c>
      <c r="F838" s="41" t="s">
        <v>9</v>
      </c>
      <c r="G838" s="41" t="s">
        <v>71</v>
      </c>
      <c r="H838" s="4" t="str">
        <f>IFERROR(_xlfn.XLOOKUP(G838,Listas!E:E,Listas!F:F,""),"")</f>
        <v>Operativo</v>
      </c>
      <c r="I838" s="46" t="str">
        <f>IFERROR(_xlfn.XLOOKUP(G838,Listas!E:E,Listas!G:G,""),"")</f>
        <v>Interno</v>
      </c>
      <c r="J838" s="43">
        <v>20000</v>
      </c>
      <c r="K838" s="5">
        <f t="shared" si="9"/>
        <v>20000</v>
      </c>
      <c r="L838" s="15" t="s">
        <v>132</v>
      </c>
      <c r="M838" s="44">
        <f>SUMIFS('Saldos Iniciales'!$D$2:$D$38,'Saldos Iniciales'!$A$2:$A$38,C838,'Saldos Iniciales'!$B$2:$B$38,D838)+SUMIFS($K$1:$K$1033,$C$1:$C$1033,C838,$D$1:$D$1033,D838,$B$1:$B$1033,"&lt;="&amp;B838)</f>
        <v>33375.289999999964</v>
      </c>
      <c r="N838" s="65">
        <f>IF(tblMovimientos[[#This Row],[Tipo de Movimiento]]="Ingreso",tblMovimientos[[#This Row],[Monto (S/)]],"0")</f>
        <v>20000</v>
      </c>
      <c r="O838" s="65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20000</v>
      </c>
    </row>
    <row r="839" spans="1:16" x14ac:dyDescent="0.3">
      <c r="B839" s="39">
        <v>46261</v>
      </c>
      <c r="C839" s="46" t="str">
        <f>_xlfn.XLOOKUP(tblMovimientos[[#This Row],[Cuenta Bancaria]],Listas!$B:$B,Listas!$A:$A,"")</f>
        <v>112 Florida Ave</v>
      </c>
      <c r="D839" s="41" t="s">
        <v>123</v>
      </c>
      <c r="E839" s="4" t="str">
        <f>_xlfn.XLOOKUP(tblMovimientos[[#This Row],[Cuenta Bancaria]],Listas!$B:$B,Listas!$C:$C,"")</f>
        <v>Bank of America</v>
      </c>
      <c r="F839" s="41" t="s">
        <v>9</v>
      </c>
      <c r="G839" s="41" t="s">
        <v>71</v>
      </c>
      <c r="H839" s="4" t="str">
        <f>IFERROR(_xlfn.XLOOKUP(G839,Listas!E:E,Listas!F:F,""),"")</f>
        <v>Operativo</v>
      </c>
      <c r="I839" s="46" t="str">
        <f>IFERROR(_xlfn.XLOOKUP(G839,Listas!E:E,Listas!G:G,""),"")</f>
        <v>Interno</v>
      </c>
      <c r="J839" s="43">
        <v>21000</v>
      </c>
      <c r="K839" s="5">
        <f t="shared" si="9"/>
        <v>21000</v>
      </c>
      <c r="L839" s="15" t="s">
        <v>132</v>
      </c>
      <c r="M839" s="44">
        <f>SUMIFS('Saldos Iniciales'!$D$2:$D$38,'Saldos Iniciales'!$A$2:$A$38,C839,'Saldos Iniciales'!$B$2:$B$38,D839)+SUMIFS($K$1:$K$1033,$C$1:$C$1033,C839,$D$1:$D$1033,D839,$B$1:$B$1033,"&lt;="&amp;B839)</f>
        <v>29724.170000000006</v>
      </c>
      <c r="N839" s="65">
        <f>IF(tblMovimientos[[#This Row],[Tipo de Movimiento]]="Ingreso",tblMovimientos[[#This Row],[Monto (S/)]],"0")</f>
        <v>21000</v>
      </c>
      <c r="O839" s="65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21000</v>
      </c>
    </row>
    <row r="840" spans="1:16" x14ac:dyDescent="0.3">
      <c r="A840" s="45"/>
      <c r="B840" s="39">
        <v>46261</v>
      </c>
      <c r="C840" s="46" t="str">
        <f>_xlfn.XLOOKUP(tblMovimientos[[#This Row],[Cuenta Bancaria]],Listas!$B:$B,Listas!$A:$A,"")</f>
        <v>CFT Group</v>
      </c>
      <c r="D840" s="41" t="s">
        <v>95</v>
      </c>
      <c r="E840" s="4" t="str">
        <f>_xlfn.XLOOKUP(tblMovimientos[[#This Row],[Cuenta Bancaria]],Listas!$B:$B,Listas!$C:$C,"")</f>
        <v xml:space="preserve">Amerant Bank </v>
      </c>
      <c r="F840" s="41" t="s">
        <v>10</v>
      </c>
      <c r="G840" s="41" t="s">
        <v>46</v>
      </c>
      <c r="H840" s="46" t="str">
        <f>IFERROR(_xlfn.XLOOKUP(G840,Listas!E:E,Listas!F:F,""),"")</f>
        <v>Financiamiento</v>
      </c>
      <c r="I840" s="46" t="str">
        <f>IFERROR(_xlfn.XLOOKUP(G840,Listas!E:E,Listas!G:G,""),"")</f>
        <v>Externo</v>
      </c>
      <c r="J840" s="43">
        <v>2366.67</v>
      </c>
      <c r="K840" s="5">
        <f t="shared" si="9"/>
        <v>-2366.67</v>
      </c>
      <c r="L840" s="15" t="s">
        <v>132</v>
      </c>
      <c r="M840" s="44">
        <f>SUMIFS('Saldos Iniciales'!$D$2:$D$38,'Saldos Iniciales'!$A$2:$A$38,C840,'Saldos Iniciales'!$B$2:$B$38,D840)+SUMIFS($K$1:$K$1033,$C$1:$C$1033,C840,$D$1:$D$1033,D840,$B$1:$B$1033,"&lt;="&amp;B840)</f>
        <v>689693.41000000073</v>
      </c>
      <c r="N840" s="65" t="str">
        <f>IF(tblMovimientos[[#This Row],[Tipo de Movimiento]]="Ingreso",tblMovimientos[[#This Row],[Monto (S/)]],"0")</f>
        <v>0</v>
      </c>
      <c r="O840" s="65">
        <f>IF(tblMovimientos[[#This Row],[Tipo de Movimiento]]="Egreso",tblMovimientos[[#This Row],[Monto (S/)]],"0")</f>
        <v>2366.67</v>
      </c>
      <c r="P840" s="28">
        <f>IF(tblMovimientos[[#This Row],[Tipo de Movimiento]]="Ingreso",tblMovimientos[[#This Row],[Ingreso]],-tblMovimientos[[#This Row],[Egreso]])</f>
        <v>-2366.67</v>
      </c>
    </row>
    <row r="841" spans="1:16" x14ac:dyDescent="0.3">
      <c r="B841" s="39">
        <v>46261</v>
      </c>
      <c r="C841" s="46" t="str">
        <f>_xlfn.XLOOKUP(tblMovimientos[[#This Row],[Cuenta Bancaria]],Listas!$B:$B,Listas!$A:$A,"")</f>
        <v>CFT Group</v>
      </c>
      <c r="D841" s="41" t="s">
        <v>95</v>
      </c>
      <c r="E841" s="4" t="str">
        <f>_xlfn.XLOOKUP(tblMovimientos[[#This Row],[Cuenta Bancaria]],Listas!$B:$B,Listas!$C:$C,"")</f>
        <v xml:space="preserve">Amerant Bank </v>
      </c>
      <c r="F841" s="41" t="s">
        <v>10</v>
      </c>
      <c r="G841" s="41" t="s">
        <v>46</v>
      </c>
      <c r="H841" s="4" t="str">
        <f>IFERROR(_xlfn.XLOOKUP(G841,Listas!E:E,Listas!F:F,""),"")</f>
        <v>Financiamiento</v>
      </c>
      <c r="I841" s="46" t="str">
        <f>IFERROR(_xlfn.XLOOKUP(G841,Listas!E:E,Listas!G:G,""),"")</f>
        <v>Externo</v>
      </c>
      <c r="J841" s="43">
        <v>10000</v>
      </c>
      <c r="K841" s="5">
        <f t="shared" si="9"/>
        <v>-10000</v>
      </c>
      <c r="L841" s="15" t="s">
        <v>132</v>
      </c>
      <c r="M841" s="44">
        <f>SUMIFS('Saldos Iniciales'!$D$2:$D$38,'Saldos Iniciales'!$A$2:$A$38,C841,'Saldos Iniciales'!$B$2:$B$38,D841)+SUMIFS($K$1:$K$1033,$C$1:$C$1033,C841,$D$1:$D$1033,D841,$B$1:$B$1033,"&lt;="&amp;B841)</f>
        <v>689693.41000000073</v>
      </c>
      <c r="N841" s="65" t="str">
        <f>IF(tblMovimientos[[#This Row],[Tipo de Movimiento]]="Ingreso",tblMovimientos[[#This Row],[Monto (S/)]],"0")</f>
        <v>0</v>
      </c>
      <c r="O841" s="65">
        <f>IF(tblMovimientos[[#This Row],[Tipo de Movimiento]]="Egreso",tblMovimientos[[#This Row],[Monto (S/)]],"0")</f>
        <v>10000</v>
      </c>
      <c r="P841" s="28">
        <f>IF(tblMovimientos[[#This Row],[Tipo de Movimiento]]="Ingreso",tblMovimientos[[#This Row],[Ingreso]],-tblMovimientos[[#This Row],[Egreso]])</f>
        <v>-10000</v>
      </c>
    </row>
    <row r="842" spans="1:16" x14ac:dyDescent="0.3">
      <c r="B842" s="39">
        <v>46261</v>
      </c>
      <c r="C842" s="46" t="str">
        <f>_xlfn.XLOOKUP(tblMovimientos[[#This Row],[Cuenta Bancaria]],Listas!$B:$B,Listas!$A:$A,"")</f>
        <v>CFT Group</v>
      </c>
      <c r="D842" s="41" t="s">
        <v>95</v>
      </c>
      <c r="E842" s="4" t="str">
        <f>_xlfn.XLOOKUP(tblMovimientos[[#This Row],[Cuenta Bancaria]],Listas!$B:$B,Listas!$C:$C,"")</f>
        <v xml:space="preserve">Amerant Bank </v>
      </c>
      <c r="F842" s="41" t="s">
        <v>10</v>
      </c>
      <c r="G842" s="41" t="s">
        <v>46</v>
      </c>
      <c r="H842" s="4" t="str">
        <f>IFERROR(_xlfn.XLOOKUP(G842,Listas!E:E,Listas!F:F,""),"")</f>
        <v>Financiamiento</v>
      </c>
      <c r="I842" s="46" t="str">
        <f>IFERROR(_xlfn.XLOOKUP(G842,Listas!E:E,Listas!G:G,""),"")</f>
        <v>Externo</v>
      </c>
      <c r="J842" s="43">
        <v>10833.33</v>
      </c>
      <c r="K842" s="5">
        <f t="shared" si="9"/>
        <v>-10833.33</v>
      </c>
      <c r="L842" s="15" t="s">
        <v>132</v>
      </c>
      <c r="M842" s="44">
        <f>SUMIFS('Saldos Iniciales'!$D$2:$D$38,'Saldos Iniciales'!$A$2:$A$38,C842,'Saldos Iniciales'!$B$2:$B$38,D842)+SUMIFS($K$1:$K$1033,$C$1:$C$1033,C842,$D$1:$D$1033,D842,$B$1:$B$1033,"&lt;="&amp;B842)</f>
        <v>689693.41000000073</v>
      </c>
      <c r="N842" s="65" t="str">
        <f>IF(tblMovimientos[[#This Row],[Tipo de Movimiento]]="Ingreso",tblMovimientos[[#This Row],[Monto (S/)]],"0")</f>
        <v>0</v>
      </c>
      <c r="O842" s="65">
        <f>IF(tblMovimientos[[#This Row],[Tipo de Movimiento]]="Egreso",tblMovimientos[[#This Row],[Monto (S/)]],"0")</f>
        <v>10833.33</v>
      </c>
      <c r="P842" s="28">
        <f>IF(tblMovimientos[[#This Row],[Tipo de Movimiento]]="Ingreso",tblMovimientos[[#This Row],[Ingreso]],-tblMovimientos[[#This Row],[Egreso]])</f>
        <v>-10833.33</v>
      </c>
    </row>
    <row r="843" spans="1:16" x14ac:dyDescent="0.3">
      <c r="B843" s="39">
        <v>46261</v>
      </c>
      <c r="C843" s="46" t="str">
        <f>_xlfn.XLOOKUP(tblMovimientos[[#This Row],[Cuenta Bancaria]],Listas!$B:$B,Listas!$A:$A,"")</f>
        <v>SSP Capital</v>
      </c>
      <c r="D843" s="41" t="s">
        <v>104</v>
      </c>
      <c r="E843" s="4" t="str">
        <f>_xlfn.XLOOKUP(tblMovimientos[[#This Row],[Cuenta Bancaria]],Listas!$B:$B,Listas!$C:$C,"")</f>
        <v xml:space="preserve">Amerant Bank </v>
      </c>
      <c r="F843" s="41" t="s">
        <v>10</v>
      </c>
      <c r="G843" s="41" t="s">
        <v>56</v>
      </c>
      <c r="H843" s="4" t="str">
        <f>IFERROR(_xlfn.XLOOKUP(G843,Listas!E:E,Listas!F:F,""),"")</f>
        <v>Inversion</v>
      </c>
      <c r="I843" s="46" t="str">
        <f>IFERROR(_xlfn.XLOOKUP(G843,Listas!E:E,Listas!G:G,""),"")</f>
        <v>Externo</v>
      </c>
      <c r="J843" s="43">
        <v>4375</v>
      </c>
      <c r="K843" s="5">
        <f t="shared" si="9"/>
        <v>-4375</v>
      </c>
      <c r="L843" s="15" t="s">
        <v>132</v>
      </c>
      <c r="M843" s="44">
        <f>SUMIFS('Saldos Iniciales'!$D$2:$D$38,'Saldos Iniciales'!$A$2:$A$38,C843,'Saldos Iniciales'!$B$2:$B$38,D843)+SUMIFS($K$1:$K$1033,$C$1:$C$1033,C843,$D$1:$D$1033,D843,$B$1:$B$1033,"&lt;="&amp;B843)</f>
        <v>873694.23999999929</v>
      </c>
      <c r="N843" s="65" t="str">
        <f>IF(tblMovimientos[[#This Row],[Tipo de Movimiento]]="Ingreso",tblMovimientos[[#This Row],[Monto (S/)]],"0")</f>
        <v>0</v>
      </c>
      <c r="O843" s="65">
        <f>IF(tblMovimientos[[#This Row],[Tipo de Movimiento]]="Egreso",tblMovimientos[[#This Row],[Monto (S/)]],"0")</f>
        <v>4375</v>
      </c>
      <c r="P843" s="28">
        <f>IF(tblMovimientos[[#This Row],[Tipo de Movimiento]]="Ingreso",tblMovimientos[[#This Row],[Ingreso]],-tblMovimientos[[#This Row],[Egreso]])</f>
        <v>-4375</v>
      </c>
    </row>
    <row r="844" spans="1:16" x14ac:dyDescent="0.3">
      <c r="B844" s="39">
        <v>46261</v>
      </c>
      <c r="C844" s="46" t="str">
        <f>_xlfn.XLOOKUP(tblMovimientos[[#This Row],[Cuenta Bancaria]],Listas!$B:$B,Listas!$A:$A,"")</f>
        <v>SSP Capital</v>
      </c>
      <c r="D844" s="41" t="s">
        <v>104</v>
      </c>
      <c r="E844" s="4" t="str">
        <f>_xlfn.XLOOKUP(tblMovimientos[[#This Row],[Cuenta Bancaria]],Listas!$B:$B,Listas!$C:$C,"")</f>
        <v xml:space="preserve">Amerant Bank </v>
      </c>
      <c r="F844" s="41" t="s">
        <v>10</v>
      </c>
      <c r="G844" s="41" t="s">
        <v>46</v>
      </c>
      <c r="H844" s="4" t="str">
        <f>IFERROR(_xlfn.XLOOKUP(G844,Listas!E:E,Listas!F:F,""),"")</f>
        <v>Financiamiento</v>
      </c>
      <c r="I844" s="46" t="str">
        <f>IFERROR(_xlfn.XLOOKUP(G844,Listas!E:E,Listas!G:G,""),"")</f>
        <v>Externo</v>
      </c>
      <c r="J844" s="43">
        <v>8666.67</v>
      </c>
      <c r="K844" s="5">
        <f t="shared" si="9"/>
        <v>-8666.67</v>
      </c>
      <c r="L844" s="15" t="s">
        <v>132</v>
      </c>
      <c r="M844" s="44">
        <f>SUMIFS('Saldos Iniciales'!$D$2:$D$38,'Saldos Iniciales'!$A$2:$A$38,C844,'Saldos Iniciales'!$B$2:$B$38,D844)+SUMIFS($K$1:$K$1033,$C$1:$C$1033,C844,$D$1:$D$1033,D844,$B$1:$B$1033,"&lt;="&amp;B844)</f>
        <v>873694.23999999929</v>
      </c>
      <c r="N844" s="65" t="str">
        <f>IF(tblMovimientos[[#This Row],[Tipo de Movimiento]]="Ingreso",tblMovimientos[[#This Row],[Monto (S/)]],"0")</f>
        <v>0</v>
      </c>
      <c r="O844" s="65">
        <f>IF(tblMovimientos[[#This Row],[Tipo de Movimiento]]="Egreso",tblMovimientos[[#This Row],[Monto (S/)]],"0")</f>
        <v>8666.67</v>
      </c>
      <c r="P844" s="28">
        <f>IF(tblMovimientos[[#This Row],[Tipo de Movimiento]]="Ingreso",tblMovimientos[[#This Row],[Ingreso]],-tblMovimientos[[#This Row],[Egreso]])</f>
        <v>-8666.67</v>
      </c>
    </row>
    <row r="845" spans="1:16" x14ac:dyDescent="0.3">
      <c r="B845" s="39">
        <v>46261</v>
      </c>
      <c r="C845" s="46" t="str">
        <f>_xlfn.XLOOKUP(tblMovimientos[[#This Row],[Cuenta Bancaria]],Listas!$B:$B,Listas!$A:$A,"")</f>
        <v>SSP Capital</v>
      </c>
      <c r="D845" s="41" t="s">
        <v>104</v>
      </c>
      <c r="E845" s="4" t="str">
        <f>_xlfn.XLOOKUP(tblMovimientos[[#This Row],[Cuenta Bancaria]],Listas!$B:$B,Listas!$C:$C,"")</f>
        <v xml:space="preserve">Amerant Bank </v>
      </c>
      <c r="F845" s="41" t="s">
        <v>10</v>
      </c>
      <c r="G845" s="41" t="s">
        <v>38</v>
      </c>
      <c r="H845" s="4" t="str">
        <f>IFERROR(_xlfn.XLOOKUP(G845,Listas!E:E,Listas!F:F,""),"")</f>
        <v>Operativo</v>
      </c>
      <c r="I845" s="46" t="str">
        <f>IFERROR(_xlfn.XLOOKUP(G845,Listas!E:E,Listas!G:G,""),"")</f>
        <v>Externo</v>
      </c>
      <c r="J845" s="43">
        <v>10753.2</v>
      </c>
      <c r="K845" s="5">
        <f t="shared" si="9"/>
        <v>-10753.2</v>
      </c>
      <c r="L845" s="15" t="s">
        <v>132</v>
      </c>
      <c r="M845" s="44">
        <f>SUMIFS('Saldos Iniciales'!$D$2:$D$38,'Saldos Iniciales'!$A$2:$A$38,C845,'Saldos Iniciales'!$B$2:$B$38,D845)+SUMIFS($K$1:$K$1033,$C$1:$C$1033,C845,$D$1:$D$1033,D845,$B$1:$B$1033,"&lt;="&amp;B845)</f>
        <v>873694.23999999929</v>
      </c>
      <c r="N845" s="65" t="str">
        <f>IF(tblMovimientos[[#This Row],[Tipo de Movimiento]]="Ingreso",tblMovimientos[[#This Row],[Monto (S/)]],"0")</f>
        <v>0</v>
      </c>
      <c r="O845" s="65">
        <f>IF(tblMovimientos[[#This Row],[Tipo de Movimiento]]="Egreso",tblMovimientos[[#This Row],[Monto (S/)]],"0")</f>
        <v>10753.2</v>
      </c>
      <c r="P845" s="28">
        <f>IF(tblMovimientos[[#This Row],[Tipo de Movimiento]]="Ingreso",tblMovimientos[[#This Row],[Ingreso]],-tblMovimientos[[#This Row],[Egreso]])</f>
        <v>-10753.2</v>
      </c>
    </row>
    <row r="846" spans="1:16" x14ac:dyDescent="0.3">
      <c r="B846" s="39">
        <v>46261</v>
      </c>
      <c r="C846" s="46" t="str">
        <f>_xlfn.XLOOKUP(tblMovimientos[[#This Row],[Cuenta Bancaria]],Listas!$B:$B,Listas!$A:$A,"")</f>
        <v>Go Blue</v>
      </c>
      <c r="D846" s="41" t="s">
        <v>126</v>
      </c>
      <c r="E846" s="4" t="str">
        <f>_xlfn.XLOOKUP(tblMovimientos[[#This Row],[Cuenta Bancaria]],Listas!$B:$B,Listas!$C:$C,"")</f>
        <v xml:space="preserve">Amerant Bank </v>
      </c>
      <c r="F846" s="41" t="s">
        <v>10</v>
      </c>
      <c r="G846" s="41" t="s">
        <v>38</v>
      </c>
      <c r="H846" s="4" t="str">
        <f>IFERROR(_xlfn.XLOOKUP(G846,Listas!E:E,Listas!F:F,""),"")</f>
        <v>Operativo</v>
      </c>
      <c r="I846" s="46" t="str">
        <f>IFERROR(_xlfn.XLOOKUP(G846,Listas!E:E,Listas!G:G,""),"")</f>
        <v>Externo</v>
      </c>
      <c r="J846" s="43">
        <v>381.14</v>
      </c>
      <c r="K846" s="5">
        <f t="shared" si="9"/>
        <v>-381.14</v>
      </c>
      <c r="L846" s="15" t="s">
        <v>132</v>
      </c>
      <c r="M846" s="44">
        <f>SUMIFS('Saldos Iniciales'!$D$2:$D$38,'Saldos Iniciales'!$A$2:$A$38,C846,'Saldos Iniciales'!$B$2:$B$38,D846)+SUMIFS($K$1:$K$1033,$C$1:$C$1033,C846,$D$1:$D$1033,D846,$B$1:$B$1033,"&lt;="&amp;B846)</f>
        <v>7545.3499999999985</v>
      </c>
      <c r="N846" s="65" t="str">
        <f>IF(tblMovimientos[[#This Row],[Tipo de Movimiento]]="Ingreso",tblMovimientos[[#This Row],[Monto (S/)]],"0")</f>
        <v>0</v>
      </c>
      <c r="O846" s="65">
        <f>IF(tblMovimientos[[#This Row],[Tipo de Movimiento]]="Egreso",tblMovimientos[[#This Row],[Monto (S/)]],"0")</f>
        <v>381.14</v>
      </c>
      <c r="P846" s="28">
        <f>IF(tblMovimientos[[#This Row],[Tipo de Movimiento]]="Ingreso",tblMovimientos[[#This Row],[Ingreso]],-tblMovimientos[[#This Row],[Egreso]])</f>
        <v>-381.14</v>
      </c>
    </row>
    <row r="847" spans="1:16" x14ac:dyDescent="0.3">
      <c r="B847" s="39">
        <v>46261</v>
      </c>
      <c r="C847" s="46" t="str">
        <f>_xlfn.XLOOKUP(tblMovimientos[[#This Row],[Cuenta Bancaria]],Listas!$B:$B,Listas!$A:$A,"")</f>
        <v>Go Blue</v>
      </c>
      <c r="D847" s="41" t="s">
        <v>126</v>
      </c>
      <c r="E847" s="4" t="str">
        <f>_xlfn.XLOOKUP(tblMovimientos[[#This Row],[Cuenta Bancaria]],Listas!$B:$B,Listas!$C:$C,"")</f>
        <v xml:space="preserve">Amerant Bank </v>
      </c>
      <c r="F847" s="41" t="s">
        <v>10</v>
      </c>
      <c r="G847" s="41" t="s">
        <v>44</v>
      </c>
      <c r="H847" s="4" t="str">
        <f>IFERROR(_xlfn.XLOOKUP(G847,Listas!E:E,Listas!F:F,""),"")</f>
        <v>Operativo</v>
      </c>
      <c r="I847" s="46" t="str">
        <f>IFERROR(_xlfn.XLOOKUP(G847,Listas!E:E,Listas!G:G,""),"")</f>
        <v>Externo</v>
      </c>
      <c r="J847" s="43">
        <v>15</v>
      </c>
      <c r="K847" s="5">
        <f t="shared" si="9"/>
        <v>-15</v>
      </c>
      <c r="L847" s="15" t="s">
        <v>132</v>
      </c>
      <c r="M847" s="44">
        <f>SUMIFS('Saldos Iniciales'!$D$2:$D$38,'Saldos Iniciales'!$A$2:$A$38,C847,'Saldos Iniciales'!$B$2:$B$38,D847)+SUMIFS($K$1:$K$1033,$C$1:$C$1033,C847,$D$1:$D$1033,D847,$B$1:$B$1033,"&lt;="&amp;B847)</f>
        <v>7545.3499999999985</v>
      </c>
      <c r="N847" s="65" t="str">
        <f>IF(tblMovimientos[[#This Row],[Tipo de Movimiento]]="Ingreso",tblMovimientos[[#This Row],[Monto (S/)]],"0")</f>
        <v>0</v>
      </c>
      <c r="O847" s="65">
        <f>IF(tblMovimientos[[#This Row],[Tipo de Movimiento]]="Egreso",tblMovimientos[[#This Row],[Monto (S/)]],"0")</f>
        <v>15</v>
      </c>
      <c r="P847" s="28">
        <f>IF(tblMovimientos[[#This Row],[Tipo de Movimiento]]="Ingreso",tblMovimientos[[#This Row],[Ingreso]],-tblMovimientos[[#This Row],[Egreso]])</f>
        <v>-15</v>
      </c>
    </row>
    <row r="848" spans="1:16" x14ac:dyDescent="0.3">
      <c r="B848" s="39">
        <v>46261</v>
      </c>
      <c r="C848" s="46" t="str">
        <f>_xlfn.XLOOKUP(tblMovimientos[[#This Row],[Cuenta Bancaria]],Listas!$B:$B,Listas!$A:$A,"")</f>
        <v>Go Blue</v>
      </c>
      <c r="D848" s="41" t="s">
        <v>126</v>
      </c>
      <c r="E848" s="4" t="str">
        <f>_xlfn.XLOOKUP(tblMovimientos[[#This Row],[Cuenta Bancaria]],Listas!$B:$B,Listas!$C:$C,"")</f>
        <v xml:space="preserve">Amerant Bank </v>
      </c>
      <c r="F848" s="41" t="s">
        <v>10</v>
      </c>
      <c r="G848" s="41" t="s">
        <v>38</v>
      </c>
      <c r="H848" s="4" t="str">
        <f>IFERROR(_xlfn.XLOOKUP(G848,Listas!E:E,Listas!F:F,""),"")</f>
        <v>Operativo</v>
      </c>
      <c r="I848" s="46" t="str">
        <f>IFERROR(_xlfn.XLOOKUP(G848,Listas!E:E,Listas!G:G,""),"")</f>
        <v>Externo</v>
      </c>
      <c r="J848" s="43">
        <v>2500</v>
      </c>
      <c r="K848" s="5">
        <f t="shared" si="9"/>
        <v>-2500</v>
      </c>
      <c r="L848" s="15" t="s">
        <v>132</v>
      </c>
      <c r="M848" s="44">
        <f>SUMIFS('Saldos Iniciales'!$D$2:$D$38,'Saldos Iniciales'!$A$2:$A$38,C848,'Saldos Iniciales'!$B$2:$B$38,D848)+SUMIFS($K$1:$K$1033,$C$1:$C$1033,C848,$D$1:$D$1033,D848,$B$1:$B$1033,"&lt;="&amp;B848)</f>
        <v>7545.3499999999985</v>
      </c>
      <c r="N848" s="65" t="str">
        <f>IF(tblMovimientos[[#This Row],[Tipo de Movimiento]]="Ingreso",tblMovimientos[[#This Row],[Monto (S/)]],"0")</f>
        <v>0</v>
      </c>
      <c r="O848" s="65">
        <f>IF(tblMovimientos[[#This Row],[Tipo de Movimiento]]="Egreso",tblMovimientos[[#This Row],[Monto (S/)]],"0")</f>
        <v>2500</v>
      </c>
      <c r="P848" s="28">
        <f>IF(tblMovimientos[[#This Row],[Tipo de Movimiento]]="Ingreso",tblMovimientos[[#This Row],[Ingreso]],-tblMovimientos[[#This Row],[Egreso]])</f>
        <v>-2500</v>
      </c>
    </row>
    <row r="849" spans="1:16" x14ac:dyDescent="0.3">
      <c r="B849" s="39">
        <v>46261</v>
      </c>
      <c r="C849" s="46" t="str">
        <f>_xlfn.XLOOKUP(tblMovimientos[[#This Row],[Cuenta Bancaria]],Listas!$B:$B,Listas!$A:$A,"")</f>
        <v>Go Blue</v>
      </c>
      <c r="D849" s="41" t="s">
        <v>126</v>
      </c>
      <c r="E849" s="4" t="str">
        <f>_xlfn.XLOOKUP(tblMovimientos[[#This Row],[Cuenta Bancaria]],Listas!$B:$B,Listas!$C:$C,"")</f>
        <v xml:space="preserve">Amerant Bank </v>
      </c>
      <c r="F849" s="41" t="s">
        <v>10</v>
      </c>
      <c r="G849" s="41" t="s">
        <v>44</v>
      </c>
      <c r="H849" s="4" t="str">
        <f>IFERROR(_xlfn.XLOOKUP(G849,Listas!E:E,Listas!F:F,""),"")</f>
        <v>Operativo</v>
      </c>
      <c r="I849" s="46" t="str">
        <f>IFERROR(_xlfn.XLOOKUP(G849,Listas!E:E,Listas!G:G,""),"")</f>
        <v>Externo</v>
      </c>
      <c r="J849" s="43">
        <v>15</v>
      </c>
      <c r="K849" s="5">
        <f t="shared" si="9"/>
        <v>-15</v>
      </c>
      <c r="L849" s="15" t="s">
        <v>132</v>
      </c>
      <c r="M849" s="44">
        <f>SUMIFS('Saldos Iniciales'!$D$2:$D$38,'Saldos Iniciales'!$A$2:$A$38,C849,'Saldos Iniciales'!$B$2:$B$38,D849)+SUMIFS($K$1:$K$1033,$C$1:$C$1033,C849,$D$1:$D$1033,D849,$B$1:$B$1033,"&lt;="&amp;B849)</f>
        <v>7545.3499999999985</v>
      </c>
      <c r="N849" s="65" t="str">
        <f>IF(tblMovimientos[[#This Row],[Tipo de Movimiento]]="Ingreso",tblMovimientos[[#This Row],[Monto (S/)]],"0")</f>
        <v>0</v>
      </c>
      <c r="O849" s="65">
        <f>IF(tblMovimientos[[#This Row],[Tipo de Movimiento]]="Egreso",tblMovimientos[[#This Row],[Monto (S/)]],"0")</f>
        <v>15</v>
      </c>
      <c r="P849" s="28">
        <f>IF(tblMovimientos[[#This Row],[Tipo de Movimiento]]="Ingreso",tblMovimientos[[#This Row],[Ingreso]],-tblMovimientos[[#This Row],[Egreso]])</f>
        <v>-15</v>
      </c>
    </row>
    <row r="850" spans="1:16" x14ac:dyDescent="0.3">
      <c r="A850" s="45"/>
      <c r="B850" s="39">
        <v>46262</v>
      </c>
      <c r="C850" s="46" t="str">
        <f>_xlfn.XLOOKUP(tblMovimientos[[#This Row],[Cuenta Bancaria]],Listas!$B:$B,Listas!$A:$A,"")</f>
        <v>SSP Capital</v>
      </c>
      <c r="D850" s="41" t="s">
        <v>101</v>
      </c>
      <c r="E850" s="46" t="str">
        <f>_xlfn.XLOOKUP(tblMovimientos[[#This Row],[Cuenta Bancaria]],Listas!$B:$B,Listas!$C:$C,"")</f>
        <v>Bank of America</v>
      </c>
      <c r="F850" s="41" t="s">
        <v>10</v>
      </c>
      <c r="G850" s="41" t="s">
        <v>38</v>
      </c>
      <c r="H850" s="46" t="str">
        <f>IFERROR(_xlfn.XLOOKUP(G850,Listas!E:E,Listas!F:F,""),"")</f>
        <v>Operativo</v>
      </c>
      <c r="I850" s="46" t="str">
        <f>IFERROR(_xlfn.XLOOKUP(G850,Listas!E:E,Listas!G:G,""),"")</f>
        <v>Externo</v>
      </c>
      <c r="J850" s="43">
        <v>526.75</v>
      </c>
      <c r="K850" s="5">
        <f t="shared" si="9"/>
        <v>-526.75</v>
      </c>
      <c r="L850" s="15" t="s">
        <v>132</v>
      </c>
      <c r="M850" s="44">
        <f>SUMIFS('Saldos Iniciales'!$D$2:$D$38,'Saldos Iniciales'!$A$2:$A$38,C850,'Saldos Iniciales'!$B$2:$B$38,D850)+SUMIFS($K$1:$K$1033,$C$1:$C$1033,C850,$D$1:$D$1033,D850,$B$1:$B$1033,"&lt;="&amp;B850)</f>
        <v>39457.01</v>
      </c>
      <c r="N850" s="65" t="str">
        <f>IF(tblMovimientos[[#This Row],[Tipo de Movimiento]]="Ingreso",tblMovimientos[[#This Row],[Monto (S/)]],"0")</f>
        <v>0</v>
      </c>
      <c r="O850" s="65">
        <f>IF(tblMovimientos[[#This Row],[Tipo de Movimiento]]="Egreso",tblMovimientos[[#This Row],[Monto (S/)]],"0")</f>
        <v>526.75</v>
      </c>
      <c r="P850" s="28">
        <f>IF(tblMovimientos[[#This Row],[Tipo de Movimiento]]="Ingreso",tblMovimientos[[#This Row],[Ingreso]],-tblMovimientos[[#This Row],[Egreso]])</f>
        <v>-526.75</v>
      </c>
    </row>
    <row r="851" spans="1:16" x14ac:dyDescent="0.3">
      <c r="B851" s="39">
        <v>46262</v>
      </c>
      <c r="C851" s="46" t="str">
        <f>_xlfn.XLOOKUP(tblMovimientos[[#This Row],[Cuenta Bancaria]],Listas!$B:$B,Listas!$A:$A,"")</f>
        <v>SSP Capital</v>
      </c>
      <c r="D851" s="41" t="s">
        <v>101</v>
      </c>
      <c r="E851" s="4" t="str">
        <f>_xlfn.XLOOKUP(tblMovimientos[[#This Row],[Cuenta Bancaria]],Listas!$B:$B,Listas!$C:$C,"")</f>
        <v>Bank of America</v>
      </c>
      <c r="F851" s="41" t="s">
        <v>10</v>
      </c>
      <c r="G851" s="41" t="s">
        <v>38</v>
      </c>
      <c r="H851" s="4" t="str">
        <f>IFERROR(_xlfn.XLOOKUP(G851,Listas!E:E,Listas!F:F,""),"")</f>
        <v>Operativo</v>
      </c>
      <c r="I851" s="46" t="str">
        <f>IFERROR(_xlfn.XLOOKUP(G851,Listas!E:E,Listas!G:G,""),"")</f>
        <v>Externo</v>
      </c>
      <c r="J851" s="43">
        <v>194.86</v>
      </c>
      <c r="K851" s="5">
        <f t="shared" si="9"/>
        <v>-194.86</v>
      </c>
      <c r="L851" s="15" t="s">
        <v>132</v>
      </c>
      <c r="M851" s="44">
        <f>SUMIFS('Saldos Iniciales'!$D$2:$D$38,'Saldos Iniciales'!$A$2:$A$38,C851,'Saldos Iniciales'!$B$2:$B$38,D851)+SUMIFS($K$1:$K$1033,$C$1:$C$1033,C851,$D$1:$D$1033,D851,$B$1:$B$1033,"&lt;="&amp;B851)</f>
        <v>39457.01</v>
      </c>
      <c r="N851" s="65" t="str">
        <f>IF(tblMovimientos[[#This Row],[Tipo de Movimiento]]="Ingreso",tblMovimientos[[#This Row],[Monto (S/)]],"0")</f>
        <v>0</v>
      </c>
      <c r="O851" s="65">
        <f>IF(tblMovimientos[[#This Row],[Tipo de Movimiento]]="Egreso",tblMovimientos[[#This Row],[Monto (S/)]],"0")</f>
        <v>194.86</v>
      </c>
      <c r="P851" s="28">
        <f>IF(tblMovimientos[[#This Row],[Tipo de Movimiento]]="Ingreso",tblMovimientos[[#This Row],[Ingreso]],-tblMovimientos[[#This Row],[Egreso]])</f>
        <v>-194.86</v>
      </c>
    </row>
    <row r="852" spans="1:16" x14ac:dyDescent="0.3">
      <c r="B852" s="39">
        <v>46262</v>
      </c>
      <c r="C852" s="46" t="str">
        <f>_xlfn.XLOOKUP(tblMovimientos[[#This Row],[Cuenta Bancaria]],Listas!$B:$B,Listas!$A:$A,"")</f>
        <v>A&amp;M Imports</v>
      </c>
      <c r="D852" s="41" t="s">
        <v>100</v>
      </c>
      <c r="E852" s="4" t="str">
        <f>_xlfn.XLOOKUP(tblMovimientos[[#This Row],[Cuenta Bancaria]],Listas!$B:$B,Listas!$C:$C,"")</f>
        <v>Bank of America</v>
      </c>
      <c r="F852" s="41" t="s">
        <v>9</v>
      </c>
      <c r="G852" s="41" t="s">
        <v>68</v>
      </c>
      <c r="H852" s="4" t="str">
        <f>IFERROR(_xlfn.XLOOKUP(G852,Listas!E:E,Listas!F:F,""),"")</f>
        <v>Operativo</v>
      </c>
      <c r="I852" s="46" t="str">
        <f>IFERROR(_xlfn.XLOOKUP(G852,Listas!E:E,Listas!G:G,""),"")</f>
        <v>Externo</v>
      </c>
      <c r="J852" s="43">
        <v>23791.439999999999</v>
      </c>
      <c r="K852" s="5">
        <f t="shared" si="9"/>
        <v>23791.439999999999</v>
      </c>
      <c r="L852" s="15" t="s">
        <v>132</v>
      </c>
      <c r="M852" s="44">
        <f>SUMIFS('Saldos Iniciales'!$D$2:$D$38,'Saldos Iniciales'!$A$2:$A$38,C852,'Saldos Iniciales'!$B$2:$B$38,D852)+SUMIFS($K$1:$K$1033,$C$1:$C$1033,C852,$D$1:$D$1033,D852,$B$1:$B$1033,"&lt;="&amp;B852)</f>
        <v>1249485.67</v>
      </c>
      <c r="N852" s="65">
        <f>IF(tblMovimientos[[#This Row],[Tipo de Movimiento]]="Ingreso",tblMovimientos[[#This Row],[Monto (S/)]],"0")</f>
        <v>23791.439999999999</v>
      </c>
      <c r="O852" s="65" t="str">
        <f>IF(tblMovimientos[[#This Row],[Tipo de Movimiento]]="Egreso",tblMovimientos[[#This Row],[Monto (S/)]],"0")</f>
        <v>0</v>
      </c>
      <c r="P852" s="28">
        <f>IF(tblMovimientos[[#This Row],[Tipo de Movimiento]]="Ingreso",tblMovimientos[[#This Row],[Ingreso]],-tblMovimientos[[#This Row],[Egreso]])</f>
        <v>23791.439999999999</v>
      </c>
    </row>
    <row r="853" spans="1:16" x14ac:dyDescent="0.3">
      <c r="B853" s="39">
        <v>46262</v>
      </c>
      <c r="C853" s="46" t="str">
        <f>_xlfn.XLOOKUP(tblMovimientos[[#This Row],[Cuenta Bancaria]],Listas!$B:$B,Listas!$A:$A,"")</f>
        <v>CFT Group</v>
      </c>
      <c r="D853" s="41" t="s">
        <v>94</v>
      </c>
      <c r="E853" s="4" t="str">
        <f>_xlfn.XLOOKUP(tblMovimientos[[#This Row],[Cuenta Bancaria]],Listas!$B:$B,Listas!$C:$C,"")</f>
        <v>Bank of America</v>
      </c>
      <c r="F853" s="41" t="s">
        <v>9</v>
      </c>
      <c r="G853" s="41" t="s">
        <v>68</v>
      </c>
      <c r="H853" s="4" t="str">
        <f>IFERROR(_xlfn.XLOOKUP(G853,Listas!E:E,Listas!F:F,""),"")</f>
        <v>Operativo</v>
      </c>
      <c r="I853" s="46" t="str">
        <f>IFERROR(_xlfn.XLOOKUP(G853,Listas!E:E,Listas!G:G,""),"")</f>
        <v>Externo</v>
      </c>
      <c r="J853" s="43">
        <v>73364</v>
      </c>
      <c r="K853" s="5">
        <f t="shared" si="9"/>
        <v>73364</v>
      </c>
      <c r="L853" s="15" t="s">
        <v>132</v>
      </c>
      <c r="M853" s="44">
        <f>SUMIFS('Saldos Iniciales'!$D$2:$D$38,'Saldos Iniciales'!$A$2:$A$38,C853,'Saldos Iniciales'!$B$2:$B$38,D853)+SUMIFS($K$1:$K$1033,$C$1:$C$1033,C853,$D$1:$D$1033,D853,$B$1:$B$1033,"&lt;="&amp;B853)</f>
        <v>37860.27999999997</v>
      </c>
      <c r="N853" s="65">
        <f>IF(tblMovimientos[[#This Row],[Tipo de Movimiento]]="Ingreso",tblMovimientos[[#This Row],[Monto (S/)]],"0")</f>
        <v>73364</v>
      </c>
      <c r="O853" s="65" t="str">
        <f>IF(tblMovimientos[[#This Row],[Tipo de Movimiento]]="Egreso",tblMovimientos[[#This Row],[Monto (S/)]],"0")</f>
        <v>0</v>
      </c>
      <c r="P853" s="28">
        <f>IF(tblMovimientos[[#This Row],[Tipo de Movimiento]]="Ingreso",tblMovimientos[[#This Row],[Ingreso]],-tblMovimientos[[#This Row],[Egreso]])</f>
        <v>73364</v>
      </c>
    </row>
    <row r="854" spans="1:16" x14ac:dyDescent="0.3">
      <c r="B854" s="39">
        <v>46262</v>
      </c>
      <c r="C854" s="46" t="str">
        <f>_xlfn.XLOOKUP(tblMovimientos[[#This Row],[Cuenta Bancaria]],Listas!$B:$B,Listas!$A:$A,"")</f>
        <v>2515 Overbrook</v>
      </c>
      <c r="D854" s="41" t="s">
        <v>121</v>
      </c>
      <c r="E854" s="4" t="str">
        <f>_xlfn.XLOOKUP(tblMovimientos[[#This Row],[Cuenta Bancaria]],Listas!$B:$B,Listas!$C:$C,"")</f>
        <v>Bank of America</v>
      </c>
      <c r="F854" s="41" t="s">
        <v>10</v>
      </c>
      <c r="G854" s="41" t="s">
        <v>44</v>
      </c>
      <c r="H854" s="4" t="str">
        <f>IFERROR(_xlfn.XLOOKUP(G854,Listas!E:E,Listas!F:F,""),"")</f>
        <v>Operativo</v>
      </c>
      <c r="I854" s="46" t="str">
        <f>IFERROR(_xlfn.XLOOKUP(G854,Listas!E:E,Listas!G:G,""),"")</f>
        <v>Externo</v>
      </c>
      <c r="J854" s="43">
        <v>15</v>
      </c>
      <c r="K854" s="5">
        <f t="shared" si="9"/>
        <v>-15</v>
      </c>
      <c r="L854" s="15" t="s">
        <v>132</v>
      </c>
      <c r="M854" s="44">
        <f>SUMIFS('Saldos Iniciales'!$D$2:$D$38,'Saldos Iniciales'!$A$2:$A$38,C854,'Saldos Iniciales'!$B$2:$B$38,D854)+SUMIFS($K$1:$K$1033,$C$1:$C$1033,C854,$D$1:$D$1033,D854,$B$1:$B$1033,"&lt;="&amp;B854)</f>
        <v>33360.289999999964</v>
      </c>
      <c r="N854" s="65" t="str">
        <f>IF(tblMovimientos[[#This Row],[Tipo de Movimiento]]="Ingreso",tblMovimientos[[#This Row],[Monto (S/)]],"0")</f>
        <v>0</v>
      </c>
      <c r="O854" s="65">
        <f>IF(tblMovimientos[[#This Row],[Tipo de Movimiento]]="Egreso",tblMovimientos[[#This Row],[Monto (S/)]],"0")</f>
        <v>15</v>
      </c>
      <c r="P854" s="28">
        <f>IF(tblMovimientos[[#This Row],[Tipo de Movimiento]]="Ingreso",tblMovimientos[[#This Row],[Ingreso]],-tblMovimientos[[#This Row],[Egreso]])</f>
        <v>-15</v>
      </c>
    </row>
    <row r="855" spans="1:16" x14ac:dyDescent="0.3">
      <c r="B855" s="39">
        <v>46262</v>
      </c>
      <c r="C855" s="46" t="str">
        <f>_xlfn.XLOOKUP(tblMovimientos[[#This Row],[Cuenta Bancaria]],Listas!$B:$B,Listas!$A:$A,"")</f>
        <v>112 Florida Ave</v>
      </c>
      <c r="D855" s="41" t="s">
        <v>123</v>
      </c>
      <c r="E855" s="4" t="str">
        <f>_xlfn.XLOOKUP(tblMovimientos[[#This Row],[Cuenta Bancaria]],Listas!$B:$B,Listas!$C:$C,"")</f>
        <v>Bank of America</v>
      </c>
      <c r="F855" s="41" t="s">
        <v>10</v>
      </c>
      <c r="G855" s="41" t="s">
        <v>44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15</v>
      </c>
      <c r="K855" s="5">
        <f t="shared" si="9"/>
        <v>-15</v>
      </c>
      <c r="L855" s="15" t="s">
        <v>132</v>
      </c>
      <c r="M855" s="44">
        <f>SUMIFS('Saldos Iniciales'!$D$2:$D$38,'Saldos Iniciales'!$A$2:$A$38,C855,'Saldos Iniciales'!$B$2:$B$38,D855)+SUMIFS($K$1:$K$1033,$C$1:$C$1033,C855,$D$1:$D$1033,D855,$B$1:$B$1033,"&lt;="&amp;B855)</f>
        <v>29709.170000000006</v>
      </c>
      <c r="N855" s="65" t="str">
        <f>IF(tblMovimientos[[#This Row],[Tipo de Movimiento]]="Ingreso",tblMovimientos[[#This Row],[Monto (S/)]],"0")</f>
        <v>0</v>
      </c>
      <c r="O855" s="65">
        <f>IF(tblMovimientos[[#This Row],[Tipo de Movimiento]]="Egreso",tblMovimientos[[#This Row],[Monto (S/)]],"0")</f>
        <v>15</v>
      </c>
      <c r="P855" s="28">
        <f>IF(tblMovimientos[[#This Row],[Tipo de Movimiento]]="Ingreso",tblMovimientos[[#This Row],[Ingreso]],-tblMovimientos[[#This Row],[Egreso]])</f>
        <v>-15</v>
      </c>
    </row>
    <row r="856" spans="1:16" x14ac:dyDescent="0.3">
      <c r="B856" s="39">
        <v>46262</v>
      </c>
      <c r="C856" s="46" t="str">
        <f>_xlfn.XLOOKUP(tblMovimientos[[#This Row],[Cuenta Bancaria]],Listas!$B:$B,Listas!$A:$A,"")</f>
        <v>SSP Capital</v>
      </c>
      <c r="D856" s="41" t="s">
        <v>104</v>
      </c>
      <c r="E856" s="4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40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165475.92000000001</v>
      </c>
      <c r="K856" s="5">
        <f t="shared" si="9"/>
        <v>-165475.92000000001</v>
      </c>
      <c r="L856" s="15" t="s">
        <v>132</v>
      </c>
      <c r="M856" s="44">
        <f>SUMIFS('Saldos Iniciales'!$D$2:$D$38,'Saldos Iniciales'!$A$2:$A$38,C856,'Saldos Iniciales'!$B$2:$B$38,D856)+SUMIFS($K$1:$K$1033,$C$1:$C$1033,C856,$D$1:$D$1033,D856,$B$1:$B$1033,"&lt;="&amp;B856)</f>
        <v>708218.31999999925</v>
      </c>
      <c r="N856" s="65" t="str">
        <f>IF(tblMovimientos[[#This Row],[Tipo de Movimiento]]="Ingreso",tblMovimientos[[#This Row],[Monto (S/)]],"0")</f>
        <v>0</v>
      </c>
      <c r="O856" s="65">
        <f>IF(tblMovimientos[[#This Row],[Tipo de Movimiento]]="Egreso",tblMovimientos[[#This Row],[Monto (S/)]],"0")</f>
        <v>165475.92000000001</v>
      </c>
      <c r="P856" s="28">
        <f>IF(tblMovimientos[[#This Row],[Tipo de Movimiento]]="Ingreso",tblMovimientos[[#This Row],[Ingreso]],-tblMovimientos[[#This Row],[Egreso]])</f>
        <v>-165475.92000000001</v>
      </c>
    </row>
    <row r="857" spans="1:16" x14ac:dyDescent="0.3">
      <c r="B857" s="39">
        <v>46262</v>
      </c>
      <c r="C857" s="46" t="str">
        <f>_xlfn.XLOOKUP(tblMovimientos[[#This Row],[Cuenta Bancaria]],Listas!$B:$B,Listas!$A:$A,"")</f>
        <v>M1B</v>
      </c>
      <c r="D857" s="41" t="s">
        <v>97</v>
      </c>
      <c r="E857" s="4" t="str">
        <f>_xlfn.XLOOKUP(tblMovimientos[[#This Row],[Cuenta Bancaria]],Listas!$B:$B,Listas!$C:$C,"")</f>
        <v xml:space="preserve">Amerant Bank </v>
      </c>
      <c r="F857" s="41" t="s">
        <v>9</v>
      </c>
      <c r="G857" s="41" t="s">
        <v>68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2637.13</v>
      </c>
      <c r="K857" s="5">
        <f t="shared" si="9"/>
        <v>2637.13</v>
      </c>
      <c r="L857" s="15" t="s">
        <v>132</v>
      </c>
      <c r="M857" s="44">
        <f>SUMIFS('Saldos Iniciales'!$D$2:$D$38,'Saldos Iniciales'!$A$2:$A$38,C857,'Saldos Iniciales'!$B$2:$B$38,D857)+SUMIFS($K$1:$K$1033,$C$1:$C$1033,C857,$D$1:$D$1033,D857,$B$1:$B$1033,"&lt;="&amp;B857)</f>
        <v>88280.230000000171</v>
      </c>
      <c r="N857" s="65">
        <f>IF(tblMovimientos[[#This Row],[Tipo de Movimiento]]="Ingreso",tblMovimientos[[#This Row],[Monto (S/)]],"0")</f>
        <v>2637.13</v>
      </c>
      <c r="O857" s="65" t="str">
        <f>IF(tblMovimientos[[#This Row],[Tipo de Movimiento]]="Egreso",tblMovimientos[[#This Row],[Monto (S/)]],"0")</f>
        <v>0</v>
      </c>
      <c r="P857" s="28">
        <f>IF(tblMovimientos[[#This Row],[Tipo de Movimiento]]="Ingreso",tblMovimientos[[#This Row],[Ingreso]],-tblMovimientos[[#This Row],[Egreso]])</f>
        <v>2637.13</v>
      </c>
    </row>
    <row r="858" spans="1:16" x14ac:dyDescent="0.3">
      <c r="B858" s="39">
        <v>46262</v>
      </c>
      <c r="C858" s="46" t="str">
        <f>_xlfn.XLOOKUP(tblMovimientos[[#This Row],[Cuenta Bancaria]],Listas!$B:$B,Listas!$A:$A,"")</f>
        <v>Go Blue</v>
      </c>
      <c r="D858" s="41" t="s">
        <v>126</v>
      </c>
      <c r="E858" s="4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48.7</v>
      </c>
      <c r="K858" s="5">
        <f t="shared" si="9"/>
        <v>-48.7</v>
      </c>
      <c r="L858" s="15" t="s">
        <v>132</v>
      </c>
      <c r="M858" s="44">
        <f>SUMIFS('Saldos Iniciales'!$D$2:$D$38,'Saldos Iniciales'!$A$2:$A$38,C858,'Saldos Iniciales'!$B$2:$B$38,D858)+SUMIFS($K$1:$K$1033,$C$1:$C$1033,C858,$D$1:$D$1033,D858,$B$1:$B$1033,"&lt;="&amp;B858)</f>
        <v>7496.6499999999987</v>
      </c>
      <c r="N858" s="65" t="str">
        <f>IF(tblMovimientos[[#This Row],[Tipo de Movimiento]]="Ingreso",tblMovimientos[[#This Row],[Monto (S/)]],"0")</f>
        <v>0</v>
      </c>
      <c r="O858" s="65">
        <f>IF(tblMovimientos[[#This Row],[Tipo de Movimiento]]="Egreso",tblMovimientos[[#This Row],[Monto (S/)]],"0")</f>
        <v>48.7</v>
      </c>
      <c r="P858" s="28">
        <f>IF(tblMovimientos[[#This Row],[Tipo de Movimiento]]="Ingreso",tblMovimientos[[#This Row],[Ingreso]],-tblMovimientos[[#This Row],[Egreso]])</f>
        <v>-48.7</v>
      </c>
    </row>
    <row r="859" spans="1:16" x14ac:dyDescent="0.3">
      <c r="B859" s="39">
        <v>46262</v>
      </c>
      <c r="C859" s="46" t="str">
        <f>_xlfn.XLOOKUP(tblMovimientos[[#This Row],[Cuenta Bancaria]],Listas!$B:$B,Listas!$A:$A,"")</f>
        <v>CFT Group</v>
      </c>
      <c r="D859" s="41" t="s">
        <v>95</v>
      </c>
      <c r="E859" s="4" t="str">
        <f>_xlfn.XLOOKUP(tblMovimientos[[#This Row],[Cuenta Bancaria]],Listas!$B:$B,Listas!$C:$C,"")</f>
        <v xml:space="preserve">Amerant Bank </v>
      </c>
      <c r="F859" s="41" t="s">
        <v>9</v>
      </c>
      <c r="G859" s="41" t="s">
        <v>76</v>
      </c>
      <c r="H859" s="4" t="str">
        <f>IFERROR(_xlfn.XLOOKUP(G859,Listas!E:E,Listas!F:F,""),"")</f>
        <v>Financiamiento</v>
      </c>
      <c r="I859" s="46" t="str">
        <f>IFERROR(_xlfn.XLOOKUP(G859,Listas!E:E,Listas!G:G,""),"")</f>
        <v>Externo</v>
      </c>
      <c r="J859" s="43">
        <v>91973.24</v>
      </c>
      <c r="K859" s="5">
        <f t="shared" si="9"/>
        <v>91973.24</v>
      </c>
      <c r="L859" s="15" t="s">
        <v>132</v>
      </c>
      <c r="M859" s="44">
        <f>SUMIFS('Saldos Iniciales'!$D$2:$D$38,'Saldos Iniciales'!$A$2:$A$38,C859,'Saldos Iniciales'!$B$2:$B$38,D859)+SUMIFS($K$1:$K$1033,$C$1:$C$1033,C859,$D$1:$D$1033,D859,$B$1:$B$1033,"&lt;="&amp;B859)</f>
        <v>781666.65000000072</v>
      </c>
      <c r="N859" s="65">
        <f>IF(tblMovimientos[[#This Row],[Tipo de Movimiento]]="Ingreso",tblMovimientos[[#This Row],[Monto (S/)]],"0")</f>
        <v>91973.24</v>
      </c>
      <c r="O859" s="65" t="str">
        <f>IF(tblMovimientos[[#This Row],[Tipo de Movimiento]]="Egreso",tblMovimientos[[#This Row],[Monto (S/)]],"0")</f>
        <v>0</v>
      </c>
      <c r="P859" s="28">
        <f>IF(tblMovimientos[[#This Row],[Tipo de Movimiento]]="Ingreso",tblMovimientos[[#This Row],[Ingreso]],-tblMovimientos[[#This Row],[Egreso]])</f>
        <v>91973.24</v>
      </c>
    </row>
    <row r="860" spans="1:16" x14ac:dyDescent="0.3">
      <c r="B860" s="39">
        <v>46262</v>
      </c>
      <c r="C860" s="46" t="str">
        <f>_xlfn.XLOOKUP(tblMovimientos[[#This Row],[Cuenta Bancaria]],Listas!$B:$B,Listas!$A:$A,"")</f>
        <v>Cross Security Trust</v>
      </c>
      <c r="D860" s="41" t="s">
        <v>112</v>
      </c>
      <c r="E860" s="4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11739</v>
      </c>
      <c r="K860" s="5">
        <f t="shared" si="9"/>
        <v>-11739</v>
      </c>
      <c r="L860" s="15" t="s">
        <v>132</v>
      </c>
      <c r="M860" s="44">
        <f>SUMIFS('Saldos Iniciales'!$D$2:$D$38,'Saldos Iniciales'!$A$2:$A$38,C860,'Saldos Iniciales'!$B$2:$B$38,D860)+SUMIFS($K$1:$K$1033,$C$1:$C$1033,C860,$D$1:$D$1033,D860,$B$1:$B$1033,"&lt;="&amp;B860)</f>
        <v>98169.25999999998</v>
      </c>
      <c r="N860" s="65" t="str">
        <f>IF(tblMovimientos[[#This Row],[Tipo de Movimiento]]="Ingreso",tblMovimientos[[#This Row],[Monto (S/)]],"0")</f>
        <v>0</v>
      </c>
      <c r="O860" s="65">
        <f>IF(tblMovimientos[[#This Row],[Tipo de Movimiento]]="Egreso",tblMovimientos[[#This Row],[Monto (S/)]],"0")</f>
        <v>11739</v>
      </c>
      <c r="P860" s="28">
        <f>IF(tblMovimientos[[#This Row],[Tipo de Movimiento]]="Ingreso",tblMovimientos[[#This Row],[Ingreso]],-tblMovimientos[[#This Row],[Egreso]])</f>
        <v>-11739</v>
      </c>
    </row>
    <row r="861" spans="1:16" x14ac:dyDescent="0.3">
      <c r="B861" s="39">
        <v>46262</v>
      </c>
      <c r="C861" s="46" t="str">
        <f>_xlfn.XLOOKUP(tblMovimientos[[#This Row],[Cuenta Bancaria]],Listas!$B:$B,Listas!$A:$A,"")</f>
        <v>Cross Security Trust</v>
      </c>
      <c r="D861" s="41" t="s">
        <v>112</v>
      </c>
      <c r="E861" s="4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48163</v>
      </c>
      <c r="K861" s="5">
        <f t="shared" si="9"/>
        <v>-48163</v>
      </c>
      <c r="L861" s="15" t="s">
        <v>132</v>
      </c>
      <c r="M861" s="44">
        <f>SUMIFS('Saldos Iniciales'!$D$2:$D$38,'Saldos Iniciales'!$A$2:$A$38,C861,'Saldos Iniciales'!$B$2:$B$38,D861)+SUMIFS($K$1:$K$1033,$C$1:$C$1033,C861,$D$1:$D$1033,D861,$B$1:$B$1033,"&lt;="&amp;B861)</f>
        <v>98169.25999999998</v>
      </c>
      <c r="N861" s="65" t="str">
        <f>IF(tblMovimientos[[#This Row],[Tipo de Movimiento]]="Ingreso",tblMovimientos[[#This Row],[Monto (S/)]],"0")</f>
        <v>0</v>
      </c>
      <c r="O861" s="65">
        <f>IF(tblMovimientos[[#This Row],[Tipo de Movimiento]]="Egreso",tblMovimientos[[#This Row],[Monto (S/)]],"0")</f>
        <v>48163</v>
      </c>
      <c r="P861" s="28">
        <f>IF(tblMovimientos[[#This Row],[Tipo de Movimiento]]="Ingreso",tblMovimientos[[#This Row],[Ingreso]],-tblMovimientos[[#This Row],[Egreso]])</f>
        <v>-48163</v>
      </c>
    </row>
    <row r="862" spans="1:16" x14ac:dyDescent="0.3">
      <c r="B862" s="39">
        <v>46265</v>
      </c>
      <c r="C862" s="46" t="str">
        <f>_xlfn.XLOOKUP(tblMovimientos[[#This Row],[Cuenta Bancaria]],Listas!$B:$B,Listas!$A:$A,"")</f>
        <v>A&amp;M Imports</v>
      </c>
      <c r="D862" s="41" t="s">
        <v>100</v>
      </c>
      <c r="E862" s="4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1452.33</v>
      </c>
      <c r="K862" s="5">
        <f t="shared" si="9"/>
        <v>1452.33</v>
      </c>
      <c r="L862" s="15" t="s">
        <v>132</v>
      </c>
      <c r="M862" s="44">
        <f>SUMIFS('Saldos Iniciales'!$D$2:$D$38,'Saldos Iniciales'!$A$2:$A$38,C862,'Saldos Iniciales'!$B$2:$B$38,D862)+SUMIFS($K$1:$K$1033,$C$1:$C$1033,C862,$D$1:$D$1033,D862,$B$1:$B$1033,"&lt;="&amp;B862)</f>
        <v>1250938</v>
      </c>
      <c r="N862" s="65">
        <f>IF(tblMovimientos[[#This Row],[Tipo de Movimiento]]="Ingreso",tblMovimientos[[#This Row],[Monto (S/)]],"0")</f>
        <v>1452.33</v>
      </c>
      <c r="O862" s="65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1452.33</v>
      </c>
    </row>
    <row r="863" spans="1:16" x14ac:dyDescent="0.3">
      <c r="B863" s="39">
        <v>46265</v>
      </c>
      <c r="C863" s="46" t="str">
        <f>_xlfn.XLOOKUP(tblMovimientos[[#This Row],[Cuenta Bancaria]],Listas!$B:$B,Listas!$A:$A,"")</f>
        <v>CFT Group</v>
      </c>
      <c r="D863" s="41" t="s">
        <v>94</v>
      </c>
      <c r="E863" s="4" t="str">
        <f>_xlfn.XLOOKUP(tblMovimientos[[#This Row],[Cuenta Bancaria]],Listas!$B:$B,Listas!$C:$C,"")</f>
        <v>Bank of America</v>
      </c>
      <c r="F863" s="41" t="s">
        <v>10</v>
      </c>
      <c r="G863" s="41" t="s">
        <v>64</v>
      </c>
      <c r="H863" s="4" t="str">
        <f>IFERROR(_xlfn.XLOOKUP(G863,Listas!E:E,Listas!F:F,""),"")</f>
        <v>Operativo</v>
      </c>
      <c r="I863" s="46" t="str">
        <f>IFERROR(_xlfn.XLOOKUP(G863,Listas!E:E,Listas!G:G,""),"")</f>
        <v>Interno</v>
      </c>
      <c r="J863" s="43">
        <v>2977.95</v>
      </c>
      <c r="K863" s="5">
        <f t="shared" si="9"/>
        <v>-2977.95</v>
      </c>
      <c r="L863" s="15" t="s">
        <v>132</v>
      </c>
      <c r="M863" s="44">
        <f>SUMIFS('Saldos Iniciales'!$D$2:$D$38,'Saldos Iniciales'!$A$2:$A$38,C863,'Saldos Iniciales'!$B$2:$B$38,D863)+SUMIFS($K$1:$K$1033,$C$1:$C$1033,C863,$D$1:$D$1033,D863,$B$1:$B$1033,"&lt;="&amp;B863)</f>
        <v>34882.329999999958</v>
      </c>
      <c r="N863" s="65" t="str">
        <f>IF(tblMovimientos[[#This Row],[Tipo de Movimiento]]="Ingreso",tblMovimientos[[#This Row],[Monto (S/)]],"0")</f>
        <v>0</v>
      </c>
      <c r="O863" s="65">
        <f>IF(tblMovimientos[[#This Row],[Tipo de Movimiento]]="Egreso",tblMovimientos[[#This Row],[Monto (S/)]],"0")</f>
        <v>2977.95</v>
      </c>
      <c r="P863" s="28">
        <f>IF(tblMovimientos[[#This Row],[Tipo de Movimiento]]="Ingreso",tblMovimientos[[#This Row],[Ingreso]],-tblMovimientos[[#This Row],[Egreso]])</f>
        <v>-2977.95</v>
      </c>
    </row>
    <row r="864" spans="1:16" x14ac:dyDescent="0.3">
      <c r="B864" s="39">
        <v>46265</v>
      </c>
      <c r="C864" s="46" t="str">
        <f>_xlfn.XLOOKUP(tblMovimientos[[#This Row],[Cuenta Bancaria]],Listas!$B:$B,Listas!$A:$A,"")</f>
        <v>2515 Overbrook</v>
      </c>
      <c r="D864" s="41" t="s">
        <v>121</v>
      </c>
      <c r="E864" s="4" t="str">
        <f>_xlfn.XLOOKUP(tblMovimientos[[#This Row],[Cuenta Bancaria]],Listas!$B:$B,Listas!$C:$C,"")</f>
        <v>Bank of America</v>
      </c>
      <c r="F864" s="41" t="s">
        <v>10</v>
      </c>
      <c r="G864" s="41" t="s">
        <v>38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100</v>
      </c>
      <c r="K864" s="5">
        <f t="shared" si="9"/>
        <v>-100</v>
      </c>
      <c r="L864" s="15" t="s">
        <v>132</v>
      </c>
      <c r="M864" s="44">
        <f>SUMIFS('Saldos Iniciales'!$D$2:$D$38,'Saldos Iniciales'!$A$2:$A$38,C864,'Saldos Iniciales'!$B$2:$B$38,D864)+SUMIFS($K$1:$K$1033,$C$1:$C$1033,C864,$D$1:$D$1033,D864,$B$1:$B$1033,"&lt;="&amp;B864)</f>
        <v>33260.289999999964</v>
      </c>
      <c r="N864" s="65" t="str">
        <f>IF(tblMovimientos[[#This Row],[Tipo de Movimiento]]="Ingreso",tblMovimientos[[#This Row],[Monto (S/)]],"0")</f>
        <v>0</v>
      </c>
      <c r="O864" s="65">
        <f>IF(tblMovimientos[[#This Row],[Tipo de Movimiento]]="Egreso",tblMovimientos[[#This Row],[Monto (S/)]],"0")</f>
        <v>100</v>
      </c>
      <c r="P864" s="28">
        <f>IF(tblMovimientos[[#This Row],[Tipo de Movimiento]]="Ingreso",tblMovimientos[[#This Row],[Ingreso]],-tblMovimientos[[#This Row],[Egreso]])</f>
        <v>-100</v>
      </c>
    </row>
    <row r="865" spans="2:16" x14ac:dyDescent="0.3">
      <c r="B865" s="39">
        <v>46265</v>
      </c>
      <c r="C865" s="46" t="str">
        <f>_xlfn.XLOOKUP(tblMovimientos[[#This Row],[Cuenta Bancaria]],Listas!$B:$B,Listas!$A:$A,"")</f>
        <v>112 Florida Ave</v>
      </c>
      <c r="D865" s="41" t="s">
        <v>123</v>
      </c>
      <c r="E865" s="4" t="str">
        <f>_xlfn.XLOOKUP(tblMovimientos[[#This Row],[Cuenta Bancaria]],Listas!$B:$B,Listas!$C:$C,"")</f>
        <v>Bank of America</v>
      </c>
      <c r="F865" s="41" t="s">
        <v>10</v>
      </c>
      <c r="G865" s="41" t="s">
        <v>38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150</v>
      </c>
      <c r="K865" s="5">
        <f t="shared" si="9"/>
        <v>-150</v>
      </c>
      <c r="L865" s="15" t="s">
        <v>132</v>
      </c>
      <c r="M865" s="44">
        <f>SUMIFS('Saldos Iniciales'!$D$2:$D$38,'Saldos Iniciales'!$A$2:$A$38,C865,'Saldos Iniciales'!$B$2:$B$38,D865)+SUMIFS($K$1:$K$1033,$C$1:$C$1033,C865,$D$1:$D$1033,D865,$B$1:$B$1033,"&lt;="&amp;B865)</f>
        <v>26559.170000000006</v>
      </c>
      <c r="N865" s="65" t="str">
        <f>IF(tblMovimientos[[#This Row],[Tipo de Movimiento]]="Ingreso",tblMovimientos[[#This Row],[Monto (S/)]],"0")</f>
        <v>0</v>
      </c>
      <c r="O865" s="65">
        <f>IF(tblMovimientos[[#This Row],[Tipo de Movimiento]]="Egreso",tblMovimientos[[#This Row],[Monto (S/)]],"0")</f>
        <v>150</v>
      </c>
      <c r="P865" s="28">
        <f>IF(tblMovimientos[[#This Row],[Tipo de Movimiento]]="Ingreso",tblMovimientos[[#This Row],[Ingreso]],-tblMovimientos[[#This Row],[Egreso]])</f>
        <v>-150</v>
      </c>
    </row>
    <row r="866" spans="2:16" x14ac:dyDescent="0.3">
      <c r="B866" s="39">
        <v>46265</v>
      </c>
      <c r="C866" s="46" t="str">
        <f>_xlfn.XLOOKUP(tblMovimientos[[#This Row],[Cuenta Bancaria]],Listas!$B:$B,Listas!$A:$A,"")</f>
        <v>112 Florida Ave</v>
      </c>
      <c r="D866" s="41" t="s">
        <v>123</v>
      </c>
      <c r="E866" s="4" t="str">
        <f>_xlfn.XLOOKUP(tblMovimientos[[#This Row],[Cuenta Bancaria]],Listas!$B:$B,Listas!$C:$C,"")</f>
        <v>Bank of America</v>
      </c>
      <c r="F866" s="41" t="s">
        <v>10</v>
      </c>
      <c r="G866" s="41" t="s">
        <v>38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3000</v>
      </c>
      <c r="K866" s="5">
        <f t="shared" si="9"/>
        <v>-3000</v>
      </c>
      <c r="L866" s="15" t="s">
        <v>132</v>
      </c>
      <c r="M866" s="44">
        <f>SUMIFS('Saldos Iniciales'!$D$2:$D$38,'Saldos Iniciales'!$A$2:$A$38,C866,'Saldos Iniciales'!$B$2:$B$38,D866)+SUMIFS($K$1:$K$1033,$C$1:$C$1033,C866,$D$1:$D$1033,D866,$B$1:$B$1033,"&lt;="&amp;B866)</f>
        <v>26559.170000000006</v>
      </c>
      <c r="N866" s="65" t="str">
        <f>IF(tblMovimientos[[#This Row],[Tipo de Movimiento]]="Ingreso",tblMovimientos[[#This Row],[Monto (S/)]],"0")</f>
        <v>0</v>
      </c>
      <c r="O866" s="65">
        <f>IF(tblMovimientos[[#This Row],[Tipo de Movimiento]]="Egreso",tblMovimientos[[#This Row],[Monto (S/)]],"0")</f>
        <v>3000</v>
      </c>
      <c r="P866" s="28">
        <f>IF(tblMovimientos[[#This Row],[Tipo de Movimiento]]="Ingreso",tblMovimientos[[#This Row],[Ingreso]],-tblMovimientos[[#This Row],[Egreso]])</f>
        <v>-3000</v>
      </c>
    </row>
    <row r="867" spans="2:16" x14ac:dyDescent="0.3">
      <c r="B867" s="39">
        <v>46265</v>
      </c>
      <c r="C867" s="46" t="str">
        <f>_xlfn.XLOOKUP(tblMovimientos[[#This Row],[Cuenta Bancaria]],Listas!$B:$B,Listas!$A:$A,"")</f>
        <v>3628 Thomas Ave</v>
      </c>
      <c r="D867" s="41" t="s">
        <v>124</v>
      </c>
      <c r="E867" s="4" t="str">
        <f>_xlfn.XLOOKUP(tblMovimientos[[#This Row],[Cuenta Bancaria]],Listas!$B:$B,Listas!$C:$C,"")</f>
        <v>Bank of America</v>
      </c>
      <c r="F867" s="41" t="s">
        <v>9</v>
      </c>
      <c r="G867" s="41" t="s">
        <v>81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4400</v>
      </c>
      <c r="K867" s="5">
        <f t="shared" si="9"/>
        <v>4400</v>
      </c>
      <c r="L867" s="15" t="s">
        <v>132</v>
      </c>
      <c r="M867" s="44">
        <f>SUMIFS('Saldos Iniciales'!$D$2:$D$38,'Saldos Iniciales'!$A$2:$A$38,C867,'Saldos Iniciales'!$B$2:$B$38,D867)+SUMIFS($K$1:$K$1033,$C$1:$C$1033,C867,$D$1:$D$1033,D867,$B$1:$B$1033,"&lt;="&amp;B867)</f>
        <v>23736.039999999997</v>
      </c>
      <c r="N867" s="65">
        <f>IF(tblMovimientos[[#This Row],[Tipo de Movimiento]]="Ingreso",tblMovimientos[[#This Row],[Monto (S/)]],"0")</f>
        <v>4400</v>
      </c>
      <c r="O867" s="65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4400</v>
      </c>
    </row>
    <row r="868" spans="2:16" x14ac:dyDescent="0.3">
      <c r="B868" s="39">
        <v>46265</v>
      </c>
      <c r="C868" s="46" t="str">
        <f>_xlfn.XLOOKUP(tblMovimientos[[#This Row],[Cuenta Bancaria]],Listas!$B:$B,Listas!$A:$A,"")</f>
        <v>SSP Capital</v>
      </c>
      <c r="D868" s="41" t="s">
        <v>106</v>
      </c>
      <c r="E868" s="4" t="str">
        <f>_xlfn.XLOOKUP(tblMovimientos[[#This Row],[Cuenta Bancaria]],Listas!$B:$B,Listas!$C:$C,"")</f>
        <v xml:space="preserve">Amerant Bank </v>
      </c>
      <c r="F868" s="41" t="s">
        <v>9</v>
      </c>
      <c r="G868" s="41" t="s">
        <v>84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2434.02</v>
      </c>
      <c r="K868" s="5">
        <f t="shared" si="9"/>
        <v>2434.02</v>
      </c>
      <c r="L868" s="15" t="s">
        <v>132</v>
      </c>
      <c r="M868" s="44">
        <f>SUMIFS('Saldos Iniciales'!$D$2:$D$38,'Saldos Iniciales'!$A$2:$A$38,C868,'Saldos Iniciales'!$B$2:$B$38,D868)+SUMIFS($K$1:$K$1033,$C$1:$C$1033,C868,$D$1:$D$1033,D868,$B$1:$B$1033,"&lt;="&amp;B868)</f>
        <v>811541.34</v>
      </c>
      <c r="N868" s="65">
        <f>IF(tblMovimientos[[#This Row],[Tipo de Movimiento]]="Ingreso",tblMovimientos[[#This Row],[Monto (S/)]],"0")</f>
        <v>2434.02</v>
      </c>
      <c r="O868" s="65" t="str">
        <f>IF(tblMovimientos[[#This Row],[Tipo de Movimiento]]="Egreso",tblMovimientos[[#This Row],[Monto (S/)]],"0")</f>
        <v>0</v>
      </c>
      <c r="P868" s="28">
        <f>IF(tblMovimientos[[#This Row],[Tipo de Movimiento]]="Ingreso",tblMovimientos[[#This Row],[Ingreso]],-tblMovimientos[[#This Row],[Egreso]])</f>
        <v>2434.02</v>
      </c>
    </row>
    <row r="869" spans="2:16" x14ac:dyDescent="0.3">
      <c r="B869" s="39">
        <v>46266</v>
      </c>
      <c r="C869" s="46" t="str">
        <f>_xlfn.XLOOKUP(tblMovimientos[[#This Row],[Cuenta Bancaria]],Listas!$B:$B,Listas!$A:$A,"")</f>
        <v>CFT Group</v>
      </c>
      <c r="D869" s="41" t="s">
        <v>94</v>
      </c>
      <c r="E869" s="4" t="str">
        <f>_xlfn.XLOOKUP(tblMovimientos[[#This Row],[Cuenta Bancaria]],Listas!$B:$B,Listas!$C:$C,"")</f>
        <v>Bank of America</v>
      </c>
      <c r="F869" s="41" t="s">
        <v>10</v>
      </c>
      <c r="G869" s="41" t="s">
        <v>42</v>
      </c>
      <c r="H869" s="4" t="str">
        <f>IFERROR(_xlfn.XLOOKUP(G869,Listas!E:E,Listas!F:F,""),"")</f>
        <v>Operativo</v>
      </c>
      <c r="I869" s="46" t="str">
        <f>IFERROR(_xlfn.XLOOKUP(G869,Listas!E:E,Listas!G:G,""),"")</f>
        <v>Externo</v>
      </c>
      <c r="J869" s="43">
        <v>611.1</v>
      </c>
      <c r="K869" s="5">
        <f t="shared" si="9"/>
        <v>-611.1</v>
      </c>
      <c r="L869" s="15" t="s">
        <v>133</v>
      </c>
      <c r="M869" s="44">
        <f>SUMIFS('Saldos Iniciales'!$D$2:$D$38,'Saldos Iniciales'!$A$2:$A$38,C869,'Saldos Iniciales'!$B$2:$B$38,D869)+SUMIFS($K$1:$K$1033,$C$1:$C$1033,C869,$D$1:$D$1033,D869,$B$1:$B$1033,"&lt;="&amp;B869)</f>
        <v>34271.229999999981</v>
      </c>
      <c r="N869" s="65" t="str">
        <f>IF(tblMovimientos[[#This Row],[Tipo de Movimiento]]="Ingreso",tblMovimientos[[#This Row],[Monto (S/)]],"0")</f>
        <v>0</v>
      </c>
      <c r="O869" s="65">
        <f>IF(tblMovimientos[[#This Row],[Tipo de Movimiento]]="Egreso",tblMovimientos[[#This Row],[Monto (S/)]],"0")</f>
        <v>611.1</v>
      </c>
      <c r="P869" s="28">
        <f>IF(tblMovimientos[[#This Row],[Tipo de Movimiento]]="Ingreso",tblMovimientos[[#This Row],[Ingreso]],-tblMovimientos[[#This Row],[Egreso]])</f>
        <v>-611.1</v>
      </c>
    </row>
    <row r="870" spans="2:16" x14ac:dyDescent="0.3">
      <c r="B870" s="39">
        <v>46266</v>
      </c>
      <c r="C870" s="46" t="str">
        <f>_xlfn.XLOOKUP(tblMovimientos[[#This Row],[Cuenta Bancaria]],Listas!$B:$B,Listas!$A:$A,"")</f>
        <v>Cross Family Trust</v>
      </c>
      <c r="D870" s="41" t="s">
        <v>110</v>
      </c>
      <c r="E870" s="4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6000</v>
      </c>
      <c r="K870" s="5">
        <f t="shared" si="9"/>
        <v>-6000</v>
      </c>
      <c r="L870" s="15" t="s">
        <v>133</v>
      </c>
      <c r="M870" s="44">
        <f>SUMIFS('Saldos Iniciales'!$D$2:$D$38,'Saldos Iniciales'!$A$2:$A$38,C870,'Saldos Iniciales'!$B$2:$B$38,D870)+SUMIFS($K$1:$K$1033,$C$1:$C$1033,C870,$D$1:$D$1033,D870,$B$1:$B$1033,"&lt;="&amp;B870)</f>
        <v>33206.89</v>
      </c>
      <c r="N870" s="65" t="str">
        <f>IF(tblMovimientos[[#This Row],[Tipo de Movimiento]]="Ingreso",tblMovimientos[[#This Row],[Monto (S/)]],"0")</f>
        <v>0</v>
      </c>
      <c r="O870" s="65">
        <f>IF(tblMovimientos[[#This Row],[Tipo de Movimiento]]="Egreso",tblMovimientos[[#This Row],[Monto (S/)]],"0")</f>
        <v>6000</v>
      </c>
      <c r="P870" s="28">
        <f>IF(tblMovimientos[[#This Row],[Tipo de Movimiento]]="Ingreso",tblMovimientos[[#This Row],[Ingreso]],-tblMovimientos[[#This Row],[Egreso]])</f>
        <v>-6000</v>
      </c>
    </row>
    <row r="871" spans="2:16" x14ac:dyDescent="0.3">
      <c r="B871" s="39">
        <v>46266</v>
      </c>
      <c r="C871" s="46" t="str">
        <f>_xlfn.XLOOKUP(tblMovimientos[[#This Row],[Cuenta Bancaria]],Listas!$B:$B,Listas!$A:$A,"")</f>
        <v>Sacred Valley Capital</v>
      </c>
      <c r="D871" s="41" t="s">
        <v>114</v>
      </c>
      <c r="E871" s="4" t="str">
        <f>_xlfn.XLOOKUP(tblMovimientos[[#This Row],[Cuenta Bancaria]],Listas!$B:$B,Listas!$C:$C,"")</f>
        <v>Bank of America</v>
      </c>
      <c r="F871" s="41" t="s">
        <v>10</v>
      </c>
      <c r="G871" s="41" t="s">
        <v>44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29.95</v>
      </c>
      <c r="K871" s="5">
        <f t="shared" si="9"/>
        <v>-29.95</v>
      </c>
      <c r="L871" s="15" t="s">
        <v>133</v>
      </c>
      <c r="M871" s="44">
        <f>SUMIFS('Saldos Iniciales'!$D$2:$D$38,'Saldos Iniciales'!$A$2:$A$38,C871,'Saldos Iniciales'!$B$2:$B$38,D871)+SUMIFS($K$1:$K$1033,$C$1:$C$1033,C871,$D$1:$D$1033,D871,$B$1:$B$1033,"&lt;="&amp;B871)</f>
        <v>94.5</v>
      </c>
      <c r="N871" s="65" t="str">
        <f>IF(tblMovimientos[[#This Row],[Tipo de Movimiento]]="Ingreso",tblMovimientos[[#This Row],[Monto (S/)]],"0")</f>
        <v>0</v>
      </c>
      <c r="O871" s="65">
        <f>IF(tblMovimientos[[#This Row],[Tipo de Movimiento]]="Egreso",tblMovimientos[[#This Row],[Monto (S/)]],"0")</f>
        <v>29.95</v>
      </c>
      <c r="P871" s="28">
        <f>IF(tblMovimientos[[#This Row],[Tipo de Movimiento]]="Ingreso",tblMovimientos[[#This Row],[Ingreso]],-tblMovimientos[[#This Row],[Egreso]])</f>
        <v>-29.95</v>
      </c>
    </row>
    <row r="872" spans="2:16" x14ac:dyDescent="0.3">
      <c r="B872" s="39">
        <v>46266</v>
      </c>
      <c r="C872" s="46" t="str">
        <f>_xlfn.XLOOKUP(tblMovimientos[[#This Row],[Cuenta Bancaria]],Listas!$B:$B,Listas!$A:$A,"")</f>
        <v>YWC Capital</v>
      </c>
      <c r="D872" s="41" t="s">
        <v>115</v>
      </c>
      <c r="E872" s="4" t="str">
        <f>_xlfn.XLOOKUP(tblMovimientos[[#This Row],[Cuenta Bancaria]],Listas!$B:$B,Listas!$C:$C,"")</f>
        <v>Bank of America</v>
      </c>
      <c r="F872" s="41" t="s">
        <v>10</v>
      </c>
      <c r="G872" s="41" t="s">
        <v>44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29.95</v>
      </c>
      <c r="K872" s="5">
        <f t="shared" si="9"/>
        <v>-29.95</v>
      </c>
      <c r="L872" s="15" t="s">
        <v>133</v>
      </c>
      <c r="M872" s="44">
        <f>SUMIFS('Saldos Iniciales'!$D$2:$D$38,'Saldos Iniciales'!$A$2:$A$38,C872,'Saldos Iniciales'!$B$2:$B$38,D872)+SUMIFS($K$1:$K$1033,$C$1:$C$1033,C872,$D$1:$D$1033,D872,$B$1:$B$1033,"&lt;="&amp;B872)</f>
        <v>2147.92</v>
      </c>
      <c r="N872" s="65" t="str">
        <f>IF(tblMovimientos[[#This Row],[Tipo de Movimiento]]="Ingreso",tblMovimientos[[#This Row],[Monto (S/)]],"0")</f>
        <v>0</v>
      </c>
      <c r="O872" s="65">
        <f>IF(tblMovimientos[[#This Row],[Tipo de Movimiento]]="Egreso",tblMovimientos[[#This Row],[Monto (S/)]],"0")</f>
        <v>29.95</v>
      </c>
      <c r="P872" s="28">
        <f>IF(tblMovimientos[[#This Row],[Tipo de Movimiento]]="Ingreso",tblMovimientos[[#This Row],[Ingreso]],-tblMovimientos[[#This Row],[Egreso]])</f>
        <v>-29.95</v>
      </c>
    </row>
    <row r="873" spans="2:16" x14ac:dyDescent="0.3">
      <c r="B873" s="39">
        <v>46266</v>
      </c>
      <c r="C873" s="46" t="str">
        <f>_xlfn.XLOOKUP(tblMovimientos[[#This Row],[Cuenta Bancaria]],Listas!$B:$B,Listas!$A:$A,"")</f>
        <v>Arbor Capital Properties</v>
      </c>
      <c r="D873" s="41" t="s">
        <v>120</v>
      </c>
      <c r="E873" s="4" t="str">
        <f>_xlfn.XLOOKUP(tblMovimientos[[#This Row],[Cuenta Bancaria]],Listas!$B:$B,Listas!$C:$C,"")</f>
        <v>Bank of America</v>
      </c>
      <c r="F873" s="41" t="s">
        <v>10</v>
      </c>
      <c r="G873" s="41" t="s">
        <v>44</v>
      </c>
      <c r="H873" s="4" t="str">
        <f>IFERROR(_xlfn.XLOOKUP(G873,Listas!E:E,Listas!F:F,""),"")</f>
        <v>Operativo</v>
      </c>
      <c r="I873" s="46" t="str">
        <f>IFERROR(_xlfn.XLOOKUP(G873,Listas!E:E,Listas!G:G,""),"")</f>
        <v>Externo</v>
      </c>
      <c r="J873" s="43">
        <v>16</v>
      </c>
      <c r="K873" s="5">
        <f t="shared" si="9"/>
        <v>-16</v>
      </c>
      <c r="L873" s="15" t="s">
        <v>133</v>
      </c>
      <c r="M873" s="44">
        <f>SUMIFS('Saldos Iniciales'!$D$2:$D$38,'Saldos Iniciales'!$A$2:$A$38,C873,'Saldos Iniciales'!$B$2:$B$38,D873)+SUMIFS($K$1:$K$1033,$C$1:$C$1033,C873,$D$1:$D$1033,D873,$B$1:$B$1033,"&lt;="&amp;B873)</f>
        <v>1380.08</v>
      </c>
      <c r="N873" s="65" t="str">
        <f>IF(tblMovimientos[[#This Row],[Tipo de Movimiento]]="Ingreso",tblMovimientos[[#This Row],[Monto (S/)]],"0")</f>
        <v>0</v>
      </c>
      <c r="O873" s="65">
        <f>IF(tblMovimientos[[#This Row],[Tipo de Movimiento]]="Egreso",tblMovimientos[[#This Row],[Monto (S/)]],"0")</f>
        <v>16</v>
      </c>
      <c r="P873" s="28">
        <f>IF(tblMovimientos[[#This Row],[Tipo de Movimiento]]="Ingreso",tblMovimientos[[#This Row],[Ingreso]],-tblMovimientos[[#This Row],[Egreso]])</f>
        <v>-16</v>
      </c>
    </row>
    <row r="874" spans="2:16" x14ac:dyDescent="0.3">
      <c r="B874" s="39">
        <v>46266</v>
      </c>
      <c r="C874" s="46" t="str">
        <f>_xlfn.XLOOKUP(tblMovimientos[[#This Row],[Cuenta Bancaria]],Listas!$B:$B,Listas!$A:$A,"")</f>
        <v>2515 Overbrook</v>
      </c>
      <c r="D874" s="41" t="s">
        <v>121</v>
      </c>
      <c r="E874" s="4" t="str">
        <f>_xlfn.XLOOKUP(tblMovimientos[[#This Row],[Cuenta Bancaria]],Listas!$B:$B,Listas!$C:$C,"")</f>
        <v>Bank of America</v>
      </c>
      <c r="F874" s="41" t="s">
        <v>10</v>
      </c>
      <c r="G874" s="41" t="s">
        <v>46</v>
      </c>
      <c r="H874" s="4" t="str">
        <f>IFERROR(_xlfn.XLOOKUP(G874,Listas!E:E,Listas!F:F,""),"")</f>
        <v>Financiamiento</v>
      </c>
      <c r="I874" s="46" t="str">
        <f>IFERROR(_xlfn.XLOOKUP(G874,Listas!E:E,Listas!G:G,""),"")</f>
        <v>Externo</v>
      </c>
      <c r="J874" s="43">
        <v>8533.33</v>
      </c>
      <c r="K874" s="5">
        <f t="shared" si="9"/>
        <v>-8533.33</v>
      </c>
      <c r="L874" s="15" t="s">
        <v>133</v>
      </c>
      <c r="M874" s="44">
        <f>SUMIFS('Saldos Iniciales'!$D$2:$D$38,'Saldos Iniciales'!$A$2:$A$38,C874,'Saldos Iniciales'!$B$2:$B$38,D874)+SUMIFS($K$1:$K$1033,$C$1:$C$1033,C874,$D$1:$D$1033,D874,$B$1:$B$1033,"&lt;="&amp;B874)</f>
        <v>24726.959999999963</v>
      </c>
      <c r="N874" s="65" t="str">
        <f>IF(tblMovimientos[[#This Row],[Tipo de Movimiento]]="Ingreso",tblMovimientos[[#This Row],[Monto (S/)]],"0")</f>
        <v>0</v>
      </c>
      <c r="O874" s="65">
        <f>IF(tblMovimientos[[#This Row],[Tipo de Movimiento]]="Egreso",tblMovimientos[[#This Row],[Monto (S/)]],"0")</f>
        <v>8533.33</v>
      </c>
      <c r="P874" s="28">
        <f>IF(tblMovimientos[[#This Row],[Tipo de Movimiento]]="Ingreso",tblMovimientos[[#This Row],[Ingreso]],-tblMovimientos[[#This Row],[Egreso]])</f>
        <v>-8533.33</v>
      </c>
    </row>
    <row r="875" spans="2:16" x14ac:dyDescent="0.3">
      <c r="B875" s="39">
        <v>46266</v>
      </c>
      <c r="C875" s="46" t="str">
        <f>_xlfn.XLOOKUP(tblMovimientos[[#This Row],[Cuenta Bancaria]],Listas!$B:$B,Listas!$A:$A,"")</f>
        <v>2515 Overbrook</v>
      </c>
      <c r="D875" s="41" t="s">
        <v>122</v>
      </c>
      <c r="E875" s="4" t="str">
        <f>_xlfn.XLOOKUP(tblMovimientos[[#This Row],[Cuenta Bancaria]],Listas!$B:$B,Listas!$C:$C,"")</f>
        <v>Bank of America</v>
      </c>
      <c r="F875" s="41" t="s">
        <v>10</v>
      </c>
      <c r="G875" s="41" t="s">
        <v>44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10</v>
      </c>
      <c r="K875" s="5">
        <f t="shared" si="9"/>
        <v>-10</v>
      </c>
      <c r="L875" s="15" t="s">
        <v>133</v>
      </c>
      <c r="M875" s="44">
        <f>SUMIFS('Saldos Iniciales'!$D$2:$D$38,'Saldos Iniciales'!$A$2:$A$38,C875,'Saldos Iniciales'!$B$2:$B$38,D875)+SUMIFS($K$1:$K$1033,$C$1:$C$1033,C875,$D$1:$D$1033,D875,$B$1:$B$1033,"&lt;="&amp;B875)</f>
        <v>300.42</v>
      </c>
      <c r="N875" s="65" t="str">
        <f>IF(tblMovimientos[[#This Row],[Tipo de Movimiento]]="Ingreso",tblMovimientos[[#This Row],[Monto (S/)]],"0")</f>
        <v>0</v>
      </c>
      <c r="O875" s="65">
        <f>IF(tblMovimientos[[#This Row],[Tipo de Movimiento]]="Egreso",tblMovimientos[[#This Row],[Monto (S/)]],"0")</f>
        <v>10</v>
      </c>
      <c r="P875" s="28">
        <f>IF(tblMovimientos[[#This Row],[Tipo de Movimiento]]="Ingreso",tblMovimientos[[#This Row],[Ingreso]],-tblMovimientos[[#This Row],[Egreso]])</f>
        <v>-10</v>
      </c>
    </row>
    <row r="876" spans="2:16" x14ac:dyDescent="0.3">
      <c r="B876" s="39">
        <v>46266</v>
      </c>
      <c r="C876" s="46" t="str">
        <f>_xlfn.XLOOKUP(tblMovimientos[[#This Row],[Cuenta Bancaria]],Listas!$B:$B,Listas!$A:$A,"")</f>
        <v>112 Florida Ave</v>
      </c>
      <c r="D876" s="41" t="s">
        <v>123</v>
      </c>
      <c r="E876" s="4" t="str">
        <f>_xlfn.XLOOKUP(tblMovimientos[[#This Row],[Cuenta Bancaria]],Listas!$B:$B,Listas!$C:$C,"")</f>
        <v>Bank of America</v>
      </c>
      <c r="F876" s="41" t="s">
        <v>10</v>
      </c>
      <c r="G876" s="41" t="s">
        <v>48</v>
      </c>
      <c r="H876" s="4" t="str">
        <f>IFERROR(_xlfn.XLOOKUP(G876,Listas!E:E,Listas!F:F,""),"")</f>
        <v>Financiamiento</v>
      </c>
      <c r="I876" s="46" t="str">
        <f>IFERROR(_xlfn.XLOOKUP(G876,Listas!E:E,Listas!G:G,""),"")</f>
        <v>Externo</v>
      </c>
      <c r="J876" s="43">
        <v>9798.6299999999992</v>
      </c>
      <c r="K876" s="5">
        <f t="shared" si="9"/>
        <v>-9798.6299999999992</v>
      </c>
      <c r="L876" s="15" t="s">
        <v>133</v>
      </c>
      <c r="M876" s="44">
        <f>SUMIFS('Saldos Iniciales'!$D$2:$D$38,'Saldos Iniciales'!$A$2:$A$38,C876,'Saldos Iniciales'!$B$2:$B$38,D876)+SUMIFS($K$1:$K$1033,$C$1:$C$1033,C876,$D$1:$D$1033,D876,$B$1:$B$1033,"&lt;="&amp;B876)</f>
        <v>16760.540000000008</v>
      </c>
      <c r="N876" s="65" t="str">
        <f>IF(tblMovimientos[[#This Row],[Tipo de Movimiento]]="Ingreso",tblMovimientos[[#This Row],[Monto (S/)]],"0")</f>
        <v>0</v>
      </c>
      <c r="O876" s="65">
        <f>IF(tblMovimientos[[#This Row],[Tipo de Movimiento]]="Egreso",tblMovimientos[[#This Row],[Monto (S/)]],"0")</f>
        <v>9798.6299999999992</v>
      </c>
      <c r="P876" s="28">
        <f>IF(tblMovimientos[[#This Row],[Tipo de Movimiento]]="Ingreso",tblMovimientos[[#This Row],[Ingreso]],-tblMovimientos[[#This Row],[Egreso]])</f>
        <v>-9798.6299999999992</v>
      </c>
    </row>
    <row r="877" spans="2:16" x14ac:dyDescent="0.3">
      <c r="B877" s="39">
        <v>46266</v>
      </c>
      <c r="C877" s="46" t="str">
        <f>_xlfn.XLOOKUP(tblMovimientos[[#This Row],[Cuenta Bancaria]],Listas!$B:$B,Listas!$A:$A,"")</f>
        <v>3628 Thomas Ave</v>
      </c>
      <c r="D877" s="41" t="s">
        <v>124</v>
      </c>
      <c r="E877" s="4" t="str">
        <f>_xlfn.XLOOKUP(tblMovimientos[[#This Row],[Cuenta Bancaria]],Listas!$B:$B,Listas!$C:$C,"")</f>
        <v>Bank of America</v>
      </c>
      <c r="F877" s="41" t="s">
        <v>10</v>
      </c>
      <c r="G877" s="41" t="s">
        <v>48</v>
      </c>
      <c r="H877" s="4" t="str">
        <f>IFERROR(_xlfn.XLOOKUP(G877,Listas!E:E,Listas!F:F,""),"")</f>
        <v>Financiamiento</v>
      </c>
      <c r="I877" s="46" t="str">
        <f>IFERROR(_xlfn.XLOOKUP(G877,Listas!E:E,Listas!G:G,""),"")</f>
        <v>Externo</v>
      </c>
      <c r="J877" s="43">
        <v>8773.0400000000009</v>
      </c>
      <c r="K877" s="5">
        <f t="shared" si="9"/>
        <v>-8773.0400000000009</v>
      </c>
      <c r="L877" s="15" t="s">
        <v>133</v>
      </c>
      <c r="M877" s="44">
        <f>SUMIFS('Saldos Iniciales'!$D$2:$D$38,'Saldos Iniciales'!$A$2:$A$38,C877,'Saldos Iniciales'!$B$2:$B$38,D877)+SUMIFS($K$1:$K$1033,$C$1:$C$1033,C877,$D$1:$D$1033,D877,$B$1:$B$1033,"&lt;="&amp;B877)</f>
        <v>14962.999999999996</v>
      </c>
      <c r="N877" s="65" t="str">
        <f>IF(tblMovimientos[[#This Row],[Tipo de Movimiento]]="Ingreso",tblMovimientos[[#This Row],[Monto (S/)]],"0")</f>
        <v>0</v>
      </c>
      <c r="O877" s="65">
        <f>IF(tblMovimientos[[#This Row],[Tipo de Movimiento]]="Egreso",tblMovimientos[[#This Row],[Monto (S/)]],"0")</f>
        <v>8773.0400000000009</v>
      </c>
      <c r="P877" s="28">
        <f>IF(tblMovimientos[[#This Row],[Tipo de Movimiento]]="Ingreso",tblMovimientos[[#This Row],[Ingreso]],-tblMovimientos[[#This Row],[Egreso]])</f>
        <v>-8773.0400000000009</v>
      </c>
    </row>
    <row r="878" spans="2:16" x14ac:dyDescent="0.3">
      <c r="B878" s="39">
        <v>46266</v>
      </c>
      <c r="C878" s="46" t="str">
        <f>_xlfn.XLOOKUP(tblMovimientos[[#This Row],[Cuenta Bancaria]],Listas!$B:$B,Listas!$A:$A,"")</f>
        <v>CFT Group</v>
      </c>
      <c r="D878" s="41" t="s">
        <v>95</v>
      </c>
      <c r="E878" s="4" t="str">
        <f>_xlfn.XLOOKUP(tblMovimientos[[#This Row],[Cuenta Bancaria]],Listas!$B:$B,Listas!$C:$C,"")</f>
        <v xml:space="preserve">Amerant Bank </v>
      </c>
      <c r="F878" s="41" t="s">
        <v>9</v>
      </c>
      <c r="G878" s="41" t="s">
        <v>68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17835.61</v>
      </c>
      <c r="K878" s="5">
        <f t="shared" si="9"/>
        <v>17835.61</v>
      </c>
      <c r="L878" s="15" t="s">
        <v>133</v>
      </c>
      <c r="M878" s="44">
        <f>SUMIFS('Saldos Iniciales'!$D$2:$D$38,'Saldos Iniciales'!$A$2:$A$38,C878,'Saldos Iniciales'!$B$2:$B$38,D878)+SUMIFS($K$1:$K$1033,$C$1:$C$1033,C878,$D$1:$D$1033,D878,$B$1:$B$1033,"&lt;="&amp;B878)</f>
        <v>799502.26000000071</v>
      </c>
      <c r="N878" s="65">
        <f>IF(tblMovimientos[[#This Row],[Tipo de Movimiento]]="Ingreso",tblMovimientos[[#This Row],[Monto (S/)]],"0")</f>
        <v>17835.61</v>
      </c>
      <c r="O878" s="65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17835.61</v>
      </c>
    </row>
    <row r="879" spans="2:16" x14ac:dyDescent="0.3">
      <c r="B879" s="39">
        <v>46266</v>
      </c>
      <c r="C879" s="46" t="str">
        <f>_xlfn.XLOOKUP(tblMovimientos[[#This Row],[Cuenta Bancaria]],Listas!$B:$B,Listas!$A:$A,"")</f>
        <v>SSP Capital</v>
      </c>
      <c r="D879" s="41" t="s">
        <v>104</v>
      </c>
      <c r="E879" s="4" t="str">
        <f>_xlfn.XLOOKUP(tblMovimientos[[#This Row],[Cuenta Bancaria]],Listas!$B:$B,Listas!$C:$C,"")</f>
        <v xml:space="preserve">Amerant Bank </v>
      </c>
      <c r="F879" s="41" t="s">
        <v>10</v>
      </c>
      <c r="G879" s="41" t="s">
        <v>42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70638.59</v>
      </c>
      <c r="K879" s="5">
        <f t="shared" si="9"/>
        <v>-70638.59</v>
      </c>
      <c r="L879" s="15" t="s">
        <v>133</v>
      </c>
      <c r="M879" s="44">
        <f>SUMIFS('Saldos Iniciales'!$D$2:$D$38,'Saldos Iniciales'!$A$2:$A$38,C879,'Saldos Iniciales'!$B$2:$B$38,D879)+SUMIFS($K$1:$K$1033,$C$1:$C$1033,C879,$D$1:$D$1033,D879,$B$1:$B$1033,"&lt;="&amp;B879)</f>
        <v>637579.72999999928</v>
      </c>
      <c r="N879" s="65" t="str">
        <f>IF(tblMovimientos[[#This Row],[Tipo de Movimiento]]="Ingreso",tblMovimientos[[#This Row],[Monto (S/)]],"0")</f>
        <v>0</v>
      </c>
      <c r="O879" s="65">
        <f>IF(tblMovimientos[[#This Row],[Tipo de Movimiento]]="Egreso",tblMovimientos[[#This Row],[Monto (S/)]],"0")</f>
        <v>70638.59</v>
      </c>
      <c r="P879" s="28">
        <f>IF(tblMovimientos[[#This Row],[Tipo de Movimiento]]="Ingreso",tblMovimientos[[#This Row],[Ingreso]],-tblMovimientos[[#This Row],[Egreso]])</f>
        <v>-70638.59</v>
      </c>
    </row>
    <row r="880" spans="2:16" x14ac:dyDescent="0.3">
      <c r="B880" s="39">
        <v>46266</v>
      </c>
      <c r="C880" s="46" t="str">
        <f>_xlfn.XLOOKUP(tblMovimientos[[#This Row],[Cuenta Bancaria]],Listas!$B:$B,Listas!$A:$A,"")</f>
        <v>Go Blue</v>
      </c>
      <c r="D880" s="41" t="s">
        <v>126</v>
      </c>
      <c r="E880" s="4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10.25</v>
      </c>
      <c r="K880" s="5">
        <f t="shared" si="9"/>
        <v>-10.25</v>
      </c>
      <c r="L880" s="15" t="s">
        <v>133</v>
      </c>
      <c r="M880" s="44">
        <f>SUMIFS('Saldos Iniciales'!$D$2:$D$38,'Saldos Iniciales'!$A$2:$A$38,C880,'Saldos Iniciales'!$B$2:$B$38,D880)+SUMIFS($K$1:$K$1033,$C$1:$C$1033,C880,$D$1:$D$1033,D880,$B$1:$B$1033,"&lt;="&amp;B880)</f>
        <v>7486.3999999999987</v>
      </c>
      <c r="N880" s="65" t="str">
        <f>IF(tblMovimientos[[#This Row],[Tipo de Movimiento]]="Ingreso",tblMovimientos[[#This Row],[Monto (S/)]],"0")</f>
        <v>0</v>
      </c>
      <c r="O880" s="65">
        <f>IF(tblMovimientos[[#This Row],[Tipo de Movimiento]]="Egreso",tblMovimientos[[#This Row],[Monto (S/)]],"0")</f>
        <v>10.25</v>
      </c>
      <c r="P880" s="28">
        <f>IF(tblMovimientos[[#This Row],[Tipo de Movimiento]]="Ingreso",tblMovimientos[[#This Row],[Ingreso]],-tblMovimientos[[#This Row],[Egreso]])</f>
        <v>-10.25</v>
      </c>
    </row>
    <row r="881" spans="2:16" x14ac:dyDescent="0.3">
      <c r="B881" s="39">
        <v>46267</v>
      </c>
      <c r="C881" s="46" t="str">
        <f>_xlfn.XLOOKUP(tblMovimientos[[#This Row],[Cuenta Bancaria]],Listas!$B:$B,Listas!$A:$A,"")</f>
        <v>CFT Group</v>
      </c>
      <c r="D881" s="41" t="s">
        <v>94</v>
      </c>
      <c r="E881" s="4" t="str">
        <f>_xlfn.XLOOKUP(tblMovimientos[[#This Row],[Cuenta Bancaria]],Listas!$B:$B,Listas!$C:$C,"")</f>
        <v>Bank of America</v>
      </c>
      <c r="F881" s="41" t="s">
        <v>9</v>
      </c>
      <c r="G881" s="41" t="s">
        <v>68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10873.97</v>
      </c>
      <c r="K881" s="5">
        <f t="shared" si="9"/>
        <v>10873.97</v>
      </c>
      <c r="L881" s="15" t="s">
        <v>133</v>
      </c>
      <c r="M881" s="44">
        <f>SUMIFS('Saldos Iniciales'!$D$2:$D$38,'Saldos Iniciales'!$A$2:$A$38,C881,'Saldos Iniciales'!$B$2:$B$38,D881)+SUMIFS($K$1:$K$1033,$C$1:$C$1033,C881,$D$1:$D$1033,D881,$B$1:$B$1033,"&lt;="&amp;B881)</f>
        <v>45145.199999999953</v>
      </c>
      <c r="N881" s="65">
        <f>IF(tblMovimientos[[#This Row],[Tipo de Movimiento]]="Ingreso",tblMovimientos[[#This Row],[Monto (S/)]],"0")</f>
        <v>10873.97</v>
      </c>
      <c r="O881" s="65" t="str">
        <f>IF(tblMovimientos[[#This Row],[Tipo de Movimiento]]="Egreso",tblMovimientos[[#This Row],[Monto (S/)]],"0")</f>
        <v>0</v>
      </c>
      <c r="P881" s="28">
        <f>IF(tblMovimientos[[#This Row],[Tipo de Movimiento]]="Ingreso",tblMovimientos[[#This Row],[Ingreso]],-tblMovimientos[[#This Row],[Egreso]])</f>
        <v>10873.97</v>
      </c>
    </row>
    <row r="882" spans="2:16" x14ac:dyDescent="0.3">
      <c r="B882" s="39">
        <v>46267</v>
      </c>
      <c r="C882" s="46" t="str">
        <f>_xlfn.XLOOKUP(tblMovimientos[[#This Row],[Cuenta Bancaria]],Listas!$B:$B,Listas!$A:$A,"")</f>
        <v>3628 Thomas Ave</v>
      </c>
      <c r="D882" s="41" t="s">
        <v>124</v>
      </c>
      <c r="E882" s="4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100</v>
      </c>
      <c r="K882" s="5">
        <f t="shared" si="9"/>
        <v>-100</v>
      </c>
      <c r="L882" s="15" t="s">
        <v>133</v>
      </c>
      <c r="M882" s="44">
        <f>SUMIFS('Saldos Iniciales'!$D$2:$D$38,'Saldos Iniciales'!$A$2:$A$38,C882,'Saldos Iniciales'!$B$2:$B$38,D882)+SUMIFS($K$1:$K$1033,$C$1:$C$1033,C882,$D$1:$D$1033,D882,$B$1:$B$1033,"&lt;="&amp;B882)</f>
        <v>14162.999999999996</v>
      </c>
      <c r="N882" s="65" t="str">
        <f>IF(tblMovimientos[[#This Row],[Tipo de Movimiento]]="Ingreso",tblMovimientos[[#This Row],[Monto (S/)]],"0")</f>
        <v>0</v>
      </c>
      <c r="O882" s="65">
        <f>IF(tblMovimientos[[#This Row],[Tipo de Movimiento]]="Egreso",tblMovimientos[[#This Row],[Monto (S/)]],"0")</f>
        <v>100</v>
      </c>
      <c r="P882" s="28">
        <f>IF(tblMovimientos[[#This Row],[Tipo de Movimiento]]="Ingreso",tblMovimientos[[#This Row],[Ingreso]],-tblMovimientos[[#This Row],[Egreso]])</f>
        <v>-100</v>
      </c>
    </row>
    <row r="883" spans="2:16" x14ac:dyDescent="0.3">
      <c r="B883" s="39">
        <v>46267</v>
      </c>
      <c r="C883" s="46" t="str">
        <f>_xlfn.XLOOKUP(tblMovimientos[[#This Row],[Cuenta Bancaria]],Listas!$B:$B,Listas!$A:$A,"")</f>
        <v>3628 Thomas Ave</v>
      </c>
      <c r="D883" s="41" t="s">
        <v>124</v>
      </c>
      <c r="E883" s="4" t="str">
        <f>_xlfn.XLOOKUP(tblMovimientos[[#This Row],[Cuenta Bancaria]],Listas!$B:$B,Listas!$C:$C,"")</f>
        <v>Bank of America</v>
      </c>
      <c r="F883" s="41" t="s">
        <v>10</v>
      </c>
      <c r="G883" s="41" t="s">
        <v>38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300</v>
      </c>
      <c r="K883" s="5">
        <f t="shared" si="9"/>
        <v>-300</v>
      </c>
      <c r="L883" s="15" t="s">
        <v>133</v>
      </c>
      <c r="M883" s="44">
        <f>SUMIFS('Saldos Iniciales'!$D$2:$D$38,'Saldos Iniciales'!$A$2:$A$38,C883,'Saldos Iniciales'!$B$2:$B$38,D883)+SUMIFS($K$1:$K$1033,$C$1:$C$1033,C883,$D$1:$D$1033,D883,$B$1:$B$1033,"&lt;="&amp;B883)</f>
        <v>14162.999999999996</v>
      </c>
      <c r="N883" s="65" t="str">
        <f>IF(tblMovimientos[[#This Row],[Tipo de Movimiento]]="Ingreso",tblMovimientos[[#This Row],[Monto (S/)]],"0")</f>
        <v>0</v>
      </c>
      <c r="O883" s="65">
        <f>IF(tblMovimientos[[#This Row],[Tipo de Movimiento]]="Egreso",tblMovimientos[[#This Row],[Monto (S/)]],"0")</f>
        <v>300</v>
      </c>
      <c r="P883" s="28">
        <f>IF(tblMovimientos[[#This Row],[Tipo de Movimiento]]="Ingreso",tblMovimientos[[#This Row],[Ingreso]],-tblMovimientos[[#This Row],[Egreso]])</f>
        <v>-300</v>
      </c>
    </row>
    <row r="884" spans="2:16" x14ac:dyDescent="0.3">
      <c r="B884" s="39">
        <v>46267</v>
      </c>
      <c r="C884" s="46" t="str">
        <f>_xlfn.XLOOKUP(tblMovimientos[[#This Row],[Cuenta Bancaria]],Listas!$B:$B,Listas!$A:$A,"")</f>
        <v>3628 Thomas Ave</v>
      </c>
      <c r="D884" s="41" t="s">
        <v>124</v>
      </c>
      <c r="E884" s="4" t="str">
        <f>_xlfn.XLOOKUP(tblMovimientos[[#This Row],[Cuenta Bancaria]],Listas!$B:$B,Listas!$C:$C,"")</f>
        <v>Bank of America</v>
      </c>
      <c r="F884" s="41" t="s">
        <v>10</v>
      </c>
      <c r="G884" s="41" t="s">
        <v>38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400</v>
      </c>
      <c r="K884" s="5">
        <f t="shared" si="9"/>
        <v>-400</v>
      </c>
      <c r="L884" s="15" t="s">
        <v>133</v>
      </c>
      <c r="M884" s="44">
        <f>SUMIFS('Saldos Iniciales'!$D$2:$D$38,'Saldos Iniciales'!$A$2:$A$38,C884,'Saldos Iniciales'!$B$2:$B$38,D884)+SUMIFS($K$1:$K$1033,$C$1:$C$1033,C884,$D$1:$D$1033,D884,$B$1:$B$1033,"&lt;="&amp;B884)</f>
        <v>14162.999999999996</v>
      </c>
      <c r="N884" s="65" t="str">
        <f>IF(tblMovimientos[[#This Row],[Tipo de Movimiento]]="Ingreso",tblMovimientos[[#This Row],[Monto (S/)]],"0")</f>
        <v>0</v>
      </c>
      <c r="O884" s="65">
        <f>IF(tblMovimientos[[#This Row],[Tipo de Movimiento]]="Egreso",tblMovimientos[[#This Row],[Monto (S/)]],"0")</f>
        <v>400</v>
      </c>
      <c r="P884" s="28">
        <f>IF(tblMovimientos[[#This Row],[Tipo de Movimiento]]="Ingreso",tblMovimientos[[#This Row],[Ingreso]],-tblMovimientos[[#This Row],[Egreso]])</f>
        <v>-400</v>
      </c>
    </row>
    <row r="885" spans="2:16" x14ac:dyDescent="0.3">
      <c r="B885" s="39">
        <v>46267</v>
      </c>
      <c r="C885" s="46" t="str">
        <f>_xlfn.XLOOKUP(tblMovimientos[[#This Row],[Cuenta Bancaria]],Listas!$B:$B,Listas!$A:$A,"")</f>
        <v>CFT Group</v>
      </c>
      <c r="D885" s="41" t="s">
        <v>95</v>
      </c>
      <c r="E885" s="4" t="str">
        <f>_xlfn.XLOOKUP(tblMovimientos[[#This Row],[Cuenta Bancaria]],Listas!$B:$B,Listas!$C:$C,"")</f>
        <v xml:space="preserve">Amerant Bank </v>
      </c>
      <c r="F885" s="41" t="s">
        <v>9</v>
      </c>
      <c r="G885" s="41" t="s">
        <v>73</v>
      </c>
      <c r="H885" s="4" t="str">
        <f>IFERROR(_xlfn.XLOOKUP(G885,Listas!E:E,Listas!F:F,""),"")</f>
        <v>Operativo</v>
      </c>
      <c r="I885" s="46" t="str">
        <f>IFERROR(_xlfn.XLOOKUP(G885,Listas!E:E,Listas!G:G,""),"")</f>
        <v>Interno</v>
      </c>
      <c r="J885" s="43">
        <v>699844.76</v>
      </c>
      <c r="K885" s="5">
        <f t="shared" si="9"/>
        <v>699844.76</v>
      </c>
      <c r="L885" s="15" t="s">
        <v>133</v>
      </c>
      <c r="M885" s="44">
        <f>SUMIFS('Saldos Iniciales'!$D$2:$D$38,'Saldos Iniciales'!$A$2:$A$38,C885,'Saldos Iniciales'!$B$2:$B$38,D885)+SUMIFS($K$1:$K$1033,$C$1:$C$1033,C885,$D$1:$D$1033,D885,$B$1:$B$1033,"&lt;="&amp;B885)</f>
        <v>1499347.0200000009</v>
      </c>
      <c r="N885" s="65">
        <f>IF(tblMovimientos[[#This Row],[Tipo de Movimiento]]="Ingreso",tblMovimientos[[#This Row],[Monto (S/)]],"0")</f>
        <v>699844.76</v>
      </c>
      <c r="O885" s="65" t="str">
        <f>IF(tblMovimientos[[#This Row],[Tipo de Movimiento]]="Egreso",tblMovimientos[[#This Row],[Monto (S/)]],"0")</f>
        <v>0</v>
      </c>
      <c r="P885" s="28">
        <f>IF(tblMovimientos[[#This Row],[Tipo de Movimiento]]="Ingreso",tblMovimientos[[#This Row],[Ingreso]],-tblMovimientos[[#This Row],[Egreso]])</f>
        <v>699844.76</v>
      </c>
    </row>
    <row r="886" spans="2:16" x14ac:dyDescent="0.3">
      <c r="B886" s="39">
        <v>46267</v>
      </c>
      <c r="C886" s="46" t="str">
        <f>_xlfn.XLOOKUP(tblMovimientos[[#This Row],[Cuenta Bancaria]],Listas!$B:$B,Listas!$A:$A,"")</f>
        <v>Cross Family Trust</v>
      </c>
      <c r="D886" s="41" t="s">
        <v>111</v>
      </c>
      <c r="E886" s="4" t="str">
        <f>_xlfn.XLOOKUP(tblMovimientos[[#This Row],[Cuenta Bancaria]],Listas!$B:$B,Listas!$C:$C,"")</f>
        <v xml:space="preserve">Amerant Bank </v>
      </c>
      <c r="F886" s="41" t="s">
        <v>9</v>
      </c>
      <c r="G886" s="41" t="s">
        <v>69</v>
      </c>
      <c r="H886" s="4" t="str">
        <f>IFERROR(_xlfn.XLOOKUP(G886,Listas!E:E,Listas!F:F,""),"")</f>
        <v>Operativo</v>
      </c>
      <c r="I886" s="46" t="str">
        <f>IFERROR(_xlfn.XLOOKUP(G886,Listas!E:E,Listas!G:G,""),"")</f>
        <v>Interno</v>
      </c>
      <c r="J886" s="43">
        <v>34281.760000000002</v>
      </c>
      <c r="K886" s="5">
        <f t="shared" si="9"/>
        <v>34281.760000000002</v>
      </c>
      <c r="L886" s="15" t="s">
        <v>133</v>
      </c>
      <c r="M886" s="44">
        <f>SUMIFS('Saldos Iniciales'!$D$2:$D$38,'Saldos Iniciales'!$A$2:$A$38,C886,'Saldos Iniciales'!$B$2:$B$38,D886)+SUMIFS($K$1:$K$1033,$C$1:$C$1033,C886,$D$1:$D$1033,D886,$B$1:$B$1033,"&lt;="&amp;B886)</f>
        <v>152999.36000000002</v>
      </c>
      <c r="N886" s="65">
        <f>IF(tblMovimientos[[#This Row],[Tipo de Movimiento]]="Ingreso",tblMovimientos[[#This Row],[Monto (S/)]],"0")</f>
        <v>34281.760000000002</v>
      </c>
      <c r="O886" s="65" t="str">
        <f>IF(tblMovimientos[[#This Row],[Tipo de Movimiento]]="Egreso",tblMovimientos[[#This Row],[Monto (S/)]],"0")</f>
        <v>0</v>
      </c>
      <c r="P886" s="28">
        <f>IF(tblMovimientos[[#This Row],[Tipo de Movimiento]]="Ingreso",tblMovimientos[[#This Row],[Ingreso]],-tblMovimientos[[#This Row],[Egreso]])</f>
        <v>34281.760000000002</v>
      </c>
    </row>
    <row r="887" spans="2:16" x14ac:dyDescent="0.3">
      <c r="B887" s="39">
        <v>46267</v>
      </c>
      <c r="C887" s="46" t="str">
        <f>_xlfn.XLOOKUP(tblMovimientos[[#This Row],[Cuenta Bancaria]],Listas!$B:$B,Listas!$A:$A,"")</f>
        <v>Go Blue</v>
      </c>
      <c r="D887" s="41" t="s">
        <v>126</v>
      </c>
      <c r="E887" s="4" t="str">
        <f>_xlfn.XLOOKUP(tblMovimientos[[#This Row],[Cuenta Bancaria]],Listas!$B:$B,Listas!$C:$C,"")</f>
        <v xml:space="preserve">Amerant Bank </v>
      </c>
      <c r="F887" s="41" t="s">
        <v>10</v>
      </c>
      <c r="G887" s="41" t="s">
        <v>38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55</v>
      </c>
      <c r="K887" s="5">
        <f t="shared" si="9"/>
        <v>-55</v>
      </c>
      <c r="L887" s="15" t="s">
        <v>133</v>
      </c>
      <c r="M887" s="44">
        <f>SUMIFS('Saldos Iniciales'!$D$2:$D$38,'Saldos Iniciales'!$A$2:$A$38,C887,'Saldos Iniciales'!$B$2:$B$38,D887)+SUMIFS($K$1:$K$1033,$C$1:$C$1033,C887,$D$1:$D$1033,D887,$B$1:$B$1033,"&lt;="&amp;B887)</f>
        <v>3797.7699999999986</v>
      </c>
      <c r="N887" s="65" t="str">
        <f>IF(tblMovimientos[[#This Row],[Tipo de Movimiento]]="Ingreso",tblMovimientos[[#This Row],[Monto (S/)]],"0")</f>
        <v>0</v>
      </c>
      <c r="O887" s="65">
        <f>IF(tblMovimientos[[#This Row],[Tipo de Movimiento]]="Egreso",tblMovimientos[[#This Row],[Monto (S/)]],"0")</f>
        <v>55</v>
      </c>
      <c r="P887" s="28">
        <f>IF(tblMovimientos[[#This Row],[Tipo de Movimiento]]="Ingreso",tblMovimientos[[#This Row],[Ingreso]],-tblMovimientos[[#This Row],[Egreso]])</f>
        <v>-55</v>
      </c>
    </row>
    <row r="888" spans="2:16" x14ac:dyDescent="0.3">
      <c r="B888" s="39">
        <v>46267</v>
      </c>
      <c r="C888" s="46" t="str">
        <f>_xlfn.XLOOKUP(tblMovimientos[[#This Row],[Cuenta Bancaria]],Listas!$B:$B,Listas!$A:$A,"")</f>
        <v>Go Blue</v>
      </c>
      <c r="D888" s="41" t="s">
        <v>126</v>
      </c>
      <c r="E888" s="4" t="str">
        <f>_xlfn.XLOOKUP(tblMovimientos[[#This Row],[Cuenta Bancaria]],Listas!$B:$B,Listas!$C:$C,"")</f>
        <v xml:space="preserve">Amerant Bank </v>
      </c>
      <c r="F888" s="41" t="s">
        <v>10</v>
      </c>
      <c r="G888" s="41" t="s">
        <v>38</v>
      </c>
      <c r="H888" s="4" t="str">
        <f>IFERROR(_xlfn.XLOOKUP(G888,Listas!E:E,Listas!F:F,""),"")</f>
        <v>Operativo</v>
      </c>
      <c r="I888" s="46" t="str">
        <f>IFERROR(_xlfn.XLOOKUP(G888,Listas!E:E,Listas!G:G,""),"")</f>
        <v>Externo</v>
      </c>
      <c r="J888" s="43">
        <v>324.05</v>
      </c>
      <c r="K888" s="5">
        <f t="shared" ref="K888:K951" si="10">IF(F888="Ingreso",J888,-J888)</f>
        <v>-324.05</v>
      </c>
      <c r="L888" s="15" t="s">
        <v>133</v>
      </c>
      <c r="M888" s="44">
        <f>SUMIFS('Saldos Iniciales'!$D$2:$D$38,'Saldos Iniciales'!$A$2:$A$38,C888,'Saldos Iniciales'!$B$2:$B$38,D888)+SUMIFS($K$1:$K$1033,$C$1:$C$1033,C888,$D$1:$D$1033,D888,$B$1:$B$1033,"&lt;="&amp;B888)</f>
        <v>3797.7699999999986</v>
      </c>
      <c r="N888" s="65" t="str">
        <f>IF(tblMovimientos[[#This Row],[Tipo de Movimiento]]="Ingreso",tblMovimientos[[#This Row],[Monto (S/)]],"0")</f>
        <v>0</v>
      </c>
      <c r="O888" s="65">
        <f>IF(tblMovimientos[[#This Row],[Tipo de Movimiento]]="Egreso",tblMovimientos[[#This Row],[Monto (S/)]],"0")</f>
        <v>324.05</v>
      </c>
      <c r="P888" s="28">
        <f>IF(tblMovimientos[[#This Row],[Tipo de Movimiento]]="Ingreso",tblMovimientos[[#This Row],[Ingreso]],-tblMovimientos[[#This Row],[Egreso]])</f>
        <v>-324.05</v>
      </c>
    </row>
    <row r="889" spans="2:16" x14ac:dyDescent="0.3">
      <c r="B889" s="39">
        <v>46267</v>
      </c>
      <c r="C889" s="46" t="str">
        <f>_xlfn.XLOOKUP(tblMovimientos[[#This Row],[Cuenta Bancaria]],Listas!$B:$B,Listas!$A:$A,"")</f>
        <v>Go Blue</v>
      </c>
      <c r="D889" s="41" t="s">
        <v>126</v>
      </c>
      <c r="E889" s="4" t="str">
        <f>_xlfn.XLOOKUP(tblMovimientos[[#This Row],[Cuenta Bancaria]],Listas!$B:$B,Listas!$C:$C,"")</f>
        <v xml:space="preserve">Amerant Bank </v>
      </c>
      <c r="F889" s="41" t="s">
        <v>10</v>
      </c>
      <c r="G889" s="41" t="s">
        <v>38</v>
      </c>
      <c r="H889" s="4" t="str">
        <f>IFERROR(_xlfn.XLOOKUP(G889,Listas!E:E,Listas!F:F,""),"")</f>
        <v>Operativo</v>
      </c>
      <c r="I889" s="46" t="str">
        <f>IFERROR(_xlfn.XLOOKUP(G889,Listas!E:E,Listas!G:G,""),"")</f>
        <v>Externo</v>
      </c>
      <c r="J889" s="43">
        <v>3309.58</v>
      </c>
      <c r="K889" s="5">
        <f t="shared" si="10"/>
        <v>-3309.58</v>
      </c>
      <c r="L889" s="15" t="s">
        <v>133</v>
      </c>
      <c r="M889" s="44">
        <f>SUMIFS('Saldos Iniciales'!$D$2:$D$38,'Saldos Iniciales'!$A$2:$A$38,C889,'Saldos Iniciales'!$B$2:$B$38,D889)+SUMIFS($K$1:$K$1033,$C$1:$C$1033,C889,$D$1:$D$1033,D889,$B$1:$B$1033,"&lt;="&amp;B889)</f>
        <v>3797.7699999999986</v>
      </c>
      <c r="N889" s="65" t="str">
        <f>IF(tblMovimientos[[#This Row],[Tipo de Movimiento]]="Ingreso",tblMovimientos[[#This Row],[Monto (S/)]],"0")</f>
        <v>0</v>
      </c>
      <c r="O889" s="65">
        <f>IF(tblMovimientos[[#This Row],[Tipo de Movimiento]]="Egreso",tblMovimientos[[#This Row],[Monto (S/)]],"0")</f>
        <v>3309.58</v>
      </c>
      <c r="P889" s="28">
        <f>IF(tblMovimientos[[#This Row],[Tipo de Movimiento]]="Ingreso",tblMovimientos[[#This Row],[Ingreso]],-tblMovimientos[[#This Row],[Egreso]])</f>
        <v>-3309.58</v>
      </c>
    </row>
    <row r="890" spans="2:16" x14ac:dyDescent="0.3">
      <c r="B890" s="39">
        <v>46267</v>
      </c>
      <c r="C890" s="46" t="str">
        <f>_xlfn.XLOOKUP(tblMovimientos[[#This Row],[Cuenta Bancaria]],Listas!$B:$B,Listas!$A:$A,"")</f>
        <v>Soweto</v>
      </c>
      <c r="D890" s="41" t="s">
        <v>116</v>
      </c>
      <c r="E890" s="4" t="str">
        <f>_xlfn.XLOOKUP(tblMovimientos[[#This Row],[Cuenta Bancaria]],Listas!$B:$B,Listas!$C:$C,"")</f>
        <v>Citibank</v>
      </c>
      <c r="F890" s="41" t="s">
        <v>10</v>
      </c>
      <c r="G890" s="41" t="s">
        <v>50</v>
      </c>
      <c r="H890" s="4" t="str">
        <f>IFERROR(_xlfn.XLOOKUP(G890,Listas!E:E,Listas!F:F,""),"")</f>
        <v>Financiamiento</v>
      </c>
      <c r="I890" s="46" t="str">
        <f>IFERROR(_xlfn.XLOOKUP(G890,Listas!E:E,Listas!G:G,""),"")</f>
        <v>Externo</v>
      </c>
      <c r="J890" s="43">
        <v>699844.76</v>
      </c>
      <c r="K890" s="5">
        <f t="shared" si="10"/>
        <v>-699844.76</v>
      </c>
      <c r="L890" s="15" t="s">
        <v>133</v>
      </c>
      <c r="M890" s="44">
        <f>SUMIFS('Saldos Iniciales'!$D$2:$D$38,'Saldos Iniciales'!$A$2:$A$38,C890,'Saldos Iniciales'!$B$2:$B$38,D890)+SUMIFS($K$1:$K$1033,$C$1:$C$1033,C890,$D$1:$D$1033,D890,$B$1:$B$1033,"&lt;="&amp;B890)</f>
        <v>18005.290000000015</v>
      </c>
      <c r="N890" s="65" t="str">
        <f>IF(tblMovimientos[[#This Row],[Tipo de Movimiento]]="Ingreso",tblMovimientos[[#This Row],[Monto (S/)]],"0")</f>
        <v>0</v>
      </c>
      <c r="O890" s="65">
        <f>IF(tblMovimientos[[#This Row],[Tipo de Movimiento]]="Egreso",tblMovimientos[[#This Row],[Monto (S/)]],"0")</f>
        <v>699844.76</v>
      </c>
      <c r="P890" s="28">
        <f>IF(tblMovimientos[[#This Row],[Tipo de Movimiento]]="Ingreso",tblMovimientos[[#This Row],[Ingreso]],-tblMovimientos[[#This Row],[Egreso]])</f>
        <v>-699844.76</v>
      </c>
    </row>
    <row r="891" spans="2:16" x14ac:dyDescent="0.3">
      <c r="B891" s="39">
        <v>46267</v>
      </c>
      <c r="C891" s="46" t="str">
        <f>_xlfn.XLOOKUP(tblMovimientos[[#This Row],[Cuenta Bancaria]],Listas!$B:$B,Listas!$A:$A,"")</f>
        <v>Soweto</v>
      </c>
      <c r="D891" s="41" t="s">
        <v>116</v>
      </c>
      <c r="E891" s="4" t="str">
        <f>_xlfn.XLOOKUP(tblMovimientos[[#This Row],[Cuenta Bancaria]],Listas!$B:$B,Listas!$C:$C,"")</f>
        <v>Citibank</v>
      </c>
      <c r="F891" s="41" t="s">
        <v>10</v>
      </c>
      <c r="G891" s="41" t="s">
        <v>46</v>
      </c>
      <c r="H891" s="4" t="str">
        <f>IFERROR(_xlfn.XLOOKUP(G891,Listas!E:E,Listas!F:F,""),"")</f>
        <v>Financiamiento</v>
      </c>
      <c r="I891" s="46" t="str">
        <f>IFERROR(_xlfn.XLOOKUP(G891,Listas!E:E,Listas!G:G,""),"")</f>
        <v>Externo</v>
      </c>
      <c r="J891" s="43">
        <v>34281.760000000002</v>
      </c>
      <c r="K891" s="5">
        <f t="shared" si="10"/>
        <v>-34281.760000000002</v>
      </c>
      <c r="L891" s="15" t="s">
        <v>133</v>
      </c>
      <c r="M891" s="44">
        <f>SUMIFS('Saldos Iniciales'!$D$2:$D$38,'Saldos Iniciales'!$A$2:$A$38,C891,'Saldos Iniciales'!$B$2:$B$38,D891)+SUMIFS($K$1:$K$1033,$C$1:$C$1033,C891,$D$1:$D$1033,D891,$B$1:$B$1033,"&lt;="&amp;B891)</f>
        <v>18005.290000000015</v>
      </c>
      <c r="N891" s="65" t="str">
        <f>IF(tblMovimientos[[#This Row],[Tipo de Movimiento]]="Ingreso",tblMovimientos[[#This Row],[Monto (S/)]],"0")</f>
        <v>0</v>
      </c>
      <c r="O891" s="65">
        <f>IF(tblMovimientos[[#This Row],[Tipo de Movimiento]]="Egreso",tblMovimientos[[#This Row],[Monto (S/)]],"0")</f>
        <v>34281.760000000002</v>
      </c>
      <c r="P891" s="28">
        <f>IF(tblMovimientos[[#This Row],[Tipo de Movimiento]]="Ingreso",tblMovimientos[[#This Row],[Ingreso]],-tblMovimientos[[#This Row],[Egreso]])</f>
        <v>-34281.760000000002</v>
      </c>
    </row>
    <row r="892" spans="2:16" x14ac:dyDescent="0.3">
      <c r="B892" s="39">
        <v>46267</v>
      </c>
      <c r="C892" s="46" t="str">
        <f>_xlfn.XLOOKUP(tblMovimientos[[#This Row],[Cuenta Bancaria]],Listas!$B:$B,Listas!$A:$A,"")</f>
        <v>Soweto</v>
      </c>
      <c r="D892" s="41" t="s">
        <v>116</v>
      </c>
      <c r="E892" s="4" t="str">
        <f>_xlfn.XLOOKUP(tblMovimientos[[#This Row],[Cuenta Bancaria]],Listas!$B:$B,Listas!$C:$C,"")</f>
        <v>Citibank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2292.91</v>
      </c>
      <c r="K892" s="5">
        <f t="shared" si="10"/>
        <v>-2292.91</v>
      </c>
      <c r="L892" s="15" t="s">
        <v>133</v>
      </c>
      <c r="M892" s="44">
        <f>SUMIFS('Saldos Iniciales'!$D$2:$D$38,'Saldos Iniciales'!$A$2:$A$38,C892,'Saldos Iniciales'!$B$2:$B$38,D892)+SUMIFS($K$1:$K$1033,$C$1:$C$1033,C892,$D$1:$D$1033,D892,$B$1:$B$1033,"&lt;="&amp;B892)</f>
        <v>18005.290000000015</v>
      </c>
      <c r="N892" s="65" t="str">
        <f>IF(tblMovimientos[[#This Row],[Tipo de Movimiento]]="Ingreso",tblMovimientos[[#This Row],[Monto (S/)]],"0")</f>
        <v>0</v>
      </c>
      <c r="O892" s="65">
        <f>IF(tblMovimientos[[#This Row],[Tipo de Movimiento]]="Egreso",tblMovimientos[[#This Row],[Monto (S/)]],"0")</f>
        <v>2292.91</v>
      </c>
      <c r="P892" s="28">
        <f>IF(tblMovimientos[[#This Row],[Tipo de Movimiento]]="Ingreso",tblMovimientos[[#This Row],[Ingreso]],-tblMovimientos[[#This Row],[Egreso]])</f>
        <v>-2292.91</v>
      </c>
    </row>
    <row r="893" spans="2:16" x14ac:dyDescent="0.3">
      <c r="B893" s="39">
        <v>46090</v>
      </c>
      <c r="C893" s="46" t="str">
        <f>_xlfn.XLOOKUP(tblMovimientos[[#This Row],[Cuenta Bancaria]],Listas!$B:$B,Listas!$A:$A,"")</f>
        <v>SSP Capital</v>
      </c>
      <c r="D893" s="41" t="s">
        <v>101</v>
      </c>
      <c r="E893" s="4" t="str">
        <f>_xlfn.XLOOKUP(tblMovimientos[[#This Row],[Cuenta Bancaria]],Listas!$B:$B,Listas!$C:$C,"")</f>
        <v>Bank of America</v>
      </c>
      <c r="F893" s="41" t="s">
        <v>9</v>
      </c>
      <c r="G893" s="41" t="s">
        <v>73</v>
      </c>
      <c r="H893" s="4" t="str">
        <f>IFERROR(_xlfn.XLOOKUP(G893,Listas!E:E,Listas!F:F,""),"")</f>
        <v>Operativo</v>
      </c>
      <c r="I893" s="46" t="str">
        <f>IFERROR(_xlfn.XLOOKUP(G893,Listas!E:E,Listas!G:G,""),"")</f>
        <v>Interno</v>
      </c>
      <c r="J893" s="43">
        <v>15266.29</v>
      </c>
      <c r="K893" s="5">
        <f t="shared" si="10"/>
        <v>15266.29</v>
      </c>
      <c r="L893" s="15" t="s">
        <v>133</v>
      </c>
      <c r="M893" s="44">
        <f>SUMIFS('Saldos Iniciales'!$D$2:$D$38,'Saldos Iniciales'!$A$2:$A$38,C893,'Saldos Iniciales'!$B$2:$B$38,D893)+SUMIFS($K$1:$K$1033,$C$1:$C$1033,C893,$D$1:$D$1033,D893,$B$1:$B$1033,"&lt;="&amp;B893)</f>
        <v>27645.47</v>
      </c>
      <c r="N893" s="65">
        <f>IF(tblMovimientos[[#This Row],[Tipo de Movimiento]]="Ingreso",tblMovimientos[[#This Row],[Monto (S/)]],"0")</f>
        <v>15266.29</v>
      </c>
      <c r="O893" s="65" t="str">
        <f>IF(tblMovimientos[[#This Row],[Tipo de Movimiento]]="Egreso",tblMovimientos[[#This Row],[Monto (S/)]],"0")</f>
        <v>0</v>
      </c>
      <c r="P893" s="28">
        <f>IF(tblMovimientos[[#This Row],[Tipo de Movimiento]]="Ingreso",tblMovimientos[[#This Row],[Ingreso]],-tblMovimientos[[#This Row],[Egreso]])</f>
        <v>15266.29</v>
      </c>
    </row>
    <row r="894" spans="2:16" x14ac:dyDescent="0.3">
      <c r="B894" s="39">
        <v>46090</v>
      </c>
      <c r="C894" s="46" t="str">
        <f>_xlfn.XLOOKUP(tblMovimientos[[#This Row],[Cuenta Bancaria]],Listas!$B:$B,Listas!$A:$A,"")</f>
        <v>A&amp;M Imports</v>
      </c>
      <c r="D894" s="41" t="s">
        <v>100</v>
      </c>
      <c r="E894" s="4" t="str">
        <f>_xlfn.XLOOKUP(tblMovimientos[[#This Row],[Cuenta Bancaria]],Listas!$B:$B,Listas!$C:$C,"")</f>
        <v>Bank of America</v>
      </c>
      <c r="F894" s="41" t="s">
        <v>10</v>
      </c>
      <c r="G894" s="41" t="s">
        <v>61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60000</v>
      </c>
      <c r="K894" s="5">
        <f t="shared" si="10"/>
        <v>-60000</v>
      </c>
      <c r="L894" s="15" t="s">
        <v>133</v>
      </c>
      <c r="M894" s="44">
        <f>SUMIFS('Saldos Iniciales'!$D$2:$D$38,'Saldos Iniciales'!$A$2:$A$38,C894,'Saldos Iniciales'!$B$2:$B$38,D894)+SUMIFS($K$1:$K$1033,$C$1:$C$1033,C894,$D$1:$D$1033,D894,$B$1:$B$1033,"&lt;="&amp;B894)</f>
        <v>8128.3500000000058</v>
      </c>
      <c r="N894" s="65" t="str">
        <f>IF(tblMovimientos[[#This Row],[Tipo de Movimiento]]="Ingreso",tblMovimientos[[#This Row],[Monto (S/)]],"0")</f>
        <v>0</v>
      </c>
      <c r="O894" s="65">
        <f>IF(tblMovimientos[[#This Row],[Tipo de Movimiento]]="Egreso",tblMovimientos[[#This Row],[Monto (S/)]],"0")</f>
        <v>60000</v>
      </c>
      <c r="P894" s="28">
        <f>IF(tblMovimientos[[#This Row],[Tipo de Movimiento]]="Ingreso",tblMovimientos[[#This Row],[Ingreso]],-tblMovimientos[[#This Row],[Egreso]])</f>
        <v>-60000</v>
      </c>
    </row>
    <row r="895" spans="2:16" x14ac:dyDescent="0.3">
      <c r="B895" s="39">
        <v>46090</v>
      </c>
      <c r="C895" s="46" t="str">
        <f>_xlfn.XLOOKUP(tblMovimientos[[#This Row],[Cuenta Bancaria]],Listas!$B:$B,Listas!$A:$A,"")</f>
        <v>A&amp;M Imports</v>
      </c>
      <c r="D895" s="41" t="s">
        <v>100</v>
      </c>
      <c r="E895" s="4" t="str">
        <f>_xlfn.XLOOKUP(tblMovimientos[[#This Row],[Cuenta Bancaria]],Listas!$B:$B,Listas!$C:$C,"")</f>
        <v>Bank of America</v>
      </c>
      <c r="F895" s="41" t="s">
        <v>10</v>
      </c>
      <c r="G895" s="41" t="s">
        <v>61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60000</v>
      </c>
      <c r="K895" s="5">
        <f t="shared" si="10"/>
        <v>-60000</v>
      </c>
      <c r="L895" s="15" t="s">
        <v>133</v>
      </c>
      <c r="M895" s="44">
        <f>SUMIFS('Saldos Iniciales'!$D$2:$D$38,'Saldos Iniciales'!$A$2:$A$38,C895,'Saldos Iniciales'!$B$2:$B$38,D895)+SUMIFS($K$1:$K$1033,$C$1:$C$1033,C895,$D$1:$D$1033,D895,$B$1:$B$1033,"&lt;="&amp;B895)</f>
        <v>8128.3500000000058</v>
      </c>
      <c r="N895" s="65" t="str">
        <f>IF(tblMovimientos[[#This Row],[Tipo de Movimiento]]="Ingreso",tblMovimientos[[#This Row],[Monto (S/)]],"0")</f>
        <v>0</v>
      </c>
      <c r="O895" s="65">
        <f>IF(tblMovimientos[[#This Row],[Tipo de Movimiento]]="Egreso",tblMovimientos[[#This Row],[Monto (S/)]],"0")</f>
        <v>60000</v>
      </c>
      <c r="P895" s="28">
        <f>IF(tblMovimientos[[#This Row],[Tipo de Movimiento]]="Ingreso",tblMovimientos[[#This Row],[Ingreso]],-tblMovimientos[[#This Row],[Egreso]])</f>
        <v>-60000</v>
      </c>
    </row>
    <row r="896" spans="2:16" x14ac:dyDescent="0.3">
      <c r="B896" s="39">
        <v>46090</v>
      </c>
      <c r="C896" s="46" t="str">
        <f>_xlfn.XLOOKUP(tblMovimientos[[#This Row],[Cuenta Bancaria]],Listas!$B:$B,Listas!$A:$A,"")</f>
        <v>A&amp;M Imports</v>
      </c>
      <c r="D896" s="41" t="s">
        <v>100</v>
      </c>
      <c r="E896" s="4" t="str">
        <f>_xlfn.XLOOKUP(tblMovimientos[[#This Row],[Cuenta Bancaria]],Listas!$B:$B,Listas!$C:$C,"")</f>
        <v>Bank of America</v>
      </c>
      <c r="F896" s="41" t="s">
        <v>10</v>
      </c>
      <c r="G896" s="41" t="s">
        <v>48</v>
      </c>
      <c r="H896" s="4" t="str">
        <f>IFERROR(_xlfn.XLOOKUP(G896,Listas!E:E,Listas!F:F,""),"")</f>
        <v>Financiamiento</v>
      </c>
      <c r="I896" s="46" t="str">
        <f>IFERROR(_xlfn.XLOOKUP(G896,Listas!E:E,Listas!G:G,""),"")</f>
        <v>Externo</v>
      </c>
      <c r="J896" s="43">
        <v>15266.29</v>
      </c>
      <c r="K896" s="5">
        <f t="shared" si="10"/>
        <v>-15266.29</v>
      </c>
      <c r="L896" s="15" t="s">
        <v>133</v>
      </c>
      <c r="M896" s="44">
        <f>SUMIFS('Saldos Iniciales'!$D$2:$D$38,'Saldos Iniciales'!$A$2:$A$38,C896,'Saldos Iniciales'!$B$2:$B$38,D896)+SUMIFS($K$1:$K$1033,$C$1:$C$1033,C896,$D$1:$D$1033,D896,$B$1:$B$1033,"&lt;="&amp;B896)</f>
        <v>8128.3500000000058</v>
      </c>
      <c r="N896" s="65" t="str">
        <f>IF(tblMovimientos[[#This Row],[Tipo de Movimiento]]="Ingreso",tblMovimientos[[#This Row],[Monto (S/)]],"0")</f>
        <v>0</v>
      </c>
      <c r="O896" s="65">
        <f>IF(tblMovimientos[[#This Row],[Tipo de Movimiento]]="Egreso",tblMovimientos[[#This Row],[Monto (S/)]],"0")</f>
        <v>15266.29</v>
      </c>
      <c r="P896" s="28">
        <f>IF(tblMovimientos[[#This Row],[Tipo de Movimiento]]="Ingreso",tblMovimientos[[#This Row],[Ingreso]],-tblMovimientos[[#This Row],[Egreso]])</f>
        <v>-15266.29</v>
      </c>
    </row>
    <row r="897" spans="2:16" x14ac:dyDescent="0.3">
      <c r="B897" s="39">
        <v>46090</v>
      </c>
      <c r="C897" s="46" t="str">
        <f>_xlfn.XLOOKUP(tblMovimientos[[#This Row],[Cuenta Bancaria]],Listas!$B:$B,Listas!$A:$A,"")</f>
        <v>A&amp;M Imports</v>
      </c>
      <c r="D897" s="41" t="s">
        <v>100</v>
      </c>
      <c r="E897" s="4" t="str">
        <f>_xlfn.XLOOKUP(tblMovimientos[[#This Row],[Cuenta Bancaria]],Listas!$B:$B,Listas!$C:$C,"")</f>
        <v>Bank of America</v>
      </c>
      <c r="F897" s="41" t="s">
        <v>10</v>
      </c>
      <c r="G897" s="41" t="s">
        <v>51</v>
      </c>
      <c r="H897" s="4" t="str">
        <f>IFERROR(_xlfn.XLOOKUP(G897,Listas!E:E,Listas!F:F,""),"")</f>
        <v>Financiamiento</v>
      </c>
      <c r="I897" s="46" t="str">
        <f>IFERROR(_xlfn.XLOOKUP(G897,Listas!E:E,Listas!G:G,""),"")</f>
        <v>Externo</v>
      </c>
      <c r="J897" s="43">
        <v>33693.949999999997</v>
      </c>
      <c r="K897" s="5">
        <f t="shared" si="10"/>
        <v>-33693.949999999997</v>
      </c>
      <c r="L897" s="15" t="s">
        <v>133</v>
      </c>
      <c r="M897" s="44">
        <f>SUMIFS('Saldos Iniciales'!$D$2:$D$38,'Saldos Iniciales'!$A$2:$A$38,C897,'Saldos Iniciales'!$B$2:$B$38,D897)+SUMIFS($K$1:$K$1033,$C$1:$C$1033,C897,$D$1:$D$1033,D897,$B$1:$B$1033,"&lt;="&amp;B897)</f>
        <v>8128.3500000000058</v>
      </c>
      <c r="N897" s="65" t="str">
        <f>IF(tblMovimientos[[#This Row],[Tipo de Movimiento]]="Ingreso",tblMovimientos[[#This Row],[Monto (S/)]],"0")</f>
        <v>0</v>
      </c>
      <c r="O897" s="65">
        <f>IF(tblMovimientos[[#This Row],[Tipo de Movimiento]]="Egreso",tblMovimientos[[#This Row],[Monto (S/)]],"0")</f>
        <v>33693.949999999997</v>
      </c>
      <c r="P897" s="28">
        <f>IF(tblMovimientos[[#This Row],[Tipo de Movimiento]]="Ingreso",tblMovimientos[[#This Row],[Ingreso]],-tblMovimientos[[#This Row],[Egreso]])</f>
        <v>-33693.949999999997</v>
      </c>
    </row>
    <row r="898" spans="2:16" x14ac:dyDescent="0.3">
      <c r="B898" s="39">
        <v>46090</v>
      </c>
      <c r="C898" s="46" t="str">
        <f>_xlfn.XLOOKUP(tblMovimientos[[#This Row],[Cuenta Bancaria]],Listas!$B:$B,Listas!$A:$A,"")</f>
        <v>CFT Group</v>
      </c>
      <c r="D898" s="41" t="s">
        <v>94</v>
      </c>
      <c r="E898" s="4" t="str">
        <f>_xlfn.XLOOKUP(tblMovimientos[[#This Row],[Cuenta Bancaria]],Listas!$B:$B,Listas!$C:$C,"")</f>
        <v>Bank of America</v>
      </c>
      <c r="F898" s="41" t="s">
        <v>10</v>
      </c>
      <c r="G898" s="41" t="s">
        <v>64</v>
      </c>
      <c r="H898" s="4" t="str">
        <f>IFERROR(_xlfn.XLOOKUP(G898,Listas!E:E,Listas!F:F,""),"")</f>
        <v>Operativo</v>
      </c>
      <c r="I898" s="46" t="str">
        <f>IFERROR(_xlfn.XLOOKUP(G898,Listas!E:E,Listas!G:G,""),"")</f>
        <v>Interno</v>
      </c>
      <c r="J898" s="43">
        <v>400000</v>
      </c>
      <c r="K898" s="5">
        <f t="shared" si="10"/>
        <v>-400000</v>
      </c>
      <c r="L898" s="15" t="s">
        <v>133</v>
      </c>
      <c r="M898" s="44">
        <f>SUMIFS('Saldos Iniciales'!$D$2:$D$38,'Saldos Iniciales'!$A$2:$A$38,C898,'Saldos Iniciales'!$B$2:$B$38,D898)+SUMIFS($K$1:$K$1033,$C$1:$C$1033,C898,$D$1:$D$1033,D898,$B$1:$B$1033,"&lt;="&amp;B898)</f>
        <v>-267310.95</v>
      </c>
      <c r="N898" s="65" t="str">
        <f>IF(tblMovimientos[[#This Row],[Tipo de Movimiento]]="Ingreso",tblMovimientos[[#This Row],[Monto (S/)]],"0")</f>
        <v>0</v>
      </c>
      <c r="O898" s="65">
        <f>IF(tblMovimientos[[#This Row],[Tipo de Movimiento]]="Egreso",tblMovimientos[[#This Row],[Monto (S/)]],"0")</f>
        <v>400000</v>
      </c>
      <c r="P898" s="28">
        <f>IF(tblMovimientos[[#This Row],[Tipo de Movimiento]]="Ingreso",tblMovimientos[[#This Row],[Ingreso]],-tblMovimientos[[#This Row],[Egreso]])</f>
        <v>-400000</v>
      </c>
    </row>
    <row r="899" spans="2:16" x14ac:dyDescent="0.3">
      <c r="B899" s="39">
        <v>46090</v>
      </c>
      <c r="C899" s="46" t="str">
        <f>_xlfn.XLOOKUP(tblMovimientos[[#This Row],[Cuenta Bancaria]],Listas!$B:$B,Listas!$A:$A,"")</f>
        <v>CFT Group</v>
      </c>
      <c r="D899" s="41" t="s">
        <v>95</v>
      </c>
      <c r="E899" s="4" t="str">
        <f>_xlfn.XLOOKUP(tblMovimientos[[#This Row],[Cuenta Bancaria]],Listas!$B:$B,Listas!$C:$C,"")</f>
        <v xml:space="preserve">Amerant Bank </v>
      </c>
      <c r="F899" s="41" t="s">
        <v>9</v>
      </c>
      <c r="G899" s="41" t="s">
        <v>85</v>
      </c>
      <c r="H899" s="4" t="str">
        <f>IFERROR(_xlfn.XLOOKUP(G899,Listas!E:E,Listas!F:F,""),"")</f>
        <v>Operativo</v>
      </c>
      <c r="I899" s="46" t="str">
        <f>IFERROR(_xlfn.XLOOKUP(G899,Listas!E:E,Listas!G:G,""),"")</f>
        <v>Interno</v>
      </c>
      <c r="J899" s="43">
        <v>400000</v>
      </c>
      <c r="K899" s="5">
        <f t="shared" si="10"/>
        <v>400000</v>
      </c>
      <c r="L899" s="15" t="s">
        <v>133</v>
      </c>
      <c r="M899" s="44">
        <f>SUMIFS('Saldos Iniciales'!$D$2:$D$38,'Saldos Iniciales'!$A$2:$A$38,C899,'Saldos Iniciales'!$B$2:$B$38,D899)+SUMIFS($K$1:$K$1033,$C$1:$C$1033,C899,$D$1:$D$1033,D899,$B$1:$B$1033,"&lt;="&amp;B899)</f>
        <v>47657.860000000277</v>
      </c>
      <c r="N899" s="65">
        <f>IF(tblMovimientos[[#This Row],[Tipo de Movimiento]]="Ingreso",tblMovimientos[[#This Row],[Monto (S/)]],"0")</f>
        <v>400000</v>
      </c>
      <c r="O899" s="65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400000</v>
      </c>
    </row>
    <row r="900" spans="2:16" x14ac:dyDescent="0.3">
      <c r="B900" s="39">
        <v>46090</v>
      </c>
      <c r="C900" s="46" t="str">
        <f>_xlfn.XLOOKUP(tblMovimientos[[#This Row],[Cuenta Bancaria]],Listas!$B:$B,Listas!$A:$A,"")</f>
        <v>CFT Group</v>
      </c>
      <c r="D900" s="41" t="s">
        <v>95</v>
      </c>
      <c r="E900" s="4" t="str">
        <f>_xlfn.XLOOKUP(tblMovimientos[[#This Row],[Cuenta Bancaria]],Listas!$B:$B,Listas!$C:$C,"")</f>
        <v xml:space="preserve">Amerant Bank </v>
      </c>
      <c r="F900" s="41" t="s">
        <v>10</v>
      </c>
      <c r="G900" s="41" t="s">
        <v>38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500</v>
      </c>
      <c r="K900" s="5">
        <f t="shared" si="10"/>
        <v>-500</v>
      </c>
      <c r="L900" s="15" t="s">
        <v>133</v>
      </c>
      <c r="M900" s="44">
        <f>SUMIFS('Saldos Iniciales'!$D$2:$D$38,'Saldos Iniciales'!$A$2:$A$38,C900,'Saldos Iniciales'!$B$2:$B$38,D900)+SUMIFS($K$1:$K$1033,$C$1:$C$1033,C900,$D$1:$D$1033,D900,$B$1:$B$1033,"&lt;="&amp;B900)</f>
        <v>47657.860000000277</v>
      </c>
      <c r="N900" s="65" t="str">
        <f>IF(tblMovimientos[[#This Row],[Tipo de Movimiento]]="Ingreso",tblMovimientos[[#This Row],[Monto (S/)]],"0")</f>
        <v>0</v>
      </c>
      <c r="O900" s="65">
        <f>IF(tblMovimientos[[#This Row],[Tipo de Movimiento]]="Egreso",tblMovimientos[[#This Row],[Monto (S/)]],"0")</f>
        <v>500</v>
      </c>
      <c r="P900" s="28">
        <f>IF(tblMovimientos[[#This Row],[Tipo de Movimiento]]="Ingreso",tblMovimientos[[#This Row],[Ingreso]],-tblMovimientos[[#This Row],[Egreso]])</f>
        <v>-500</v>
      </c>
    </row>
    <row r="901" spans="2:16" x14ac:dyDescent="0.3">
      <c r="B901" s="39">
        <v>46090</v>
      </c>
      <c r="C901" s="46" t="str">
        <f>_xlfn.XLOOKUP(tblMovimientos[[#This Row],[Cuenta Bancaria]],Listas!$B:$B,Listas!$A:$A,"")</f>
        <v>CFT Group</v>
      </c>
      <c r="D901" s="41" t="s">
        <v>95</v>
      </c>
      <c r="E901" s="4" t="str">
        <f>_xlfn.XLOOKUP(tblMovimientos[[#This Row],[Cuenta Bancaria]],Listas!$B:$B,Listas!$C:$C,"")</f>
        <v xml:space="preserve">Amerant Bank </v>
      </c>
      <c r="F901" s="41" t="s">
        <v>10</v>
      </c>
      <c r="G901" s="41" t="s">
        <v>46</v>
      </c>
      <c r="H901" s="4" t="str">
        <f>IFERROR(_xlfn.XLOOKUP(G901,Listas!E:E,Listas!F:F,""),"")</f>
        <v>Financiamiento</v>
      </c>
      <c r="I901" s="46" t="str">
        <f>IFERROR(_xlfn.XLOOKUP(G901,Listas!E:E,Listas!G:G,""),"")</f>
        <v>Externo</v>
      </c>
      <c r="J901" s="43">
        <v>2975</v>
      </c>
      <c r="K901" s="5">
        <f t="shared" si="10"/>
        <v>-2975</v>
      </c>
      <c r="L901" s="15" t="s">
        <v>133</v>
      </c>
      <c r="M901" s="44">
        <f>SUMIFS('Saldos Iniciales'!$D$2:$D$38,'Saldos Iniciales'!$A$2:$A$38,C901,'Saldos Iniciales'!$B$2:$B$38,D901)+SUMIFS($K$1:$K$1033,$C$1:$C$1033,C901,$D$1:$D$1033,D901,$B$1:$B$1033,"&lt;="&amp;B901)</f>
        <v>47657.860000000277</v>
      </c>
      <c r="N901" s="65" t="str">
        <f>IF(tblMovimientos[[#This Row],[Tipo de Movimiento]]="Ingreso",tblMovimientos[[#This Row],[Monto (S/)]],"0")</f>
        <v>0</v>
      </c>
      <c r="O901" s="65">
        <f>IF(tblMovimientos[[#This Row],[Tipo de Movimiento]]="Egreso",tblMovimientos[[#This Row],[Monto (S/)]],"0")</f>
        <v>2975</v>
      </c>
      <c r="P901" s="28">
        <f>IF(tblMovimientos[[#This Row],[Tipo de Movimiento]]="Ingreso",tblMovimientos[[#This Row],[Ingreso]],-tblMovimientos[[#This Row],[Egreso]])</f>
        <v>-2975</v>
      </c>
    </row>
    <row r="902" spans="2:16" x14ac:dyDescent="0.3">
      <c r="B902" s="39">
        <v>46090</v>
      </c>
      <c r="C902" s="46" t="str">
        <f>_xlfn.XLOOKUP(tblMovimientos[[#This Row],[Cuenta Bancaria]],Listas!$B:$B,Listas!$A:$A,"")</f>
        <v>CFT Group</v>
      </c>
      <c r="D902" s="41" t="s">
        <v>95</v>
      </c>
      <c r="E902" s="4" t="str">
        <f>_xlfn.XLOOKUP(tblMovimientos[[#This Row],[Cuenta Bancaria]],Listas!$B:$B,Listas!$C:$C,"")</f>
        <v xml:space="preserve">Amerant Bank </v>
      </c>
      <c r="F902" s="41" t="s">
        <v>10</v>
      </c>
      <c r="G902" s="41" t="s">
        <v>46</v>
      </c>
      <c r="H902" s="4" t="str">
        <f>IFERROR(_xlfn.XLOOKUP(G902,Listas!E:E,Listas!F:F,""),"")</f>
        <v>Financiamiento</v>
      </c>
      <c r="I902" s="46" t="str">
        <f>IFERROR(_xlfn.XLOOKUP(G902,Listas!E:E,Listas!G:G,""),"")</f>
        <v>Externo</v>
      </c>
      <c r="J902" s="43">
        <v>11666.67</v>
      </c>
      <c r="K902" s="5">
        <f t="shared" si="10"/>
        <v>-11666.67</v>
      </c>
      <c r="L902" s="15" t="s">
        <v>133</v>
      </c>
      <c r="M902" s="44">
        <f>SUMIFS('Saldos Iniciales'!$D$2:$D$38,'Saldos Iniciales'!$A$2:$A$38,C902,'Saldos Iniciales'!$B$2:$B$38,D902)+SUMIFS($K$1:$K$1033,$C$1:$C$1033,C902,$D$1:$D$1033,D902,$B$1:$B$1033,"&lt;="&amp;B902)</f>
        <v>47657.860000000277</v>
      </c>
      <c r="N902" s="65" t="str">
        <f>IF(tblMovimientos[[#This Row],[Tipo de Movimiento]]="Ingreso",tblMovimientos[[#This Row],[Monto (S/)]],"0")</f>
        <v>0</v>
      </c>
      <c r="O902" s="65">
        <f>IF(tblMovimientos[[#This Row],[Tipo de Movimiento]]="Egreso",tblMovimientos[[#This Row],[Monto (S/)]],"0")</f>
        <v>11666.67</v>
      </c>
      <c r="P902" s="28">
        <f>IF(tblMovimientos[[#This Row],[Tipo de Movimiento]]="Ingreso",tblMovimientos[[#This Row],[Ingreso]],-tblMovimientos[[#This Row],[Egreso]])</f>
        <v>-11666.67</v>
      </c>
    </row>
    <row r="903" spans="2:16" x14ac:dyDescent="0.3">
      <c r="B903" s="39">
        <v>46090</v>
      </c>
      <c r="C903" s="46" t="str">
        <f>_xlfn.XLOOKUP(tblMovimientos[[#This Row],[Cuenta Bancaria]],Listas!$B:$B,Listas!$A:$A,"")</f>
        <v>CFT Group</v>
      </c>
      <c r="D903" s="41" t="s">
        <v>95</v>
      </c>
      <c r="E903" s="4" t="str">
        <f>_xlfn.XLOOKUP(tblMovimientos[[#This Row],[Cuenta Bancaria]],Listas!$B:$B,Listas!$C:$C,"")</f>
        <v xml:space="preserve">Amerant Bank </v>
      </c>
      <c r="F903" s="41" t="s">
        <v>10</v>
      </c>
      <c r="G903" s="41" t="s">
        <v>61</v>
      </c>
      <c r="H903" s="4" t="str">
        <f>IFERROR(_xlfn.XLOOKUP(G903,Listas!E:E,Listas!F:F,""),"")</f>
        <v>Operativo</v>
      </c>
      <c r="I903" s="46" t="str">
        <f>IFERROR(_xlfn.XLOOKUP(G903,Listas!E:E,Listas!G:G,""),"")</f>
        <v>Externo</v>
      </c>
      <c r="J903" s="43">
        <v>40000</v>
      </c>
      <c r="K903" s="5">
        <f t="shared" si="10"/>
        <v>-40000</v>
      </c>
      <c r="L903" s="15" t="s">
        <v>133</v>
      </c>
      <c r="M903" s="44">
        <f>SUMIFS('Saldos Iniciales'!$D$2:$D$38,'Saldos Iniciales'!$A$2:$A$38,C903,'Saldos Iniciales'!$B$2:$B$38,D903)+SUMIFS($K$1:$K$1033,$C$1:$C$1033,C903,$D$1:$D$1033,D903,$B$1:$B$1033,"&lt;="&amp;B903)</f>
        <v>47657.860000000277</v>
      </c>
      <c r="N903" s="65" t="str">
        <f>IF(tblMovimientos[[#This Row],[Tipo de Movimiento]]="Ingreso",tblMovimientos[[#This Row],[Monto (S/)]],"0")</f>
        <v>0</v>
      </c>
      <c r="O903" s="65">
        <f>IF(tblMovimientos[[#This Row],[Tipo de Movimiento]]="Egreso",tblMovimientos[[#This Row],[Monto (S/)]],"0")</f>
        <v>40000</v>
      </c>
      <c r="P903" s="28">
        <f>IF(tblMovimientos[[#This Row],[Tipo de Movimiento]]="Ingreso",tblMovimientos[[#This Row],[Ingreso]],-tblMovimientos[[#This Row],[Egreso]])</f>
        <v>-40000</v>
      </c>
    </row>
    <row r="904" spans="2:16" x14ac:dyDescent="0.3">
      <c r="B904" s="39">
        <v>46090</v>
      </c>
      <c r="C904" s="46" t="str">
        <f>_xlfn.XLOOKUP(tblMovimientos[[#This Row],[Cuenta Bancaria]],Listas!$B:$B,Listas!$A:$A,"")</f>
        <v>CFT Group</v>
      </c>
      <c r="D904" s="41" t="s">
        <v>95</v>
      </c>
      <c r="E904" s="4" t="str">
        <f>_xlfn.XLOOKUP(tblMovimientos[[#This Row],[Cuenta Bancaria]],Listas!$B:$B,Listas!$C:$C,"")</f>
        <v xml:space="preserve">Amerant Bank </v>
      </c>
      <c r="F904" s="41" t="s">
        <v>10</v>
      </c>
      <c r="G904" s="41" t="s">
        <v>61</v>
      </c>
      <c r="H904" s="4" t="str">
        <f>IFERROR(_xlfn.XLOOKUP(G904,Listas!E:E,Listas!F:F,""),"")</f>
        <v>Operativo</v>
      </c>
      <c r="I904" s="46" t="str">
        <f>IFERROR(_xlfn.XLOOKUP(G904,Listas!E:E,Listas!G:G,""),"")</f>
        <v>Externo</v>
      </c>
      <c r="J904" s="43">
        <v>60000</v>
      </c>
      <c r="K904" s="5">
        <f t="shared" si="10"/>
        <v>-60000</v>
      </c>
      <c r="L904" s="15" t="s">
        <v>133</v>
      </c>
      <c r="M904" s="44">
        <f>SUMIFS('Saldos Iniciales'!$D$2:$D$38,'Saldos Iniciales'!$A$2:$A$38,C904,'Saldos Iniciales'!$B$2:$B$38,D904)+SUMIFS($K$1:$K$1033,$C$1:$C$1033,C904,$D$1:$D$1033,D904,$B$1:$B$1033,"&lt;="&amp;B904)</f>
        <v>47657.860000000277</v>
      </c>
      <c r="N904" s="65" t="str">
        <f>IF(tblMovimientos[[#This Row],[Tipo de Movimiento]]="Ingreso",tblMovimientos[[#This Row],[Monto (S/)]],"0")</f>
        <v>0</v>
      </c>
      <c r="O904" s="65">
        <f>IF(tblMovimientos[[#This Row],[Tipo de Movimiento]]="Egreso",tblMovimientos[[#This Row],[Monto (S/)]],"0")</f>
        <v>60000</v>
      </c>
      <c r="P904" s="28">
        <f>IF(tblMovimientos[[#This Row],[Tipo de Movimiento]]="Ingreso",tblMovimientos[[#This Row],[Ingreso]],-tblMovimientos[[#This Row],[Egreso]])</f>
        <v>-60000</v>
      </c>
    </row>
    <row r="905" spans="2:16" x14ac:dyDescent="0.3">
      <c r="B905" s="39">
        <v>46090</v>
      </c>
      <c r="C905" s="46" t="str">
        <f>_xlfn.XLOOKUP(tblMovimientos[[#This Row],[Cuenta Bancaria]],Listas!$B:$B,Listas!$A:$A,"")</f>
        <v>CFT Group</v>
      </c>
      <c r="D905" s="41" t="s">
        <v>95</v>
      </c>
      <c r="E905" s="4" t="str">
        <f>_xlfn.XLOOKUP(tblMovimientos[[#This Row],[Cuenta Bancaria]],Listas!$B:$B,Listas!$C:$C,"")</f>
        <v xml:space="preserve">Amerant Bank </v>
      </c>
      <c r="F905" s="41" t="s">
        <v>10</v>
      </c>
      <c r="G905" s="41" t="s">
        <v>61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100000</v>
      </c>
      <c r="K905" s="5">
        <f t="shared" si="10"/>
        <v>-100000</v>
      </c>
      <c r="L905" s="15" t="s">
        <v>133</v>
      </c>
      <c r="M905" s="44">
        <f>SUMIFS('Saldos Iniciales'!$D$2:$D$38,'Saldos Iniciales'!$A$2:$A$38,C905,'Saldos Iniciales'!$B$2:$B$38,D905)+SUMIFS($K$1:$K$1033,$C$1:$C$1033,C905,$D$1:$D$1033,D905,$B$1:$B$1033,"&lt;="&amp;B905)</f>
        <v>47657.860000000277</v>
      </c>
      <c r="N905" s="65" t="str">
        <f>IF(tblMovimientos[[#This Row],[Tipo de Movimiento]]="Ingreso",tblMovimientos[[#This Row],[Monto (S/)]],"0")</f>
        <v>0</v>
      </c>
      <c r="O905" s="65">
        <f>IF(tblMovimientos[[#This Row],[Tipo de Movimiento]]="Egreso",tblMovimientos[[#This Row],[Monto (S/)]],"0")</f>
        <v>100000</v>
      </c>
      <c r="P905" s="28">
        <f>IF(tblMovimientos[[#This Row],[Tipo de Movimiento]]="Ingreso",tblMovimientos[[#This Row],[Ingreso]],-tblMovimientos[[#This Row],[Egreso]])</f>
        <v>-100000</v>
      </c>
    </row>
    <row r="906" spans="2:16" x14ac:dyDescent="0.3">
      <c r="B906" s="39">
        <v>46090</v>
      </c>
      <c r="C906" s="46" t="str">
        <f>_xlfn.XLOOKUP(tblMovimientos[[#This Row],[Cuenta Bancaria]],Listas!$B:$B,Listas!$A:$A,"")</f>
        <v>CFT Group</v>
      </c>
      <c r="D906" s="41" t="s">
        <v>95</v>
      </c>
      <c r="E906" s="4" t="str">
        <f>_xlfn.XLOOKUP(tblMovimientos[[#This Row],[Cuenta Bancaria]],Listas!$B:$B,Listas!$C:$C,"")</f>
        <v xml:space="preserve">Amerant Bank </v>
      </c>
      <c r="F906" s="41" t="s">
        <v>10</v>
      </c>
      <c r="G906" s="41" t="s">
        <v>61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100000</v>
      </c>
      <c r="K906" s="5">
        <f t="shared" si="10"/>
        <v>-100000</v>
      </c>
      <c r="L906" s="15" t="s">
        <v>133</v>
      </c>
      <c r="M906" s="44">
        <f>SUMIFS('Saldos Iniciales'!$D$2:$D$38,'Saldos Iniciales'!$A$2:$A$38,C906,'Saldos Iniciales'!$B$2:$B$38,D906)+SUMIFS($K$1:$K$1033,$C$1:$C$1033,C906,$D$1:$D$1033,D906,$B$1:$B$1033,"&lt;="&amp;B906)</f>
        <v>47657.860000000277</v>
      </c>
      <c r="N906" s="65" t="str">
        <f>IF(tblMovimientos[[#This Row],[Tipo de Movimiento]]="Ingreso",tblMovimientos[[#This Row],[Monto (S/)]],"0")</f>
        <v>0</v>
      </c>
      <c r="O906" s="65">
        <f>IF(tblMovimientos[[#This Row],[Tipo de Movimiento]]="Egreso",tblMovimientos[[#This Row],[Monto (S/)]],"0")</f>
        <v>100000</v>
      </c>
      <c r="P906" s="28">
        <f>IF(tblMovimientos[[#This Row],[Tipo de Movimiento]]="Ingreso",tblMovimientos[[#This Row],[Ingreso]],-tblMovimientos[[#This Row],[Egreso]])</f>
        <v>-100000</v>
      </c>
    </row>
    <row r="907" spans="2:16" x14ac:dyDescent="0.3">
      <c r="B907" s="39">
        <v>46090</v>
      </c>
      <c r="C907" s="46" t="str">
        <f>_xlfn.XLOOKUP(tblMovimientos[[#This Row],[Cuenta Bancaria]],Listas!$B:$B,Listas!$A:$A,"")</f>
        <v>CFT Group</v>
      </c>
      <c r="D907" s="41" t="s">
        <v>95</v>
      </c>
      <c r="E907" s="4" t="str">
        <f>_xlfn.XLOOKUP(tblMovimientos[[#This Row],[Cuenta Bancaria]],Listas!$B:$B,Listas!$C:$C,"")</f>
        <v xml:space="preserve">Amerant Bank </v>
      </c>
      <c r="F907" s="41" t="s">
        <v>10</v>
      </c>
      <c r="G907" s="41" t="s">
        <v>61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100000</v>
      </c>
      <c r="K907" s="5">
        <f t="shared" si="10"/>
        <v>-100000</v>
      </c>
      <c r="L907" s="15" t="s">
        <v>133</v>
      </c>
      <c r="M907" s="44">
        <f>SUMIFS('Saldos Iniciales'!$D$2:$D$38,'Saldos Iniciales'!$A$2:$A$38,C907,'Saldos Iniciales'!$B$2:$B$38,D907)+SUMIFS($K$1:$K$1033,$C$1:$C$1033,C907,$D$1:$D$1033,D907,$B$1:$B$1033,"&lt;="&amp;B907)</f>
        <v>47657.860000000277</v>
      </c>
      <c r="N907" s="65" t="str">
        <f>IF(tblMovimientos[[#This Row],[Tipo de Movimiento]]="Ingreso",tblMovimientos[[#This Row],[Monto (S/)]],"0")</f>
        <v>0</v>
      </c>
      <c r="O907" s="65">
        <f>IF(tblMovimientos[[#This Row],[Tipo de Movimiento]]="Egreso",tblMovimientos[[#This Row],[Monto (S/)]],"0")</f>
        <v>100000</v>
      </c>
      <c r="P907" s="28">
        <f>IF(tblMovimientos[[#This Row],[Tipo de Movimiento]]="Ingreso",tblMovimientos[[#This Row],[Ingreso]],-tblMovimientos[[#This Row],[Egreso]])</f>
        <v>-100000</v>
      </c>
    </row>
    <row r="908" spans="2:16" x14ac:dyDescent="0.3">
      <c r="B908" s="39">
        <v>46121</v>
      </c>
      <c r="C908" s="46" t="str">
        <f>_xlfn.XLOOKUP(tblMovimientos[[#This Row],[Cuenta Bancaria]],Listas!$B:$B,Listas!$A:$A,"")</f>
        <v>SSP Capital</v>
      </c>
      <c r="D908" s="41" t="s">
        <v>101</v>
      </c>
      <c r="E908" s="4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1024.17</v>
      </c>
      <c r="K908" s="5">
        <f t="shared" si="10"/>
        <v>-1024.17</v>
      </c>
      <c r="L908" s="15" t="s">
        <v>133</v>
      </c>
      <c r="M908" s="44">
        <f>SUMIFS('Saldos Iniciales'!$D$2:$D$38,'Saldos Iniciales'!$A$2:$A$38,C908,'Saldos Iniciales'!$B$2:$B$38,D908)+SUMIFS($K$1:$K$1033,$C$1:$C$1033,C908,$D$1:$D$1033,D908,$B$1:$B$1033,"&lt;="&amp;B908)</f>
        <v>26621.300000000003</v>
      </c>
      <c r="N908" s="65" t="str">
        <f>IF(tblMovimientos[[#This Row],[Tipo de Movimiento]]="Ingreso",tblMovimientos[[#This Row],[Monto (S/)]],"0")</f>
        <v>0</v>
      </c>
      <c r="O908" s="65">
        <f>IF(tblMovimientos[[#This Row],[Tipo de Movimiento]]="Egreso",tblMovimientos[[#This Row],[Monto (S/)]],"0")</f>
        <v>1024.17</v>
      </c>
      <c r="P908" s="28">
        <f>IF(tblMovimientos[[#This Row],[Tipo de Movimiento]]="Ingreso",tblMovimientos[[#This Row],[Ingreso]],-tblMovimientos[[#This Row],[Egreso]])</f>
        <v>-1024.17</v>
      </c>
    </row>
    <row r="909" spans="2:16" x14ac:dyDescent="0.3">
      <c r="B909" s="39">
        <v>46121</v>
      </c>
      <c r="C909" s="46" t="str">
        <f>_xlfn.XLOOKUP(tblMovimientos[[#This Row],[Cuenta Bancaria]],Listas!$B:$B,Listas!$A:$A,"")</f>
        <v>CFT Group</v>
      </c>
      <c r="D909" s="41" t="s">
        <v>95</v>
      </c>
      <c r="E909" s="4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87</v>
      </c>
      <c r="H909" s="4" t="str">
        <f>IFERROR(_xlfn.XLOOKUP(G909,Listas!E:E,Listas!F:F,""),"")</f>
        <v>Operativo</v>
      </c>
      <c r="I909" s="46" t="str">
        <f>IFERROR(_xlfn.XLOOKUP(G909,Listas!E:E,Listas!G:G,""),"")</f>
        <v>Externo</v>
      </c>
      <c r="J909" s="43">
        <v>475</v>
      </c>
      <c r="K909" s="5">
        <f t="shared" si="10"/>
        <v>475</v>
      </c>
      <c r="L909" s="15" t="s">
        <v>133</v>
      </c>
      <c r="M909" s="44">
        <f>SUMIFS('Saldos Iniciales'!$D$2:$D$38,'Saldos Iniciales'!$A$2:$A$38,C909,'Saldos Iniciales'!$B$2:$B$38,D909)+SUMIFS($K$1:$K$1033,$C$1:$C$1033,C909,$D$1:$D$1033,D909,$B$1:$B$1033,"&lt;="&amp;B909)</f>
        <v>544132.86000000034</v>
      </c>
      <c r="N909" s="65">
        <f>IF(tblMovimientos[[#This Row],[Tipo de Movimiento]]="Ingreso",tblMovimientos[[#This Row],[Monto (S/)]],"0")</f>
        <v>475</v>
      </c>
      <c r="O909" s="65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475</v>
      </c>
    </row>
    <row r="910" spans="2:16" x14ac:dyDescent="0.3">
      <c r="B910" s="39">
        <v>46121</v>
      </c>
      <c r="C910" s="46" t="str">
        <f>_xlfn.XLOOKUP(tblMovimientos[[#This Row],[Cuenta Bancaria]],Listas!$B:$B,Listas!$A:$A,"")</f>
        <v>CFT Group</v>
      </c>
      <c r="D910" s="41" t="s">
        <v>95</v>
      </c>
      <c r="E910" s="4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76</v>
      </c>
      <c r="H910" s="4" t="str">
        <f>IFERROR(_xlfn.XLOOKUP(G910,Listas!E:E,Listas!F:F,""),"")</f>
        <v>Financiamiento</v>
      </c>
      <c r="I910" s="46" t="str">
        <f>IFERROR(_xlfn.XLOOKUP(G910,Listas!E:E,Listas!G:G,""),"")</f>
        <v>Externo</v>
      </c>
      <c r="J910" s="43">
        <v>496000</v>
      </c>
      <c r="K910" s="5">
        <f t="shared" si="10"/>
        <v>496000</v>
      </c>
      <c r="L910" s="15" t="s">
        <v>133</v>
      </c>
      <c r="M910" s="44">
        <f>SUMIFS('Saldos Iniciales'!$D$2:$D$38,'Saldos Iniciales'!$A$2:$A$38,C910,'Saldos Iniciales'!$B$2:$B$38,D910)+SUMIFS($K$1:$K$1033,$C$1:$C$1033,C910,$D$1:$D$1033,D910,$B$1:$B$1033,"&lt;="&amp;B910)</f>
        <v>544132.86000000034</v>
      </c>
      <c r="N910" s="65">
        <f>IF(tblMovimientos[[#This Row],[Tipo de Movimiento]]="Ingreso",tblMovimientos[[#This Row],[Monto (S/)]],"0")</f>
        <v>496000</v>
      </c>
      <c r="O910" s="65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496000</v>
      </c>
    </row>
    <row r="911" spans="2:16" x14ac:dyDescent="0.3">
      <c r="B911" s="39">
        <v>46273</v>
      </c>
      <c r="C911" s="46" t="str">
        <f>_xlfn.XLOOKUP(tblMovimientos[[#This Row],[Cuenta Bancaria]],Listas!$B:$B,Listas!$A:$A,"")</f>
        <v>SSP Capital</v>
      </c>
      <c r="D911" s="41" t="s">
        <v>101</v>
      </c>
      <c r="E911" s="4" t="str">
        <f>_xlfn.XLOOKUP(tblMovimientos[[#This Row],[Cuenta Bancaria]],Listas!$B:$B,Listas!$C:$C,"")</f>
        <v>Bank of America</v>
      </c>
      <c r="F911" s="41" t="s">
        <v>10</v>
      </c>
      <c r="G911" s="41" t="s">
        <v>41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7679.78</v>
      </c>
      <c r="K911" s="5">
        <f t="shared" si="10"/>
        <v>-7679.78</v>
      </c>
      <c r="L911" s="15" t="s">
        <v>133</v>
      </c>
      <c r="M911" s="44">
        <f>SUMIFS('Saldos Iniciales'!$D$2:$D$38,'Saldos Iniciales'!$A$2:$A$38,C911,'Saldos Iniciales'!$B$2:$B$38,D911)+SUMIFS($K$1:$K$1033,$C$1:$C$1033,C911,$D$1:$D$1033,D911,$B$1:$B$1033,"&lt;="&amp;B911)</f>
        <v>30485.58</v>
      </c>
      <c r="N911" s="65" t="str">
        <f>IF(tblMovimientos[[#This Row],[Tipo de Movimiento]]="Ingreso",tblMovimientos[[#This Row],[Monto (S/)]],"0")</f>
        <v>0</v>
      </c>
      <c r="O911" s="65">
        <f>IF(tblMovimientos[[#This Row],[Tipo de Movimiento]]="Egreso",tblMovimientos[[#This Row],[Monto (S/)]],"0")</f>
        <v>7679.78</v>
      </c>
      <c r="P911" s="28">
        <f>IF(tblMovimientos[[#This Row],[Tipo de Movimiento]]="Ingreso",tblMovimientos[[#This Row],[Ingreso]],-tblMovimientos[[#This Row],[Egreso]])</f>
        <v>-7679.78</v>
      </c>
    </row>
    <row r="912" spans="2:16" x14ac:dyDescent="0.3">
      <c r="B912" s="39">
        <v>46273</v>
      </c>
      <c r="C912" s="46" t="str">
        <f>_xlfn.XLOOKUP(tblMovimientos[[#This Row],[Cuenta Bancaria]],Listas!$B:$B,Listas!$A:$A,"")</f>
        <v>A&amp;M Imports</v>
      </c>
      <c r="D912" s="41" t="s">
        <v>100</v>
      </c>
      <c r="E912" s="4" t="str">
        <f>_xlfn.XLOOKUP(tblMovimientos[[#This Row],[Cuenta Bancaria]],Listas!$B:$B,Listas!$C:$C,"")</f>
        <v>Bank of America</v>
      </c>
      <c r="F912" s="41" t="s">
        <v>9</v>
      </c>
      <c r="G912" s="41" t="s">
        <v>68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5731.99</v>
      </c>
      <c r="K912" s="5">
        <f t="shared" si="10"/>
        <v>5731.99</v>
      </c>
      <c r="L912" s="15" t="s">
        <v>133</v>
      </c>
      <c r="M912" s="44">
        <f>SUMIFS('Saldos Iniciales'!$D$2:$D$38,'Saldos Iniciales'!$A$2:$A$38,C912,'Saldos Iniciales'!$B$2:$B$38,D912)+SUMIFS($K$1:$K$1033,$C$1:$C$1033,C912,$D$1:$D$1033,D912,$B$1:$B$1033,"&lt;="&amp;B912)</f>
        <v>1256669.99</v>
      </c>
      <c r="N912" s="65">
        <f>IF(tblMovimientos[[#This Row],[Tipo de Movimiento]]="Ingreso",tblMovimientos[[#This Row],[Monto (S/)]],"0")</f>
        <v>5731.99</v>
      </c>
      <c r="O912" s="65" t="str">
        <f>IF(tblMovimientos[[#This Row],[Tipo de Movimiento]]="Egreso",tblMovimientos[[#This Row],[Monto (S/)]],"0")</f>
        <v>0</v>
      </c>
      <c r="P912" s="28">
        <f>IF(tblMovimientos[[#This Row],[Tipo de Movimiento]]="Ingreso",tblMovimientos[[#This Row],[Ingreso]],-tblMovimientos[[#This Row],[Egreso]])</f>
        <v>5731.99</v>
      </c>
    </row>
    <row r="913" spans="1:16" x14ac:dyDescent="0.3">
      <c r="B913" s="39">
        <v>46273</v>
      </c>
      <c r="C913" s="46" t="str">
        <f>_xlfn.XLOOKUP(tblMovimientos[[#This Row],[Cuenta Bancaria]],Listas!$B:$B,Listas!$A:$A,"")</f>
        <v>CFT Group</v>
      </c>
      <c r="D913" s="41" t="s">
        <v>94</v>
      </c>
      <c r="E913" s="4" t="str">
        <f>_xlfn.XLOOKUP(tblMovimientos[[#This Row],[Cuenta Bancaria]],Listas!$B:$B,Listas!$C:$C,"")</f>
        <v>Bank of America</v>
      </c>
      <c r="F913" s="41" t="s">
        <v>9</v>
      </c>
      <c r="G913" s="41" t="s">
        <v>68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122225.83</v>
      </c>
      <c r="K913" s="5">
        <f t="shared" si="10"/>
        <v>122225.83</v>
      </c>
      <c r="L913" s="15" t="s">
        <v>133</v>
      </c>
      <c r="M913" s="44">
        <f>SUMIFS('Saldos Iniciales'!$D$2:$D$38,'Saldos Iniciales'!$A$2:$A$38,C913,'Saldos Iniciales'!$B$2:$B$38,D913)+SUMIFS($K$1:$K$1033,$C$1:$C$1033,C913,$D$1:$D$1033,D913,$B$1:$B$1033,"&lt;="&amp;B913)</f>
        <v>167371.02999999997</v>
      </c>
      <c r="N913" s="65">
        <f>IF(tblMovimientos[[#This Row],[Tipo de Movimiento]]="Ingreso",tblMovimientos[[#This Row],[Monto (S/)]],"0")</f>
        <v>122225.83</v>
      </c>
      <c r="O913" s="65" t="str">
        <f>IF(tblMovimientos[[#This Row],[Tipo de Movimiento]]="Egreso",tblMovimientos[[#This Row],[Monto (S/)]],"0")</f>
        <v>0</v>
      </c>
      <c r="P913" s="28">
        <f>IF(tblMovimientos[[#This Row],[Tipo de Movimiento]]="Ingreso",tblMovimientos[[#This Row],[Ingreso]],-tblMovimientos[[#This Row],[Egreso]])</f>
        <v>122225.83</v>
      </c>
    </row>
    <row r="914" spans="1:16" x14ac:dyDescent="0.3">
      <c r="B914" s="39">
        <v>46273</v>
      </c>
      <c r="C914" s="46" t="str">
        <f>_xlfn.XLOOKUP(tblMovimientos[[#This Row],[Cuenta Bancaria]],Listas!$B:$B,Listas!$A:$A,"")</f>
        <v>SSP Capital</v>
      </c>
      <c r="D914" s="41" t="s">
        <v>101</v>
      </c>
      <c r="E914" s="4" t="str">
        <f>_xlfn.XLOOKUP(tblMovimientos[[#This Row],[Cuenta Bancaria]],Listas!$B:$B,Listas!$C:$C,"")</f>
        <v>Bank of America</v>
      </c>
      <c r="F914" s="41" t="s">
        <v>10</v>
      </c>
      <c r="G914" s="41" t="s">
        <v>38</v>
      </c>
      <c r="H914" s="4" t="str">
        <f>IFERROR(_xlfn.XLOOKUP(G914,Listas!E:E,Listas!F:F,""),"")</f>
        <v>Operativo</v>
      </c>
      <c r="I914" s="46" t="str">
        <f>IFERROR(_xlfn.XLOOKUP(G914,Listas!E:E,Listas!G:G,""),"")</f>
        <v>Externo</v>
      </c>
      <c r="J914" s="43">
        <v>1291.6500000000001</v>
      </c>
      <c r="K914" s="5">
        <f t="shared" si="10"/>
        <v>-1291.6500000000001</v>
      </c>
      <c r="L914" s="15" t="s">
        <v>133</v>
      </c>
      <c r="M914" s="44">
        <f>SUMIFS('Saldos Iniciales'!$D$2:$D$38,'Saldos Iniciales'!$A$2:$A$38,C914,'Saldos Iniciales'!$B$2:$B$38,D914)+SUMIFS($K$1:$K$1033,$C$1:$C$1033,C914,$D$1:$D$1033,D914,$B$1:$B$1033,"&lt;="&amp;B914)</f>
        <v>30485.58</v>
      </c>
      <c r="N914" s="65" t="str">
        <f>IF(tblMovimientos[[#This Row],[Tipo de Movimiento]]="Ingreso",tblMovimientos[[#This Row],[Monto (S/)]],"0")</f>
        <v>0</v>
      </c>
      <c r="O914" s="65">
        <f>IF(tblMovimientos[[#This Row],[Tipo de Movimiento]]="Egreso",tblMovimientos[[#This Row],[Monto (S/)]],"0")</f>
        <v>1291.6500000000001</v>
      </c>
      <c r="P914" s="28">
        <f>IF(tblMovimientos[[#This Row],[Tipo de Movimiento]]="Ingreso",tblMovimientos[[#This Row],[Ingreso]],-tblMovimientos[[#This Row],[Egreso]])</f>
        <v>-1291.6500000000001</v>
      </c>
    </row>
    <row r="915" spans="1:16" x14ac:dyDescent="0.3">
      <c r="B915" s="39">
        <v>46273</v>
      </c>
      <c r="C915" s="46" t="str">
        <f>_xlfn.XLOOKUP(tblMovimientos[[#This Row],[Cuenta Bancaria]],Listas!$B:$B,Listas!$A:$A,"")</f>
        <v>M1B</v>
      </c>
      <c r="D915" s="41" t="s">
        <v>97</v>
      </c>
      <c r="E915" s="4" t="str">
        <f>_xlfn.XLOOKUP(tblMovimientos[[#This Row],[Cuenta Bancaria]],Listas!$B:$B,Listas!$C:$C,"")</f>
        <v xml:space="preserve">Amerant Bank </v>
      </c>
      <c r="F915" s="41" t="s">
        <v>9</v>
      </c>
      <c r="G915" s="41" t="s">
        <v>68</v>
      </c>
      <c r="H915" s="4" t="str">
        <f>IFERROR(_xlfn.XLOOKUP(G915,Listas!E:E,Listas!F:F,""),"")</f>
        <v>Operativo</v>
      </c>
      <c r="I915" s="46" t="str">
        <f>IFERROR(_xlfn.XLOOKUP(G915,Listas!E:E,Listas!G:G,""),"")</f>
        <v>Externo</v>
      </c>
      <c r="J915" s="43">
        <v>457.74</v>
      </c>
      <c r="K915" s="5">
        <f t="shared" si="10"/>
        <v>457.74</v>
      </c>
      <c r="L915" s="15" t="s">
        <v>133</v>
      </c>
      <c r="M915" s="44">
        <f>SUMIFS('Saldos Iniciales'!$D$2:$D$38,'Saldos Iniciales'!$A$2:$A$38,C915,'Saldos Iniciales'!$B$2:$B$38,D915)+SUMIFS($K$1:$K$1033,$C$1:$C$1033,C915,$D$1:$D$1033,D915,$B$1:$B$1033,"&lt;="&amp;B915)</f>
        <v>88737.970000000176</v>
      </c>
      <c r="N915" s="65">
        <f>IF(tblMovimientos[[#This Row],[Tipo de Movimiento]]="Ingreso",tblMovimientos[[#This Row],[Monto (S/)]],"0")</f>
        <v>457.74</v>
      </c>
      <c r="O915" s="65" t="str">
        <f>IF(tblMovimientos[[#This Row],[Tipo de Movimiento]]="Egreso",tblMovimientos[[#This Row],[Monto (S/)]],"0")</f>
        <v>0</v>
      </c>
      <c r="P915" s="28">
        <f>IF(tblMovimientos[[#This Row],[Tipo de Movimiento]]="Ingreso",tblMovimientos[[#This Row],[Ingreso]],-tblMovimientos[[#This Row],[Egreso]])</f>
        <v>457.74</v>
      </c>
    </row>
    <row r="916" spans="1:16" x14ac:dyDescent="0.3">
      <c r="B916" s="39">
        <v>46273</v>
      </c>
      <c r="C916" s="46" t="str">
        <f>_xlfn.XLOOKUP(tblMovimientos[[#This Row],[Cuenta Bancaria]],Listas!$B:$B,Listas!$A:$A,"")</f>
        <v>CFT Group</v>
      </c>
      <c r="D916" s="41" t="s">
        <v>95</v>
      </c>
      <c r="E916" s="4" t="str">
        <f>_xlfn.XLOOKUP(tblMovimientos[[#This Row],[Cuenta Bancaria]],Listas!$B:$B,Listas!$C:$C,"")</f>
        <v xml:space="preserve">Amerant Bank </v>
      </c>
      <c r="F916" s="41" t="s">
        <v>9</v>
      </c>
      <c r="G916" s="41" t="s">
        <v>76</v>
      </c>
      <c r="H916" s="4" t="str">
        <f>IFERROR(_xlfn.XLOOKUP(G916,Listas!E:E,Listas!F:F,""),"")</f>
        <v>Financiamiento</v>
      </c>
      <c r="I916" s="46" t="str">
        <f>IFERROR(_xlfn.XLOOKUP(G916,Listas!E:E,Listas!G:G,""),"")</f>
        <v>Externo</v>
      </c>
      <c r="J916" s="43">
        <v>4000</v>
      </c>
      <c r="K916" s="5">
        <f t="shared" si="10"/>
        <v>4000</v>
      </c>
      <c r="L916" s="15" t="s">
        <v>133</v>
      </c>
      <c r="M916" s="44">
        <f>SUMIFS('Saldos Iniciales'!$D$2:$D$38,'Saldos Iniciales'!$A$2:$A$38,C916,'Saldos Iniciales'!$B$2:$B$38,D916)+SUMIFS($K$1:$K$1033,$C$1:$C$1033,C916,$D$1:$D$1033,D916,$B$1:$B$1033,"&lt;="&amp;B916)</f>
        <v>1633347.0200000009</v>
      </c>
      <c r="N916" s="65">
        <f>IF(tblMovimientos[[#This Row],[Tipo de Movimiento]]="Ingreso",tblMovimientos[[#This Row],[Monto (S/)]],"0")</f>
        <v>4000</v>
      </c>
      <c r="O916" s="65" t="str">
        <f>IF(tblMovimientos[[#This Row],[Tipo de Movimiento]]="Egreso",tblMovimientos[[#This Row],[Monto (S/)]],"0")</f>
        <v>0</v>
      </c>
      <c r="P916" s="28">
        <f>IF(tblMovimientos[[#This Row],[Tipo de Movimiento]]="Ingreso",tblMovimientos[[#This Row],[Ingreso]],-tblMovimientos[[#This Row],[Egreso]])</f>
        <v>4000</v>
      </c>
    </row>
    <row r="917" spans="1:16" x14ac:dyDescent="0.3">
      <c r="B917" s="39">
        <v>46273</v>
      </c>
      <c r="C917" s="46" t="str">
        <f>_xlfn.XLOOKUP(tblMovimientos[[#This Row],[Cuenta Bancaria]],Listas!$B:$B,Listas!$A:$A,"")</f>
        <v>CFT Group</v>
      </c>
      <c r="D917" s="41" t="s">
        <v>95</v>
      </c>
      <c r="E917" s="4" t="str">
        <f>_xlfn.XLOOKUP(tblMovimientos[[#This Row],[Cuenta Bancaria]],Listas!$B:$B,Listas!$C:$C,"")</f>
        <v xml:space="preserve">Amerant Bank </v>
      </c>
      <c r="F917" s="41" t="s">
        <v>9</v>
      </c>
      <c r="G917" s="41" t="s">
        <v>85</v>
      </c>
      <c r="H917" s="4" t="str">
        <f>IFERROR(_xlfn.XLOOKUP(G917,Listas!E:E,Listas!F:F,""),"")</f>
        <v>Operativo</v>
      </c>
      <c r="I917" s="46" t="str">
        <f>IFERROR(_xlfn.XLOOKUP(G917,Listas!E:E,Listas!G:G,""),"")</f>
        <v>Interno</v>
      </c>
      <c r="J917" s="43">
        <v>130000</v>
      </c>
      <c r="K917" s="5">
        <f t="shared" si="10"/>
        <v>130000</v>
      </c>
      <c r="L917" s="15" t="s">
        <v>133</v>
      </c>
      <c r="M917" s="44">
        <f>SUMIFS('Saldos Iniciales'!$D$2:$D$38,'Saldos Iniciales'!$A$2:$A$38,C917,'Saldos Iniciales'!$B$2:$B$38,D917)+SUMIFS($K$1:$K$1033,$C$1:$C$1033,C917,$D$1:$D$1033,D917,$B$1:$B$1033,"&lt;="&amp;B917)</f>
        <v>1633347.0200000009</v>
      </c>
      <c r="N917" s="65">
        <f>IF(tblMovimientos[[#This Row],[Tipo de Movimiento]]="Ingreso",tblMovimientos[[#This Row],[Monto (S/)]],"0")</f>
        <v>130000</v>
      </c>
      <c r="O917" s="65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130000</v>
      </c>
    </row>
    <row r="918" spans="1:16" x14ac:dyDescent="0.3">
      <c r="B918" s="39">
        <v>46274</v>
      </c>
      <c r="C918" s="46" t="str">
        <f>_xlfn.XLOOKUP(tblMovimientos[[#This Row],[Cuenta Bancaria]],Listas!$B:$B,Listas!$A:$A,"")</f>
        <v>CFT Group</v>
      </c>
      <c r="D918" s="41" t="s">
        <v>95</v>
      </c>
      <c r="E918" s="4" t="str">
        <f>_xlfn.XLOOKUP(tblMovimientos[[#This Row],[Cuenta Bancaria]],Listas!$B:$B,Listas!$C:$C,"")</f>
        <v xml:space="preserve">Amerant Bank </v>
      </c>
      <c r="F918" s="41" t="s">
        <v>10</v>
      </c>
      <c r="G918" s="41" t="s">
        <v>38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600</v>
      </c>
      <c r="K918" s="5">
        <f t="shared" si="10"/>
        <v>-600</v>
      </c>
      <c r="L918" s="15" t="s">
        <v>133</v>
      </c>
      <c r="M918" s="44">
        <f>SUMIFS('Saldos Iniciales'!$D$2:$D$38,'Saldos Iniciales'!$A$2:$A$38,C918,'Saldos Iniciales'!$B$2:$B$38,D918)+SUMIFS($K$1:$K$1033,$C$1:$C$1033,C918,$D$1:$D$1033,D918,$B$1:$B$1033,"&lt;="&amp;B918)</f>
        <v>1632747.0200000009</v>
      </c>
      <c r="N918" s="65" t="str">
        <f>IF(tblMovimientos[[#This Row],[Tipo de Movimiento]]="Ingreso",tblMovimientos[[#This Row],[Monto (S/)]],"0")</f>
        <v>0</v>
      </c>
      <c r="O918" s="65">
        <f>IF(tblMovimientos[[#This Row],[Tipo de Movimiento]]="Egreso",tblMovimientos[[#This Row],[Monto (S/)]],"0")</f>
        <v>600</v>
      </c>
      <c r="P918" s="28">
        <f>IF(tblMovimientos[[#This Row],[Tipo de Movimiento]]="Ingreso",tblMovimientos[[#This Row],[Ingreso]],-tblMovimientos[[#This Row],[Egreso]])</f>
        <v>-600</v>
      </c>
    </row>
    <row r="919" spans="1:16" x14ac:dyDescent="0.3">
      <c r="B919" s="39">
        <v>46274</v>
      </c>
      <c r="C919" s="46" t="str">
        <f>_xlfn.XLOOKUP(tblMovimientos[[#This Row],[Cuenta Bancaria]],Listas!$B:$B,Listas!$A:$A,"")</f>
        <v>Cross Family Trust</v>
      </c>
      <c r="D919" s="41" t="s">
        <v>111</v>
      </c>
      <c r="E919" s="4" t="str">
        <f>_xlfn.XLOOKUP(tblMovimientos[[#This Row],[Cuenta Bancaria]],Listas!$B:$B,Listas!$C:$C,"")</f>
        <v xml:space="preserve">Amerant Bank </v>
      </c>
      <c r="F919" s="41" t="s">
        <v>10</v>
      </c>
      <c r="G919" s="41" t="s">
        <v>53</v>
      </c>
      <c r="H919" s="4" t="str">
        <f>IFERROR(_xlfn.XLOOKUP(G919,Listas!E:E,Listas!F:F,""),"")</f>
        <v>Inversion</v>
      </c>
      <c r="I919" s="46" t="str">
        <f>IFERROR(_xlfn.XLOOKUP(G919,Listas!E:E,Listas!G:G,""),"")</f>
        <v>Interno</v>
      </c>
      <c r="J919" s="43">
        <v>20000</v>
      </c>
      <c r="K919" s="5">
        <f t="shared" si="10"/>
        <v>-20000</v>
      </c>
      <c r="L919" s="15" t="s">
        <v>133</v>
      </c>
      <c r="M919" s="44">
        <f>SUMIFS('Saldos Iniciales'!$D$2:$D$38,'Saldos Iniciales'!$A$2:$A$38,C919,'Saldos Iniciales'!$B$2:$B$38,D919)+SUMIFS($K$1:$K$1033,$C$1:$C$1033,C919,$D$1:$D$1033,D919,$B$1:$B$1033,"&lt;="&amp;B919)</f>
        <v>132999.36000000002</v>
      </c>
      <c r="N919" s="65" t="str">
        <f>IF(tblMovimientos[[#This Row],[Tipo de Movimiento]]="Ingreso",tblMovimientos[[#This Row],[Monto (S/)]],"0")</f>
        <v>0</v>
      </c>
      <c r="O919" s="65">
        <f>IF(tblMovimientos[[#This Row],[Tipo de Movimiento]]="Egreso",tblMovimientos[[#This Row],[Monto (S/)]],"0")</f>
        <v>20000</v>
      </c>
      <c r="P919" s="28">
        <f>IF(tblMovimientos[[#This Row],[Tipo de Movimiento]]="Ingreso",tblMovimientos[[#This Row],[Ingreso]],-tblMovimientos[[#This Row],[Egreso]])</f>
        <v>-20000</v>
      </c>
    </row>
    <row r="920" spans="1:16" x14ac:dyDescent="0.3">
      <c r="B920" s="39">
        <v>46274</v>
      </c>
      <c r="C920" s="46" t="str">
        <f>_xlfn.XLOOKUP(tblMovimientos[[#This Row],[Cuenta Bancaria]],Listas!$B:$B,Listas!$A:$A,"")</f>
        <v>SSP Capital</v>
      </c>
      <c r="D920" s="41" t="s">
        <v>104</v>
      </c>
      <c r="E920" s="4" t="str">
        <f>_xlfn.XLOOKUP(tblMovimientos[[#This Row],[Cuenta Bancaria]],Listas!$B:$B,Listas!$C:$C,"")</f>
        <v xml:space="preserve">Amerant Bank 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46" t="str">
        <f>IFERROR(_xlfn.XLOOKUP(G920,Listas!E:E,Listas!G:G,""),"")</f>
        <v>Externo</v>
      </c>
      <c r="J920" s="43">
        <v>2446.1799999999998</v>
      </c>
      <c r="K920" s="5">
        <f t="shared" si="10"/>
        <v>-2446.1799999999998</v>
      </c>
      <c r="L920" s="15" t="s">
        <v>133</v>
      </c>
      <c r="M920" s="44">
        <f>SUMIFS('Saldos Iniciales'!$D$2:$D$38,'Saldos Iniciales'!$A$2:$A$38,C920,'Saldos Iniciales'!$B$2:$B$38,D920)+SUMIFS($K$1:$K$1033,$C$1:$C$1033,C920,$D$1:$D$1033,D920,$B$1:$B$1033,"&lt;="&amp;B920)</f>
        <v>635133.54999999935</v>
      </c>
      <c r="N920" s="65" t="str">
        <f>IF(tblMovimientos[[#This Row],[Tipo de Movimiento]]="Ingreso",tblMovimientos[[#This Row],[Monto (S/)]],"0")</f>
        <v>0</v>
      </c>
      <c r="O920" s="65">
        <f>IF(tblMovimientos[[#This Row],[Tipo de Movimiento]]="Egreso",tblMovimientos[[#This Row],[Monto (S/)]],"0")</f>
        <v>2446.1799999999998</v>
      </c>
      <c r="P920" s="28">
        <f>IF(tblMovimientos[[#This Row],[Tipo de Movimiento]]="Ingreso",tblMovimientos[[#This Row],[Ingreso]],-tblMovimientos[[#This Row],[Egreso]])</f>
        <v>-2446.1799999999998</v>
      </c>
    </row>
    <row r="921" spans="1:16" x14ac:dyDescent="0.3">
      <c r="B921" s="39">
        <v>46274</v>
      </c>
      <c r="C921" s="46" t="str">
        <f>_xlfn.XLOOKUP(tblMovimientos[[#This Row],[Cuenta Bancaria]],Listas!$B:$B,Listas!$A:$A,"")</f>
        <v>Green Harbor Trust</v>
      </c>
      <c r="D921" s="41" t="s">
        <v>125</v>
      </c>
      <c r="E921" s="4" t="str">
        <f>_xlfn.XLOOKUP(tblMovimientos[[#This Row],[Cuenta Bancaria]],Listas!$B:$B,Listas!$C:$C,"")</f>
        <v xml:space="preserve">Amerant Bank </v>
      </c>
      <c r="F921" s="41" t="s">
        <v>9</v>
      </c>
      <c r="G921" s="41" t="s">
        <v>77</v>
      </c>
      <c r="H921" s="4" t="str">
        <f>IFERROR(_xlfn.XLOOKUP(G921,Listas!E:E,Listas!F:F,""),"")</f>
        <v>Inversion</v>
      </c>
      <c r="I921" s="46" t="str">
        <f>IFERROR(_xlfn.XLOOKUP(G921,Listas!E:E,Listas!G:G,""),"")</f>
        <v>Interno</v>
      </c>
      <c r="J921" s="43">
        <v>20000</v>
      </c>
      <c r="K921" s="5">
        <f t="shared" si="10"/>
        <v>20000</v>
      </c>
      <c r="L921" s="15" t="s">
        <v>133</v>
      </c>
      <c r="M921" s="44">
        <f>SUMIFS('Saldos Iniciales'!$D$2:$D$38,'Saldos Iniciales'!$A$2:$A$38,C921,'Saldos Iniciales'!$B$2:$B$38,D921)+SUMIFS($K$1:$K$1033,$C$1:$C$1033,C921,$D$1:$D$1033,D921,$B$1:$B$1033,"&lt;="&amp;B921)</f>
        <v>345</v>
      </c>
      <c r="N921" s="65">
        <f>IF(tblMovimientos[[#This Row],[Tipo de Movimiento]]="Ingreso",tblMovimientos[[#This Row],[Monto (S/)]],"0")</f>
        <v>20000</v>
      </c>
      <c r="O921" s="65" t="str">
        <f>IF(tblMovimientos[[#This Row],[Tipo de Movimiento]]="Egreso",tblMovimientos[[#This Row],[Monto (S/)]],"0")</f>
        <v>0</v>
      </c>
      <c r="P921" s="28">
        <f>IF(tblMovimientos[[#This Row],[Tipo de Movimiento]]="Ingreso",tblMovimientos[[#This Row],[Ingreso]],-tblMovimientos[[#This Row],[Egreso]])</f>
        <v>20000</v>
      </c>
    </row>
    <row r="922" spans="1:16" x14ac:dyDescent="0.3">
      <c r="B922" s="39">
        <v>46274</v>
      </c>
      <c r="C922" s="46" t="str">
        <f>_xlfn.XLOOKUP(tblMovimientos[[#This Row],[Cuenta Bancaria]],Listas!$B:$B,Listas!$A:$A,"")</f>
        <v>Green Harbor Trust</v>
      </c>
      <c r="D922" s="41" t="s">
        <v>125</v>
      </c>
      <c r="E922" s="4" t="str">
        <f>_xlfn.XLOOKUP(tblMovimientos[[#This Row],[Cuenta Bancaria]],Listas!$B:$B,Listas!$C:$C,"")</f>
        <v xml:space="preserve">Amerant Bank </v>
      </c>
      <c r="F922" s="41" t="s">
        <v>10</v>
      </c>
      <c r="G922" s="41" t="s">
        <v>53</v>
      </c>
      <c r="H922" s="4" t="str">
        <f>IFERROR(_xlfn.XLOOKUP(G922,Listas!E:E,Listas!F:F,""),"")</f>
        <v>Inversion</v>
      </c>
      <c r="I922" s="46" t="str">
        <f>IFERROR(_xlfn.XLOOKUP(G922,Listas!E:E,Listas!G:G,""),"")</f>
        <v>Interno</v>
      </c>
      <c r="J922" s="43">
        <v>20000</v>
      </c>
      <c r="K922" s="5">
        <f t="shared" si="10"/>
        <v>-20000</v>
      </c>
      <c r="L922" s="15" t="s">
        <v>133</v>
      </c>
      <c r="M922" s="44">
        <f>SUMIFS('Saldos Iniciales'!$D$2:$D$38,'Saldos Iniciales'!$A$2:$A$38,C922,'Saldos Iniciales'!$B$2:$B$38,D922)+SUMIFS($K$1:$K$1033,$C$1:$C$1033,C922,$D$1:$D$1033,D922,$B$1:$B$1033,"&lt;="&amp;B922)</f>
        <v>345</v>
      </c>
      <c r="N922" s="65" t="str">
        <f>IF(tblMovimientos[[#This Row],[Tipo de Movimiento]]="Ingreso",tblMovimientos[[#This Row],[Monto (S/)]],"0")</f>
        <v>0</v>
      </c>
      <c r="O922" s="65">
        <f>IF(tblMovimientos[[#This Row],[Tipo de Movimiento]]="Egreso",tblMovimientos[[#This Row],[Monto (S/)]],"0")</f>
        <v>20000</v>
      </c>
      <c r="P922" s="28">
        <f>IF(tblMovimientos[[#This Row],[Tipo de Movimiento]]="Ingreso",tblMovimientos[[#This Row],[Ingreso]],-tblMovimientos[[#This Row],[Egreso]])</f>
        <v>-20000</v>
      </c>
    </row>
    <row r="923" spans="1:16" x14ac:dyDescent="0.3">
      <c r="B923" s="39">
        <v>46274</v>
      </c>
      <c r="C923" s="46" t="str">
        <f>_xlfn.XLOOKUP(tblMovimientos[[#This Row],[Cuenta Bancaria]],Listas!$B:$B,Listas!$A:$A,"")</f>
        <v>Go Blue</v>
      </c>
      <c r="D923" s="41" t="s">
        <v>126</v>
      </c>
      <c r="E923" s="4" t="str">
        <f>_xlfn.XLOOKUP(tblMovimientos[[#This Row],[Cuenta Bancaria]],Listas!$B:$B,Listas!$C:$C,"")</f>
        <v xml:space="preserve">Amerant Bank </v>
      </c>
      <c r="F923" s="41" t="s">
        <v>9</v>
      </c>
      <c r="G923" s="41" t="s">
        <v>77</v>
      </c>
      <c r="H923" s="4" t="str">
        <f>IFERROR(_xlfn.XLOOKUP(G923,Listas!E:E,Listas!F:F,""),"")</f>
        <v>Inversion</v>
      </c>
      <c r="I923" s="46" t="str">
        <f>IFERROR(_xlfn.XLOOKUP(G923,Listas!E:E,Listas!G:G,""),"")</f>
        <v>Interno</v>
      </c>
      <c r="J923" s="43">
        <v>20000</v>
      </c>
      <c r="K923" s="5">
        <f t="shared" si="10"/>
        <v>20000</v>
      </c>
      <c r="L923" s="15" t="s">
        <v>133</v>
      </c>
      <c r="M923" s="44">
        <f>SUMIFS('Saldos Iniciales'!$D$2:$D$38,'Saldos Iniciales'!$A$2:$A$38,C923,'Saldos Iniciales'!$B$2:$B$38,D923)+SUMIFS($K$1:$K$1033,$C$1:$C$1033,C923,$D$1:$D$1033,D923,$B$1:$B$1033,"&lt;="&amp;B923)</f>
        <v>23749.22</v>
      </c>
      <c r="N923" s="65">
        <f>IF(tblMovimientos[[#This Row],[Tipo de Movimiento]]="Ingreso",tblMovimientos[[#This Row],[Monto (S/)]],"0")</f>
        <v>20000</v>
      </c>
      <c r="O923" s="65" t="str">
        <f>IF(tblMovimientos[[#This Row],[Tipo de Movimiento]]="Egreso",tblMovimientos[[#This Row],[Monto (S/)]],"0")</f>
        <v>0</v>
      </c>
      <c r="P923" s="28">
        <f>IF(tblMovimientos[[#This Row],[Tipo de Movimiento]]="Ingreso",tblMovimientos[[#This Row],[Ingreso]],-tblMovimientos[[#This Row],[Egreso]])</f>
        <v>20000</v>
      </c>
    </row>
    <row r="924" spans="1:16" x14ac:dyDescent="0.3">
      <c r="A924" s="45"/>
      <c r="B924" s="39">
        <v>46274</v>
      </c>
      <c r="C924" s="46" t="str">
        <f>_xlfn.XLOOKUP(tblMovimientos[[#This Row],[Cuenta Bancaria]],Listas!$B:$B,Listas!$A:$A,"")</f>
        <v>Go Blue</v>
      </c>
      <c r="D924" s="41" t="s">
        <v>126</v>
      </c>
      <c r="E924" s="46" t="str">
        <f>_xlfn.XLOOKUP(tblMovimientos[[#This Row],[Cuenta Bancaria]],Listas!$B:$B,Listas!$C:$C,"")</f>
        <v xml:space="preserve">Amerant Bank </v>
      </c>
      <c r="F924" s="41" t="s">
        <v>10</v>
      </c>
      <c r="G924" s="41" t="s">
        <v>38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48.55</v>
      </c>
      <c r="K924" s="5">
        <f t="shared" si="10"/>
        <v>-48.55</v>
      </c>
      <c r="L924" s="15" t="s">
        <v>133</v>
      </c>
      <c r="M924" s="44">
        <f>SUMIFS('Saldos Iniciales'!$D$2:$D$38,'Saldos Iniciales'!$A$2:$A$38,C924,'Saldos Iniciales'!$B$2:$B$38,D924)+SUMIFS($K$1:$K$1033,$C$1:$C$1033,C924,$D$1:$D$1033,D924,$B$1:$B$1033,"&lt;="&amp;B924)</f>
        <v>23749.22</v>
      </c>
      <c r="N924" s="65" t="str">
        <f>IF(tblMovimientos[[#This Row],[Tipo de Movimiento]]="Ingreso",tblMovimientos[[#This Row],[Monto (S/)]],"0")</f>
        <v>0</v>
      </c>
      <c r="O924" s="65">
        <f>IF(tblMovimientos[[#This Row],[Tipo de Movimiento]]="Egreso",tblMovimientos[[#This Row],[Monto (S/)]],"0")</f>
        <v>48.55</v>
      </c>
      <c r="P924" s="28">
        <f>IF(tblMovimientos[[#This Row],[Tipo de Movimiento]]="Ingreso",tblMovimientos[[#This Row],[Ingreso]],-tblMovimientos[[#This Row],[Egreso]])</f>
        <v>-48.55</v>
      </c>
    </row>
    <row r="925" spans="1:16" x14ac:dyDescent="0.3">
      <c r="B925" s="39">
        <v>46275</v>
      </c>
      <c r="C925" s="46" t="str">
        <f>_xlfn.XLOOKUP(tblMovimientos[[#This Row],[Cuenta Bancaria]],Listas!$B:$B,Listas!$A:$A,"")</f>
        <v>A&amp;M Imports</v>
      </c>
      <c r="D925" s="41" t="s">
        <v>100</v>
      </c>
      <c r="E925" s="4" t="str">
        <f>_xlfn.XLOOKUP(tblMovimientos[[#This Row],[Cuenta Bancaria]],Listas!$B:$B,Listas!$C:$C,"")</f>
        <v>Bank of America</v>
      </c>
      <c r="F925" s="41" t="s">
        <v>10</v>
      </c>
      <c r="G925" s="41" t="s">
        <v>61</v>
      </c>
      <c r="H925" s="4" t="str">
        <f>IFERROR(_xlfn.XLOOKUP(G925,Listas!E:E,Listas!F:F,""),"")</f>
        <v>Operativo</v>
      </c>
      <c r="I925" s="46" t="str">
        <f>IFERROR(_xlfn.XLOOKUP(G925,Listas!E:E,Listas!G:G,""),"")</f>
        <v>Externo</v>
      </c>
      <c r="J925" s="43">
        <v>60000</v>
      </c>
      <c r="K925" s="5">
        <f t="shared" si="10"/>
        <v>-60000</v>
      </c>
      <c r="L925" s="15" t="s">
        <v>133</v>
      </c>
      <c r="M925" s="44">
        <f>SUMIFS('Saldos Iniciales'!$D$2:$D$38,'Saldos Iniciales'!$A$2:$A$38,C925,'Saldos Iniciales'!$B$2:$B$38,D925)+SUMIFS($K$1:$K$1033,$C$1:$C$1033,C925,$D$1:$D$1033,D925,$B$1:$B$1033,"&lt;="&amp;B925)</f>
        <v>1089169.99</v>
      </c>
      <c r="N925" s="65" t="str">
        <f>IF(tblMovimientos[[#This Row],[Tipo de Movimiento]]="Ingreso",tblMovimientos[[#This Row],[Monto (S/)]],"0")</f>
        <v>0</v>
      </c>
      <c r="O925" s="65">
        <f>IF(tblMovimientos[[#This Row],[Tipo de Movimiento]]="Egreso",tblMovimientos[[#This Row],[Monto (S/)]],"0")</f>
        <v>60000</v>
      </c>
      <c r="P925" s="28">
        <f>IF(tblMovimientos[[#This Row],[Tipo de Movimiento]]="Ingreso",tblMovimientos[[#This Row],[Ingreso]],-tblMovimientos[[#This Row],[Egreso]])</f>
        <v>-60000</v>
      </c>
    </row>
    <row r="926" spans="1:16" x14ac:dyDescent="0.3">
      <c r="B926" s="39">
        <v>46275</v>
      </c>
      <c r="C926" s="46" t="str">
        <f>_xlfn.XLOOKUP(tblMovimientos[[#This Row],[Cuenta Bancaria]],Listas!$B:$B,Listas!$A:$A,"")</f>
        <v>A&amp;M Imports</v>
      </c>
      <c r="D926" s="41" t="s">
        <v>100</v>
      </c>
      <c r="E926" s="4" t="str">
        <f>_xlfn.XLOOKUP(tblMovimientos[[#This Row],[Cuenta Bancaria]],Listas!$B:$B,Listas!$C:$C,"")</f>
        <v>Bank of America</v>
      </c>
      <c r="F926" s="41" t="s">
        <v>10</v>
      </c>
      <c r="G926" s="41" t="s">
        <v>61</v>
      </c>
      <c r="H926" s="4" t="str">
        <f>IFERROR(_xlfn.XLOOKUP(G926,Listas!E:E,Listas!F:F,""),"")</f>
        <v>Operativo</v>
      </c>
      <c r="I926" s="46" t="str">
        <f>IFERROR(_xlfn.XLOOKUP(G926,Listas!E:E,Listas!G:G,""),"")</f>
        <v>Externo</v>
      </c>
      <c r="J926" s="43">
        <v>70000</v>
      </c>
      <c r="K926" s="5">
        <f t="shared" si="10"/>
        <v>-70000</v>
      </c>
      <c r="L926" s="15" t="s">
        <v>133</v>
      </c>
      <c r="M926" s="44">
        <f>SUMIFS('Saldos Iniciales'!$D$2:$D$38,'Saldos Iniciales'!$A$2:$A$38,C926,'Saldos Iniciales'!$B$2:$B$38,D926)+SUMIFS($K$1:$K$1033,$C$1:$C$1033,C926,$D$1:$D$1033,D926,$B$1:$B$1033,"&lt;="&amp;B926)</f>
        <v>1089169.99</v>
      </c>
      <c r="N926" s="65" t="str">
        <f>IF(tblMovimientos[[#This Row],[Tipo de Movimiento]]="Ingreso",tblMovimientos[[#This Row],[Monto (S/)]],"0")</f>
        <v>0</v>
      </c>
      <c r="O926" s="65">
        <f>IF(tblMovimientos[[#This Row],[Tipo de Movimiento]]="Egreso",tblMovimientos[[#This Row],[Monto (S/)]],"0")</f>
        <v>70000</v>
      </c>
      <c r="P926" s="28">
        <f>IF(tblMovimientos[[#This Row],[Tipo de Movimiento]]="Ingreso",tblMovimientos[[#This Row],[Ingreso]],-tblMovimientos[[#This Row],[Egreso]])</f>
        <v>-70000</v>
      </c>
    </row>
    <row r="927" spans="1:16" x14ac:dyDescent="0.3">
      <c r="B927" s="39">
        <v>46275</v>
      </c>
      <c r="C927" s="46" t="str">
        <f>_xlfn.XLOOKUP(tblMovimientos[[#This Row],[Cuenta Bancaria]],Listas!$B:$B,Listas!$A:$A,"")</f>
        <v>A&amp;M Imports</v>
      </c>
      <c r="D927" s="41" t="s">
        <v>100</v>
      </c>
      <c r="E927" s="4" t="str">
        <f>_xlfn.XLOOKUP(tblMovimientos[[#This Row],[Cuenta Bancaria]],Listas!$B:$B,Listas!$C:$C,"")</f>
        <v>Bank of America</v>
      </c>
      <c r="F927" s="41" t="s">
        <v>10</v>
      </c>
      <c r="G927" s="41" t="s">
        <v>61</v>
      </c>
      <c r="H927" s="4" t="str">
        <f>IFERROR(_xlfn.XLOOKUP(G927,Listas!E:E,Listas!F:F,""),"")</f>
        <v>Operativo</v>
      </c>
      <c r="I927" s="46" t="str">
        <f>IFERROR(_xlfn.XLOOKUP(G927,Listas!E:E,Listas!G:G,""),"")</f>
        <v>Externo</v>
      </c>
      <c r="J927" s="43">
        <v>37500</v>
      </c>
      <c r="K927" s="5">
        <f t="shared" si="10"/>
        <v>-37500</v>
      </c>
      <c r="L927" s="15" t="s">
        <v>133</v>
      </c>
      <c r="M927" s="44">
        <f>SUMIFS('Saldos Iniciales'!$D$2:$D$38,'Saldos Iniciales'!$A$2:$A$38,C927,'Saldos Iniciales'!$B$2:$B$38,D927)+SUMIFS($K$1:$K$1033,$C$1:$C$1033,C927,$D$1:$D$1033,D927,$B$1:$B$1033,"&lt;="&amp;B927)</f>
        <v>1089169.99</v>
      </c>
      <c r="N927" s="65" t="str">
        <f>IF(tblMovimientos[[#This Row],[Tipo de Movimiento]]="Ingreso",tblMovimientos[[#This Row],[Monto (S/)]],"0")</f>
        <v>0</v>
      </c>
      <c r="O927" s="65">
        <f>IF(tblMovimientos[[#This Row],[Tipo de Movimiento]]="Egreso",tblMovimientos[[#This Row],[Monto (S/)]],"0")</f>
        <v>37500</v>
      </c>
      <c r="P927" s="28">
        <f>IF(tblMovimientos[[#This Row],[Tipo de Movimiento]]="Ingreso",tblMovimientos[[#This Row],[Ingreso]],-tblMovimientos[[#This Row],[Egreso]])</f>
        <v>-37500</v>
      </c>
    </row>
    <row r="928" spans="1:16" x14ac:dyDescent="0.3">
      <c r="B928" s="39">
        <v>46275</v>
      </c>
      <c r="C928" s="46" t="str">
        <f>_xlfn.XLOOKUP(tblMovimientos[[#This Row],[Cuenta Bancaria]],Listas!$B:$B,Listas!$A:$A,"")</f>
        <v>Go Blue</v>
      </c>
      <c r="D928" s="41" t="s">
        <v>169</v>
      </c>
      <c r="E928" s="4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5000</v>
      </c>
      <c r="K928" s="5">
        <f t="shared" si="10"/>
        <v>5000</v>
      </c>
      <c r="L928" s="15" t="s">
        <v>133</v>
      </c>
      <c r="M928" s="44">
        <f>SUMIFS('Saldos Iniciales'!$D$2:$D$38,'Saldos Iniciales'!$A$2:$A$38,C928,'Saldos Iniciales'!$B$2:$B$38,D928)+SUMIFS($K$1:$K$1033,$C$1:$C$1033,C928,$D$1:$D$1033,D928,$B$1:$B$1033,"&lt;="&amp;B928)</f>
        <v>6994.8200000000024</v>
      </c>
      <c r="N928" s="65">
        <f>IF(tblMovimientos[[#This Row],[Tipo de Movimiento]]="Ingreso",tblMovimientos[[#This Row],[Monto (S/)]],"0")</f>
        <v>5000</v>
      </c>
      <c r="O928" s="65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5000</v>
      </c>
    </row>
    <row r="929" spans="2:16" x14ac:dyDescent="0.3">
      <c r="B929" s="39">
        <v>46275</v>
      </c>
      <c r="C929" s="46" t="str">
        <f>_xlfn.XLOOKUP(tblMovimientos[[#This Row],[Cuenta Bancaria]],Listas!$B:$B,Listas!$A:$A,"")</f>
        <v>Go Blue</v>
      </c>
      <c r="D929" s="41" t="s">
        <v>169</v>
      </c>
      <c r="E929" s="4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68.53</v>
      </c>
      <c r="K929" s="5">
        <f t="shared" si="10"/>
        <v>-68.53</v>
      </c>
      <c r="L929" s="15" t="s">
        <v>133</v>
      </c>
      <c r="M929" s="44">
        <f>SUMIFS('Saldos Iniciales'!$D$2:$D$38,'Saldos Iniciales'!$A$2:$A$38,C929,'Saldos Iniciales'!$B$2:$B$38,D929)+SUMIFS($K$1:$K$1033,$C$1:$C$1033,C929,$D$1:$D$1033,D929,$B$1:$B$1033,"&lt;="&amp;B929)</f>
        <v>6994.8200000000024</v>
      </c>
      <c r="N929" s="65" t="str">
        <f>IF(tblMovimientos[[#This Row],[Tipo de Movimiento]]="Ingreso",tblMovimientos[[#This Row],[Monto (S/)]],"0")</f>
        <v>0</v>
      </c>
      <c r="O929" s="65">
        <f>IF(tblMovimientos[[#This Row],[Tipo de Movimiento]]="Egreso",tblMovimientos[[#This Row],[Monto (S/)]],"0")</f>
        <v>68.53</v>
      </c>
      <c r="P929" s="28">
        <f>IF(tblMovimientos[[#This Row],[Tipo de Movimiento]]="Ingreso",tblMovimientos[[#This Row],[Ingreso]],-tblMovimientos[[#This Row],[Egreso]])</f>
        <v>-68.53</v>
      </c>
    </row>
    <row r="930" spans="2:16" x14ac:dyDescent="0.3">
      <c r="B930" s="39">
        <v>46275</v>
      </c>
      <c r="C930" s="46" t="str">
        <f>_xlfn.XLOOKUP(tblMovimientos[[#This Row],[Cuenta Bancaria]],Listas!$B:$B,Listas!$A:$A,"")</f>
        <v>CFT Group</v>
      </c>
      <c r="D930" s="41" t="s">
        <v>95</v>
      </c>
      <c r="E930" s="4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5166.67</v>
      </c>
      <c r="K930" s="5">
        <f t="shared" si="10"/>
        <v>-5166.67</v>
      </c>
      <c r="L930" s="15" t="s">
        <v>133</v>
      </c>
      <c r="M930" s="44">
        <f>SUMIFS('Saldos Iniciales'!$D$2:$D$38,'Saldos Iniciales'!$A$2:$A$38,C930,'Saldos Iniciales'!$B$2:$B$38,D930)+SUMIFS($K$1:$K$1033,$C$1:$C$1033,C930,$D$1:$D$1033,D930,$B$1:$B$1033,"&lt;="&amp;B930)</f>
        <v>1165508.1300000011</v>
      </c>
      <c r="N930" s="65" t="str">
        <f>IF(tblMovimientos[[#This Row],[Tipo de Movimiento]]="Ingreso",tblMovimientos[[#This Row],[Monto (S/)]],"0")</f>
        <v>0</v>
      </c>
      <c r="O930" s="65">
        <f>IF(tblMovimientos[[#This Row],[Tipo de Movimiento]]="Egreso",tblMovimientos[[#This Row],[Monto (S/)]],"0")</f>
        <v>5166.67</v>
      </c>
      <c r="P930" s="28">
        <f>IF(tblMovimientos[[#This Row],[Tipo de Movimiento]]="Ingreso",tblMovimientos[[#This Row],[Ingreso]],-tblMovimientos[[#This Row],[Egreso]])</f>
        <v>-5166.67</v>
      </c>
    </row>
    <row r="931" spans="2:16" x14ac:dyDescent="0.3">
      <c r="B931" s="39">
        <v>46275</v>
      </c>
      <c r="C931" s="46" t="str">
        <f>_xlfn.XLOOKUP(tblMovimientos[[#This Row],[Cuenta Bancaria]],Listas!$B:$B,Listas!$A:$A,"")</f>
        <v>CFT Group</v>
      </c>
      <c r="D931" s="41" t="s">
        <v>95</v>
      </c>
      <c r="E931" s="4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22166.67</v>
      </c>
      <c r="K931" s="5">
        <f t="shared" si="10"/>
        <v>-22166.67</v>
      </c>
      <c r="L931" s="15" t="s">
        <v>133</v>
      </c>
      <c r="M931" s="44">
        <f>SUMIFS('Saldos Iniciales'!$D$2:$D$38,'Saldos Iniciales'!$A$2:$A$38,C931,'Saldos Iniciales'!$B$2:$B$38,D931)+SUMIFS($K$1:$K$1033,$C$1:$C$1033,C931,$D$1:$D$1033,D931,$B$1:$B$1033,"&lt;="&amp;B931)</f>
        <v>1165508.1300000011</v>
      </c>
      <c r="N931" s="65" t="str">
        <f>IF(tblMovimientos[[#This Row],[Tipo de Movimiento]]="Ingreso",tblMovimientos[[#This Row],[Monto (S/)]],"0")</f>
        <v>0</v>
      </c>
      <c r="O931" s="65">
        <f>IF(tblMovimientos[[#This Row],[Tipo de Movimiento]]="Egreso",tblMovimientos[[#This Row],[Monto (S/)]],"0")</f>
        <v>22166.67</v>
      </c>
      <c r="P931" s="28">
        <f>IF(tblMovimientos[[#This Row],[Tipo de Movimiento]]="Ingreso",tblMovimientos[[#This Row],[Ingreso]],-tblMovimientos[[#This Row],[Egreso]])</f>
        <v>-22166.67</v>
      </c>
    </row>
    <row r="932" spans="2:16" x14ac:dyDescent="0.3">
      <c r="B932" s="39">
        <v>46275</v>
      </c>
      <c r="C932" s="46" t="str">
        <f>_xlfn.XLOOKUP(tblMovimientos[[#This Row],[Cuenta Bancaria]],Listas!$B:$B,Listas!$A:$A,"")</f>
        <v>CFT Group</v>
      </c>
      <c r="D932" s="41" t="s">
        <v>95</v>
      </c>
      <c r="E932" s="4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46</v>
      </c>
      <c r="H932" s="4" t="str">
        <f>IFERROR(_xlfn.XLOOKUP(G932,Listas!E:E,Listas!F:F,""),"")</f>
        <v>Financiamiento</v>
      </c>
      <c r="I932" s="46" t="str">
        <f>IFERROR(_xlfn.XLOOKUP(G932,Listas!E:E,Listas!G:G,""),"")</f>
        <v>Externo</v>
      </c>
      <c r="J932" s="43">
        <v>24111.11</v>
      </c>
      <c r="K932" s="5">
        <f t="shared" si="10"/>
        <v>-24111.11</v>
      </c>
      <c r="L932" s="15" t="s">
        <v>133</v>
      </c>
      <c r="M932" s="44">
        <f>SUMIFS('Saldos Iniciales'!$D$2:$D$38,'Saldos Iniciales'!$A$2:$A$38,C932,'Saldos Iniciales'!$B$2:$B$38,D932)+SUMIFS($K$1:$K$1033,$C$1:$C$1033,C932,$D$1:$D$1033,D932,$B$1:$B$1033,"&lt;="&amp;B932)</f>
        <v>1165508.1300000011</v>
      </c>
      <c r="N932" s="65" t="str">
        <f>IF(tblMovimientos[[#This Row],[Tipo de Movimiento]]="Ingreso",tblMovimientos[[#This Row],[Monto (S/)]],"0")</f>
        <v>0</v>
      </c>
      <c r="O932" s="65">
        <f>IF(tblMovimientos[[#This Row],[Tipo de Movimiento]]="Egreso",tblMovimientos[[#This Row],[Monto (S/)]],"0")</f>
        <v>24111.11</v>
      </c>
      <c r="P932" s="28">
        <f>IF(tblMovimientos[[#This Row],[Tipo de Movimiento]]="Ingreso",tblMovimientos[[#This Row],[Ingreso]],-tblMovimientos[[#This Row],[Egreso]])</f>
        <v>-24111.11</v>
      </c>
    </row>
    <row r="933" spans="2:16" x14ac:dyDescent="0.3">
      <c r="B933" s="39">
        <v>46275</v>
      </c>
      <c r="C933" s="46" t="str">
        <f>_xlfn.XLOOKUP(tblMovimientos[[#This Row],[Cuenta Bancaria]],Listas!$B:$B,Listas!$A:$A,"")</f>
        <v>CFT Group</v>
      </c>
      <c r="D933" s="41" t="s">
        <v>95</v>
      </c>
      <c r="E933" s="4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46</v>
      </c>
      <c r="H933" s="4" t="str">
        <f>IFERROR(_xlfn.XLOOKUP(G933,Listas!E:E,Listas!F:F,""),"")</f>
        <v>Financiamiento</v>
      </c>
      <c r="I933" s="46" t="str">
        <f>IFERROR(_xlfn.XLOOKUP(G933,Listas!E:E,Listas!G:G,""),"")</f>
        <v>Externo</v>
      </c>
      <c r="J933" s="43">
        <v>57866.67</v>
      </c>
      <c r="K933" s="5">
        <f t="shared" si="10"/>
        <v>-57866.67</v>
      </c>
      <c r="L933" s="15" t="s">
        <v>133</v>
      </c>
      <c r="M933" s="44">
        <f>SUMIFS('Saldos Iniciales'!$D$2:$D$38,'Saldos Iniciales'!$A$2:$A$38,C933,'Saldos Iniciales'!$B$2:$B$38,D933)+SUMIFS($K$1:$K$1033,$C$1:$C$1033,C933,$D$1:$D$1033,D933,$B$1:$B$1033,"&lt;="&amp;B933)</f>
        <v>1165508.1300000011</v>
      </c>
      <c r="N933" s="65" t="str">
        <f>IF(tblMovimientos[[#This Row],[Tipo de Movimiento]]="Ingreso",tblMovimientos[[#This Row],[Monto (S/)]],"0")</f>
        <v>0</v>
      </c>
      <c r="O933" s="65">
        <f>IF(tblMovimientos[[#This Row],[Tipo de Movimiento]]="Egreso",tblMovimientos[[#This Row],[Monto (S/)]],"0")</f>
        <v>57866.67</v>
      </c>
      <c r="P933" s="28">
        <f>IF(tblMovimientos[[#This Row],[Tipo de Movimiento]]="Ingreso",tblMovimientos[[#This Row],[Ingreso]],-tblMovimientos[[#This Row],[Egreso]])</f>
        <v>-57866.67</v>
      </c>
    </row>
    <row r="934" spans="2:16" x14ac:dyDescent="0.3">
      <c r="B934" s="39">
        <v>46275</v>
      </c>
      <c r="C934" s="46" t="str">
        <f>_xlfn.XLOOKUP(tblMovimientos[[#This Row],[Cuenta Bancaria]],Listas!$B:$B,Listas!$A:$A,"")</f>
        <v>CFT Group</v>
      </c>
      <c r="D934" s="41" t="s">
        <v>95</v>
      </c>
      <c r="E934" s="4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46</v>
      </c>
      <c r="H934" s="4" t="str">
        <f>IFERROR(_xlfn.XLOOKUP(G934,Listas!E:E,Listas!F:F,""),"")</f>
        <v>Financiamiento</v>
      </c>
      <c r="I934" s="46" t="str">
        <f>IFERROR(_xlfn.XLOOKUP(G934,Listas!E:E,Listas!G:G,""),"")</f>
        <v>Externo</v>
      </c>
      <c r="J934" s="43">
        <v>72333.33</v>
      </c>
      <c r="K934" s="5">
        <f t="shared" si="10"/>
        <v>-72333.33</v>
      </c>
      <c r="L934" s="15" t="s">
        <v>133</v>
      </c>
      <c r="M934" s="44">
        <f>SUMIFS('Saldos Iniciales'!$D$2:$D$38,'Saldos Iniciales'!$A$2:$A$38,C934,'Saldos Iniciales'!$B$2:$B$38,D934)+SUMIFS($K$1:$K$1033,$C$1:$C$1033,C934,$D$1:$D$1033,D934,$B$1:$B$1033,"&lt;="&amp;B934)</f>
        <v>1165508.1300000011</v>
      </c>
      <c r="N934" s="65" t="str">
        <f>IF(tblMovimientos[[#This Row],[Tipo de Movimiento]]="Ingreso",tblMovimientos[[#This Row],[Monto (S/)]],"0")</f>
        <v>0</v>
      </c>
      <c r="O934" s="65">
        <f>IF(tblMovimientos[[#This Row],[Tipo de Movimiento]]="Egreso",tblMovimientos[[#This Row],[Monto (S/)]],"0")</f>
        <v>72333.33</v>
      </c>
      <c r="P934" s="28">
        <f>IF(tblMovimientos[[#This Row],[Tipo de Movimiento]]="Ingreso",tblMovimientos[[#This Row],[Ingreso]],-tblMovimientos[[#This Row],[Egreso]])</f>
        <v>-72333.33</v>
      </c>
    </row>
    <row r="935" spans="2:16" x14ac:dyDescent="0.3">
      <c r="B935" s="39">
        <v>46275</v>
      </c>
      <c r="C935" s="46" t="str">
        <f>_xlfn.XLOOKUP(tblMovimientos[[#This Row],[Cuenta Bancaria]],Listas!$B:$B,Listas!$A:$A,"")</f>
        <v>CFT Group</v>
      </c>
      <c r="D935" s="41" t="s">
        <v>95</v>
      </c>
      <c r="E935" s="4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46</v>
      </c>
      <c r="H935" s="4" t="str">
        <f>IFERROR(_xlfn.XLOOKUP(G935,Listas!E:E,Listas!F:F,""),"")</f>
        <v>Financiamiento</v>
      </c>
      <c r="I935" s="46" t="str">
        <f>IFERROR(_xlfn.XLOOKUP(G935,Listas!E:E,Listas!G:G,""),"")</f>
        <v>Externo</v>
      </c>
      <c r="J935" s="43">
        <v>85594.44</v>
      </c>
      <c r="K935" s="5">
        <f t="shared" si="10"/>
        <v>-85594.44</v>
      </c>
      <c r="L935" s="15" t="s">
        <v>133</v>
      </c>
      <c r="M935" s="44">
        <f>SUMIFS('Saldos Iniciales'!$D$2:$D$38,'Saldos Iniciales'!$A$2:$A$38,C935,'Saldos Iniciales'!$B$2:$B$38,D935)+SUMIFS($K$1:$K$1033,$C$1:$C$1033,C935,$D$1:$D$1033,D935,$B$1:$B$1033,"&lt;="&amp;B935)</f>
        <v>1165508.1300000011</v>
      </c>
      <c r="N935" s="65" t="str">
        <f>IF(tblMovimientos[[#This Row],[Tipo de Movimiento]]="Ingreso",tblMovimientos[[#This Row],[Monto (S/)]],"0")</f>
        <v>0</v>
      </c>
      <c r="O935" s="65">
        <f>IF(tblMovimientos[[#This Row],[Tipo de Movimiento]]="Egreso",tblMovimientos[[#This Row],[Monto (S/)]],"0")</f>
        <v>85594.44</v>
      </c>
      <c r="P935" s="28">
        <f>IF(tblMovimientos[[#This Row],[Tipo de Movimiento]]="Ingreso",tblMovimientos[[#This Row],[Ingreso]],-tblMovimientos[[#This Row],[Egreso]])</f>
        <v>-85594.44</v>
      </c>
    </row>
    <row r="936" spans="2:16" x14ac:dyDescent="0.3">
      <c r="B936" s="39">
        <v>46275</v>
      </c>
      <c r="C936" s="46" t="str">
        <f>_xlfn.XLOOKUP(tblMovimientos[[#This Row],[Cuenta Bancaria]],Listas!$B:$B,Listas!$A:$A,"")</f>
        <v>CFT Group</v>
      </c>
      <c r="D936" s="41" t="s">
        <v>95</v>
      </c>
      <c r="E936" s="4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 t="shared" si="10"/>
        <v>-100000</v>
      </c>
      <c r="L936" s="15" t="s">
        <v>133</v>
      </c>
      <c r="M936" s="44">
        <f>SUMIFS('Saldos Iniciales'!$D$2:$D$38,'Saldos Iniciales'!$A$2:$A$38,C936,'Saldos Iniciales'!$B$2:$B$38,D936)+SUMIFS($K$1:$K$1033,$C$1:$C$1033,C936,$D$1:$D$1033,D936,$B$1:$B$1033,"&lt;="&amp;B936)</f>
        <v>1165508.1300000011</v>
      </c>
      <c r="N936" s="65" t="str">
        <f>IF(tblMovimientos[[#This Row],[Tipo de Movimiento]]="Ingreso",tblMovimientos[[#This Row],[Monto (S/)]],"0")</f>
        <v>0</v>
      </c>
      <c r="O936" s="65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</row>
    <row r="937" spans="2:16" x14ac:dyDescent="0.3">
      <c r="B937" s="39">
        <v>46275</v>
      </c>
      <c r="C937" s="46" t="str">
        <f>_xlfn.XLOOKUP(tblMovimientos[[#This Row],[Cuenta Bancaria]],Listas!$B:$B,Listas!$A:$A,"")</f>
        <v>CFT Group</v>
      </c>
      <c r="D937" s="41" t="s">
        <v>95</v>
      </c>
      <c r="E937" s="4" t="str">
        <f>_xlfn.XLOOKUP(tblMovimientos[[#This Row],[Cuenta Bancaria]],Listas!$B:$B,Listas!$C:$C,"")</f>
        <v xml:space="preserve">Amerant Bank </v>
      </c>
      <c r="F937" s="41" t="s">
        <v>10</v>
      </c>
      <c r="G937" s="41" t="s">
        <v>61</v>
      </c>
      <c r="H937" s="4" t="str">
        <f>IFERROR(_xlfn.XLOOKUP(G937,Listas!E:E,Listas!F:F,""),"")</f>
        <v>Operativo</v>
      </c>
      <c r="I937" s="46" t="str">
        <f>IFERROR(_xlfn.XLOOKUP(G937,Listas!E:E,Listas!G:G,""),"")</f>
        <v>Externo</v>
      </c>
      <c r="J937" s="43">
        <v>100000</v>
      </c>
      <c r="K937" s="5">
        <f t="shared" si="10"/>
        <v>-100000</v>
      </c>
      <c r="L937" s="15" t="s">
        <v>133</v>
      </c>
      <c r="M937" s="44">
        <f>SUMIFS('Saldos Iniciales'!$D$2:$D$38,'Saldos Iniciales'!$A$2:$A$38,C937,'Saldos Iniciales'!$B$2:$B$38,D937)+SUMIFS($K$1:$K$1033,$C$1:$C$1033,C937,$D$1:$D$1033,D937,$B$1:$B$1033,"&lt;="&amp;B937)</f>
        <v>1165508.1300000011</v>
      </c>
      <c r="N937" s="65" t="str">
        <f>IF(tblMovimientos[[#This Row],[Tipo de Movimiento]]="Ingreso",tblMovimientos[[#This Row],[Monto (S/)]],"0")</f>
        <v>0</v>
      </c>
      <c r="O937" s="65">
        <f>IF(tblMovimientos[[#This Row],[Tipo de Movimiento]]="Egreso",tblMovimientos[[#This Row],[Monto (S/)]],"0")</f>
        <v>100000</v>
      </c>
      <c r="P937" s="28">
        <f>IF(tblMovimientos[[#This Row],[Tipo de Movimiento]]="Ingreso",tblMovimientos[[#This Row],[Ingreso]],-tblMovimientos[[#This Row],[Egreso]])</f>
        <v>-100000</v>
      </c>
    </row>
    <row r="938" spans="2:16" x14ac:dyDescent="0.3">
      <c r="B938" s="39">
        <v>46275</v>
      </c>
      <c r="C938" s="46" t="str">
        <f>_xlfn.XLOOKUP(tblMovimientos[[#This Row],[Cuenta Bancaria]],Listas!$B:$B,Listas!$A:$A,"")</f>
        <v>SSP Capital</v>
      </c>
      <c r="D938" s="41" t="s">
        <v>104</v>
      </c>
      <c r="E938" s="4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46</v>
      </c>
      <c r="H938" s="4" t="str">
        <f>IFERROR(_xlfn.XLOOKUP(G938,Listas!E:E,Listas!F:F,""),"")</f>
        <v>Financiamiento</v>
      </c>
      <c r="I938" s="46" t="str">
        <f>IFERROR(_xlfn.XLOOKUP(G938,Listas!E:E,Listas!G:G,""),"")</f>
        <v>Externo</v>
      </c>
      <c r="J938" s="43">
        <v>9902.77</v>
      </c>
      <c r="K938" s="5">
        <f t="shared" si="10"/>
        <v>-9902.77</v>
      </c>
      <c r="L938" s="15" t="s">
        <v>133</v>
      </c>
      <c r="M938" s="44">
        <f>SUMIFS('Saldos Iniciales'!$D$2:$D$38,'Saldos Iniciales'!$A$2:$A$38,C938,'Saldos Iniciales'!$B$2:$B$38,D938)+SUMIFS($K$1:$K$1033,$C$1:$C$1033,C938,$D$1:$D$1033,D938,$B$1:$B$1033,"&lt;="&amp;B938)</f>
        <v>381136.32999999926</v>
      </c>
      <c r="N938" s="65" t="str">
        <f>IF(tblMovimientos[[#This Row],[Tipo de Movimiento]]="Ingreso",tblMovimientos[[#This Row],[Monto (S/)]],"0")</f>
        <v>0</v>
      </c>
      <c r="O938" s="65">
        <f>IF(tblMovimientos[[#This Row],[Tipo de Movimiento]]="Egreso",tblMovimientos[[#This Row],[Monto (S/)]],"0")</f>
        <v>9902.77</v>
      </c>
      <c r="P938" s="28">
        <f>IF(tblMovimientos[[#This Row],[Tipo de Movimiento]]="Ingreso",tblMovimientos[[#This Row],[Ingreso]],-tblMovimientos[[#This Row],[Egreso]])</f>
        <v>-9902.77</v>
      </c>
    </row>
    <row r="939" spans="2:16" x14ac:dyDescent="0.3">
      <c r="B939" s="39">
        <v>46275</v>
      </c>
      <c r="C939" s="46" t="str">
        <f>_xlfn.XLOOKUP(tblMovimientos[[#This Row],[Cuenta Bancaria]],Listas!$B:$B,Listas!$A:$A,"")</f>
        <v>SSP Capital</v>
      </c>
      <c r="D939" s="41" t="s">
        <v>104</v>
      </c>
      <c r="E939" s="4" t="str">
        <f>_xlfn.XLOOKUP(tblMovimientos[[#This Row],[Cuenta Bancaria]],Listas!$B:$B,Listas!$C:$C,"")</f>
        <v xml:space="preserve">Amerant Bank </v>
      </c>
      <c r="F939" s="41" t="s">
        <v>10</v>
      </c>
      <c r="G939" s="41" t="s">
        <v>46</v>
      </c>
      <c r="H939" s="4" t="str">
        <f>IFERROR(_xlfn.XLOOKUP(G939,Listas!E:E,Listas!F:F,""),"")</f>
        <v>Financiamiento</v>
      </c>
      <c r="I939" s="46" t="str">
        <f>IFERROR(_xlfn.XLOOKUP(G939,Listas!E:E,Listas!G:G,""),"")</f>
        <v>Externo</v>
      </c>
      <c r="J939" s="43">
        <v>55455.56</v>
      </c>
      <c r="K939" s="5">
        <f t="shared" si="10"/>
        <v>-55455.56</v>
      </c>
      <c r="L939" s="15" t="s">
        <v>133</v>
      </c>
      <c r="M939" s="44">
        <f>SUMIFS('Saldos Iniciales'!$D$2:$D$38,'Saldos Iniciales'!$A$2:$A$38,C939,'Saldos Iniciales'!$B$2:$B$38,D939)+SUMIFS($K$1:$K$1033,$C$1:$C$1033,C939,$D$1:$D$1033,D939,$B$1:$B$1033,"&lt;="&amp;B939)</f>
        <v>381136.32999999926</v>
      </c>
      <c r="N939" s="65" t="str">
        <f>IF(tblMovimientos[[#This Row],[Tipo de Movimiento]]="Ingreso",tblMovimientos[[#This Row],[Monto (S/)]],"0")</f>
        <v>0</v>
      </c>
      <c r="O939" s="65">
        <f>IF(tblMovimientos[[#This Row],[Tipo de Movimiento]]="Egreso",tblMovimientos[[#This Row],[Monto (S/)]],"0")</f>
        <v>55455.56</v>
      </c>
      <c r="P939" s="28">
        <f>IF(tblMovimientos[[#This Row],[Tipo de Movimiento]]="Ingreso",tblMovimientos[[#This Row],[Ingreso]],-tblMovimientos[[#This Row],[Egreso]])</f>
        <v>-55455.56</v>
      </c>
    </row>
    <row r="940" spans="2:16" x14ac:dyDescent="0.3">
      <c r="B940" s="39">
        <v>46275</v>
      </c>
      <c r="C940" s="46" t="str">
        <f>_xlfn.XLOOKUP(tblMovimientos[[#This Row],[Cuenta Bancaria]],Listas!$B:$B,Listas!$A:$A,"")</f>
        <v>SSP Capital</v>
      </c>
      <c r="D940" s="41" t="s">
        <v>104</v>
      </c>
      <c r="E940" s="4" t="str">
        <f>_xlfn.XLOOKUP(tblMovimientos[[#This Row],[Cuenta Bancaria]],Listas!$B:$B,Listas!$C:$C,"")</f>
        <v xml:space="preserve">Amerant Bank </v>
      </c>
      <c r="F940" s="41" t="s">
        <v>10</v>
      </c>
      <c r="G940" s="41" t="s">
        <v>46</v>
      </c>
      <c r="H940" s="4" t="str">
        <f>IFERROR(_xlfn.XLOOKUP(G940,Listas!E:E,Listas!F:F,""),"")</f>
        <v>Financiamiento</v>
      </c>
      <c r="I940" s="46" t="str">
        <f>IFERROR(_xlfn.XLOOKUP(G940,Listas!E:E,Listas!G:G,""),"")</f>
        <v>Externo</v>
      </c>
      <c r="J940" s="43">
        <v>138638.89000000001</v>
      </c>
      <c r="K940" s="5">
        <f t="shared" si="10"/>
        <v>-138638.89000000001</v>
      </c>
      <c r="L940" s="15" t="s">
        <v>133</v>
      </c>
      <c r="M940" s="44">
        <f>SUMIFS('Saldos Iniciales'!$D$2:$D$38,'Saldos Iniciales'!$A$2:$A$38,C940,'Saldos Iniciales'!$B$2:$B$38,D940)+SUMIFS($K$1:$K$1033,$C$1:$C$1033,C940,$D$1:$D$1033,D940,$B$1:$B$1033,"&lt;="&amp;B940)</f>
        <v>381136.32999999926</v>
      </c>
      <c r="N940" s="65" t="str">
        <f>IF(tblMovimientos[[#This Row],[Tipo de Movimiento]]="Ingreso",tblMovimientos[[#This Row],[Monto (S/)]],"0")</f>
        <v>0</v>
      </c>
      <c r="O940" s="65">
        <f>IF(tblMovimientos[[#This Row],[Tipo de Movimiento]]="Egreso",tblMovimientos[[#This Row],[Monto (S/)]],"0")</f>
        <v>138638.89000000001</v>
      </c>
      <c r="P940" s="28">
        <f>IF(tblMovimientos[[#This Row],[Tipo de Movimiento]]="Ingreso",tblMovimientos[[#This Row],[Ingreso]],-tblMovimientos[[#This Row],[Egreso]])</f>
        <v>-138638.89000000001</v>
      </c>
    </row>
    <row r="941" spans="2:16" x14ac:dyDescent="0.3">
      <c r="B941" s="39">
        <v>46275</v>
      </c>
      <c r="C941" s="46" t="str">
        <f>_xlfn.XLOOKUP(tblMovimientos[[#This Row],[Cuenta Bancaria]],Listas!$B:$B,Listas!$A:$A,"")</f>
        <v>SSP Capital</v>
      </c>
      <c r="D941" s="41" t="s">
        <v>104</v>
      </c>
      <c r="E941" s="4" t="str">
        <f>_xlfn.XLOOKUP(tblMovimientos[[#This Row],[Cuenta Bancaria]],Listas!$B:$B,Listas!$C:$C,"")</f>
        <v xml:space="preserve">Amerant Bank </v>
      </c>
      <c r="F941" s="41" t="s">
        <v>10</v>
      </c>
      <c r="G941" s="41" t="s">
        <v>60</v>
      </c>
      <c r="H941" s="4" t="str">
        <f>IFERROR(_xlfn.XLOOKUP(G941,Listas!E:E,Listas!F:F,""),"")</f>
        <v>Inversion</v>
      </c>
      <c r="I941" s="46" t="str">
        <f>IFERROR(_xlfn.XLOOKUP(G941,Listas!E:E,Listas!G:G,""),"")</f>
        <v>Interno</v>
      </c>
      <c r="J941" s="43">
        <v>50000</v>
      </c>
      <c r="K941" s="5">
        <f t="shared" si="10"/>
        <v>-50000</v>
      </c>
      <c r="L941" s="15" t="s">
        <v>133</v>
      </c>
      <c r="M941" s="44">
        <f>SUMIFS('Saldos Iniciales'!$D$2:$D$38,'Saldos Iniciales'!$A$2:$A$38,C941,'Saldos Iniciales'!$B$2:$B$38,D941)+SUMIFS($K$1:$K$1033,$C$1:$C$1033,C941,$D$1:$D$1033,D941,$B$1:$B$1033,"&lt;="&amp;B941)</f>
        <v>381136.32999999926</v>
      </c>
      <c r="N941" s="65" t="str">
        <f>IF(tblMovimientos[[#This Row],[Tipo de Movimiento]]="Ingreso",tblMovimientos[[#This Row],[Monto (S/)]],"0")</f>
        <v>0</v>
      </c>
      <c r="O941" s="65">
        <f>IF(tblMovimientos[[#This Row],[Tipo de Movimiento]]="Egreso",tblMovimientos[[#This Row],[Monto (S/)]],"0")</f>
        <v>50000</v>
      </c>
      <c r="P941" s="28">
        <f>IF(tblMovimientos[[#This Row],[Tipo de Movimiento]]="Ingreso",tblMovimientos[[#This Row],[Ingreso]],-tblMovimientos[[#This Row],[Egreso]])</f>
        <v>-50000</v>
      </c>
    </row>
    <row r="942" spans="2:16" x14ac:dyDescent="0.3">
      <c r="B942" s="39">
        <v>46275</v>
      </c>
      <c r="C942" s="46" t="str">
        <f>_xlfn.XLOOKUP(tblMovimientos[[#This Row],[Cuenta Bancaria]],Listas!$B:$B,Listas!$A:$A,"")</f>
        <v>Go Blue</v>
      </c>
      <c r="D942" s="41" t="s">
        <v>126</v>
      </c>
      <c r="E942" s="4" t="str">
        <f>_xlfn.XLOOKUP(tblMovimientos[[#This Row],[Cuenta Bancaria]],Listas!$B:$B,Listas!$C:$C,"")</f>
        <v xml:space="preserve">Amerant Bank 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69.53</v>
      </c>
      <c r="K942" s="5">
        <f t="shared" si="10"/>
        <v>-69.53</v>
      </c>
      <c r="L942" s="15" t="s">
        <v>133</v>
      </c>
      <c r="M942" s="44">
        <f>SUMIFS('Saldos Iniciales'!$D$2:$D$38,'Saldos Iniciales'!$A$2:$A$38,C942,'Saldos Iniciales'!$B$2:$B$38,D942)+SUMIFS($K$1:$K$1033,$C$1:$C$1033,C942,$D$1:$D$1033,D942,$B$1:$B$1033,"&lt;="&amp;B942)</f>
        <v>16164.689999999999</v>
      </c>
      <c r="N942" s="65" t="str">
        <f>IF(tblMovimientos[[#This Row],[Tipo de Movimiento]]="Ingreso",tblMovimientos[[#This Row],[Monto (S/)]],"0")</f>
        <v>0</v>
      </c>
      <c r="O942" s="65">
        <f>IF(tblMovimientos[[#This Row],[Tipo de Movimiento]]="Egreso",tblMovimientos[[#This Row],[Monto (S/)]],"0")</f>
        <v>69.53</v>
      </c>
      <c r="P942" s="28">
        <f>IF(tblMovimientos[[#This Row],[Tipo de Movimiento]]="Ingreso",tblMovimientos[[#This Row],[Ingreso]],-tblMovimientos[[#This Row],[Egreso]])</f>
        <v>-69.53</v>
      </c>
    </row>
    <row r="943" spans="2:16" x14ac:dyDescent="0.3">
      <c r="B943" s="39">
        <v>46275</v>
      </c>
      <c r="C943" s="46" t="str">
        <f>_xlfn.XLOOKUP(tblMovimientos[[#This Row],[Cuenta Bancaria]],Listas!$B:$B,Listas!$A:$A,"")</f>
        <v>Go Blue</v>
      </c>
      <c r="D943" s="41" t="s">
        <v>126</v>
      </c>
      <c r="E943" s="4" t="str">
        <f>_xlfn.XLOOKUP(tblMovimientos[[#This Row],[Cuenta Bancaria]],Listas!$B:$B,Listas!$C:$C,"")</f>
        <v xml:space="preserve">Amerant Bank </v>
      </c>
      <c r="F943" s="41" t="s">
        <v>10</v>
      </c>
      <c r="G943" s="41" t="s">
        <v>38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2500</v>
      </c>
      <c r="K943" s="5">
        <f t="shared" si="10"/>
        <v>-2500</v>
      </c>
      <c r="L943" s="15" t="s">
        <v>133</v>
      </c>
      <c r="M943" s="44">
        <f>SUMIFS('Saldos Iniciales'!$D$2:$D$38,'Saldos Iniciales'!$A$2:$A$38,C943,'Saldos Iniciales'!$B$2:$B$38,D943)+SUMIFS($K$1:$K$1033,$C$1:$C$1033,C943,$D$1:$D$1033,D943,$B$1:$B$1033,"&lt;="&amp;B943)</f>
        <v>16164.689999999999</v>
      </c>
      <c r="N943" s="65" t="str">
        <f>IF(tblMovimientos[[#This Row],[Tipo de Movimiento]]="Ingreso",tblMovimientos[[#This Row],[Monto (S/)]],"0")</f>
        <v>0</v>
      </c>
      <c r="O943" s="65">
        <f>IF(tblMovimientos[[#This Row],[Tipo de Movimiento]]="Egreso",tblMovimientos[[#This Row],[Monto (S/)]],"0")</f>
        <v>2500</v>
      </c>
      <c r="P943" s="28">
        <f>IF(tblMovimientos[[#This Row],[Tipo de Movimiento]]="Ingreso",tblMovimientos[[#This Row],[Ingreso]],-tblMovimientos[[#This Row],[Egreso]])</f>
        <v>-2500</v>
      </c>
    </row>
    <row r="944" spans="2:16" x14ac:dyDescent="0.3">
      <c r="B944" s="39">
        <v>46275</v>
      </c>
      <c r="C944" s="46" t="str">
        <f>_xlfn.XLOOKUP(tblMovimientos[[#This Row],[Cuenta Bancaria]],Listas!$B:$B,Listas!$A:$A,"")</f>
        <v>Go Blue</v>
      </c>
      <c r="D944" s="41" t="s">
        <v>126</v>
      </c>
      <c r="E944" s="4" t="str">
        <f>_xlfn.XLOOKUP(tblMovimientos[[#This Row],[Cuenta Bancaria]],Listas!$B:$B,Listas!$C:$C,"")</f>
        <v xml:space="preserve">Amerant Bank </v>
      </c>
      <c r="F944" s="41" t="s">
        <v>10</v>
      </c>
      <c r="G944" s="41" t="s">
        <v>44</v>
      </c>
      <c r="H944" s="4" t="str">
        <f>IFERROR(_xlfn.XLOOKUP(G944,Listas!E:E,Listas!F:F,""),"")</f>
        <v>Operativo</v>
      </c>
      <c r="I944" s="46" t="str">
        <f>IFERROR(_xlfn.XLOOKUP(G944,Listas!E:E,Listas!G:G,""),"")</f>
        <v>Externo</v>
      </c>
      <c r="J944" s="43">
        <v>15</v>
      </c>
      <c r="K944" s="5">
        <f t="shared" si="10"/>
        <v>-15</v>
      </c>
      <c r="L944" s="15" t="s">
        <v>133</v>
      </c>
      <c r="M944" s="44">
        <f>SUMIFS('Saldos Iniciales'!$D$2:$D$38,'Saldos Iniciales'!$A$2:$A$38,C944,'Saldos Iniciales'!$B$2:$B$38,D944)+SUMIFS($K$1:$K$1033,$C$1:$C$1033,C944,$D$1:$D$1033,D944,$B$1:$B$1033,"&lt;="&amp;B944)</f>
        <v>16164.689999999999</v>
      </c>
      <c r="N944" s="65" t="str">
        <f>IF(tblMovimientos[[#This Row],[Tipo de Movimiento]]="Ingreso",tblMovimientos[[#This Row],[Monto (S/)]],"0")</f>
        <v>0</v>
      </c>
      <c r="O944" s="65">
        <f>IF(tblMovimientos[[#This Row],[Tipo de Movimiento]]="Egreso",tblMovimientos[[#This Row],[Monto (S/)]],"0")</f>
        <v>15</v>
      </c>
      <c r="P944" s="28">
        <f>IF(tblMovimientos[[#This Row],[Tipo de Movimiento]]="Ingreso",tblMovimientos[[#This Row],[Ingreso]],-tblMovimientos[[#This Row],[Egreso]])</f>
        <v>-15</v>
      </c>
    </row>
    <row r="945" spans="1:16" x14ac:dyDescent="0.3">
      <c r="A945" s="45"/>
      <c r="B945" s="39">
        <v>46275</v>
      </c>
      <c r="C945" s="46" t="str">
        <f>_xlfn.XLOOKUP(tblMovimientos[[#This Row],[Cuenta Bancaria]],Listas!$B:$B,Listas!$A:$A,"")</f>
        <v>Go Blue</v>
      </c>
      <c r="D945" s="41" t="s">
        <v>126</v>
      </c>
      <c r="E945" s="46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64</v>
      </c>
      <c r="H945" s="46" t="str">
        <f>IFERROR(_xlfn.XLOOKUP(G945,Listas!E:E,Listas!F:F,""),"")</f>
        <v>Operativo</v>
      </c>
      <c r="I945" s="46" t="str">
        <f>IFERROR(_xlfn.XLOOKUP(G945,Listas!E:E,Listas!G:G,""),"")</f>
        <v>Interno</v>
      </c>
      <c r="J945" s="43">
        <v>5000</v>
      </c>
      <c r="K945" s="5">
        <f t="shared" si="10"/>
        <v>-5000</v>
      </c>
      <c r="L945" s="15" t="s">
        <v>133</v>
      </c>
      <c r="M945" s="44">
        <f>SUMIFS('Saldos Iniciales'!$D$2:$D$38,'Saldos Iniciales'!$A$2:$A$38,C945,'Saldos Iniciales'!$B$2:$B$38,D945)+SUMIFS($K$1:$K$1033,$C$1:$C$1033,C945,$D$1:$D$1033,D945,$B$1:$B$1033,"&lt;="&amp;B945)</f>
        <v>16164.689999999999</v>
      </c>
      <c r="N945" s="65" t="str">
        <f>IF(tblMovimientos[[#This Row],[Tipo de Movimiento]]="Ingreso",tblMovimientos[[#This Row],[Monto (S/)]],"0")</f>
        <v>0</v>
      </c>
      <c r="O945" s="65">
        <f>IF(tblMovimientos[[#This Row],[Tipo de Movimiento]]="Egreso",tblMovimientos[[#This Row],[Monto (S/)]],"0")</f>
        <v>5000</v>
      </c>
      <c r="P945" s="28">
        <f>IF(tblMovimientos[[#This Row],[Tipo de Movimiento]]="Ingreso",tblMovimientos[[#This Row],[Ingreso]],-tblMovimientos[[#This Row],[Egreso]])</f>
        <v>-5000</v>
      </c>
    </row>
    <row r="946" spans="1:16" x14ac:dyDescent="0.3">
      <c r="B946" s="39">
        <v>46276</v>
      </c>
      <c r="C946" s="46" t="str">
        <f>_xlfn.XLOOKUP(tblMovimientos[[#This Row],[Cuenta Bancaria]],Listas!$B:$B,Listas!$A:$A,"")</f>
        <v>A&amp;M Imports</v>
      </c>
      <c r="D946" s="41" t="s">
        <v>100</v>
      </c>
      <c r="E946" s="4" t="str">
        <f>_xlfn.XLOOKUP(tblMovimientos[[#This Row],[Cuenta Bancaria]],Listas!$B:$B,Listas!$C:$C,"")</f>
        <v>Bank of America</v>
      </c>
      <c r="F946" s="41" t="s">
        <v>10</v>
      </c>
      <c r="G946" s="41" t="s">
        <v>45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45</v>
      </c>
      <c r="K946" s="5">
        <f t="shared" si="10"/>
        <v>-45</v>
      </c>
      <c r="L946" s="15" t="s">
        <v>133</v>
      </c>
      <c r="M946" s="44">
        <f>SUMIFS('Saldos Iniciales'!$D$2:$D$38,'Saldos Iniciales'!$A$2:$A$38,C946,'Saldos Iniciales'!$B$2:$B$38,D946)+SUMIFS($K$1:$K$1033,$C$1:$C$1033,C946,$D$1:$D$1033,D946,$B$1:$B$1033,"&lt;="&amp;B946)</f>
        <v>1089124.99</v>
      </c>
      <c r="N946" s="65" t="str">
        <f>IF(tblMovimientos[[#This Row],[Tipo de Movimiento]]="Ingreso",tblMovimientos[[#This Row],[Monto (S/)]],"0")</f>
        <v>0</v>
      </c>
      <c r="O946" s="65">
        <f>IF(tblMovimientos[[#This Row],[Tipo de Movimiento]]="Egreso",tblMovimientos[[#This Row],[Monto (S/)]],"0")</f>
        <v>45</v>
      </c>
      <c r="P946" s="28">
        <f>IF(tblMovimientos[[#This Row],[Tipo de Movimiento]]="Ingreso",tblMovimientos[[#This Row],[Ingreso]],-tblMovimientos[[#This Row],[Egreso]])</f>
        <v>-45</v>
      </c>
    </row>
    <row r="947" spans="1:16" x14ac:dyDescent="0.3">
      <c r="B947" s="39">
        <v>46276</v>
      </c>
      <c r="C947" s="46" t="str">
        <f>_xlfn.XLOOKUP(tblMovimientos[[#This Row],[Cuenta Bancaria]],Listas!$B:$B,Listas!$A:$A,"")</f>
        <v>CFT Group</v>
      </c>
      <c r="D947" s="41" t="s">
        <v>94</v>
      </c>
      <c r="E947" s="4" t="str">
        <f>_xlfn.XLOOKUP(tblMovimientos[[#This Row],[Cuenta Bancaria]],Listas!$B:$B,Listas!$C:$C,"")</f>
        <v>Bank of America</v>
      </c>
      <c r="F947" s="41" t="s">
        <v>9</v>
      </c>
      <c r="G947" s="41" t="s">
        <v>68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80126.2</v>
      </c>
      <c r="K947" s="5">
        <f t="shared" si="10"/>
        <v>80126.2</v>
      </c>
      <c r="L947" s="15" t="s">
        <v>133</v>
      </c>
      <c r="M947" s="44">
        <f>SUMIFS('Saldos Iniciales'!$D$2:$D$38,'Saldos Iniciales'!$A$2:$A$38,C947,'Saldos Iniciales'!$B$2:$B$38,D947)+SUMIFS($K$1:$K$1033,$C$1:$C$1033,C947,$D$1:$D$1033,D947,$B$1:$B$1033,"&lt;="&amp;B947)</f>
        <v>372222.02999999997</v>
      </c>
      <c r="N947" s="65">
        <f>IF(tblMovimientos[[#This Row],[Tipo de Movimiento]]="Ingreso",tblMovimientos[[#This Row],[Monto (S/)]],"0")</f>
        <v>80126.2</v>
      </c>
      <c r="O947" s="65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80126.2</v>
      </c>
    </row>
    <row r="948" spans="1:16" x14ac:dyDescent="0.3">
      <c r="B948" s="39">
        <v>46276</v>
      </c>
      <c r="C948" s="46" t="str">
        <f>_xlfn.XLOOKUP(tblMovimientos[[#This Row],[Cuenta Bancaria]],Listas!$B:$B,Listas!$A:$A,"")</f>
        <v>CFT Group</v>
      </c>
      <c r="D948" s="41" t="s">
        <v>94</v>
      </c>
      <c r="E948" s="4" t="str">
        <f>_xlfn.XLOOKUP(tblMovimientos[[#This Row],[Cuenta Bancaria]],Listas!$B:$B,Listas!$C:$C,"")</f>
        <v>Bank of America</v>
      </c>
      <c r="F948" s="41" t="s">
        <v>9</v>
      </c>
      <c r="G948" s="41" t="s">
        <v>68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124724.8</v>
      </c>
      <c r="K948" s="5">
        <f t="shared" si="10"/>
        <v>124724.8</v>
      </c>
      <c r="L948" s="15" t="s">
        <v>133</v>
      </c>
      <c r="M948" s="44">
        <f>SUMIFS('Saldos Iniciales'!$D$2:$D$38,'Saldos Iniciales'!$A$2:$A$38,C948,'Saldos Iniciales'!$B$2:$B$38,D948)+SUMIFS($K$1:$K$1033,$C$1:$C$1033,C948,$D$1:$D$1033,D948,$B$1:$B$1033,"&lt;="&amp;B948)</f>
        <v>372222.02999999997</v>
      </c>
      <c r="N948" s="65">
        <f>IF(tblMovimientos[[#This Row],[Tipo de Movimiento]]="Ingreso",tblMovimientos[[#This Row],[Monto (S/)]],"0")</f>
        <v>124724.8</v>
      </c>
      <c r="O948" s="65" t="str">
        <f>IF(tblMovimientos[[#This Row],[Tipo de Movimiento]]="Egreso",tblMovimientos[[#This Row],[Monto (S/)]],"0")</f>
        <v>0</v>
      </c>
      <c r="P948" s="28">
        <f>IF(tblMovimientos[[#This Row],[Tipo de Movimiento]]="Ingreso",tblMovimientos[[#This Row],[Ingreso]],-tblMovimientos[[#This Row],[Egreso]])</f>
        <v>124724.8</v>
      </c>
    </row>
    <row r="949" spans="1:16" x14ac:dyDescent="0.3">
      <c r="B949" s="39">
        <v>46276</v>
      </c>
      <c r="C949" s="46" t="str">
        <f>_xlfn.XLOOKUP(tblMovimientos[[#This Row],[Cuenta Bancaria]],Listas!$B:$B,Listas!$A:$A,"")</f>
        <v>112 Florida Ave</v>
      </c>
      <c r="D949" s="41" t="s">
        <v>123</v>
      </c>
      <c r="E949" s="4" t="str">
        <f>_xlfn.XLOOKUP(tblMovimientos[[#This Row],[Cuenta Bancaria]],Listas!$B:$B,Listas!$C:$C,"")</f>
        <v>Bank of America</v>
      </c>
      <c r="F949" s="41" t="s">
        <v>10</v>
      </c>
      <c r="G949" s="41" t="s">
        <v>38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477.91</v>
      </c>
      <c r="K949" s="5">
        <f t="shared" si="10"/>
        <v>-477.91</v>
      </c>
      <c r="L949" s="15" t="s">
        <v>133</v>
      </c>
      <c r="M949" s="44">
        <f>SUMIFS('Saldos Iniciales'!$D$2:$D$38,'Saldos Iniciales'!$A$2:$A$38,C949,'Saldos Iniciales'!$B$2:$B$38,D949)+SUMIFS($K$1:$K$1033,$C$1:$C$1033,C949,$D$1:$D$1033,D949,$B$1:$B$1033,"&lt;="&amp;B949)</f>
        <v>16282.630000000006</v>
      </c>
      <c r="N949" s="65" t="str">
        <f>IF(tblMovimientos[[#This Row],[Tipo de Movimiento]]="Ingreso",tblMovimientos[[#This Row],[Monto (S/)]],"0")</f>
        <v>0</v>
      </c>
      <c r="O949" s="65">
        <f>IF(tblMovimientos[[#This Row],[Tipo de Movimiento]]="Egreso",tblMovimientos[[#This Row],[Monto (S/)]],"0")</f>
        <v>477.91</v>
      </c>
      <c r="P949" s="28">
        <f>IF(tblMovimientos[[#This Row],[Tipo de Movimiento]]="Ingreso",tblMovimientos[[#This Row],[Ingreso]],-tblMovimientos[[#This Row],[Egreso]])</f>
        <v>-477.91</v>
      </c>
    </row>
    <row r="950" spans="1:16" x14ac:dyDescent="0.3">
      <c r="B950" s="39">
        <v>46276</v>
      </c>
      <c r="C950" s="46" t="str">
        <f>_xlfn.XLOOKUP(tblMovimientos[[#This Row],[Cuenta Bancaria]],Listas!$B:$B,Listas!$A:$A,"")</f>
        <v>3628 Thomas Ave</v>
      </c>
      <c r="D950" s="41" t="s">
        <v>124</v>
      </c>
      <c r="E950" s="4" t="str">
        <f>_xlfn.XLOOKUP(tblMovimientos[[#This Row],[Cuenta Bancaria]],Listas!$B:$B,Listas!$C:$C,"")</f>
        <v>Bank of America</v>
      </c>
      <c r="F950" s="41" t="s">
        <v>10</v>
      </c>
      <c r="G950" s="41" t="s">
        <v>38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477.91</v>
      </c>
      <c r="K950" s="5">
        <f t="shared" si="10"/>
        <v>-477.91</v>
      </c>
      <c r="L950" s="15" t="s">
        <v>133</v>
      </c>
      <c r="M950" s="44">
        <f>SUMIFS('Saldos Iniciales'!$D$2:$D$38,'Saldos Iniciales'!$A$2:$A$38,C950,'Saldos Iniciales'!$B$2:$B$38,D950)+SUMIFS($K$1:$K$1033,$C$1:$C$1033,C950,$D$1:$D$1033,D950,$B$1:$B$1033,"&lt;="&amp;B950)</f>
        <v>13339.389999999996</v>
      </c>
      <c r="N950" s="65" t="str">
        <f>IF(tblMovimientos[[#This Row],[Tipo de Movimiento]]="Ingreso",tblMovimientos[[#This Row],[Monto (S/)]],"0")</f>
        <v>0</v>
      </c>
      <c r="O950" s="65">
        <f>IF(tblMovimientos[[#This Row],[Tipo de Movimiento]]="Egreso",tblMovimientos[[#This Row],[Monto (S/)]],"0")</f>
        <v>477.91</v>
      </c>
      <c r="P950" s="28">
        <f>IF(tblMovimientos[[#This Row],[Tipo de Movimiento]]="Ingreso",tblMovimientos[[#This Row],[Ingreso]],-tblMovimientos[[#This Row],[Egreso]])</f>
        <v>-477.91</v>
      </c>
    </row>
    <row r="951" spans="1:16" x14ac:dyDescent="0.3">
      <c r="B951" s="39">
        <v>46276</v>
      </c>
      <c r="C951" s="46" t="str">
        <f>_xlfn.XLOOKUP(tblMovimientos[[#This Row],[Cuenta Bancaria]],Listas!$B:$B,Listas!$A:$A,"")</f>
        <v>3628 Thomas Ave</v>
      </c>
      <c r="D951" s="41" t="s">
        <v>124</v>
      </c>
      <c r="E951" s="4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345.7</v>
      </c>
      <c r="K951" s="5">
        <f t="shared" si="10"/>
        <v>-345.7</v>
      </c>
      <c r="L951" s="15" t="s">
        <v>133</v>
      </c>
      <c r="M951" s="44">
        <f>SUMIFS('Saldos Iniciales'!$D$2:$D$38,'Saldos Iniciales'!$A$2:$A$38,C951,'Saldos Iniciales'!$B$2:$B$38,D951)+SUMIFS($K$1:$K$1033,$C$1:$C$1033,C951,$D$1:$D$1033,D951,$B$1:$B$1033,"&lt;="&amp;B951)</f>
        <v>13339.389999999996</v>
      </c>
      <c r="N951" s="65" t="str">
        <f>IF(tblMovimientos[[#This Row],[Tipo de Movimiento]]="Ingreso",tblMovimientos[[#This Row],[Monto (S/)]],"0")</f>
        <v>0</v>
      </c>
      <c r="O951" s="65">
        <f>IF(tblMovimientos[[#This Row],[Tipo de Movimiento]]="Egreso",tblMovimientos[[#This Row],[Monto (S/)]],"0")</f>
        <v>345.7</v>
      </c>
      <c r="P951" s="28">
        <f>IF(tblMovimientos[[#This Row],[Tipo de Movimiento]]="Ingreso",tblMovimientos[[#This Row],[Ingreso]],-tblMovimientos[[#This Row],[Egreso]])</f>
        <v>-345.7</v>
      </c>
    </row>
    <row r="952" spans="1:16" x14ac:dyDescent="0.3">
      <c r="B952" s="39">
        <v>46276</v>
      </c>
      <c r="C952" s="46" t="str">
        <f>_xlfn.XLOOKUP(tblMovimientos[[#This Row],[Cuenta Bancaria]],Listas!$B:$B,Listas!$A:$A,"")</f>
        <v>Go Blue</v>
      </c>
      <c r="D952" s="41" t="s">
        <v>169</v>
      </c>
      <c r="E952" s="4" t="str">
        <f>_xlfn.XLOOKUP(tblMovimientos[[#This Row],[Cuenta Bancaria]],Listas!$B:$B,Listas!$C:$C,"")</f>
        <v xml:space="preserve">Amerant Bank </v>
      </c>
      <c r="F952" s="41" t="s">
        <v>10</v>
      </c>
      <c r="G952" s="41" t="s">
        <v>38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102.27</v>
      </c>
      <c r="K952" s="5">
        <f t="shared" ref="K952:K1014" si="11">IF(F952="Ingreso",J952,-J952)</f>
        <v>-102.27</v>
      </c>
      <c r="L952" s="15" t="s">
        <v>133</v>
      </c>
      <c r="M952" s="44">
        <f>SUMIFS('Saldos Iniciales'!$D$2:$D$38,'Saldos Iniciales'!$A$2:$A$38,C952,'Saldos Iniciales'!$B$2:$B$38,D952)+SUMIFS($K$1:$K$1033,$C$1:$C$1033,C952,$D$1:$D$1033,D952,$B$1:$B$1033,"&lt;="&amp;B952)</f>
        <v>6892.550000000002</v>
      </c>
      <c r="N952" s="65" t="str">
        <f>IF(tblMovimientos[[#This Row],[Tipo de Movimiento]]="Ingreso",tblMovimientos[[#This Row],[Monto (S/)]],"0")</f>
        <v>0</v>
      </c>
      <c r="O952" s="65">
        <f>IF(tblMovimientos[[#This Row],[Tipo de Movimiento]]="Egreso",tblMovimientos[[#This Row],[Monto (S/)]],"0")</f>
        <v>102.27</v>
      </c>
      <c r="P952" s="28">
        <f>IF(tblMovimientos[[#This Row],[Tipo de Movimiento]]="Ingreso",tblMovimientos[[#This Row],[Ingreso]],-tblMovimientos[[#This Row],[Egreso]])</f>
        <v>-102.27</v>
      </c>
    </row>
    <row r="953" spans="1:16" x14ac:dyDescent="0.3">
      <c r="B953" s="39">
        <v>46276</v>
      </c>
      <c r="C953" s="46" t="str">
        <f>_xlfn.XLOOKUP(tblMovimientos[[#This Row],[Cuenta Bancaria]],Listas!$B:$B,Listas!$A:$A,"")</f>
        <v>CFT Group</v>
      </c>
      <c r="D953" s="41" t="s">
        <v>95</v>
      </c>
      <c r="E953" s="4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75</v>
      </c>
      <c r="H953" s="4" t="str">
        <f>IFERROR(_xlfn.XLOOKUP(G953,Listas!E:E,Listas!F:F,""),"")</f>
        <v>Financiamiento</v>
      </c>
      <c r="I953" s="46" t="str">
        <f>IFERROR(_xlfn.XLOOKUP(G953,Listas!E:E,Listas!G:G,""),"")</f>
        <v>Interno</v>
      </c>
      <c r="J953" s="43">
        <v>350000</v>
      </c>
      <c r="K953" s="5">
        <f t="shared" si="11"/>
        <v>350000</v>
      </c>
      <c r="L953" s="15" t="s">
        <v>133</v>
      </c>
      <c r="M953" s="44">
        <f>SUMIFS('Saldos Iniciales'!$D$2:$D$38,'Saldos Iniciales'!$A$2:$A$38,C953,'Saldos Iniciales'!$B$2:$B$38,D953)+SUMIFS($K$1:$K$1033,$C$1:$C$1033,C953,$D$1:$D$1033,D953,$B$1:$B$1033,"&lt;="&amp;B953)</f>
        <v>1515508.1300000011</v>
      </c>
      <c r="N953" s="65">
        <f>IF(tblMovimientos[[#This Row],[Tipo de Movimiento]]="Ingreso",tblMovimientos[[#This Row],[Monto (S/)]],"0")</f>
        <v>350000</v>
      </c>
      <c r="O953" s="65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350000</v>
      </c>
    </row>
    <row r="954" spans="1:16" x14ac:dyDescent="0.3">
      <c r="B954" s="39">
        <v>46279</v>
      </c>
      <c r="C954" s="46" t="str">
        <f>_xlfn.XLOOKUP(tblMovimientos[[#This Row],[Cuenta Bancaria]],Listas!$B:$B,Listas!$A:$A,"")</f>
        <v>SSP Capital</v>
      </c>
      <c r="D954" s="41" t="s">
        <v>101</v>
      </c>
      <c r="E954" s="4" t="str">
        <f>_xlfn.XLOOKUP(tblMovimientos[[#This Row],[Cuenta Bancaria]],Listas!$B:$B,Listas!$C:$C,"")</f>
        <v>Bank of America</v>
      </c>
      <c r="F954" s="41" t="s">
        <v>10</v>
      </c>
      <c r="G954" s="41" t="s">
        <v>38</v>
      </c>
      <c r="H954" s="4" t="str">
        <f>IFERROR(_xlfn.XLOOKUP(G954,Listas!E:E,Listas!F:F,""),"")</f>
        <v>Operativo</v>
      </c>
      <c r="I954" s="46" t="str">
        <f>IFERROR(_xlfn.XLOOKUP(G954,Listas!E:E,Listas!G:G,""),"")</f>
        <v>Externo</v>
      </c>
      <c r="J954" s="43">
        <v>1413.5</v>
      </c>
      <c r="K954" s="5">
        <f t="shared" si="11"/>
        <v>-1413.5</v>
      </c>
      <c r="L954" s="15" t="s">
        <v>133</v>
      </c>
      <c r="M954" s="44">
        <f>SUMIFS('Saldos Iniciales'!$D$2:$D$38,'Saldos Iniciales'!$A$2:$A$38,C954,'Saldos Iniciales'!$B$2:$B$38,D954)+SUMIFS($K$1:$K$1033,$C$1:$C$1033,C954,$D$1:$D$1033,D954,$B$1:$B$1033,"&lt;="&amp;B954)</f>
        <v>29072.080000000002</v>
      </c>
      <c r="N954" s="65" t="str">
        <f>IF(tblMovimientos[[#This Row],[Tipo de Movimiento]]="Ingreso",tblMovimientos[[#This Row],[Monto (S/)]],"0")</f>
        <v>0</v>
      </c>
      <c r="O954" s="65">
        <f>IF(tblMovimientos[[#This Row],[Tipo de Movimiento]]="Egreso",tblMovimientos[[#This Row],[Monto (S/)]],"0")</f>
        <v>1413.5</v>
      </c>
      <c r="P954" s="28">
        <f>IF(tblMovimientos[[#This Row],[Tipo de Movimiento]]="Ingreso",tblMovimientos[[#This Row],[Ingreso]],-tblMovimientos[[#This Row],[Egreso]])</f>
        <v>-1413.5</v>
      </c>
    </row>
    <row r="955" spans="1:16" x14ac:dyDescent="0.3">
      <c r="B955" s="39">
        <v>46279</v>
      </c>
      <c r="C955" s="46" t="str">
        <f>_xlfn.XLOOKUP(tblMovimientos[[#This Row],[Cuenta Bancaria]],Listas!$B:$B,Listas!$A:$A,"")</f>
        <v>A&amp;M Imports</v>
      </c>
      <c r="D955" s="41" t="s">
        <v>100</v>
      </c>
      <c r="E955" s="4" t="str">
        <f>_xlfn.XLOOKUP(tblMovimientos[[#This Row],[Cuenta Bancaria]],Listas!$B:$B,Listas!$C:$C,"")</f>
        <v>Bank of America</v>
      </c>
      <c r="F955" s="41" t="s">
        <v>9</v>
      </c>
      <c r="G955" s="41" t="s">
        <v>68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16785.27</v>
      </c>
      <c r="K955" s="5">
        <f t="shared" si="11"/>
        <v>16785.27</v>
      </c>
      <c r="L955" s="15" t="s">
        <v>133</v>
      </c>
      <c r="M955" s="44">
        <f>SUMIFS('Saldos Iniciales'!$D$2:$D$38,'Saldos Iniciales'!$A$2:$A$38,C955,'Saldos Iniciales'!$B$2:$B$38,D955)+SUMIFS($K$1:$K$1033,$C$1:$C$1033,C955,$D$1:$D$1033,D955,$B$1:$B$1033,"&lt;="&amp;B955)</f>
        <v>1105910.26</v>
      </c>
      <c r="N955" s="65">
        <f>IF(tblMovimientos[[#This Row],[Tipo de Movimiento]]="Ingreso",tblMovimientos[[#This Row],[Monto (S/)]],"0")</f>
        <v>16785.27</v>
      </c>
      <c r="O955" s="65" t="str">
        <f>IF(tblMovimientos[[#This Row],[Tipo de Movimiento]]="Egreso",tblMovimientos[[#This Row],[Monto (S/)]],"0")</f>
        <v>0</v>
      </c>
      <c r="P955" s="28">
        <f>IF(tblMovimientos[[#This Row],[Tipo de Movimiento]]="Ingreso",tblMovimientos[[#This Row],[Ingreso]],-tblMovimientos[[#This Row],[Egreso]])</f>
        <v>16785.27</v>
      </c>
    </row>
    <row r="956" spans="1:16" x14ac:dyDescent="0.3">
      <c r="B956" s="39">
        <v>46279</v>
      </c>
      <c r="C956" s="46" t="str">
        <f>_xlfn.XLOOKUP(tblMovimientos[[#This Row],[Cuenta Bancaria]],Listas!$B:$B,Listas!$A:$A,"")</f>
        <v>3628 Thomas Ave</v>
      </c>
      <c r="D956" s="41" t="s">
        <v>124</v>
      </c>
      <c r="E956" s="4" t="str">
        <f>_xlfn.XLOOKUP(tblMovimientos[[#This Row],[Cuenta Bancaria]],Listas!$B:$B,Listas!$C:$C,"")</f>
        <v>Bank of America</v>
      </c>
      <c r="F956" s="41" t="s">
        <v>9</v>
      </c>
      <c r="G956" s="41" t="s">
        <v>82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346.61</v>
      </c>
      <c r="K956" s="5">
        <f t="shared" si="11"/>
        <v>346.61</v>
      </c>
      <c r="L956" s="15" t="s">
        <v>133</v>
      </c>
      <c r="M956" s="44">
        <f>SUMIFS('Saldos Iniciales'!$D$2:$D$38,'Saldos Iniciales'!$A$2:$A$38,C956,'Saldos Iniciales'!$B$2:$B$38,D956)+SUMIFS($K$1:$K$1033,$C$1:$C$1033,C956,$D$1:$D$1033,D956,$B$1:$B$1033,"&lt;="&amp;B956)</f>
        <v>13685.999999999996</v>
      </c>
      <c r="N956" s="65">
        <f>IF(tblMovimientos[[#This Row],[Tipo de Movimiento]]="Ingreso",tblMovimientos[[#This Row],[Monto (S/)]],"0")</f>
        <v>346.61</v>
      </c>
      <c r="O956" s="65" t="str">
        <f>IF(tblMovimientos[[#This Row],[Tipo de Movimiento]]="Egreso",tblMovimientos[[#This Row],[Monto (S/)]],"0")</f>
        <v>0</v>
      </c>
      <c r="P956" s="28">
        <f>IF(tblMovimientos[[#This Row],[Tipo de Movimiento]]="Ingreso",tblMovimientos[[#This Row],[Ingreso]],-tblMovimientos[[#This Row],[Egreso]])</f>
        <v>346.61</v>
      </c>
    </row>
    <row r="957" spans="1:16" x14ac:dyDescent="0.3">
      <c r="B957" s="39">
        <v>46279</v>
      </c>
      <c r="C957" s="46" t="str">
        <f>_xlfn.XLOOKUP(tblMovimientos[[#This Row],[Cuenta Bancaria]],Listas!$B:$B,Listas!$A:$A,"")</f>
        <v>Go Blue</v>
      </c>
      <c r="D957" s="41" t="s">
        <v>169</v>
      </c>
      <c r="E957" s="4" t="str">
        <f>_xlfn.XLOOKUP(tblMovimientos[[#This Row],[Cuenta Bancaria]],Listas!$B:$B,Listas!$C:$C,"")</f>
        <v xml:space="preserve">Amerant Bank </v>
      </c>
      <c r="F957" s="41" t="s">
        <v>9</v>
      </c>
      <c r="G957" s="41" t="s">
        <v>75</v>
      </c>
      <c r="H957" s="4" t="str">
        <f>IFERROR(_xlfn.XLOOKUP(G957,Listas!E:E,Listas!F:F,""),"")</f>
        <v>Financiamiento</v>
      </c>
      <c r="I957" s="46" t="str">
        <f>IFERROR(_xlfn.XLOOKUP(G957,Listas!E:E,Listas!G:G,""),"")</f>
        <v>Interno</v>
      </c>
      <c r="J957" s="43">
        <v>1500</v>
      </c>
      <c r="K957" s="5">
        <f t="shared" si="11"/>
        <v>1500</v>
      </c>
      <c r="L957" s="15" t="s">
        <v>133</v>
      </c>
      <c r="M957" s="44">
        <f>SUMIFS('Saldos Iniciales'!$D$2:$D$38,'Saldos Iniciales'!$A$2:$A$38,C957,'Saldos Iniciales'!$B$2:$B$38,D957)+SUMIFS($K$1:$K$1033,$C$1:$C$1033,C957,$D$1:$D$1033,D957,$B$1:$B$1033,"&lt;="&amp;B957)</f>
        <v>2097.760000000002</v>
      </c>
      <c r="N957" s="65">
        <f>IF(tblMovimientos[[#This Row],[Tipo de Movimiento]]="Ingreso",tblMovimientos[[#This Row],[Monto (S/)]],"0")</f>
        <v>1500</v>
      </c>
      <c r="O957" s="65" t="str">
        <f>IF(tblMovimientos[[#This Row],[Tipo de Movimiento]]="Egreso",tblMovimientos[[#This Row],[Monto (S/)]],"0")</f>
        <v>0</v>
      </c>
      <c r="P957" s="28">
        <f>IF(tblMovimientos[[#This Row],[Tipo de Movimiento]]="Ingreso",tblMovimientos[[#This Row],[Ingreso]],-tblMovimientos[[#This Row],[Egreso]])</f>
        <v>1500</v>
      </c>
    </row>
    <row r="958" spans="1:16" x14ac:dyDescent="0.3">
      <c r="B958" s="39">
        <v>46279</v>
      </c>
      <c r="C958" s="46" t="str">
        <f>_xlfn.XLOOKUP(tblMovimientos[[#This Row],[Cuenta Bancaria]],Listas!$B:$B,Listas!$A:$A,"")</f>
        <v>Go Blue</v>
      </c>
      <c r="D958" s="41" t="s">
        <v>169</v>
      </c>
      <c r="E958" s="4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4647.01</v>
      </c>
      <c r="K958" s="5">
        <f t="shared" si="11"/>
        <v>-4647.01</v>
      </c>
      <c r="L958" s="15" t="s">
        <v>133</v>
      </c>
      <c r="M958" s="44">
        <f>SUMIFS('Saldos Iniciales'!$D$2:$D$38,'Saldos Iniciales'!$A$2:$A$38,C958,'Saldos Iniciales'!$B$2:$B$38,D958)+SUMIFS($K$1:$K$1033,$C$1:$C$1033,C958,$D$1:$D$1033,D958,$B$1:$B$1033,"&lt;="&amp;B958)</f>
        <v>2097.760000000002</v>
      </c>
      <c r="N958" s="65" t="str">
        <f>IF(tblMovimientos[[#This Row],[Tipo de Movimiento]]="Ingreso",tblMovimientos[[#This Row],[Monto (S/)]],"0")</f>
        <v>0</v>
      </c>
      <c r="O958" s="65">
        <f>IF(tblMovimientos[[#This Row],[Tipo de Movimiento]]="Egreso",tblMovimientos[[#This Row],[Monto (S/)]],"0")</f>
        <v>4647.01</v>
      </c>
      <c r="P958" s="28">
        <f>IF(tblMovimientos[[#This Row],[Tipo de Movimiento]]="Ingreso",tblMovimientos[[#This Row],[Ingreso]],-tblMovimientos[[#This Row],[Egreso]])</f>
        <v>-4647.01</v>
      </c>
    </row>
    <row r="959" spans="1:16" x14ac:dyDescent="0.3">
      <c r="B959" s="39">
        <v>46279</v>
      </c>
      <c r="C959" s="46" t="str">
        <f>_xlfn.XLOOKUP(tblMovimientos[[#This Row],[Cuenta Bancaria]],Listas!$B:$B,Listas!$A:$A,"")</f>
        <v>Go Blue</v>
      </c>
      <c r="D959" s="41" t="s">
        <v>169</v>
      </c>
      <c r="E959" s="4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1647.78</v>
      </c>
      <c r="K959" s="5">
        <f t="shared" si="11"/>
        <v>-1647.78</v>
      </c>
      <c r="L959" s="15" t="s">
        <v>133</v>
      </c>
      <c r="M959" s="44">
        <f>SUMIFS('Saldos Iniciales'!$D$2:$D$38,'Saldos Iniciales'!$A$2:$A$38,C959,'Saldos Iniciales'!$B$2:$B$38,D959)+SUMIFS($K$1:$K$1033,$C$1:$C$1033,C959,$D$1:$D$1033,D959,$B$1:$B$1033,"&lt;="&amp;B959)</f>
        <v>2097.760000000002</v>
      </c>
      <c r="N959" s="65" t="str">
        <f>IF(tblMovimientos[[#This Row],[Tipo de Movimiento]]="Ingreso",tblMovimientos[[#This Row],[Monto (S/)]],"0")</f>
        <v>0</v>
      </c>
      <c r="O959" s="65">
        <f>IF(tblMovimientos[[#This Row],[Tipo de Movimiento]]="Egreso",tblMovimientos[[#This Row],[Monto (S/)]],"0")</f>
        <v>1647.78</v>
      </c>
      <c r="P959" s="28">
        <f>IF(tblMovimientos[[#This Row],[Tipo de Movimiento]]="Ingreso",tblMovimientos[[#This Row],[Ingreso]],-tblMovimientos[[#This Row],[Egreso]])</f>
        <v>-1647.78</v>
      </c>
    </row>
    <row r="960" spans="1:16" x14ac:dyDescent="0.3">
      <c r="B960" s="39">
        <v>46279</v>
      </c>
      <c r="C960" s="46" t="str">
        <f>_xlfn.XLOOKUP(tblMovimientos[[#This Row],[Cuenta Bancaria]],Listas!$B:$B,Listas!$A:$A,"")</f>
        <v>CFT Group</v>
      </c>
      <c r="D960" s="41" t="s">
        <v>95</v>
      </c>
      <c r="E960" s="4" t="str">
        <f>_xlfn.XLOOKUP(tblMovimientos[[#This Row],[Cuenta Bancaria]],Listas!$B:$B,Listas!$C:$C,"")</f>
        <v xml:space="preserve">Amerant Bank </v>
      </c>
      <c r="F960" s="41" t="s">
        <v>9</v>
      </c>
      <c r="G960" s="41" t="s">
        <v>76</v>
      </c>
      <c r="H960" s="4" t="str">
        <f>IFERROR(_xlfn.XLOOKUP(G960,Listas!E:E,Listas!F:F,""),"")</f>
        <v>Financiamiento</v>
      </c>
      <c r="I960" s="46" t="str">
        <f>IFERROR(_xlfn.XLOOKUP(G960,Listas!E:E,Listas!G:G,""),"")</f>
        <v>Externo</v>
      </c>
      <c r="J960" s="43">
        <v>150000</v>
      </c>
      <c r="K960" s="5">
        <f t="shared" si="11"/>
        <v>150000</v>
      </c>
      <c r="L960" s="15" t="s">
        <v>133</v>
      </c>
      <c r="M960" s="44">
        <f>SUMIFS('Saldos Iniciales'!$D$2:$D$38,'Saldos Iniciales'!$A$2:$A$38,C960,'Saldos Iniciales'!$B$2:$B$38,D960)+SUMIFS($K$1:$K$1033,$C$1:$C$1033,C960,$D$1:$D$1033,D960,$B$1:$B$1033,"&lt;="&amp;B960)</f>
        <v>1665508.1300000011</v>
      </c>
      <c r="N960" s="65">
        <f>IF(tblMovimientos[[#This Row],[Tipo de Movimiento]]="Ingreso",tblMovimientos[[#This Row],[Monto (S/)]],"0")</f>
        <v>150000</v>
      </c>
      <c r="O960" s="65" t="str">
        <f>IF(tblMovimientos[[#This Row],[Tipo de Movimiento]]="Egreso",tblMovimientos[[#This Row],[Monto (S/)]],"0")</f>
        <v>0</v>
      </c>
      <c r="P960" s="28">
        <f>IF(tblMovimientos[[#This Row],[Tipo de Movimiento]]="Ingreso",tblMovimientos[[#This Row],[Ingreso]],-tblMovimientos[[#This Row],[Egreso]])</f>
        <v>150000</v>
      </c>
    </row>
    <row r="961" spans="2:16" x14ac:dyDescent="0.3">
      <c r="B961" s="39">
        <v>46279</v>
      </c>
      <c r="C961" s="46" t="str">
        <f>_xlfn.XLOOKUP(tblMovimientos[[#This Row],[Cuenta Bancaria]],Listas!$B:$B,Listas!$A:$A,"")</f>
        <v>SSP Capital</v>
      </c>
      <c r="D961" s="41" t="s">
        <v>104</v>
      </c>
      <c r="E961" s="4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39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40310.81</v>
      </c>
      <c r="K961" s="5">
        <f t="shared" si="11"/>
        <v>-40310.81</v>
      </c>
      <c r="L961" s="15" t="s">
        <v>133</v>
      </c>
      <c r="M961" s="44">
        <f>SUMIFS('Saldos Iniciales'!$D$2:$D$38,'Saldos Iniciales'!$A$2:$A$38,C961,'Saldos Iniciales'!$B$2:$B$38,D961)+SUMIFS($K$1:$K$1033,$C$1:$C$1033,C961,$D$1:$D$1033,D961,$B$1:$B$1033,"&lt;="&amp;B961)</f>
        <v>340825.51999999926</v>
      </c>
      <c r="N961" s="65" t="str">
        <f>IF(tblMovimientos[[#This Row],[Tipo de Movimiento]]="Ingreso",tblMovimientos[[#This Row],[Monto (S/)]],"0")</f>
        <v>0</v>
      </c>
      <c r="O961" s="65">
        <f>IF(tblMovimientos[[#This Row],[Tipo de Movimiento]]="Egreso",tblMovimientos[[#This Row],[Monto (S/)]],"0")</f>
        <v>40310.81</v>
      </c>
      <c r="P961" s="28">
        <f>IF(tblMovimientos[[#This Row],[Tipo de Movimiento]]="Ingreso",tblMovimientos[[#This Row],[Ingreso]],-tblMovimientos[[#This Row],[Egreso]])</f>
        <v>-40310.81</v>
      </c>
    </row>
    <row r="962" spans="2:16" x14ac:dyDescent="0.3">
      <c r="B962" s="39">
        <v>46279</v>
      </c>
      <c r="C962" s="46" t="str">
        <f>_xlfn.XLOOKUP(tblMovimientos[[#This Row],[Cuenta Bancaria]],Listas!$B:$B,Listas!$A:$A,"")</f>
        <v>Go Blue</v>
      </c>
      <c r="D962" s="41" t="s">
        <v>126</v>
      </c>
      <c r="E962" s="4" t="str">
        <f>_xlfn.XLOOKUP(tblMovimientos[[#This Row],[Cuenta Bancaria]],Listas!$B:$B,Listas!$C:$C,"")</f>
        <v xml:space="preserve">Amerant Bank </v>
      </c>
      <c r="F962" s="41" t="s">
        <v>10</v>
      </c>
      <c r="G962" s="41" t="s">
        <v>62</v>
      </c>
      <c r="H962" s="4" t="str">
        <f>IFERROR(_xlfn.XLOOKUP(G962,Listas!E:E,Listas!F:F,""),"")</f>
        <v>Operativo</v>
      </c>
      <c r="I962" s="46" t="str">
        <f>IFERROR(_xlfn.XLOOKUP(G962,Listas!E:E,Listas!G:G,""),"")</f>
        <v>Interno</v>
      </c>
      <c r="J962" s="43">
        <v>1500</v>
      </c>
      <c r="K962" s="5">
        <f t="shared" si="11"/>
        <v>-1500</v>
      </c>
      <c r="L962" s="15" t="s">
        <v>133</v>
      </c>
      <c r="M962" s="44">
        <f>SUMIFS('Saldos Iniciales'!$D$2:$D$38,'Saldos Iniciales'!$A$2:$A$38,C962,'Saldos Iniciales'!$B$2:$B$38,D962)+SUMIFS($K$1:$K$1033,$C$1:$C$1033,C962,$D$1:$D$1033,D962,$B$1:$B$1033,"&lt;="&amp;B962)</f>
        <v>14664.689999999999</v>
      </c>
      <c r="N962" s="65" t="str">
        <f>IF(tblMovimientos[[#This Row],[Tipo de Movimiento]]="Ingreso",tblMovimientos[[#This Row],[Monto (S/)]],"0")</f>
        <v>0</v>
      </c>
      <c r="O962" s="65">
        <f>IF(tblMovimientos[[#This Row],[Tipo de Movimiento]]="Egreso",tblMovimientos[[#This Row],[Monto (S/)]],"0")</f>
        <v>1500</v>
      </c>
      <c r="P962" s="28">
        <f>IF(tblMovimientos[[#This Row],[Tipo de Movimiento]]="Ingreso",tblMovimientos[[#This Row],[Ingreso]],-tblMovimientos[[#This Row],[Egreso]])</f>
        <v>-1500</v>
      </c>
    </row>
    <row r="963" spans="2:16" x14ac:dyDescent="0.3">
      <c r="B963" s="39">
        <v>46280</v>
      </c>
      <c r="C963" s="46" t="str">
        <f>_xlfn.XLOOKUP(tblMovimientos[[#This Row],[Cuenta Bancaria]],Listas!$B:$B,Listas!$A:$A,"")</f>
        <v>SSP Capital</v>
      </c>
      <c r="D963" s="41" t="s">
        <v>102</v>
      </c>
      <c r="E963" s="4" t="str">
        <f>_xlfn.XLOOKUP(tblMovimientos[[#This Row],[Cuenta Bancaria]],Listas!$B:$B,Listas!$C:$C,"")</f>
        <v>Bank of America</v>
      </c>
      <c r="F963" s="41" t="s">
        <v>10</v>
      </c>
      <c r="G963" s="41" t="s">
        <v>44</v>
      </c>
      <c r="H963" s="4" t="str">
        <f>IFERROR(_xlfn.XLOOKUP(G963,Listas!E:E,Listas!F:F,""),"")</f>
        <v>Operativo</v>
      </c>
      <c r="I963" s="46" t="str">
        <f>IFERROR(_xlfn.XLOOKUP(G963,Listas!E:E,Listas!G:G,""),"")</f>
        <v>Externo</v>
      </c>
      <c r="J963" s="43">
        <v>29.41</v>
      </c>
      <c r="K963" s="5">
        <f t="shared" si="11"/>
        <v>-29.41</v>
      </c>
      <c r="L963" s="15" t="s">
        <v>133</v>
      </c>
      <c r="M963" s="44">
        <f>SUMIFS('Saldos Iniciales'!$D$2:$D$38,'Saldos Iniciales'!$A$2:$A$38,C963,'Saldos Iniciales'!$B$2:$B$38,D963)+SUMIFS($K$1:$K$1033,$C$1:$C$1033,C963,$D$1:$D$1033,D963,$B$1:$B$1033,"&lt;="&amp;B963)</f>
        <v>945</v>
      </c>
      <c r="N963" s="65" t="str">
        <f>IF(tblMovimientos[[#This Row],[Tipo de Movimiento]]="Ingreso",tblMovimientos[[#This Row],[Monto (S/)]],"0")</f>
        <v>0</v>
      </c>
      <c r="O963" s="65">
        <f>IF(tblMovimientos[[#This Row],[Tipo de Movimiento]]="Egreso",tblMovimientos[[#This Row],[Monto (S/)]],"0")</f>
        <v>29.41</v>
      </c>
      <c r="P963" s="28">
        <f>IF(tblMovimientos[[#This Row],[Tipo de Movimiento]]="Ingreso",tblMovimientos[[#This Row],[Ingreso]],-tblMovimientos[[#This Row],[Egreso]])</f>
        <v>-29.41</v>
      </c>
    </row>
    <row r="964" spans="2:16" x14ac:dyDescent="0.3">
      <c r="B964" s="39">
        <v>46280</v>
      </c>
      <c r="C964" s="46" t="str">
        <f>_xlfn.XLOOKUP(tblMovimientos[[#This Row],[Cuenta Bancaria]],Listas!$B:$B,Listas!$A:$A,"")</f>
        <v>A&amp;M Imports</v>
      </c>
      <c r="D964" s="41" t="s">
        <v>100</v>
      </c>
      <c r="E964" s="4" t="str">
        <f>_xlfn.XLOOKUP(tblMovimientos[[#This Row],[Cuenta Bancaria]],Listas!$B:$B,Listas!$C:$C,"")</f>
        <v>Bank of America</v>
      </c>
      <c r="F964" s="41" t="s">
        <v>10</v>
      </c>
      <c r="G964" s="41" t="s">
        <v>44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375.62</v>
      </c>
      <c r="K964" s="5">
        <f t="shared" si="11"/>
        <v>-375.62</v>
      </c>
      <c r="L964" s="15" t="s">
        <v>133</v>
      </c>
      <c r="M964" s="44">
        <f>SUMIFS('Saldos Iniciales'!$D$2:$D$38,'Saldos Iniciales'!$A$2:$A$38,C964,'Saldos Iniciales'!$B$2:$B$38,D964)+SUMIFS($K$1:$K$1033,$C$1:$C$1033,C964,$D$1:$D$1033,D964,$B$1:$B$1033,"&lt;="&amp;B964)</f>
        <v>1105534.6399999999</v>
      </c>
      <c r="N964" s="65" t="str">
        <f>IF(tblMovimientos[[#This Row],[Tipo de Movimiento]]="Ingreso",tblMovimientos[[#This Row],[Monto (S/)]],"0")</f>
        <v>0</v>
      </c>
      <c r="O964" s="65">
        <f>IF(tblMovimientos[[#This Row],[Tipo de Movimiento]]="Egreso",tblMovimientos[[#This Row],[Monto (S/)]],"0")</f>
        <v>375.62</v>
      </c>
      <c r="P964" s="28">
        <f>IF(tblMovimientos[[#This Row],[Tipo de Movimiento]]="Ingreso",tblMovimientos[[#This Row],[Ingreso]],-tblMovimientos[[#This Row],[Egreso]])</f>
        <v>-375.62</v>
      </c>
    </row>
    <row r="965" spans="2:16" x14ac:dyDescent="0.3">
      <c r="B965" s="39">
        <v>46280</v>
      </c>
      <c r="C965" s="46" t="str">
        <f>_xlfn.XLOOKUP(tblMovimientos[[#This Row],[Cuenta Bancaria]],Listas!$B:$B,Listas!$A:$A,"")</f>
        <v>M1B</v>
      </c>
      <c r="D965" s="41" t="s">
        <v>97</v>
      </c>
      <c r="E965" s="4" t="str">
        <f>_xlfn.XLOOKUP(tblMovimientos[[#This Row],[Cuenta Bancaria]],Listas!$B:$B,Listas!$C:$C,"")</f>
        <v xml:space="preserve">Amerant Bank </v>
      </c>
      <c r="F965" s="41" t="s">
        <v>9</v>
      </c>
      <c r="G965" s="41" t="s">
        <v>68</v>
      </c>
      <c r="H965" s="4" t="str">
        <f>IFERROR(_xlfn.XLOOKUP(G965,Listas!E:E,Listas!F:F,""),"")</f>
        <v>Operativo</v>
      </c>
      <c r="I965" s="46" t="str">
        <f>IFERROR(_xlfn.XLOOKUP(G965,Listas!E:E,Listas!G:G,""),"")</f>
        <v>Externo</v>
      </c>
      <c r="J965" s="43">
        <v>6748.49</v>
      </c>
      <c r="K965" s="5">
        <f t="shared" si="11"/>
        <v>6748.49</v>
      </c>
      <c r="L965" s="15" t="s">
        <v>133</v>
      </c>
      <c r="M965" s="44">
        <f>SUMIFS('Saldos Iniciales'!$D$2:$D$38,'Saldos Iniciales'!$A$2:$A$38,C965,'Saldos Iniciales'!$B$2:$B$38,D965)+SUMIFS($K$1:$K$1033,$C$1:$C$1033,C965,$D$1:$D$1033,D965,$B$1:$B$1033,"&lt;="&amp;B965)</f>
        <v>95486.460000000166</v>
      </c>
      <c r="N965" s="65">
        <f>IF(tblMovimientos[[#This Row],[Tipo de Movimiento]]="Ingreso",tblMovimientos[[#This Row],[Monto (S/)]],"0")</f>
        <v>6748.49</v>
      </c>
      <c r="O965" s="65" t="str">
        <f>IF(tblMovimientos[[#This Row],[Tipo de Movimiento]]="Egreso",tblMovimientos[[#This Row],[Monto (S/)]],"0")</f>
        <v>0</v>
      </c>
      <c r="P965" s="28">
        <f>IF(tblMovimientos[[#This Row],[Tipo de Movimiento]]="Ingreso",tblMovimientos[[#This Row],[Ingreso]],-tblMovimientos[[#This Row],[Egreso]])</f>
        <v>6748.49</v>
      </c>
    </row>
    <row r="966" spans="2:16" x14ac:dyDescent="0.3">
      <c r="B966" s="39">
        <v>46280</v>
      </c>
      <c r="C966" s="46" t="str">
        <f>_xlfn.XLOOKUP(tblMovimientos[[#This Row],[Cuenta Bancaria]],Listas!$B:$B,Listas!$A:$A,"")</f>
        <v>Go Blue</v>
      </c>
      <c r="D966" s="41" t="s">
        <v>126</v>
      </c>
      <c r="E966" s="4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38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175</v>
      </c>
      <c r="K966" s="5">
        <f t="shared" si="11"/>
        <v>-175</v>
      </c>
      <c r="L966" s="15" t="s">
        <v>133</v>
      </c>
      <c r="M966" s="44">
        <f>SUMIFS('Saldos Iniciales'!$D$2:$D$38,'Saldos Iniciales'!$A$2:$A$38,C966,'Saldos Iniciales'!$B$2:$B$38,D966)+SUMIFS($K$1:$K$1033,$C$1:$C$1033,C966,$D$1:$D$1033,D966,$B$1:$B$1033,"&lt;="&amp;B966)</f>
        <v>14489.689999999999</v>
      </c>
      <c r="N966" s="65" t="str">
        <f>IF(tblMovimientos[[#This Row],[Tipo de Movimiento]]="Ingreso",tblMovimientos[[#This Row],[Monto (S/)]],"0")</f>
        <v>0</v>
      </c>
      <c r="O966" s="65">
        <f>IF(tblMovimientos[[#This Row],[Tipo de Movimiento]]="Egreso",tblMovimientos[[#This Row],[Monto (S/)]],"0")</f>
        <v>175</v>
      </c>
      <c r="P966" s="28">
        <f>IF(tblMovimientos[[#This Row],[Tipo de Movimiento]]="Ingreso",tblMovimientos[[#This Row],[Ingreso]],-tblMovimientos[[#This Row],[Egreso]])</f>
        <v>-175</v>
      </c>
    </row>
    <row r="967" spans="2:16" x14ac:dyDescent="0.3">
      <c r="B967" s="39">
        <v>46281</v>
      </c>
      <c r="C967" s="46" t="str">
        <f>_xlfn.XLOOKUP(tblMovimientos[[#This Row],[Cuenta Bancaria]],Listas!$B:$B,Listas!$A:$A,"")</f>
        <v>SSP Capital</v>
      </c>
      <c r="D967" s="41" t="s">
        <v>101</v>
      </c>
      <c r="E967" s="4" t="str">
        <f>_xlfn.XLOOKUP(tblMovimientos[[#This Row],[Cuenta Bancaria]],Listas!$B:$B,Listas!$C:$C,"")</f>
        <v>Bank of America</v>
      </c>
      <c r="F967" s="41" t="s">
        <v>10</v>
      </c>
      <c r="G967" s="41" t="s">
        <v>38</v>
      </c>
      <c r="H967" s="4" t="str">
        <f>IFERROR(_xlfn.XLOOKUP(G967,Listas!E:E,Listas!F:F,""),"")</f>
        <v>Operativo</v>
      </c>
      <c r="I967" s="46" t="str">
        <f>IFERROR(_xlfn.XLOOKUP(G967,Listas!E:E,Listas!G:G,""),"")</f>
        <v>Externo</v>
      </c>
      <c r="J967" s="43">
        <v>2490.36</v>
      </c>
      <c r="K967" s="5">
        <f t="shared" si="11"/>
        <v>-2490.36</v>
      </c>
      <c r="L967" s="15" t="s">
        <v>133</v>
      </c>
      <c r="M967" s="44">
        <f>SUMIFS('Saldos Iniciales'!$D$2:$D$38,'Saldos Iniciales'!$A$2:$A$38,C967,'Saldos Iniciales'!$B$2:$B$38,D967)+SUMIFS($K$1:$K$1033,$C$1:$C$1033,C967,$D$1:$D$1033,D967,$B$1:$B$1033,"&lt;="&amp;B967)</f>
        <v>26581.72</v>
      </c>
      <c r="N967" s="65" t="str">
        <f>IF(tblMovimientos[[#This Row],[Tipo de Movimiento]]="Ingreso",tblMovimientos[[#This Row],[Monto (S/)]],"0")</f>
        <v>0</v>
      </c>
      <c r="O967" s="65">
        <f>IF(tblMovimientos[[#This Row],[Tipo de Movimiento]]="Egreso",tblMovimientos[[#This Row],[Monto (S/)]],"0")</f>
        <v>2490.36</v>
      </c>
      <c r="P967" s="28">
        <f>IF(tblMovimientos[[#This Row],[Tipo de Movimiento]]="Ingreso",tblMovimientos[[#This Row],[Ingreso]],-tblMovimientos[[#This Row],[Egreso]])</f>
        <v>-2490.36</v>
      </c>
    </row>
    <row r="968" spans="2:16" x14ac:dyDescent="0.3">
      <c r="B968" s="39">
        <v>46281</v>
      </c>
      <c r="C968" s="46" t="str">
        <f>_xlfn.XLOOKUP(tblMovimientos[[#This Row],[Cuenta Bancaria]],Listas!$B:$B,Listas!$A:$A,"")</f>
        <v>Go Blue</v>
      </c>
      <c r="D968" s="41" t="s">
        <v>169</v>
      </c>
      <c r="E968" s="4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38</v>
      </c>
      <c r="H968" s="4" t="str">
        <f>IFERROR(_xlfn.XLOOKUP(G968,Listas!E:E,Listas!F:F,""),"")</f>
        <v>Operativo</v>
      </c>
      <c r="I968" s="46" t="str">
        <f>IFERROR(_xlfn.XLOOKUP(G968,Listas!E:E,Listas!G:G,""),"")</f>
        <v>Externo</v>
      </c>
      <c r="J968" s="43">
        <v>203</v>
      </c>
      <c r="K968" s="5">
        <f t="shared" si="11"/>
        <v>-203</v>
      </c>
      <c r="L968" s="15" t="s">
        <v>133</v>
      </c>
      <c r="M968" s="44">
        <f>SUMIFS('Saldos Iniciales'!$D$2:$D$38,'Saldos Iniciales'!$A$2:$A$38,C968,'Saldos Iniciales'!$B$2:$B$38,D968)+SUMIFS($K$1:$K$1033,$C$1:$C$1033,C968,$D$1:$D$1033,D968,$B$1:$B$1033,"&lt;="&amp;B968)</f>
        <v>1894.760000000002</v>
      </c>
      <c r="N968" s="65" t="str">
        <f>IF(tblMovimientos[[#This Row],[Tipo de Movimiento]]="Ingreso",tblMovimientos[[#This Row],[Monto (S/)]],"0")</f>
        <v>0</v>
      </c>
      <c r="O968" s="65">
        <f>IF(tblMovimientos[[#This Row],[Tipo de Movimiento]]="Egreso",tblMovimientos[[#This Row],[Monto (S/)]],"0")</f>
        <v>203</v>
      </c>
      <c r="P968" s="28">
        <f>IF(tblMovimientos[[#This Row],[Tipo de Movimiento]]="Ingreso",tblMovimientos[[#This Row],[Ingreso]],-tblMovimientos[[#This Row],[Egreso]])</f>
        <v>-203</v>
      </c>
    </row>
    <row r="969" spans="2:16" x14ac:dyDescent="0.3">
      <c r="B969" s="39">
        <v>46282</v>
      </c>
      <c r="C969" s="46" t="str">
        <f>_xlfn.XLOOKUP(tblMovimientos[[#This Row],[Cuenta Bancaria]],Listas!$B:$B,Listas!$A:$A,"")</f>
        <v>A&amp;M Imports</v>
      </c>
      <c r="D969" s="41" t="s">
        <v>100</v>
      </c>
      <c r="E969" s="4" t="str">
        <f>_xlfn.XLOOKUP(tblMovimientos[[#This Row],[Cuenta Bancaria]],Listas!$B:$B,Listas!$C:$C,"")</f>
        <v>Bank of America</v>
      </c>
      <c r="F969" s="41" t="s">
        <v>10</v>
      </c>
      <c r="G969" s="41" t="s">
        <v>62</v>
      </c>
      <c r="H969" s="4" t="str">
        <f>IFERROR(_xlfn.XLOOKUP(G969,Listas!E:E,Listas!F:F,""),"")</f>
        <v>Operativo</v>
      </c>
      <c r="I969" s="46" t="str">
        <f>IFERROR(_xlfn.XLOOKUP(G969,Listas!E:E,Listas!G:G,""),"")</f>
        <v>Interno</v>
      </c>
      <c r="J969" s="43">
        <v>60000</v>
      </c>
      <c r="K969" s="5">
        <f t="shared" si="11"/>
        <v>-60000</v>
      </c>
      <c r="L969" s="15" t="s">
        <v>133</v>
      </c>
      <c r="M969" s="44">
        <f>SUMIFS('Saldos Iniciales'!$D$2:$D$38,'Saldos Iniciales'!$A$2:$A$38,C969,'Saldos Iniciales'!$B$2:$B$38,D969)+SUMIFS($K$1:$K$1033,$C$1:$C$1033,C969,$D$1:$D$1033,D969,$B$1:$B$1033,"&lt;="&amp;B969)</f>
        <v>975534.6399999999</v>
      </c>
      <c r="N969" s="65" t="str">
        <f>IF(tblMovimientos[[#This Row],[Tipo de Movimiento]]="Ingreso",tblMovimientos[[#This Row],[Monto (S/)]],"0")</f>
        <v>0</v>
      </c>
      <c r="O969" s="65">
        <f>IF(tblMovimientos[[#This Row],[Tipo de Movimiento]]="Egreso",tblMovimientos[[#This Row],[Monto (S/)]],"0")</f>
        <v>60000</v>
      </c>
      <c r="P969" s="28">
        <f>IF(tblMovimientos[[#This Row],[Tipo de Movimiento]]="Ingreso",tblMovimientos[[#This Row],[Ingreso]],-tblMovimientos[[#This Row],[Egreso]])</f>
        <v>-60000</v>
      </c>
    </row>
    <row r="970" spans="2:16" x14ac:dyDescent="0.3">
      <c r="B970" s="39">
        <v>46282</v>
      </c>
      <c r="C970" s="46" t="str">
        <f>_xlfn.XLOOKUP(tblMovimientos[[#This Row],[Cuenta Bancaria]],Listas!$B:$B,Listas!$A:$A,"")</f>
        <v>A&amp;M Imports</v>
      </c>
      <c r="D970" s="41" t="s">
        <v>100</v>
      </c>
      <c r="E970" s="4" t="str">
        <f>_xlfn.XLOOKUP(tblMovimientos[[#This Row],[Cuenta Bancaria]],Listas!$B:$B,Listas!$C:$C,"")</f>
        <v>Bank of America</v>
      </c>
      <c r="F970" s="41" t="s">
        <v>10</v>
      </c>
      <c r="G970" s="41" t="s">
        <v>62</v>
      </c>
      <c r="H970" s="4" t="str">
        <f>IFERROR(_xlfn.XLOOKUP(G970,Listas!E:E,Listas!F:F,""),"")</f>
        <v>Operativo</v>
      </c>
      <c r="I970" s="46" t="str">
        <f>IFERROR(_xlfn.XLOOKUP(G970,Listas!E:E,Listas!G:G,""),"")</f>
        <v>Interno</v>
      </c>
      <c r="J970" s="43">
        <v>70000</v>
      </c>
      <c r="K970" s="5">
        <f t="shared" si="11"/>
        <v>-70000</v>
      </c>
      <c r="L970" s="15" t="s">
        <v>133</v>
      </c>
      <c r="M970" s="44">
        <f>SUMIFS('Saldos Iniciales'!$D$2:$D$38,'Saldos Iniciales'!$A$2:$A$38,C970,'Saldos Iniciales'!$B$2:$B$38,D970)+SUMIFS($K$1:$K$1033,$C$1:$C$1033,C970,$D$1:$D$1033,D970,$B$1:$B$1033,"&lt;="&amp;B970)</f>
        <v>975534.6399999999</v>
      </c>
      <c r="N970" s="65" t="str">
        <f>IF(tblMovimientos[[#This Row],[Tipo de Movimiento]]="Ingreso",tblMovimientos[[#This Row],[Monto (S/)]],"0")</f>
        <v>0</v>
      </c>
      <c r="O970" s="65">
        <f>IF(tblMovimientos[[#This Row],[Tipo de Movimiento]]="Egreso",tblMovimientos[[#This Row],[Monto (S/)]],"0")</f>
        <v>70000</v>
      </c>
      <c r="P970" s="28">
        <f>IF(tblMovimientos[[#This Row],[Tipo de Movimiento]]="Ingreso",tblMovimientos[[#This Row],[Ingreso]],-tblMovimientos[[#This Row],[Egreso]])</f>
        <v>-70000</v>
      </c>
    </row>
    <row r="971" spans="2:16" x14ac:dyDescent="0.3">
      <c r="B971" s="39">
        <v>46282</v>
      </c>
      <c r="C971" s="46" t="str">
        <f>_xlfn.XLOOKUP(tblMovimientos[[#This Row],[Cuenta Bancaria]],Listas!$B:$B,Listas!$A:$A,"")</f>
        <v>Go Blue</v>
      </c>
      <c r="D971" s="41" t="s">
        <v>169</v>
      </c>
      <c r="E971" s="4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38</v>
      </c>
      <c r="H971" s="4" t="str">
        <f>IFERROR(_xlfn.XLOOKUP(G971,Listas!E:E,Listas!F:F,""),"")</f>
        <v>Operativo</v>
      </c>
      <c r="I971" s="46" t="str">
        <f>IFERROR(_xlfn.XLOOKUP(G971,Listas!E:E,Listas!G:G,""),"")</f>
        <v>Externo</v>
      </c>
      <c r="J971" s="43">
        <v>220.01</v>
      </c>
      <c r="K971" s="5">
        <f t="shared" si="11"/>
        <v>-220.01</v>
      </c>
      <c r="L971" s="15" t="s">
        <v>133</v>
      </c>
      <c r="M971" s="44">
        <f>SUMIFS('Saldos Iniciales'!$D$2:$D$38,'Saldos Iniciales'!$A$2:$A$38,C971,'Saldos Iniciales'!$B$2:$B$38,D971)+SUMIFS($K$1:$K$1033,$C$1:$C$1033,C971,$D$1:$D$1033,D971,$B$1:$B$1033,"&lt;="&amp;B971)</f>
        <v>1674.7500000000018</v>
      </c>
      <c r="N971" s="65" t="str">
        <f>IF(tblMovimientos[[#This Row],[Tipo de Movimiento]]="Ingreso",tblMovimientos[[#This Row],[Monto (S/)]],"0")</f>
        <v>0</v>
      </c>
      <c r="O971" s="65">
        <f>IF(tblMovimientos[[#This Row],[Tipo de Movimiento]]="Egreso",tblMovimientos[[#This Row],[Monto (S/)]],"0")</f>
        <v>220.01</v>
      </c>
      <c r="P971" s="28">
        <f>IF(tblMovimientos[[#This Row],[Tipo de Movimiento]]="Ingreso",tblMovimientos[[#This Row],[Ingreso]],-tblMovimientos[[#This Row],[Egreso]])</f>
        <v>-220.01</v>
      </c>
    </row>
    <row r="972" spans="2:16" x14ac:dyDescent="0.3">
      <c r="B972" s="39">
        <v>46282</v>
      </c>
      <c r="C972" s="46" t="str">
        <f>_xlfn.XLOOKUP(tblMovimientos[[#This Row],[Cuenta Bancaria]],Listas!$B:$B,Listas!$A:$A,"")</f>
        <v>CFT Group</v>
      </c>
      <c r="D972" s="41" t="s">
        <v>95</v>
      </c>
      <c r="E972" s="4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46</v>
      </c>
      <c r="H972" s="4" t="str">
        <f>IFERROR(_xlfn.XLOOKUP(G972,Listas!E:E,Listas!F:F,""),"")</f>
        <v>Financiamiento</v>
      </c>
      <c r="I972" s="46" t="str">
        <f>IFERROR(_xlfn.XLOOKUP(G972,Listas!E:E,Listas!G:G,""),"")</f>
        <v>Externo</v>
      </c>
      <c r="J972" s="43">
        <v>2916.67</v>
      </c>
      <c r="K972" s="5">
        <f t="shared" si="11"/>
        <v>-2916.67</v>
      </c>
      <c r="L972" s="15" t="s">
        <v>133</v>
      </c>
      <c r="M972" s="44">
        <f>SUMIFS('Saldos Iniciales'!$D$2:$D$38,'Saldos Iniciales'!$A$2:$A$38,C972,'Saldos Iniciales'!$B$2:$B$38,D972)+SUMIFS($K$1:$K$1033,$C$1:$C$1033,C972,$D$1:$D$1033,D972,$B$1:$B$1033,"&lt;="&amp;B972)</f>
        <v>1534879.790000001</v>
      </c>
      <c r="N972" s="65" t="str">
        <f>IF(tblMovimientos[[#This Row],[Tipo de Movimiento]]="Ingreso",tblMovimientos[[#This Row],[Monto (S/)]],"0")</f>
        <v>0</v>
      </c>
      <c r="O972" s="65">
        <f>IF(tblMovimientos[[#This Row],[Tipo de Movimiento]]="Egreso",tblMovimientos[[#This Row],[Monto (S/)]],"0")</f>
        <v>2916.67</v>
      </c>
      <c r="P972" s="28">
        <f>IF(tblMovimientos[[#This Row],[Tipo de Movimiento]]="Ingreso",tblMovimientos[[#This Row],[Ingreso]],-tblMovimientos[[#This Row],[Egreso]])</f>
        <v>-2916.67</v>
      </c>
    </row>
    <row r="973" spans="2:16" x14ac:dyDescent="0.3">
      <c r="B973" s="39">
        <v>46282</v>
      </c>
      <c r="C973" s="46" t="str">
        <f>_xlfn.XLOOKUP(tblMovimientos[[#This Row],[Cuenta Bancaria]],Listas!$B:$B,Listas!$A:$A,"")</f>
        <v>CFT Group</v>
      </c>
      <c r="D973" s="41" t="s">
        <v>95</v>
      </c>
      <c r="E973" s="4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46</v>
      </c>
      <c r="H973" s="4" t="str">
        <f>IFERROR(_xlfn.XLOOKUP(G973,Listas!E:E,Listas!F:F,""),"")</f>
        <v>Financiamiento</v>
      </c>
      <c r="I973" s="46" t="str">
        <f>IFERROR(_xlfn.XLOOKUP(G973,Listas!E:E,Listas!G:G,""),"")</f>
        <v>Externo</v>
      </c>
      <c r="J973" s="43">
        <v>3908.33</v>
      </c>
      <c r="K973" s="5">
        <f t="shared" si="11"/>
        <v>-3908.33</v>
      </c>
      <c r="L973" s="15" t="s">
        <v>133</v>
      </c>
      <c r="M973" s="44">
        <f>SUMIFS('Saldos Iniciales'!$D$2:$D$38,'Saldos Iniciales'!$A$2:$A$38,C973,'Saldos Iniciales'!$B$2:$B$38,D973)+SUMIFS($K$1:$K$1033,$C$1:$C$1033,C973,$D$1:$D$1033,D973,$B$1:$B$1033,"&lt;="&amp;B973)</f>
        <v>1534879.790000001</v>
      </c>
      <c r="N973" s="65" t="str">
        <f>IF(tblMovimientos[[#This Row],[Tipo de Movimiento]]="Ingreso",tblMovimientos[[#This Row],[Monto (S/)]],"0")</f>
        <v>0</v>
      </c>
      <c r="O973" s="65">
        <f>IF(tblMovimientos[[#This Row],[Tipo de Movimiento]]="Egreso",tblMovimientos[[#This Row],[Monto (S/)]],"0")</f>
        <v>3908.33</v>
      </c>
      <c r="P973" s="28">
        <f>IF(tblMovimientos[[#This Row],[Tipo de Movimiento]]="Ingreso",tblMovimientos[[#This Row],[Ingreso]],-tblMovimientos[[#This Row],[Egreso]])</f>
        <v>-3908.33</v>
      </c>
    </row>
    <row r="974" spans="2:16" x14ac:dyDescent="0.3">
      <c r="B974" s="39">
        <v>46282</v>
      </c>
      <c r="C974" s="46" t="str">
        <f>_xlfn.XLOOKUP(tblMovimientos[[#This Row],[Cuenta Bancaria]],Listas!$B:$B,Listas!$A:$A,"")</f>
        <v>CFT Group</v>
      </c>
      <c r="D974" s="41" t="s">
        <v>95</v>
      </c>
      <c r="E974" s="4" t="str">
        <f>_xlfn.XLOOKUP(tblMovimientos[[#This Row],[Cuenta Bancaria]],Listas!$B:$B,Listas!$C:$C,"")</f>
        <v xml:space="preserve">Amerant Bank </v>
      </c>
      <c r="F974" s="41" t="s">
        <v>10</v>
      </c>
      <c r="G974" s="41" t="s">
        <v>46</v>
      </c>
      <c r="H974" s="4" t="str">
        <f>IFERROR(_xlfn.XLOOKUP(G974,Listas!E:E,Listas!F:F,""),"")</f>
        <v>Financiamiento</v>
      </c>
      <c r="I974" s="46" t="str">
        <f>IFERROR(_xlfn.XLOOKUP(G974,Listas!E:E,Listas!G:G,""),"")</f>
        <v>Externo</v>
      </c>
      <c r="J974" s="43">
        <v>12055.56</v>
      </c>
      <c r="K974" s="5">
        <f t="shared" si="11"/>
        <v>-12055.56</v>
      </c>
      <c r="L974" s="15" t="s">
        <v>133</v>
      </c>
      <c r="M974" s="44">
        <f>SUMIFS('Saldos Iniciales'!$D$2:$D$38,'Saldos Iniciales'!$A$2:$A$38,C974,'Saldos Iniciales'!$B$2:$B$38,D974)+SUMIFS($K$1:$K$1033,$C$1:$C$1033,C974,$D$1:$D$1033,D974,$B$1:$B$1033,"&lt;="&amp;B974)</f>
        <v>1534879.790000001</v>
      </c>
      <c r="N974" s="65" t="str">
        <f>IF(tblMovimientos[[#This Row],[Tipo de Movimiento]]="Ingreso",tblMovimientos[[#This Row],[Monto (S/)]],"0")</f>
        <v>0</v>
      </c>
      <c r="O974" s="65">
        <f>IF(tblMovimientos[[#This Row],[Tipo de Movimiento]]="Egreso",tblMovimientos[[#This Row],[Monto (S/)]],"0")</f>
        <v>12055.56</v>
      </c>
      <c r="P974" s="28">
        <f>IF(tblMovimientos[[#This Row],[Tipo de Movimiento]]="Ingreso",tblMovimientos[[#This Row],[Ingreso]],-tblMovimientos[[#This Row],[Egreso]])</f>
        <v>-12055.56</v>
      </c>
    </row>
    <row r="975" spans="2:16" x14ac:dyDescent="0.3">
      <c r="B975" s="39">
        <v>46282</v>
      </c>
      <c r="C975" s="46" t="str">
        <f>_xlfn.XLOOKUP(tblMovimientos[[#This Row],[Cuenta Bancaria]],Listas!$B:$B,Listas!$A:$A,"")</f>
        <v>CFT Group</v>
      </c>
      <c r="D975" s="41" t="s">
        <v>95</v>
      </c>
      <c r="E975" s="4" t="str">
        <f>_xlfn.XLOOKUP(tblMovimientos[[#This Row],[Cuenta Bancaria]],Listas!$B:$B,Listas!$C:$C,"")</f>
        <v xml:space="preserve">Amerant Bank </v>
      </c>
      <c r="F975" s="41" t="s">
        <v>10</v>
      </c>
      <c r="G975" s="41" t="s">
        <v>46</v>
      </c>
      <c r="H975" s="4" t="str">
        <f>IFERROR(_xlfn.XLOOKUP(G975,Listas!E:E,Listas!F:F,""),"")</f>
        <v>Financiamiento</v>
      </c>
      <c r="I975" s="46" t="str">
        <f>IFERROR(_xlfn.XLOOKUP(G975,Listas!E:E,Listas!G:G,""),"")</f>
        <v>Externo</v>
      </c>
      <c r="J975" s="43">
        <v>13622.78</v>
      </c>
      <c r="K975" s="5">
        <f t="shared" si="11"/>
        <v>-13622.78</v>
      </c>
      <c r="L975" s="15" t="s">
        <v>133</v>
      </c>
      <c r="M975" s="44">
        <f>SUMIFS('Saldos Iniciales'!$D$2:$D$38,'Saldos Iniciales'!$A$2:$A$38,C975,'Saldos Iniciales'!$B$2:$B$38,D975)+SUMIFS($K$1:$K$1033,$C$1:$C$1033,C975,$D$1:$D$1033,D975,$B$1:$B$1033,"&lt;="&amp;B975)</f>
        <v>1534879.790000001</v>
      </c>
      <c r="N975" s="65" t="str">
        <f>IF(tblMovimientos[[#This Row],[Tipo de Movimiento]]="Ingreso",tblMovimientos[[#This Row],[Monto (S/)]],"0")</f>
        <v>0</v>
      </c>
      <c r="O975" s="65">
        <f>IF(tblMovimientos[[#This Row],[Tipo de Movimiento]]="Egreso",tblMovimientos[[#This Row],[Monto (S/)]],"0")</f>
        <v>13622.78</v>
      </c>
      <c r="P975" s="28">
        <f>IF(tblMovimientos[[#This Row],[Tipo de Movimiento]]="Ingreso",tblMovimientos[[#This Row],[Ingreso]],-tblMovimientos[[#This Row],[Egreso]])</f>
        <v>-13622.78</v>
      </c>
    </row>
    <row r="976" spans="2:16" x14ac:dyDescent="0.3">
      <c r="B976" s="39">
        <v>46282</v>
      </c>
      <c r="C976" s="46" t="str">
        <f>_xlfn.XLOOKUP(tblMovimientos[[#This Row],[Cuenta Bancaria]],Listas!$B:$B,Listas!$A:$A,"")</f>
        <v>CFT Group</v>
      </c>
      <c r="D976" s="41" t="s">
        <v>95</v>
      </c>
      <c r="E976" s="4" t="str">
        <f>_xlfn.XLOOKUP(tblMovimientos[[#This Row],[Cuenta Bancaria]],Listas!$B:$B,Listas!$C:$C,"")</f>
        <v xml:space="preserve">Amerant Bank </v>
      </c>
      <c r="F976" s="41" t="s">
        <v>10</v>
      </c>
      <c r="G976" s="41" t="s">
        <v>46</v>
      </c>
      <c r="H976" s="4" t="str">
        <f>IFERROR(_xlfn.XLOOKUP(G976,Listas!E:E,Listas!F:F,""),"")</f>
        <v>Financiamiento</v>
      </c>
      <c r="I976" s="46" t="str">
        <f>IFERROR(_xlfn.XLOOKUP(G976,Listas!E:E,Listas!G:G,""),"")</f>
        <v>Externo</v>
      </c>
      <c r="J976" s="43">
        <v>27083.33</v>
      </c>
      <c r="K976" s="5">
        <f t="shared" si="11"/>
        <v>-27083.33</v>
      </c>
      <c r="L976" s="15" t="s">
        <v>133</v>
      </c>
      <c r="M976" s="44">
        <f>SUMIFS('Saldos Iniciales'!$D$2:$D$38,'Saldos Iniciales'!$A$2:$A$38,C976,'Saldos Iniciales'!$B$2:$B$38,D976)+SUMIFS($K$1:$K$1033,$C$1:$C$1033,C976,$D$1:$D$1033,D976,$B$1:$B$1033,"&lt;="&amp;B976)</f>
        <v>1534879.790000001</v>
      </c>
      <c r="N976" s="65" t="str">
        <f>IF(tblMovimientos[[#This Row],[Tipo de Movimiento]]="Ingreso",tblMovimientos[[#This Row],[Monto (S/)]],"0")</f>
        <v>0</v>
      </c>
      <c r="O976" s="65">
        <f>IF(tblMovimientos[[#This Row],[Tipo de Movimiento]]="Egreso",tblMovimientos[[#This Row],[Monto (S/)]],"0")</f>
        <v>27083.33</v>
      </c>
      <c r="P976" s="28">
        <f>IF(tblMovimientos[[#This Row],[Tipo de Movimiento]]="Ingreso",tblMovimientos[[#This Row],[Ingreso]],-tblMovimientos[[#This Row],[Egreso]])</f>
        <v>-27083.33</v>
      </c>
    </row>
    <row r="977" spans="1:16" x14ac:dyDescent="0.3">
      <c r="B977" s="39">
        <v>46282</v>
      </c>
      <c r="C977" s="46" t="str">
        <f>_xlfn.XLOOKUP(tblMovimientos[[#This Row],[Cuenta Bancaria]],Listas!$B:$B,Listas!$A:$A,"")</f>
        <v>CFT Group</v>
      </c>
      <c r="D977" s="41" t="s">
        <v>95</v>
      </c>
      <c r="E977" s="4" t="str">
        <f>_xlfn.XLOOKUP(tblMovimientos[[#This Row],[Cuenta Bancaria]],Listas!$B:$B,Listas!$C:$C,"")</f>
        <v xml:space="preserve">Amerant Bank </v>
      </c>
      <c r="F977" s="41" t="s">
        <v>10</v>
      </c>
      <c r="G977" s="41" t="s">
        <v>46</v>
      </c>
      <c r="H977" s="4" t="str">
        <f>IFERROR(_xlfn.XLOOKUP(G977,Listas!E:E,Listas!F:F,""),"")</f>
        <v>Financiamiento</v>
      </c>
      <c r="I977" s="46" t="str">
        <f>IFERROR(_xlfn.XLOOKUP(G977,Listas!E:E,Listas!G:G,""),"")</f>
        <v>Externo</v>
      </c>
      <c r="J977" s="43">
        <v>71041.67</v>
      </c>
      <c r="K977" s="5">
        <f t="shared" si="11"/>
        <v>-71041.67</v>
      </c>
      <c r="L977" s="15" t="s">
        <v>133</v>
      </c>
      <c r="M977" s="44">
        <f>SUMIFS('Saldos Iniciales'!$D$2:$D$38,'Saldos Iniciales'!$A$2:$A$38,C977,'Saldos Iniciales'!$B$2:$B$38,D977)+SUMIFS($K$1:$K$1033,$C$1:$C$1033,C977,$D$1:$D$1033,D977,$B$1:$B$1033,"&lt;="&amp;B977)</f>
        <v>1534879.790000001</v>
      </c>
      <c r="N977" s="65" t="str">
        <f>IF(tblMovimientos[[#This Row],[Tipo de Movimiento]]="Ingreso",tblMovimientos[[#This Row],[Monto (S/)]],"0")</f>
        <v>0</v>
      </c>
      <c r="O977" s="65">
        <f>IF(tblMovimientos[[#This Row],[Tipo de Movimiento]]="Egreso",tblMovimientos[[#This Row],[Monto (S/)]],"0")</f>
        <v>71041.67</v>
      </c>
      <c r="P977" s="28">
        <f>IF(tblMovimientos[[#This Row],[Tipo de Movimiento]]="Ingreso",tblMovimientos[[#This Row],[Ingreso]],-tblMovimientos[[#This Row],[Egreso]])</f>
        <v>-71041.67</v>
      </c>
    </row>
    <row r="978" spans="1:16" x14ac:dyDescent="0.3">
      <c r="B978" s="39">
        <v>46282</v>
      </c>
      <c r="C978" s="46" t="str">
        <f>_xlfn.XLOOKUP(tblMovimientos[[#This Row],[Cuenta Bancaria]],Listas!$B:$B,Listas!$A:$A,"")</f>
        <v>SSP Capital</v>
      </c>
      <c r="D978" s="41" t="s">
        <v>104</v>
      </c>
      <c r="E978" s="4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46</v>
      </c>
      <c r="H978" s="4" t="str">
        <f>IFERROR(_xlfn.XLOOKUP(G978,Listas!E:E,Listas!F:F,""),"")</f>
        <v>Financiamiento</v>
      </c>
      <c r="I978" s="46" t="str">
        <f>IFERROR(_xlfn.XLOOKUP(G978,Listas!E:E,Listas!G:G,""),"")</f>
        <v>Externo</v>
      </c>
      <c r="J978" s="43">
        <v>5597.22</v>
      </c>
      <c r="K978" s="5">
        <f t="shared" si="11"/>
        <v>-5597.22</v>
      </c>
      <c r="L978" s="15" t="s">
        <v>133</v>
      </c>
      <c r="M978" s="44">
        <f>SUMIFS('Saldos Iniciales'!$D$2:$D$38,'Saldos Iniciales'!$A$2:$A$38,C978,'Saldos Iniciales'!$B$2:$B$38,D978)+SUMIFS($K$1:$K$1033,$C$1:$C$1033,C978,$D$1:$D$1033,D978,$B$1:$B$1033,"&lt;="&amp;B978)</f>
        <v>222033.84999999928</v>
      </c>
      <c r="N978" s="65" t="str">
        <f>IF(tblMovimientos[[#This Row],[Tipo de Movimiento]]="Ingreso",tblMovimientos[[#This Row],[Monto (S/)]],"0")</f>
        <v>0</v>
      </c>
      <c r="O978" s="65">
        <f>IF(tblMovimientos[[#This Row],[Tipo de Movimiento]]="Egreso",tblMovimientos[[#This Row],[Monto (S/)]],"0")</f>
        <v>5597.22</v>
      </c>
      <c r="P978" s="28">
        <f>IF(tblMovimientos[[#This Row],[Tipo de Movimiento]]="Ingreso",tblMovimientos[[#This Row],[Ingreso]],-tblMovimientos[[#This Row],[Egreso]])</f>
        <v>-5597.22</v>
      </c>
    </row>
    <row r="979" spans="1:16" x14ac:dyDescent="0.3">
      <c r="B979" s="39">
        <v>46282</v>
      </c>
      <c r="C979" s="46" t="str">
        <f>_xlfn.XLOOKUP(tblMovimientos[[#This Row],[Cuenta Bancaria]],Listas!$B:$B,Listas!$A:$A,"")</f>
        <v>SSP Capital</v>
      </c>
      <c r="D979" s="41" t="s">
        <v>104</v>
      </c>
      <c r="E979" s="4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26250</v>
      </c>
      <c r="K979" s="5">
        <f t="shared" si="11"/>
        <v>-26250</v>
      </c>
      <c r="L979" s="15" t="s">
        <v>133</v>
      </c>
      <c r="M979" s="44">
        <f>SUMIFS('Saldos Iniciales'!$D$2:$D$38,'Saldos Iniciales'!$A$2:$A$38,C979,'Saldos Iniciales'!$B$2:$B$38,D979)+SUMIFS($K$1:$K$1033,$C$1:$C$1033,C979,$D$1:$D$1033,D979,$B$1:$B$1033,"&lt;="&amp;B979)</f>
        <v>222033.84999999928</v>
      </c>
      <c r="N979" s="65" t="str">
        <f>IF(tblMovimientos[[#This Row],[Tipo de Movimiento]]="Ingreso",tblMovimientos[[#This Row],[Monto (S/)]],"0")</f>
        <v>0</v>
      </c>
      <c r="O979" s="65">
        <f>IF(tblMovimientos[[#This Row],[Tipo de Movimiento]]="Egreso",tblMovimientos[[#This Row],[Monto (S/)]],"0")</f>
        <v>26250</v>
      </c>
      <c r="P979" s="28">
        <f>IF(tblMovimientos[[#This Row],[Tipo de Movimiento]]="Ingreso",tblMovimientos[[#This Row],[Ingreso]],-tblMovimientos[[#This Row],[Egreso]])</f>
        <v>-26250</v>
      </c>
    </row>
    <row r="980" spans="1:16" x14ac:dyDescent="0.3">
      <c r="B980" s="39">
        <v>46282</v>
      </c>
      <c r="C980" s="46" t="str">
        <f>_xlfn.XLOOKUP(tblMovimientos[[#This Row],[Cuenta Bancaria]],Listas!$B:$B,Listas!$A:$A,"")</f>
        <v>SSP Capital</v>
      </c>
      <c r="D980" s="41" t="s">
        <v>104</v>
      </c>
      <c r="E980" s="4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46</v>
      </c>
      <c r="H980" s="4" t="str">
        <f>IFERROR(_xlfn.XLOOKUP(G980,Listas!E:E,Listas!F:F,""),"")</f>
        <v>Financiamiento</v>
      </c>
      <c r="I980" s="46" t="str">
        <f>IFERROR(_xlfn.XLOOKUP(G980,Listas!E:E,Listas!G:G,""),"")</f>
        <v>Externo</v>
      </c>
      <c r="J980" s="43">
        <v>39583.339999999997</v>
      </c>
      <c r="K980" s="5">
        <f t="shared" si="11"/>
        <v>-39583.339999999997</v>
      </c>
      <c r="L980" s="15" t="s">
        <v>133</v>
      </c>
      <c r="M980" s="44">
        <f>SUMIFS('Saldos Iniciales'!$D$2:$D$38,'Saldos Iniciales'!$A$2:$A$38,C980,'Saldos Iniciales'!$B$2:$B$38,D980)+SUMIFS($K$1:$K$1033,$C$1:$C$1033,C980,$D$1:$D$1033,D980,$B$1:$B$1033,"&lt;="&amp;B980)</f>
        <v>222033.84999999928</v>
      </c>
      <c r="N980" s="65" t="str">
        <f>IF(tblMovimientos[[#This Row],[Tipo de Movimiento]]="Ingreso",tblMovimientos[[#This Row],[Monto (S/)]],"0")</f>
        <v>0</v>
      </c>
      <c r="O980" s="65">
        <f>IF(tblMovimientos[[#This Row],[Tipo de Movimiento]]="Egreso",tblMovimientos[[#This Row],[Monto (S/)]],"0")</f>
        <v>39583.339999999997</v>
      </c>
      <c r="P980" s="28">
        <f>IF(tblMovimientos[[#This Row],[Tipo de Movimiento]]="Ingreso",tblMovimientos[[#This Row],[Ingreso]],-tblMovimientos[[#This Row],[Egreso]])</f>
        <v>-39583.339999999997</v>
      </c>
    </row>
    <row r="981" spans="1:16" x14ac:dyDescent="0.3">
      <c r="B981" s="39">
        <v>46282</v>
      </c>
      <c r="C981" s="46" t="str">
        <f>_xlfn.XLOOKUP(tblMovimientos[[#This Row],[Cuenta Bancaria]],Listas!$B:$B,Listas!$A:$A,"")</f>
        <v>SSP Capital</v>
      </c>
      <c r="D981" s="41" t="s">
        <v>104</v>
      </c>
      <c r="E981" s="4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46</v>
      </c>
      <c r="H981" s="4" t="str">
        <f>IFERROR(_xlfn.XLOOKUP(G981,Listas!E:E,Listas!F:F,""),"")</f>
        <v>Financiamiento</v>
      </c>
      <c r="I981" s="46" t="str">
        <f>IFERROR(_xlfn.XLOOKUP(G981,Listas!E:E,Listas!G:G,""),"")</f>
        <v>Externo</v>
      </c>
      <c r="J981" s="43">
        <v>47361.11</v>
      </c>
      <c r="K981" s="5">
        <f t="shared" si="11"/>
        <v>-47361.11</v>
      </c>
      <c r="L981" s="15" t="s">
        <v>133</v>
      </c>
      <c r="M981" s="44">
        <f>SUMIFS('Saldos Iniciales'!$D$2:$D$38,'Saldos Iniciales'!$A$2:$A$38,C981,'Saldos Iniciales'!$B$2:$B$38,D981)+SUMIFS($K$1:$K$1033,$C$1:$C$1033,C981,$D$1:$D$1033,D981,$B$1:$B$1033,"&lt;="&amp;B981)</f>
        <v>222033.84999999928</v>
      </c>
      <c r="N981" s="65" t="str">
        <f>IF(tblMovimientos[[#This Row],[Tipo de Movimiento]]="Ingreso",tblMovimientos[[#This Row],[Monto (S/)]],"0")</f>
        <v>0</v>
      </c>
      <c r="O981" s="65">
        <f>IF(tblMovimientos[[#This Row],[Tipo de Movimiento]]="Egreso",tblMovimientos[[#This Row],[Monto (S/)]],"0")</f>
        <v>47361.11</v>
      </c>
      <c r="P981" s="28">
        <f>IF(tblMovimientos[[#This Row],[Tipo de Movimiento]]="Ingreso",tblMovimientos[[#This Row],[Ingreso]],-tblMovimientos[[#This Row],[Egreso]])</f>
        <v>-47361.11</v>
      </c>
    </row>
    <row r="982" spans="1:16" x14ac:dyDescent="0.3">
      <c r="B982" s="39">
        <v>46283</v>
      </c>
      <c r="C982" s="46" t="str">
        <f>_xlfn.XLOOKUP(tblMovimientos[[#This Row],[Cuenta Bancaria]],Listas!$B:$B,Listas!$A:$A,"")</f>
        <v>SSP Capital</v>
      </c>
      <c r="D982" s="41" t="s">
        <v>102</v>
      </c>
      <c r="E982" s="4" t="str">
        <f>_xlfn.XLOOKUP(tblMovimientos[[#This Row],[Cuenta Bancaria]],Listas!$B:$B,Listas!$C:$C,"")</f>
        <v>Bank of America</v>
      </c>
      <c r="F982" s="41" t="s">
        <v>10</v>
      </c>
      <c r="G982" s="41" t="s">
        <v>38</v>
      </c>
      <c r="H982" s="4" t="str">
        <f>IFERROR(_xlfn.XLOOKUP(G982,Listas!E:E,Listas!F:F,""),"")</f>
        <v>Operativo</v>
      </c>
      <c r="I982" s="46" t="str">
        <f>IFERROR(_xlfn.XLOOKUP(G982,Listas!E:E,Listas!G:G,""),"")</f>
        <v>Externo</v>
      </c>
      <c r="J982" s="43">
        <v>166.66</v>
      </c>
      <c r="K982" s="5">
        <f t="shared" si="11"/>
        <v>-166.66</v>
      </c>
      <c r="L982" s="15" t="s">
        <v>133</v>
      </c>
      <c r="M982" s="44">
        <f>SUMIFS('Saldos Iniciales'!$D$2:$D$38,'Saldos Iniciales'!$A$2:$A$38,C982,'Saldos Iniciales'!$B$2:$B$38,D982)+SUMIFS($K$1:$K$1033,$C$1:$C$1033,C982,$D$1:$D$1033,D982,$B$1:$B$1033,"&lt;="&amp;B982)</f>
        <v>778.34</v>
      </c>
      <c r="N982" s="65" t="str">
        <f>IF(tblMovimientos[[#This Row],[Tipo de Movimiento]]="Ingreso",tblMovimientos[[#This Row],[Monto (S/)]],"0")</f>
        <v>0</v>
      </c>
      <c r="O982" s="65">
        <f>IF(tblMovimientos[[#This Row],[Tipo de Movimiento]]="Egreso",tblMovimientos[[#This Row],[Monto (S/)]],"0")</f>
        <v>166.66</v>
      </c>
      <c r="P982" s="28">
        <f>IF(tblMovimientos[[#This Row],[Tipo de Movimiento]]="Ingreso",tblMovimientos[[#This Row],[Ingreso]],-tblMovimientos[[#This Row],[Egreso]])</f>
        <v>-166.66</v>
      </c>
    </row>
    <row r="983" spans="1:16" x14ac:dyDescent="0.3">
      <c r="B983" s="39">
        <v>46283</v>
      </c>
      <c r="C983" s="46" t="str">
        <f>_xlfn.XLOOKUP(tblMovimientos[[#This Row],[Cuenta Bancaria]],Listas!$B:$B,Listas!$A:$A,"")</f>
        <v>A&amp;M Imports</v>
      </c>
      <c r="D983" s="41" t="s">
        <v>100</v>
      </c>
      <c r="E983" s="4" t="str">
        <f>_xlfn.XLOOKUP(tblMovimientos[[#This Row],[Cuenta Bancaria]],Listas!$B:$B,Listas!$C:$C,"")</f>
        <v>Bank of America</v>
      </c>
      <c r="F983" s="41" t="s">
        <v>9</v>
      </c>
      <c r="G983" s="41" t="s">
        <v>80</v>
      </c>
      <c r="H983" s="4" t="str">
        <f>IFERROR(_xlfn.XLOOKUP(G983,Listas!E:E,Listas!F:F,""),"")</f>
        <v>Operativo</v>
      </c>
      <c r="I983" s="46" t="str">
        <f>IFERROR(_xlfn.XLOOKUP(G983,Listas!E:E,Listas!G:G,""),"")</f>
        <v>Externo</v>
      </c>
      <c r="J983" s="43">
        <v>450000</v>
      </c>
      <c r="K983" s="5">
        <f t="shared" si="11"/>
        <v>450000</v>
      </c>
      <c r="L983" s="15" t="s">
        <v>133</v>
      </c>
      <c r="M983" s="44">
        <f>SUMIFS('Saldos Iniciales'!$D$2:$D$38,'Saldos Iniciales'!$A$2:$A$38,C983,'Saldos Iniciales'!$B$2:$B$38,D983)+SUMIFS($K$1:$K$1033,$C$1:$C$1033,C983,$D$1:$D$1033,D983,$B$1:$B$1033,"&lt;="&amp;B983)</f>
        <v>1425534.64</v>
      </c>
      <c r="N983" s="65">
        <f>IF(tblMovimientos[[#This Row],[Tipo de Movimiento]]="Ingreso",tblMovimientos[[#This Row],[Monto (S/)]],"0")</f>
        <v>450000</v>
      </c>
      <c r="O983" s="65" t="str">
        <f>IF(tblMovimientos[[#This Row],[Tipo de Movimiento]]="Egreso",tblMovimientos[[#This Row],[Monto (S/)]],"0")</f>
        <v>0</v>
      </c>
      <c r="P983" s="28">
        <f>IF(tblMovimientos[[#This Row],[Tipo de Movimiento]]="Ingreso",tblMovimientos[[#This Row],[Ingreso]],-tblMovimientos[[#This Row],[Egreso]])</f>
        <v>450000</v>
      </c>
    </row>
    <row r="984" spans="1:16" x14ac:dyDescent="0.3">
      <c r="B984" s="39">
        <v>46283</v>
      </c>
      <c r="C984" s="46" t="str">
        <f>_xlfn.XLOOKUP(tblMovimientos[[#This Row],[Cuenta Bancaria]],Listas!$B:$B,Listas!$A:$A,"")</f>
        <v>2515 Overbrook</v>
      </c>
      <c r="D984" s="41" t="s">
        <v>121</v>
      </c>
      <c r="E984" s="4" t="str">
        <f>_xlfn.XLOOKUP(tblMovimientos[[#This Row],[Cuenta Bancaria]],Listas!$B:$B,Listas!$C:$C,"")</f>
        <v>Bank of America</v>
      </c>
      <c r="F984" s="41" t="s">
        <v>9</v>
      </c>
      <c r="G984" s="41" t="s">
        <v>87</v>
      </c>
      <c r="H984" s="4" t="str">
        <f>IFERROR(_xlfn.XLOOKUP(G984,Listas!E:E,Listas!F:F,""),"")</f>
        <v>Operativo</v>
      </c>
      <c r="I984" s="46" t="str">
        <f>IFERROR(_xlfn.XLOOKUP(G984,Listas!E:E,Listas!G:G,""),"")</f>
        <v>Externo</v>
      </c>
      <c r="J984" s="43">
        <v>5250</v>
      </c>
      <c r="K984" s="5">
        <f t="shared" si="11"/>
        <v>5250</v>
      </c>
      <c r="L984" s="15" t="s">
        <v>133</v>
      </c>
      <c r="M984" s="44">
        <f>SUMIFS('Saldos Iniciales'!$D$2:$D$38,'Saldos Iniciales'!$A$2:$A$38,C984,'Saldos Iniciales'!$B$2:$B$38,D984)+SUMIFS($K$1:$K$1033,$C$1:$C$1033,C984,$D$1:$D$1033,D984,$B$1:$B$1033,"&lt;="&amp;B984)</f>
        <v>29976.959999999963</v>
      </c>
      <c r="N984" s="65">
        <f>IF(tblMovimientos[[#This Row],[Tipo de Movimiento]]="Ingreso",tblMovimientos[[#This Row],[Monto (S/)]],"0")</f>
        <v>5250</v>
      </c>
      <c r="O984" s="65" t="str">
        <f>IF(tblMovimientos[[#This Row],[Tipo de Movimiento]]="Egreso",tblMovimientos[[#This Row],[Monto (S/)]],"0")</f>
        <v>0</v>
      </c>
      <c r="P984" s="28">
        <f>IF(tblMovimientos[[#This Row],[Tipo de Movimiento]]="Ingreso",tblMovimientos[[#This Row],[Ingreso]],-tblMovimientos[[#This Row],[Egreso]])</f>
        <v>5250</v>
      </c>
    </row>
    <row r="985" spans="1:16" x14ac:dyDescent="0.3">
      <c r="B985" s="39">
        <v>46283</v>
      </c>
      <c r="C985" s="46" t="str">
        <f>_xlfn.XLOOKUP(tblMovimientos[[#This Row],[Cuenta Bancaria]],Listas!$B:$B,Listas!$A:$A,"")</f>
        <v>CFT Group</v>
      </c>
      <c r="D985" s="41" t="s">
        <v>95</v>
      </c>
      <c r="E985" s="4" t="str">
        <f>_xlfn.XLOOKUP(tblMovimientos[[#This Row],[Cuenta Bancaria]],Listas!$B:$B,Listas!$C:$C,"")</f>
        <v xml:space="preserve">Amerant Bank </v>
      </c>
      <c r="F985" s="41" t="s">
        <v>9</v>
      </c>
      <c r="G985" s="41" t="s">
        <v>70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410000</v>
      </c>
      <c r="K985" s="5">
        <f t="shared" si="11"/>
        <v>410000</v>
      </c>
      <c r="L985" s="15" t="s">
        <v>133</v>
      </c>
      <c r="M985" s="44">
        <f>SUMIFS('Saldos Iniciales'!$D$2:$D$38,'Saldos Iniciales'!$A$2:$A$38,C985,'Saldos Iniciales'!$B$2:$B$38,D985)+SUMIFS($K$1:$K$1033,$C$1:$C$1033,C985,$D$1:$D$1033,D985,$B$1:$B$1033,"&lt;="&amp;B985)</f>
        <v>1944879.790000001</v>
      </c>
      <c r="N985" s="65">
        <f>IF(tblMovimientos[[#This Row],[Tipo de Movimiento]]="Ingreso",tblMovimientos[[#This Row],[Monto (S/)]],"0")</f>
        <v>410000</v>
      </c>
      <c r="O985" s="65" t="str">
        <f>IF(tblMovimientos[[#This Row],[Tipo de Movimiento]]="Egreso",tblMovimientos[[#This Row],[Monto (S/)]],"0")</f>
        <v>0</v>
      </c>
      <c r="P985" s="28">
        <f>IF(tblMovimientos[[#This Row],[Tipo de Movimiento]]="Ingreso",tblMovimientos[[#This Row],[Ingreso]],-tblMovimientos[[#This Row],[Egreso]])</f>
        <v>410000</v>
      </c>
    </row>
    <row r="986" spans="1:16" x14ac:dyDescent="0.3">
      <c r="B986" s="39">
        <v>46286</v>
      </c>
      <c r="C986" s="46" t="str">
        <f>_xlfn.XLOOKUP(tblMovimientos[[#This Row],[Cuenta Bancaria]],Listas!$B:$B,Listas!$A:$A,"")</f>
        <v>Go Blue</v>
      </c>
      <c r="D986" s="41" t="s">
        <v>169</v>
      </c>
      <c r="E986" s="4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38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749</v>
      </c>
      <c r="K986" s="5">
        <f t="shared" si="11"/>
        <v>-749</v>
      </c>
      <c r="L986" s="15" t="s">
        <v>133</v>
      </c>
      <c r="M986" s="44">
        <f>SUMIFS('Saldos Iniciales'!$D$2:$D$38,'Saldos Iniciales'!$A$2:$A$38,C986,'Saldos Iniciales'!$B$2:$B$38,D986)+SUMIFS($K$1:$K$1033,$C$1:$C$1033,C986,$D$1:$D$1033,D986,$B$1:$B$1033,"&lt;="&amp;B986)</f>
        <v>903.28000000000156</v>
      </c>
      <c r="N986" s="65" t="str">
        <f>IF(tblMovimientos[[#This Row],[Tipo de Movimiento]]="Ingreso",tblMovimientos[[#This Row],[Monto (S/)]],"0")</f>
        <v>0</v>
      </c>
      <c r="O986" s="65">
        <f>IF(tblMovimientos[[#This Row],[Tipo de Movimiento]]="Egreso",tblMovimientos[[#This Row],[Monto (S/)]],"0")</f>
        <v>749</v>
      </c>
      <c r="P986" s="28">
        <f>IF(tblMovimientos[[#This Row],[Tipo de Movimiento]]="Ingreso",tblMovimientos[[#This Row],[Ingreso]],-tblMovimientos[[#This Row],[Egreso]])</f>
        <v>-749</v>
      </c>
    </row>
    <row r="987" spans="1:16" x14ac:dyDescent="0.3">
      <c r="B987" s="39">
        <v>46286</v>
      </c>
      <c r="C987" s="46" t="str">
        <f>_xlfn.XLOOKUP(tblMovimientos[[#This Row],[Cuenta Bancaria]],Listas!$B:$B,Listas!$A:$A,"")</f>
        <v>Go Blue</v>
      </c>
      <c r="D987" s="41" t="s">
        <v>169</v>
      </c>
      <c r="E987" s="4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44</v>
      </c>
      <c r="H987" s="4" t="str">
        <f>IFERROR(_xlfn.XLOOKUP(G987,Listas!E:E,Listas!F:F,""),"")</f>
        <v>Operativo</v>
      </c>
      <c r="I987" s="46" t="str">
        <f>IFERROR(_xlfn.XLOOKUP(G987,Listas!E:E,Listas!G:G,""),"")</f>
        <v>Externo</v>
      </c>
      <c r="J987" s="43">
        <v>22.47</v>
      </c>
      <c r="K987" s="5">
        <f t="shared" si="11"/>
        <v>-22.47</v>
      </c>
      <c r="L987" s="15" t="s">
        <v>133</v>
      </c>
      <c r="M987" s="44">
        <f>SUMIFS('Saldos Iniciales'!$D$2:$D$38,'Saldos Iniciales'!$A$2:$A$38,C987,'Saldos Iniciales'!$B$2:$B$38,D987)+SUMIFS($K$1:$K$1033,$C$1:$C$1033,C987,$D$1:$D$1033,D987,$B$1:$B$1033,"&lt;="&amp;B987)</f>
        <v>903.28000000000156</v>
      </c>
      <c r="N987" s="65" t="str">
        <f>IF(tblMovimientos[[#This Row],[Tipo de Movimiento]]="Ingreso",tblMovimientos[[#This Row],[Monto (S/)]],"0")</f>
        <v>0</v>
      </c>
      <c r="O987" s="65">
        <f>IF(tblMovimientos[[#This Row],[Tipo de Movimiento]]="Egreso",tblMovimientos[[#This Row],[Monto (S/)]],"0")</f>
        <v>22.47</v>
      </c>
      <c r="P987" s="28">
        <f>IF(tblMovimientos[[#This Row],[Tipo de Movimiento]]="Ingreso",tblMovimientos[[#This Row],[Ingreso]],-tblMovimientos[[#This Row],[Egreso]])</f>
        <v>-22.47</v>
      </c>
    </row>
    <row r="988" spans="1:16" x14ac:dyDescent="0.3">
      <c r="B988" s="39">
        <v>46286</v>
      </c>
      <c r="C988" s="46" t="str">
        <f>_xlfn.XLOOKUP(tblMovimientos[[#This Row],[Cuenta Bancaria]],Listas!$B:$B,Listas!$A:$A,"")</f>
        <v>SSP Capital</v>
      </c>
      <c r="D988" s="41" t="s">
        <v>101</v>
      </c>
      <c r="E988" s="4" t="str">
        <f>_xlfn.XLOOKUP(tblMovimientos[[#This Row],[Cuenta Bancaria]],Listas!$B:$B,Listas!$C:$C,"")</f>
        <v>Bank of America</v>
      </c>
      <c r="F988" s="41" t="s">
        <v>10</v>
      </c>
      <c r="G988" s="41" t="s">
        <v>38</v>
      </c>
      <c r="H988" s="4" t="str">
        <f>IFERROR(_xlfn.XLOOKUP(G988,Listas!E:E,Listas!F:F,""),"")</f>
        <v>Operativo</v>
      </c>
      <c r="I988" s="46" t="str">
        <f>IFERROR(_xlfn.XLOOKUP(G988,Listas!E:E,Listas!G:G,""),"")</f>
        <v>Externo</v>
      </c>
      <c r="J988" s="43">
        <v>2463.8000000000002</v>
      </c>
      <c r="K988" s="5">
        <f t="shared" si="11"/>
        <v>-2463.8000000000002</v>
      </c>
      <c r="L988" s="15" t="s">
        <v>133</v>
      </c>
      <c r="M988" s="44">
        <f>SUMIFS('Saldos Iniciales'!$D$2:$D$38,'Saldos Iniciales'!$A$2:$A$38,C988,'Saldos Iniciales'!$B$2:$B$38,D988)+SUMIFS($K$1:$K$1033,$C$1:$C$1033,C988,$D$1:$D$1033,D988,$B$1:$B$1033,"&lt;="&amp;B988)</f>
        <v>22599.980000000003</v>
      </c>
      <c r="N988" s="65" t="str">
        <f>IF(tblMovimientos[[#This Row],[Tipo de Movimiento]]="Ingreso",tblMovimientos[[#This Row],[Monto (S/)]],"0")</f>
        <v>0</v>
      </c>
      <c r="O988" s="65">
        <f>IF(tblMovimientos[[#This Row],[Tipo de Movimiento]]="Egreso",tblMovimientos[[#This Row],[Monto (S/)]],"0")</f>
        <v>2463.8000000000002</v>
      </c>
      <c r="P988" s="28">
        <f>IF(tblMovimientos[[#This Row],[Tipo de Movimiento]]="Ingreso",tblMovimientos[[#This Row],[Ingreso]],-tblMovimientos[[#This Row],[Egreso]])</f>
        <v>-2463.8000000000002</v>
      </c>
    </row>
    <row r="989" spans="1:16" x14ac:dyDescent="0.3">
      <c r="B989" s="39">
        <v>46286</v>
      </c>
      <c r="C989" s="46" t="str">
        <f>_xlfn.XLOOKUP(tblMovimientos[[#This Row],[Cuenta Bancaria]],Listas!$B:$B,Listas!$A:$A,"")</f>
        <v>SSP Capital</v>
      </c>
      <c r="D989" s="41" t="s">
        <v>101</v>
      </c>
      <c r="E989" s="4" t="str">
        <f>_xlfn.XLOOKUP(tblMovimientos[[#This Row],[Cuenta Bancaria]],Listas!$B:$B,Listas!$C:$C,"")</f>
        <v>Bank of America</v>
      </c>
      <c r="F989" s="41" t="s">
        <v>10</v>
      </c>
      <c r="G989" s="41" t="s">
        <v>41</v>
      </c>
      <c r="H989" s="4" t="str">
        <f>IFERROR(_xlfn.XLOOKUP(G989,Listas!E:E,Listas!F:F,""),"")</f>
        <v>Operativo</v>
      </c>
      <c r="I989" s="46" t="str">
        <f>IFERROR(_xlfn.XLOOKUP(G989,Listas!E:E,Listas!G:G,""),"")</f>
        <v>Externo</v>
      </c>
      <c r="J989" s="43">
        <v>780.9</v>
      </c>
      <c r="K989" s="5">
        <f t="shared" si="11"/>
        <v>-780.9</v>
      </c>
      <c r="L989" s="15" t="s">
        <v>133</v>
      </c>
      <c r="M989" s="44">
        <f>SUMIFS('Saldos Iniciales'!$D$2:$D$38,'Saldos Iniciales'!$A$2:$A$38,C989,'Saldos Iniciales'!$B$2:$B$38,D989)+SUMIFS($K$1:$K$1033,$C$1:$C$1033,C989,$D$1:$D$1033,D989,$B$1:$B$1033,"&lt;="&amp;B989)</f>
        <v>22599.980000000003</v>
      </c>
      <c r="N989" s="65" t="str">
        <f>IF(tblMovimientos[[#This Row],[Tipo de Movimiento]]="Ingreso",tblMovimientos[[#This Row],[Monto (S/)]],"0")</f>
        <v>0</v>
      </c>
      <c r="O989" s="65">
        <f>IF(tblMovimientos[[#This Row],[Tipo de Movimiento]]="Egreso",tblMovimientos[[#This Row],[Monto (S/)]],"0")</f>
        <v>780.9</v>
      </c>
      <c r="P989" s="28">
        <f>IF(tblMovimientos[[#This Row],[Tipo de Movimiento]]="Ingreso",tblMovimientos[[#This Row],[Ingreso]],-tblMovimientos[[#This Row],[Egreso]])</f>
        <v>-780.9</v>
      </c>
    </row>
    <row r="990" spans="1:16" x14ac:dyDescent="0.3">
      <c r="B990" s="39">
        <v>46286</v>
      </c>
      <c r="C990" s="46" t="str">
        <f>_xlfn.XLOOKUP(tblMovimientos[[#This Row],[Cuenta Bancaria]],Listas!$B:$B,Listas!$A:$A,"")</f>
        <v>SSP Capital</v>
      </c>
      <c r="D990" s="41" t="s">
        <v>101</v>
      </c>
      <c r="E990" s="4" t="str">
        <f>_xlfn.XLOOKUP(tblMovimientos[[#This Row],[Cuenta Bancaria]],Listas!$B:$B,Listas!$C:$C,"")</f>
        <v>Bank of America</v>
      </c>
      <c r="F990" s="41" t="s">
        <v>10</v>
      </c>
      <c r="G990" s="41" t="s">
        <v>38</v>
      </c>
      <c r="H990" s="4" t="str">
        <f>IFERROR(_xlfn.XLOOKUP(G990,Listas!E:E,Listas!F:F,""),"")</f>
        <v>Operativo</v>
      </c>
      <c r="I990" s="46" t="str">
        <f>IFERROR(_xlfn.XLOOKUP(G990,Listas!E:E,Listas!G:G,""),"")</f>
        <v>Externo</v>
      </c>
      <c r="J990" s="43">
        <v>737.04</v>
      </c>
      <c r="K990" s="5">
        <f t="shared" si="11"/>
        <v>-737.04</v>
      </c>
      <c r="L990" s="15" t="s">
        <v>133</v>
      </c>
      <c r="M990" s="44">
        <f>SUMIFS('Saldos Iniciales'!$D$2:$D$38,'Saldos Iniciales'!$A$2:$A$38,C990,'Saldos Iniciales'!$B$2:$B$38,D990)+SUMIFS($K$1:$K$1033,$C$1:$C$1033,C990,$D$1:$D$1033,D990,$B$1:$B$1033,"&lt;="&amp;B990)</f>
        <v>22599.980000000003</v>
      </c>
      <c r="N990" s="65" t="str">
        <f>IF(tblMovimientos[[#This Row],[Tipo de Movimiento]]="Ingreso",tblMovimientos[[#This Row],[Monto (S/)]],"0")</f>
        <v>0</v>
      </c>
      <c r="O990" s="65">
        <f>IF(tblMovimientos[[#This Row],[Tipo de Movimiento]]="Egreso",tblMovimientos[[#This Row],[Monto (S/)]],"0")</f>
        <v>737.04</v>
      </c>
      <c r="P990" s="28">
        <f>IF(tblMovimientos[[#This Row],[Tipo de Movimiento]]="Ingreso",tblMovimientos[[#This Row],[Ingreso]],-tblMovimientos[[#This Row],[Egreso]])</f>
        <v>-737.04</v>
      </c>
    </row>
    <row r="991" spans="1:16" x14ac:dyDescent="0.3">
      <c r="A991" s="45"/>
      <c r="B991" s="39">
        <v>46286</v>
      </c>
      <c r="C991" s="46" t="str">
        <f>_xlfn.XLOOKUP(tblMovimientos[[#This Row],[Cuenta Bancaria]],Listas!$B:$B,Listas!$A:$A,"")</f>
        <v>A&amp;M Imports</v>
      </c>
      <c r="D991" s="41" t="s">
        <v>100</v>
      </c>
      <c r="E991" s="46" t="str">
        <f>_xlfn.XLOOKUP(tblMovimientos[[#This Row],[Cuenta Bancaria]],Listas!$B:$B,Listas!$C:$C,"")</f>
        <v>Bank of America</v>
      </c>
      <c r="F991" s="41" t="s">
        <v>9</v>
      </c>
      <c r="G991" s="41" t="s">
        <v>80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28068.720000000001</v>
      </c>
      <c r="K991" s="5">
        <f t="shared" si="11"/>
        <v>28068.720000000001</v>
      </c>
      <c r="L991" s="15" t="s">
        <v>133</v>
      </c>
      <c r="M991" s="44">
        <f>SUMIFS('Saldos Iniciales'!$D$2:$D$38,'Saldos Iniciales'!$A$2:$A$38,C991,'Saldos Iniciales'!$B$2:$B$38,D991)+SUMIFS($K$1:$K$1033,$C$1:$C$1033,C991,$D$1:$D$1033,D991,$B$1:$B$1033,"&lt;="&amp;B991)</f>
        <v>1453603.3599999999</v>
      </c>
      <c r="N991" s="76">
        <f>IF(tblMovimientos[[#This Row],[Tipo de Movimiento]]="Ingreso",tblMovimientos[[#This Row],[Monto (S/)]],"0")</f>
        <v>28068.720000000001</v>
      </c>
      <c r="O991" s="76" t="str">
        <f>IF(tblMovimientos[[#This Row],[Tipo de Movimiento]]="Egreso",tblMovimientos[[#This Row],[Monto (S/)]],"0")</f>
        <v>0</v>
      </c>
      <c r="P991" s="28">
        <f>IF(tblMovimientos[[#This Row],[Tipo de Movimiento]]="Ingreso",tblMovimientos[[#This Row],[Ingreso]],-tblMovimientos[[#This Row],[Egreso]])</f>
        <v>28068.720000000001</v>
      </c>
    </row>
    <row r="992" spans="1:16" x14ac:dyDescent="0.3">
      <c r="B992" s="39">
        <v>46287</v>
      </c>
      <c r="C992" s="46" t="str">
        <f>_xlfn.XLOOKUP(tblMovimientos[[#This Row],[Cuenta Bancaria]],Listas!$B:$B,Listas!$A:$A,"")</f>
        <v>SSP Capital</v>
      </c>
      <c r="D992" s="41" t="s">
        <v>101</v>
      </c>
      <c r="E992" s="4" t="str">
        <f>_xlfn.XLOOKUP(tblMovimientos[[#This Row],[Cuenta Bancaria]],Listas!$B:$B,Listas!$C:$C,"")</f>
        <v>Bank of America</v>
      </c>
      <c r="F992" s="41" t="s">
        <v>10</v>
      </c>
      <c r="G992" s="41" t="s">
        <v>38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762.99</v>
      </c>
      <c r="K992" s="5">
        <f t="shared" si="11"/>
        <v>-762.99</v>
      </c>
      <c r="L992" s="15" t="s">
        <v>133</v>
      </c>
      <c r="M992" s="44">
        <f>SUMIFS('Saldos Iniciales'!$D$2:$D$38,'Saldos Iniciales'!$A$2:$A$38,C992,'Saldos Iniciales'!$B$2:$B$38,D992)+SUMIFS($K$1:$K$1033,$C$1:$C$1033,C992,$D$1:$D$1033,D992,$B$1:$B$1033,"&lt;="&amp;B992)</f>
        <v>21836.990000000005</v>
      </c>
      <c r="N992" s="65" t="str">
        <f>IF(tblMovimientos[[#This Row],[Tipo de Movimiento]]="Ingreso",tblMovimientos[[#This Row],[Monto (S/)]],"0")</f>
        <v>0</v>
      </c>
      <c r="O992" s="65">
        <f>IF(tblMovimientos[[#This Row],[Tipo de Movimiento]]="Egreso",tblMovimientos[[#This Row],[Monto (S/)]],"0")</f>
        <v>762.99</v>
      </c>
      <c r="P992" s="28">
        <f>IF(tblMovimientos[[#This Row],[Tipo de Movimiento]]="Ingreso",tblMovimientos[[#This Row],[Ingreso]],-tblMovimientos[[#This Row],[Egreso]])</f>
        <v>-762.99</v>
      </c>
    </row>
    <row r="993" spans="1:16" x14ac:dyDescent="0.3">
      <c r="B993" s="39">
        <v>46287</v>
      </c>
      <c r="C993" s="46" t="str">
        <f>_xlfn.XLOOKUP(tblMovimientos[[#This Row],[Cuenta Bancaria]],Listas!$B:$B,Listas!$A:$A,"")</f>
        <v>2515 Overbrook</v>
      </c>
      <c r="D993" s="41" t="s">
        <v>121</v>
      </c>
      <c r="E993" s="4" t="str">
        <f>_xlfn.XLOOKUP(tblMovimientos[[#This Row],[Cuenta Bancaria]],Listas!$B:$B,Listas!$C:$C,"")</f>
        <v>Bank of America</v>
      </c>
      <c r="F993" s="41" t="s">
        <v>10</v>
      </c>
      <c r="G993" s="41" t="s">
        <v>38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262.5</v>
      </c>
      <c r="K993" s="5">
        <f t="shared" si="11"/>
        <v>-262.5</v>
      </c>
      <c r="L993" s="15" t="s">
        <v>133</v>
      </c>
      <c r="M993" s="44">
        <f>SUMIFS('Saldos Iniciales'!$D$2:$D$38,'Saldos Iniciales'!$A$2:$A$38,C993,'Saldos Iniciales'!$B$2:$B$38,D993)+SUMIFS($K$1:$K$1033,$C$1:$C$1033,C993,$D$1:$D$1033,D993,$B$1:$B$1033,"&lt;="&amp;B993)</f>
        <v>28414.459999999963</v>
      </c>
      <c r="N993" s="65" t="str">
        <f>IF(tblMovimientos[[#This Row],[Tipo de Movimiento]]="Ingreso",tblMovimientos[[#This Row],[Monto (S/)]],"0")</f>
        <v>0</v>
      </c>
      <c r="O993" s="65">
        <f>IF(tblMovimientos[[#This Row],[Tipo de Movimiento]]="Egreso",tblMovimientos[[#This Row],[Monto (S/)]],"0")</f>
        <v>262.5</v>
      </c>
      <c r="P993" s="28">
        <f>IF(tblMovimientos[[#This Row],[Tipo de Movimiento]]="Ingreso",tblMovimientos[[#This Row],[Ingreso]],-tblMovimientos[[#This Row],[Egreso]])</f>
        <v>-262.5</v>
      </c>
    </row>
    <row r="994" spans="1:16" x14ac:dyDescent="0.3">
      <c r="B994" s="39">
        <v>46287</v>
      </c>
      <c r="C994" s="46" t="str">
        <f>_xlfn.XLOOKUP(tblMovimientos[[#This Row],[Cuenta Bancaria]],Listas!$B:$B,Listas!$A:$A,"")</f>
        <v>2515 Overbrook</v>
      </c>
      <c r="D994" s="41" t="s">
        <v>121</v>
      </c>
      <c r="E994" s="4" t="str">
        <f>_xlfn.XLOOKUP(tblMovimientos[[#This Row],[Cuenta Bancaria]],Listas!$B:$B,Listas!$C:$C,"")</f>
        <v>Bank of America</v>
      </c>
      <c r="F994" s="41" t="s">
        <v>10</v>
      </c>
      <c r="G994" s="41" t="s">
        <v>38</v>
      </c>
      <c r="H994" s="4" t="str">
        <f>IFERROR(_xlfn.XLOOKUP(G994,Listas!E:E,Listas!F:F,""),"")</f>
        <v>Operativo</v>
      </c>
      <c r="I994" s="46" t="str">
        <f>IFERROR(_xlfn.XLOOKUP(G994,Listas!E:E,Listas!G:G,""),"")</f>
        <v>Externo</v>
      </c>
      <c r="J994" s="43">
        <v>1300</v>
      </c>
      <c r="K994" s="5">
        <f t="shared" si="11"/>
        <v>-1300</v>
      </c>
      <c r="L994" s="15" t="s">
        <v>133</v>
      </c>
      <c r="M994" s="44">
        <f>SUMIFS('Saldos Iniciales'!$D$2:$D$38,'Saldos Iniciales'!$A$2:$A$38,C994,'Saldos Iniciales'!$B$2:$B$38,D994)+SUMIFS($K$1:$K$1033,$C$1:$C$1033,C994,$D$1:$D$1033,D994,$B$1:$B$1033,"&lt;="&amp;B994)</f>
        <v>28414.459999999963</v>
      </c>
      <c r="N994" s="65" t="str">
        <f>IF(tblMovimientos[[#This Row],[Tipo de Movimiento]]="Ingreso",tblMovimientos[[#This Row],[Monto (S/)]],"0")</f>
        <v>0</v>
      </c>
      <c r="O994" s="65">
        <f>IF(tblMovimientos[[#This Row],[Tipo de Movimiento]]="Egreso",tblMovimientos[[#This Row],[Monto (S/)]],"0")</f>
        <v>1300</v>
      </c>
      <c r="P994" s="28">
        <f>IF(tblMovimientos[[#This Row],[Tipo de Movimiento]]="Ingreso",tblMovimientos[[#This Row],[Ingreso]],-tblMovimientos[[#This Row],[Egreso]])</f>
        <v>-1300</v>
      </c>
    </row>
    <row r="995" spans="1:16" x14ac:dyDescent="0.3">
      <c r="B995" s="39">
        <v>46287</v>
      </c>
      <c r="C995" s="46" t="str">
        <f>_xlfn.XLOOKUP(tblMovimientos[[#This Row],[Cuenta Bancaria]],Listas!$B:$B,Listas!$A:$A,"")</f>
        <v>112 Florida Ave</v>
      </c>
      <c r="D995" s="41" t="s">
        <v>123</v>
      </c>
      <c r="E995" s="4" t="str">
        <f>_xlfn.XLOOKUP(tblMovimientos[[#This Row],[Cuenta Bancaria]],Listas!$B:$B,Listas!$C:$C,"")</f>
        <v>Bank of America</v>
      </c>
      <c r="F995" s="41" t="s">
        <v>10</v>
      </c>
      <c r="G995" s="41" t="s">
        <v>38</v>
      </c>
      <c r="H995" s="4" t="str">
        <f>IFERROR(_xlfn.XLOOKUP(G995,Listas!E:E,Listas!F:F,""),"")</f>
        <v>Operativo</v>
      </c>
      <c r="I995" s="46" t="str">
        <f>IFERROR(_xlfn.XLOOKUP(G995,Listas!E:E,Listas!G:G,""),"")</f>
        <v>Externo</v>
      </c>
      <c r="J995" s="43">
        <v>1120.03</v>
      </c>
      <c r="K995" s="5">
        <f t="shared" si="11"/>
        <v>-1120.03</v>
      </c>
      <c r="L995" s="15" t="s">
        <v>133</v>
      </c>
      <c r="M995" s="44">
        <f>SUMIFS('Saldos Iniciales'!$D$2:$D$38,'Saldos Iniciales'!$A$2:$A$38,C995,'Saldos Iniciales'!$B$2:$B$38,D995)+SUMIFS($K$1:$K$1033,$C$1:$C$1033,C995,$D$1:$D$1033,D995,$B$1:$B$1033,"&lt;="&amp;B995)</f>
        <v>15162.600000000006</v>
      </c>
      <c r="N995" s="65" t="str">
        <f>IF(tblMovimientos[[#This Row],[Tipo de Movimiento]]="Ingreso",tblMovimientos[[#This Row],[Monto (S/)]],"0")</f>
        <v>0</v>
      </c>
      <c r="O995" s="65">
        <f>IF(tblMovimientos[[#This Row],[Tipo de Movimiento]]="Egreso",tblMovimientos[[#This Row],[Monto (S/)]],"0")</f>
        <v>1120.03</v>
      </c>
      <c r="P995" s="28">
        <f>IF(tblMovimientos[[#This Row],[Tipo de Movimiento]]="Ingreso",tblMovimientos[[#This Row],[Ingreso]],-tblMovimientos[[#This Row],[Egreso]])</f>
        <v>-1120.03</v>
      </c>
    </row>
    <row r="996" spans="1:16" x14ac:dyDescent="0.3">
      <c r="B996" s="39">
        <v>46287</v>
      </c>
      <c r="C996" s="46" t="str">
        <f>_xlfn.XLOOKUP(tblMovimientos[[#This Row],[Cuenta Bancaria]],Listas!$B:$B,Listas!$A:$A,"")</f>
        <v>3628 Thomas Ave</v>
      </c>
      <c r="D996" s="41" t="s">
        <v>124</v>
      </c>
      <c r="E996" s="4" t="str">
        <f>_xlfn.XLOOKUP(tblMovimientos[[#This Row],[Cuenta Bancaria]],Listas!$B:$B,Listas!$C:$C,"")</f>
        <v>Bank of America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231.3</v>
      </c>
      <c r="K996" s="5">
        <f t="shared" si="11"/>
        <v>-231.3</v>
      </c>
      <c r="L996" s="15" t="s">
        <v>133</v>
      </c>
      <c r="M996" s="44">
        <f>SUMIFS('Saldos Iniciales'!$D$2:$D$38,'Saldos Iniciales'!$A$2:$A$38,C996,'Saldos Iniciales'!$B$2:$B$38,D996)+SUMIFS($K$1:$K$1033,$C$1:$C$1033,C996,$D$1:$D$1033,D996,$B$1:$B$1033,"&lt;="&amp;B996)</f>
        <v>12937.859999999997</v>
      </c>
      <c r="N996" s="65" t="str">
        <f>IF(tblMovimientos[[#This Row],[Tipo de Movimiento]]="Ingreso",tblMovimientos[[#This Row],[Monto (S/)]],"0")</f>
        <v>0</v>
      </c>
      <c r="O996" s="65">
        <f>IF(tblMovimientos[[#This Row],[Tipo de Movimiento]]="Egreso",tblMovimientos[[#This Row],[Monto (S/)]],"0")</f>
        <v>231.3</v>
      </c>
      <c r="P996" s="28">
        <f>IF(tblMovimientos[[#This Row],[Tipo de Movimiento]]="Ingreso",tblMovimientos[[#This Row],[Ingreso]],-tblMovimientos[[#This Row],[Egreso]])</f>
        <v>-231.3</v>
      </c>
    </row>
    <row r="997" spans="1:16" x14ac:dyDescent="0.3">
      <c r="B997" s="39">
        <v>46287</v>
      </c>
      <c r="C997" s="46" t="str">
        <f>_xlfn.XLOOKUP(tblMovimientos[[#This Row],[Cuenta Bancaria]],Listas!$B:$B,Listas!$A:$A,"")</f>
        <v>3628 Thomas Ave</v>
      </c>
      <c r="D997" s="41" t="s">
        <v>124</v>
      </c>
      <c r="E997" s="4" t="str">
        <f>_xlfn.XLOOKUP(tblMovimientos[[#This Row],[Cuenta Bancaria]],Listas!$B:$B,Listas!$C:$C,"")</f>
        <v>Bank of America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46.84</v>
      </c>
      <c r="K997" s="5">
        <f t="shared" si="11"/>
        <v>-46.84</v>
      </c>
      <c r="L997" s="15" t="s">
        <v>133</v>
      </c>
      <c r="M997" s="44">
        <f>SUMIFS('Saldos Iniciales'!$D$2:$D$38,'Saldos Iniciales'!$A$2:$A$38,C997,'Saldos Iniciales'!$B$2:$B$38,D997)+SUMIFS($K$1:$K$1033,$C$1:$C$1033,C997,$D$1:$D$1033,D997,$B$1:$B$1033,"&lt;="&amp;B997)</f>
        <v>12937.859999999997</v>
      </c>
      <c r="N997" s="65" t="str">
        <f>IF(tblMovimientos[[#This Row],[Tipo de Movimiento]]="Ingreso",tblMovimientos[[#This Row],[Monto (S/)]],"0")</f>
        <v>0</v>
      </c>
      <c r="O997" s="65">
        <f>IF(tblMovimientos[[#This Row],[Tipo de Movimiento]]="Egreso",tblMovimientos[[#This Row],[Monto (S/)]],"0")</f>
        <v>46.84</v>
      </c>
      <c r="P997" s="28">
        <f>IF(tblMovimientos[[#This Row],[Tipo de Movimiento]]="Ingreso",tblMovimientos[[#This Row],[Ingreso]],-tblMovimientos[[#This Row],[Egreso]])</f>
        <v>-46.84</v>
      </c>
    </row>
    <row r="998" spans="1:16" x14ac:dyDescent="0.3">
      <c r="A998" s="45"/>
      <c r="B998" s="39">
        <v>46287</v>
      </c>
      <c r="C998" s="46" t="str">
        <f>_xlfn.XLOOKUP(tblMovimientos[[#This Row],[Cuenta Bancaria]],Listas!$B:$B,Listas!$A:$A,"")</f>
        <v>3628 Thomas Ave</v>
      </c>
      <c r="D998" s="41" t="s">
        <v>124</v>
      </c>
      <c r="E998" s="46" t="str">
        <f>_xlfn.XLOOKUP(tblMovimientos[[#This Row],[Cuenta Bancaria]],Listas!$B:$B,Listas!$C:$C,"")</f>
        <v>Bank of America</v>
      </c>
      <c r="F998" s="41" t="s">
        <v>10</v>
      </c>
      <c r="G998" s="41" t="s">
        <v>38</v>
      </c>
      <c r="H998" s="46" t="str">
        <f>IFERROR(_xlfn.XLOOKUP(G998,Listas!E:E,Listas!F:F,""),"")</f>
        <v>Operativo</v>
      </c>
      <c r="I998" s="46" t="str">
        <f>IFERROR(_xlfn.XLOOKUP(G998,Listas!E:E,Listas!G:G,""),"")</f>
        <v>Externo</v>
      </c>
      <c r="J998" s="43">
        <v>470</v>
      </c>
      <c r="K998" s="5">
        <f t="shared" si="11"/>
        <v>-470</v>
      </c>
      <c r="L998" s="15" t="s">
        <v>133</v>
      </c>
      <c r="M998" s="44">
        <f>SUMIFS('Saldos Iniciales'!$D$2:$D$38,'Saldos Iniciales'!$A$2:$A$38,C998,'Saldos Iniciales'!$B$2:$B$38,D998)+SUMIFS($K$1:$K$1033,$C$1:$C$1033,C998,$D$1:$D$1033,D998,$B$1:$B$1033,"&lt;="&amp;B998)</f>
        <v>12937.859999999997</v>
      </c>
      <c r="N998" s="76" t="str">
        <f>IF(tblMovimientos[[#This Row],[Tipo de Movimiento]]="Ingreso",tblMovimientos[[#This Row],[Monto (S/)]],"0")</f>
        <v>0</v>
      </c>
      <c r="O998" s="76">
        <f>IF(tblMovimientos[[#This Row],[Tipo de Movimiento]]="Egreso",tblMovimientos[[#This Row],[Monto (S/)]],"0")</f>
        <v>470</v>
      </c>
      <c r="P998" s="28">
        <f>IF(tblMovimientos[[#This Row],[Tipo de Movimiento]]="Ingreso",tblMovimientos[[#This Row],[Ingreso]],-tblMovimientos[[#This Row],[Egreso]])</f>
        <v>-470</v>
      </c>
    </row>
    <row r="999" spans="1:16" x14ac:dyDescent="0.3">
      <c r="B999" s="39">
        <v>46290</v>
      </c>
      <c r="C999" s="46" t="str">
        <f>_xlfn.XLOOKUP(tblMovimientos[[#This Row],[Cuenta Bancaria]],Listas!$B:$B,Listas!$A:$A,"")</f>
        <v>A&amp;M Imports</v>
      </c>
      <c r="D999" s="41" t="s">
        <v>100</v>
      </c>
      <c r="E999" s="4" t="str">
        <f>_xlfn.XLOOKUP(tblMovimientos[[#This Row],[Cuenta Bancaria]],Listas!$B:$B,Listas!$C:$C,"")</f>
        <v>Bank of America</v>
      </c>
      <c r="F999" s="41" t="s">
        <v>10</v>
      </c>
      <c r="G999" s="41" t="s">
        <v>61</v>
      </c>
      <c r="H999" s="4" t="str">
        <f>IFERROR(_xlfn.XLOOKUP(G999,Listas!E:E,Listas!F:F,""),"")</f>
        <v>Operativo</v>
      </c>
      <c r="I999" s="46" t="str">
        <f>IFERROR(_xlfn.XLOOKUP(G999,Listas!E:E,Listas!G:G,""),"")</f>
        <v>Externo</v>
      </c>
      <c r="J999" s="43">
        <v>60000</v>
      </c>
      <c r="K999" s="5">
        <f t="shared" si="11"/>
        <v>-60000</v>
      </c>
      <c r="L999" s="15" t="s">
        <v>133</v>
      </c>
      <c r="M999" s="44">
        <f>SUMIFS('Saldos Iniciales'!$D$2:$D$38,'Saldos Iniciales'!$A$2:$A$38,C999,'Saldos Iniciales'!$B$2:$B$38,D999)+SUMIFS($K$1:$K$1033,$C$1:$C$1033,C999,$D$1:$D$1033,D999,$B$1:$B$1033,"&lt;="&amp;B999)</f>
        <v>1313603.3599999999</v>
      </c>
      <c r="N999" s="65" t="str">
        <f>IF(tblMovimientos[[#This Row],[Tipo de Movimiento]]="Ingreso",tblMovimientos[[#This Row],[Monto (S/)]],"0")</f>
        <v>0</v>
      </c>
      <c r="O999" s="65">
        <f>IF(tblMovimientos[[#This Row],[Tipo de Movimiento]]="Egreso",tblMovimientos[[#This Row],[Monto (S/)]],"0")</f>
        <v>60000</v>
      </c>
      <c r="P999" s="28">
        <f>IF(tblMovimientos[[#This Row],[Tipo de Movimiento]]="Ingreso",tblMovimientos[[#This Row],[Ingreso]],-tblMovimientos[[#This Row],[Egreso]])</f>
        <v>-60000</v>
      </c>
    </row>
    <row r="1000" spans="1:16" x14ac:dyDescent="0.3">
      <c r="B1000" s="39">
        <v>46290</v>
      </c>
      <c r="C1000" s="46" t="str">
        <f>_xlfn.XLOOKUP(tblMovimientos[[#This Row],[Cuenta Bancaria]],Listas!$B:$B,Listas!$A:$A,"")</f>
        <v>A&amp;M Imports</v>
      </c>
      <c r="D1000" s="41" t="s">
        <v>100</v>
      </c>
      <c r="E1000" s="4" t="str">
        <f>_xlfn.XLOOKUP(tblMovimientos[[#This Row],[Cuenta Bancaria]],Listas!$B:$B,Listas!$C:$C,"")</f>
        <v>Bank of America</v>
      </c>
      <c r="F1000" s="41" t="s">
        <v>10</v>
      </c>
      <c r="G1000" s="41" t="s">
        <v>61</v>
      </c>
      <c r="H1000" s="4" t="str">
        <f>IFERROR(_xlfn.XLOOKUP(G1000,Listas!E:E,Listas!F:F,""),"")</f>
        <v>Operativo</v>
      </c>
      <c r="I1000" s="46" t="str">
        <f>IFERROR(_xlfn.XLOOKUP(G1000,Listas!E:E,Listas!G:G,""),"")</f>
        <v>Externo</v>
      </c>
      <c r="J1000" s="43">
        <v>80000</v>
      </c>
      <c r="K1000" s="5">
        <f t="shared" si="11"/>
        <v>-80000</v>
      </c>
      <c r="L1000" s="15" t="s">
        <v>133</v>
      </c>
      <c r="M1000" s="44">
        <f>SUMIFS('Saldos Iniciales'!$D$2:$D$38,'Saldos Iniciales'!$A$2:$A$38,C1000,'Saldos Iniciales'!$B$2:$B$38,D1000)+SUMIFS($K$1:$K$1033,$C$1:$C$1033,C1000,$D$1:$D$1033,D1000,$B$1:$B$1033,"&lt;="&amp;B1000)</f>
        <v>1313603.3599999999</v>
      </c>
      <c r="N1000" s="65" t="str">
        <f>IF(tblMovimientos[[#This Row],[Tipo de Movimiento]]="Ingreso",tblMovimientos[[#This Row],[Monto (S/)]],"0")</f>
        <v>0</v>
      </c>
      <c r="O1000" s="65">
        <f>IF(tblMovimientos[[#This Row],[Tipo de Movimiento]]="Egreso",tblMovimientos[[#This Row],[Monto (S/)]],"0")</f>
        <v>80000</v>
      </c>
      <c r="P1000" s="28">
        <f>IF(tblMovimientos[[#This Row],[Tipo de Movimiento]]="Ingreso",tblMovimientos[[#This Row],[Ingreso]],-tblMovimientos[[#This Row],[Egreso]])</f>
        <v>-80000</v>
      </c>
    </row>
    <row r="1001" spans="1:16" x14ac:dyDescent="0.3">
      <c r="B1001" s="39">
        <v>46290</v>
      </c>
      <c r="C1001" s="46" t="str">
        <f>_xlfn.XLOOKUP(tblMovimientos[[#This Row],[Cuenta Bancaria]],Listas!$B:$B,Listas!$A:$A,"")</f>
        <v>112 Florida Ave</v>
      </c>
      <c r="D1001" s="41" t="s">
        <v>123</v>
      </c>
      <c r="E1001" s="4" t="str">
        <f>_xlfn.XLOOKUP(tblMovimientos[[#This Row],[Cuenta Bancaria]],Listas!$B:$B,Listas!$C:$C,"")</f>
        <v>Bank of America</v>
      </c>
      <c r="F1001" s="41" t="s">
        <v>9</v>
      </c>
      <c r="G1001" s="41" t="s">
        <v>71</v>
      </c>
      <c r="H1001" s="4" t="str">
        <f>IFERROR(_xlfn.XLOOKUP(G1001,Listas!E:E,Listas!F:F,""),"")</f>
        <v>Operativo</v>
      </c>
      <c r="I1001" s="46" t="str">
        <f>IFERROR(_xlfn.XLOOKUP(G1001,Listas!E:E,Listas!G:G,""),"")</f>
        <v>Interno</v>
      </c>
      <c r="J1001" s="43">
        <v>8227.09</v>
      </c>
      <c r="K1001" s="5">
        <f t="shared" si="11"/>
        <v>8227.09</v>
      </c>
      <c r="L1001" s="15" t="s">
        <v>133</v>
      </c>
      <c r="M1001" s="44">
        <f>SUMIFS('Saldos Iniciales'!$D$2:$D$38,'Saldos Iniciales'!$A$2:$A$38,C1001,'Saldos Iniciales'!$B$2:$B$38,D1001)+SUMIFS($K$1:$K$1033,$C$1:$C$1033,C1001,$D$1:$D$1033,D1001,$B$1:$B$1033,"&lt;="&amp;B1001)</f>
        <v>23389.690000000006</v>
      </c>
      <c r="N1001" s="65">
        <f>IF(tblMovimientos[[#This Row],[Tipo de Movimiento]]="Ingreso",tblMovimientos[[#This Row],[Monto (S/)]],"0")</f>
        <v>8227.09</v>
      </c>
      <c r="O1001" s="65" t="str">
        <f>IF(tblMovimientos[[#This Row],[Tipo de Movimiento]]="Egreso",tblMovimientos[[#This Row],[Monto (S/)]],"0")</f>
        <v>0</v>
      </c>
      <c r="P1001" s="28">
        <f>IF(tblMovimientos[[#This Row],[Tipo de Movimiento]]="Ingreso",tblMovimientos[[#This Row],[Ingreso]],-tblMovimientos[[#This Row],[Egreso]])</f>
        <v>8227.09</v>
      </c>
    </row>
    <row r="1002" spans="1:16" x14ac:dyDescent="0.3">
      <c r="B1002" s="39">
        <v>46290</v>
      </c>
      <c r="C1002" s="46" t="str">
        <f>_xlfn.XLOOKUP(tblMovimientos[[#This Row],[Cuenta Bancaria]],Listas!$B:$B,Listas!$A:$A,"")</f>
        <v>3628 Thomas Ave</v>
      </c>
      <c r="D1002" s="41" t="s">
        <v>124</v>
      </c>
      <c r="E1002" s="4" t="str">
        <f>_xlfn.XLOOKUP(tblMovimientos[[#This Row],[Cuenta Bancaria]],Listas!$B:$B,Listas!$C:$C,"")</f>
        <v>Bank of America</v>
      </c>
      <c r="F1002" s="41" t="s">
        <v>9</v>
      </c>
      <c r="G1002" s="41" t="s">
        <v>71</v>
      </c>
      <c r="H1002" s="4" t="str">
        <f>IFERROR(_xlfn.XLOOKUP(G1002,Listas!E:E,Listas!F:F,""),"")</f>
        <v>Operativo</v>
      </c>
      <c r="I1002" s="46" t="str">
        <f>IFERROR(_xlfn.XLOOKUP(G1002,Listas!E:E,Listas!G:G,""),"")</f>
        <v>Interno</v>
      </c>
      <c r="J1002" s="43">
        <v>3958.2</v>
      </c>
      <c r="K1002" s="5">
        <f t="shared" si="11"/>
        <v>3958.2</v>
      </c>
      <c r="L1002" s="15" t="s">
        <v>133</v>
      </c>
      <c r="M1002" s="44">
        <f>SUMIFS('Saldos Iniciales'!$D$2:$D$38,'Saldos Iniciales'!$A$2:$A$38,C1002,'Saldos Iniciales'!$B$2:$B$38,D1002)+SUMIFS($K$1:$K$1033,$C$1:$C$1033,C1002,$D$1:$D$1033,D1002,$B$1:$B$1033,"&lt;="&amp;B1002)</f>
        <v>16896.059999999998</v>
      </c>
      <c r="N1002" s="65">
        <f>IF(tblMovimientos[[#This Row],[Tipo de Movimiento]]="Ingreso",tblMovimientos[[#This Row],[Monto (S/)]],"0")</f>
        <v>3958.2</v>
      </c>
      <c r="O1002" s="65" t="str">
        <f>IF(tblMovimientos[[#This Row],[Tipo de Movimiento]]="Egreso",tblMovimientos[[#This Row],[Monto (S/)]],"0")</f>
        <v>0</v>
      </c>
      <c r="P1002" s="28">
        <f>IF(tblMovimientos[[#This Row],[Tipo de Movimiento]]="Ingreso",tblMovimientos[[#This Row],[Ingreso]],-tblMovimientos[[#This Row],[Egreso]])</f>
        <v>3958.2</v>
      </c>
    </row>
    <row r="1003" spans="1:16" x14ac:dyDescent="0.3">
      <c r="B1003" s="39">
        <v>46290</v>
      </c>
      <c r="C1003" s="46" t="str">
        <f>_xlfn.XLOOKUP(tblMovimientos[[#This Row],[Cuenta Bancaria]],Listas!$B:$B,Listas!$A:$A,"")</f>
        <v>CFT Group</v>
      </c>
      <c r="D1003" s="41" t="s">
        <v>95</v>
      </c>
      <c r="E1003" s="4" t="str">
        <f>_xlfn.XLOOKUP(tblMovimientos[[#This Row],[Cuenta Bancaria]],Listas!$B:$B,Listas!$C:$C,"")</f>
        <v xml:space="preserve">Amerant Bank </v>
      </c>
      <c r="F1003" s="41" t="s">
        <v>10</v>
      </c>
      <c r="G1003" s="41" t="s">
        <v>46</v>
      </c>
      <c r="H1003" s="4" t="str">
        <f>IFERROR(_xlfn.XLOOKUP(G1003,Listas!E:E,Listas!F:F,""),"")</f>
        <v>Financiamiento</v>
      </c>
      <c r="I1003" s="46" t="str">
        <f>IFERROR(_xlfn.XLOOKUP(G1003,Listas!E:E,Listas!G:G,""),"")</f>
        <v>Externo</v>
      </c>
      <c r="J1003" s="43">
        <v>1108.79</v>
      </c>
      <c r="K1003" s="5">
        <f t="shared" si="11"/>
        <v>-1108.79</v>
      </c>
      <c r="L1003" s="15" t="s">
        <v>133</v>
      </c>
      <c r="M1003" s="44">
        <f>SUMIFS('Saldos Iniciales'!$D$2:$D$38,'Saldos Iniciales'!$A$2:$A$38,C1003,'Saldos Iniciales'!$B$2:$B$38,D1003)+SUMIFS($K$1:$K$1033,$C$1:$C$1033,C1003,$D$1:$D$1033,D1003,$B$1:$B$1033,"&lt;="&amp;B1003)</f>
        <v>1458385.7100000009</v>
      </c>
      <c r="N1003" s="65" t="str">
        <f>IF(tblMovimientos[[#This Row],[Tipo de Movimiento]]="Ingreso",tblMovimientos[[#This Row],[Monto (S/)]],"0")</f>
        <v>0</v>
      </c>
      <c r="O1003" s="65">
        <f>IF(tblMovimientos[[#This Row],[Tipo de Movimiento]]="Egreso",tblMovimientos[[#This Row],[Monto (S/)]],"0")</f>
        <v>1108.79</v>
      </c>
      <c r="P1003" s="28">
        <f>IF(tblMovimientos[[#This Row],[Tipo de Movimiento]]="Ingreso",tblMovimientos[[#This Row],[Ingreso]],-tblMovimientos[[#This Row],[Egreso]])</f>
        <v>-1108.79</v>
      </c>
    </row>
    <row r="1004" spans="1:16" x14ac:dyDescent="0.3">
      <c r="B1004" s="39">
        <v>46290</v>
      </c>
      <c r="C1004" s="46" t="str">
        <f>_xlfn.XLOOKUP(tblMovimientos[[#This Row],[Cuenta Bancaria]],Listas!$B:$B,Listas!$A:$A,"")</f>
        <v>CFT Group</v>
      </c>
      <c r="D1004" s="41" t="s">
        <v>95</v>
      </c>
      <c r="E1004" s="4" t="str">
        <f>_xlfn.XLOOKUP(tblMovimientos[[#This Row],[Cuenta Bancaria]],Listas!$B:$B,Listas!$C:$C,"")</f>
        <v xml:space="preserve">Amerant Bank </v>
      </c>
      <c r="F1004" s="41" t="s">
        <v>10</v>
      </c>
      <c r="G1004" s="41" t="s">
        <v>46</v>
      </c>
      <c r="H1004" s="4" t="str">
        <f>IFERROR(_xlfn.XLOOKUP(G1004,Listas!E:E,Listas!F:F,""),"")</f>
        <v>Financiamiento</v>
      </c>
      <c r="I1004" s="46" t="str">
        <f>IFERROR(_xlfn.XLOOKUP(G1004,Listas!E:E,Listas!G:G,""),"")</f>
        <v>Externo</v>
      </c>
      <c r="J1004" s="43">
        <v>2366.67</v>
      </c>
      <c r="K1004" s="5">
        <f t="shared" si="11"/>
        <v>-2366.67</v>
      </c>
      <c r="L1004" s="15" t="s">
        <v>133</v>
      </c>
      <c r="M1004" s="44">
        <f>SUMIFS('Saldos Iniciales'!$D$2:$D$38,'Saldos Iniciales'!$A$2:$A$38,C1004,'Saldos Iniciales'!$B$2:$B$38,D1004)+SUMIFS($K$1:$K$1033,$C$1:$C$1033,C1004,$D$1:$D$1033,D1004,$B$1:$B$1033,"&lt;="&amp;B1004)</f>
        <v>1458385.7100000009</v>
      </c>
      <c r="N1004" s="65" t="str">
        <f>IF(tblMovimientos[[#This Row],[Tipo de Movimiento]]="Ingreso",tblMovimientos[[#This Row],[Monto (S/)]],"0")</f>
        <v>0</v>
      </c>
      <c r="O1004" s="65">
        <f>IF(tblMovimientos[[#This Row],[Tipo de Movimiento]]="Egreso",tblMovimientos[[#This Row],[Monto (S/)]],"0")</f>
        <v>2366.67</v>
      </c>
      <c r="P1004" s="28">
        <f>IF(tblMovimientos[[#This Row],[Tipo de Movimiento]]="Ingreso",tblMovimientos[[#This Row],[Ingreso]],-tblMovimientos[[#This Row],[Egreso]])</f>
        <v>-2366.67</v>
      </c>
    </row>
    <row r="1005" spans="1:16" x14ac:dyDescent="0.3">
      <c r="B1005" s="39">
        <v>46290</v>
      </c>
      <c r="C1005" s="46" t="str">
        <f>_xlfn.XLOOKUP(tblMovimientos[[#This Row],[Cuenta Bancaria]],Listas!$B:$B,Listas!$A:$A,"")</f>
        <v>CFT Group</v>
      </c>
      <c r="D1005" s="41" t="s">
        <v>95</v>
      </c>
      <c r="E1005" s="4" t="str">
        <f>_xlfn.XLOOKUP(tblMovimientos[[#This Row],[Cuenta Bancaria]],Listas!$B:$B,Listas!$C:$C,"")</f>
        <v xml:space="preserve">Amerant Bank </v>
      </c>
      <c r="F1005" s="41" t="s">
        <v>10</v>
      </c>
      <c r="G1005" s="41" t="s">
        <v>50</v>
      </c>
      <c r="H1005" s="4" t="str">
        <f>IFERROR(_xlfn.XLOOKUP(G1005,Listas!E:E,Listas!F:F,""),"")</f>
        <v>Financiamiento</v>
      </c>
      <c r="I1005" s="46" t="str">
        <f>IFERROR(_xlfn.XLOOKUP(G1005,Listas!E:E,Listas!G:G,""),"")</f>
        <v>Externo</v>
      </c>
      <c r="J1005" s="43">
        <v>3958.2</v>
      </c>
      <c r="K1005" s="5">
        <f t="shared" si="11"/>
        <v>-3958.2</v>
      </c>
      <c r="L1005" s="15" t="s">
        <v>133</v>
      </c>
      <c r="M1005" s="44">
        <f>SUMIFS('Saldos Iniciales'!$D$2:$D$38,'Saldos Iniciales'!$A$2:$A$38,C1005,'Saldos Iniciales'!$B$2:$B$38,D1005)+SUMIFS($K$1:$K$1033,$C$1:$C$1033,C1005,$D$1:$D$1033,D1005,$B$1:$B$1033,"&lt;="&amp;B1005)</f>
        <v>1458385.7100000009</v>
      </c>
      <c r="N1005" s="65" t="str">
        <f>IF(tblMovimientos[[#This Row],[Tipo de Movimiento]]="Ingreso",tblMovimientos[[#This Row],[Monto (S/)]],"0")</f>
        <v>0</v>
      </c>
      <c r="O1005" s="65">
        <f>IF(tblMovimientos[[#This Row],[Tipo de Movimiento]]="Egreso",tblMovimientos[[#This Row],[Monto (S/)]],"0")</f>
        <v>3958.2</v>
      </c>
      <c r="P1005" s="28">
        <f>IF(tblMovimientos[[#This Row],[Tipo de Movimiento]]="Ingreso",tblMovimientos[[#This Row],[Ingreso]],-tblMovimientos[[#This Row],[Egreso]])</f>
        <v>-3958.2</v>
      </c>
    </row>
    <row r="1006" spans="1:16" x14ac:dyDescent="0.3">
      <c r="B1006" s="39">
        <v>46290</v>
      </c>
      <c r="C1006" s="46" t="str">
        <f>_xlfn.XLOOKUP(tblMovimientos[[#This Row],[Cuenta Bancaria]],Listas!$B:$B,Listas!$A:$A,"")</f>
        <v>CFT Group</v>
      </c>
      <c r="D1006" s="41" t="s">
        <v>95</v>
      </c>
      <c r="E1006" s="4" t="str">
        <f>_xlfn.XLOOKUP(tblMovimientos[[#This Row],[Cuenta Bancaria]],Listas!$B:$B,Listas!$C:$C,"")</f>
        <v xml:space="preserve">Amerant Bank </v>
      </c>
      <c r="F1006" s="41" t="s">
        <v>10</v>
      </c>
      <c r="G1006" s="41" t="s">
        <v>50</v>
      </c>
      <c r="H1006" s="4" t="str">
        <f>IFERROR(_xlfn.XLOOKUP(G1006,Listas!E:E,Listas!F:F,""),"")</f>
        <v>Financiamiento</v>
      </c>
      <c r="I1006" s="46" t="str">
        <f>IFERROR(_xlfn.XLOOKUP(G1006,Listas!E:E,Listas!G:G,""),"")</f>
        <v>Externo</v>
      </c>
      <c r="J1006" s="43">
        <v>8227.09</v>
      </c>
      <c r="K1006" s="5">
        <f t="shared" si="11"/>
        <v>-8227.09</v>
      </c>
      <c r="L1006" s="15" t="s">
        <v>133</v>
      </c>
      <c r="M1006" s="44">
        <f>SUMIFS('Saldos Iniciales'!$D$2:$D$38,'Saldos Iniciales'!$A$2:$A$38,C1006,'Saldos Iniciales'!$B$2:$B$38,D1006)+SUMIFS($K$1:$K$1033,$C$1:$C$1033,C1006,$D$1:$D$1033,D1006,$B$1:$B$1033,"&lt;="&amp;B1006)</f>
        <v>1458385.7100000009</v>
      </c>
      <c r="N1006" s="65" t="str">
        <f>IF(tblMovimientos[[#This Row],[Tipo de Movimiento]]="Ingreso",tblMovimientos[[#This Row],[Monto (S/)]],"0")</f>
        <v>0</v>
      </c>
      <c r="O1006" s="65">
        <f>IF(tblMovimientos[[#This Row],[Tipo de Movimiento]]="Egreso",tblMovimientos[[#This Row],[Monto (S/)]],"0")</f>
        <v>8227.09</v>
      </c>
      <c r="P1006" s="28">
        <f>IF(tblMovimientos[[#This Row],[Tipo de Movimiento]]="Ingreso",tblMovimientos[[#This Row],[Ingreso]],-tblMovimientos[[#This Row],[Egreso]])</f>
        <v>-8227.09</v>
      </c>
    </row>
    <row r="1007" spans="1:16" x14ac:dyDescent="0.3">
      <c r="B1007" s="39">
        <v>46290</v>
      </c>
      <c r="C1007" s="46" t="str">
        <f>_xlfn.XLOOKUP(tblMovimientos[[#This Row],[Cuenta Bancaria]],Listas!$B:$B,Listas!$A:$A,"")</f>
        <v>CFT Group</v>
      </c>
      <c r="D1007" s="41" t="s">
        <v>95</v>
      </c>
      <c r="E1007" s="4" t="str">
        <f>_xlfn.XLOOKUP(tblMovimientos[[#This Row],[Cuenta Bancaria]],Listas!$B:$B,Listas!$C:$C,"")</f>
        <v xml:space="preserve">Amerant Bank </v>
      </c>
      <c r="F1007" s="41" t="s">
        <v>10</v>
      </c>
      <c r="G1007" s="41" t="s">
        <v>46</v>
      </c>
      <c r="H1007" s="4" t="str">
        <f>IFERROR(_xlfn.XLOOKUP(G1007,Listas!E:E,Listas!F:F,""),"")</f>
        <v>Financiamiento</v>
      </c>
      <c r="I1007" s="46" t="str">
        <f>IFERROR(_xlfn.XLOOKUP(G1007,Listas!E:E,Listas!G:G,""),"")</f>
        <v>Externo</v>
      </c>
      <c r="J1007" s="43">
        <v>10000</v>
      </c>
      <c r="K1007" s="5">
        <f t="shared" si="11"/>
        <v>-10000</v>
      </c>
      <c r="L1007" s="15" t="s">
        <v>133</v>
      </c>
      <c r="M1007" s="44">
        <f>SUMIFS('Saldos Iniciales'!$D$2:$D$38,'Saldos Iniciales'!$A$2:$A$38,C1007,'Saldos Iniciales'!$B$2:$B$38,D1007)+SUMIFS($K$1:$K$1033,$C$1:$C$1033,C1007,$D$1:$D$1033,D1007,$B$1:$B$1033,"&lt;="&amp;B1007)</f>
        <v>1458385.7100000009</v>
      </c>
      <c r="N1007" s="65" t="str">
        <f>IF(tblMovimientos[[#This Row],[Tipo de Movimiento]]="Ingreso",tblMovimientos[[#This Row],[Monto (S/)]],"0")</f>
        <v>0</v>
      </c>
      <c r="O1007" s="65">
        <f>IF(tblMovimientos[[#This Row],[Tipo de Movimiento]]="Egreso",tblMovimientos[[#This Row],[Monto (S/)]],"0")</f>
        <v>10000</v>
      </c>
      <c r="P1007" s="28">
        <f>IF(tblMovimientos[[#This Row],[Tipo de Movimiento]]="Ingreso",tblMovimientos[[#This Row],[Ingreso]],-tblMovimientos[[#This Row],[Egreso]])</f>
        <v>-10000</v>
      </c>
    </row>
    <row r="1008" spans="1:16" x14ac:dyDescent="0.3">
      <c r="B1008" s="39">
        <v>46290</v>
      </c>
      <c r="C1008" s="46" t="str">
        <f>_xlfn.XLOOKUP(tblMovimientos[[#This Row],[Cuenta Bancaria]],Listas!$B:$B,Listas!$A:$A,"")</f>
        <v>CFT Group</v>
      </c>
      <c r="D1008" s="41" t="s">
        <v>95</v>
      </c>
      <c r="E1008" s="4" t="str">
        <f>_xlfn.XLOOKUP(tblMovimientos[[#This Row],[Cuenta Bancaria]],Listas!$B:$B,Listas!$C:$C,"")</f>
        <v xml:space="preserve">Amerant Bank </v>
      </c>
      <c r="F1008" s="41" t="s">
        <v>10</v>
      </c>
      <c r="G1008" s="41" t="s">
        <v>46</v>
      </c>
      <c r="H1008" s="4" t="str">
        <f>IFERROR(_xlfn.XLOOKUP(G1008,Listas!E:E,Listas!F:F,""),"")</f>
        <v>Financiamiento</v>
      </c>
      <c r="I1008" s="46" t="str">
        <f>IFERROR(_xlfn.XLOOKUP(G1008,Listas!E:E,Listas!G:G,""),"")</f>
        <v>Externo</v>
      </c>
      <c r="J1008" s="43">
        <v>10833.33</v>
      </c>
      <c r="K1008" s="5">
        <f t="shared" si="11"/>
        <v>-10833.33</v>
      </c>
      <c r="L1008" s="15" t="s">
        <v>133</v>
      </c>
      <c r="M1008" s="44">
        <f>SUMIFS('Saldos Iniciales'!$D$2:$D$38,'Saldos Iniciales'!$A$2:$A$38,C1008,'Saldos Iniciales'!$B$2:$B$38,D1008)+SUMIFS($K$1:$K$1033,$C$1:$C$1033,C1008,$D$1:$D$1033,D1008,$B$1:$B$1033,"&lt;="&amp;B1008)</f>
        <v>1458385.7100000009</v>
      </c>
      <c r="N1008" s="65" t="str">
        <f>IF(tblMovimientos[[#This Row],[Tipo de Movimiento]]="Ingreso",tblMovimientos[[#This Row],[Monto (S/)]],"0")</f>
        <v>0</v>
      </c>
      <c r="O1008" s="65">
        <f>IF(tblMovimientos[[#This Row],[Tipo de Movimiento]]="Egreso",tblMovimientos[[#This Row],[Monto (S/)]],"0")</f>
        <v>10833.33</v>
      </c>
      <c r="P1008" s="28">
        <f>IF(tblMovimientos[[#This Row],[Tipo de Movimiento]]="Ingreso",tblMovimientos[[#This Row],[Ingreso]],-tblMovimientos[[#This Row],[Egreso]])</f>
        <v>-10833.33</v>
      </c>
    </row>
    <row r="1009" spans="1:16" x14ac:dyDescent="0.3">
      <c r="B1009" s="39">
        <v>46290</v>
      </c>
      <c r="C1009" s="46" t="str">
        <f>_xlfn.XLOOKUP(tblMovimientos[[#This Row],[Cuenta Bancaria]],Listas!$B:$B,Listas!$A:$A,"")</f>
        <v>CFT Group</v>
      </c>
      <c r="D1009" s="41" t="s">
        <v>95</v>
      </c>
      <c r="E1009" s="4" t="str">
        <f>_xlfn.XLOOKUP(tblMovimientos[[#This Row],[Cuenta Bancaria]],Listas!$B:$B,Listas!$C:$C,"")</f>
        <v xml:space="preserve">Amerant Bank </v>
      </c>
      <c r="F1009" s="41" t="s">
        <v>10</v>
      </c>
      <c r="G1009" s="41" t="s">
        <v>61</v>
      </c>
      <c r="H1009" s="4" t="str">
        <f>IFERROR(_xlfn.XLOOKUP(G1009,Listas!E:E,Listas!F:F,""),"")</f>
        <v>Operativo</v>
      </c>
      <c r="I1009" s="46" t="str">
        <f>IFERROR(_xlfn.XLOOKUP(G1009,Listas!E:E,Listas!G:G,""),"")</f>
        <v>Externo</v>
      </c>
      <c r="J1009" s="43">
        <v>100000</v>
      </c>
      <c r="K1009" s="5">
        <f t="shared" si="11"/>
        <v>-100000</v>
      </c>
      <c r="L1009" s="15" t="s">
        <v>133</v>
      </c>
      <c r="M1009" s="44">
        <f>SUMIFS('Saldos Iniciales'!$D$2:$D$38,'Saldos Iniciales'!$A$2:$A$38,C1009,'Saldos Iniciales'!$B$2:$B$38,D1009)+SUMIFS($K$1:$K$1033,$C$1:$C$1033,C1009,$D$1:$D$1033,D1009,$B$1:$B$1033,"&lt;="&amp;B1009)</f>
        <v>1458385.7100000009</v>
      </c>
      <c r="N1009" s="65" t="str">
        <f>IF(tblMovimientos[[#This Row],[Tipo de Movimiento]]="Ingreso",tblMovimientos[[#This Row],[Monto (S/)]],"0")</f>
        <v>0</v>
      </c>
      <c r="O1009" s="65">
        <f>IF(tblMovimientos[[#This Row],[Tipo de Movimiento]]="Egreso",tblMovimientos[[#This Row],[Monto (S/)]],"0")</f>
        <v>100000</v>
      </c>
      <c r="P1009" s="28">
        <f>IF(tblMovimientos[[#This Row],[Tipo de Movimiento]]="Ingreso",tblMovimientos[[#This Row],[Ingreso]],-tblMovimientos[[#This Row],[Egreso]])</f>
        <v>-100000</v>
      </c>
    </row>
    <row r="1010" spans="1:16" x14ac:dyDescent="0.3">
      <c r="B1010" s="39">
        <v>46290</v>
      </c>
      <c r="C1010" s="46" t="str">
        <f>_xlfn.XLOOKUP(tblMovimientos[[#This Row],[Cuenta Bancaria]],Listas!$B:$B,Listas!$A:$A,"")</f>
        <v>CFT Group</v>
      </c>
      <c r="D1010" s="41" t="s">
        <v>95</v>
      </c>
      <c r="E1010" s="4" t="str">
        <f>_xlfn.XLOOKUP(tblMovimientos[[#This Row],[Cuenta Bancaria]],Listas!$B:$B,Listas!$C:$C,"")</f>
        <v xml:space="preserve">Amerant Bank </v>
      </c>
      <c r="F1010" s="41" t="s">
        <v>10</v>
      </c>
      <c r="G1010" s="41" t="s">
        <v>62</v>
      </c>
      <c r="H1010" s="4" t="str">
        <f>IFERROR(_xlfn.XLOOKUP(G1010,Listas!E:E,Listas!F:F,""),"")</f>
        <v>Operativo</v>
      </c>
      <c r="I1010" s="46" t="str">
        <f>IFERROR(_xlfn.XLOOKUP(G1010,Listas!E:E,Listas!G:G,""),"")</f>
        <v>Interno</v>
      </c>
      <c r="J1010" s="43">
        <v>350000</v>
      </c>
      <c r="K1010" s="5">
        <f t="shared" si="11"/>
        <v>-350000</v>
      </c>
      <c r="L1010" s="15" t="s">
        <v>133</v>
      </c>
      <c r="M1010" s="44">
        <f>SUMIFS('Saldos Iniciales'!$D$2:$D$38,'Saldos Iniciales'!$A$2:$A$38,C1010,'Saldos Iniciales'!$B$2:$B$38,D1010)+SUMIFS($K$1:$K$1033,$C$1:$C$1033,C1010,$D$1:$D$1033,D1010,$B$1:$B$1033,"&lt;="&amp;B1010)</f>
        <v>1458385.7100000009</v>
      </c>
      <c r="N1010" s="65" t="str">
        <f>IF(tblMovimientos[[#This Row],[Tipo de Movimiento]]="Ingreso",tblMovimientos[[#This Row],[Monto (S/)]],"0")</f>
        <v>0</v>
      </c>
      <c r="O1010" s="65">
        <f>IF(tblMovimientos[[#This Row],[Tipo de Movimiento]]="Egreso",tblMovimientos[[#This Row],[Monto (S/)]],"0")</f>
        <v>350000</v>
      </c>
      <c r="P1010" s="28">
        <f>IF(tblMovimientos[[#This Row],[Tipo de Movimiento]]="Ingreso",tblMovimientos[[#This Row],[Ingreso]],-tblMovimientos[[#This Row],[Egreso]])</f>
        <v>-350000</v>
      </c>
    </row>
    <row r="1011" spans="1:16" x14ac:dyDescent="0.3">
      <c r="B1011" s="39">
        <v>46290</v>
      </c>
      <c r="C1011" s="46" t="str">
        <f>_xlfn.XLOOKUP(tblMovimientos[[#This Row],[Cuenta Bancaria]],Listas!$B:$B,Listas!$A:$A,"")</f>
        <v>SSP Capital</v>
      </c>
      <c r="D1011" s="41" t="s">
        <v>104</v>
      </c>
      <c r="E1011" s="4" t="str">
        <f>_xlfn.XLOOKUP(tblMovimientos[[#This Row],[Cuenta Bancaria]],Listas!$B:$B,Listas!$C:$C,"")</f>
        <v xml:space="preserve">Amerant Bank </v>
      </c>
      <c r="F1011" s="41" t="s">
        <v>9</v>
      </c>
      <c r="G1011" s="41" t="s">
        <v>75</v>
      </c>
      <c r="H1011" s="4" t="str">
        <f>IFERROR(_xlfn.XLOOKUP(G1011,Listas!E:E,Listas!F:F,""),"")</f>
        <v>Financiamiento</v>
      </c>
      <c r="I1011" s="46" t="str">
        <f>IFERROR(_xlfn.XLOOKUP(G1011,Listas!E:E,Listas!G:G,""),"")</f>
        <v>Interno</v>
      </c>
      <c r="J1011" s="43">
        <v>350000</v>
      </c>
      <c r="K1011" s="5">
        <f t="shared" si="11"/>
        <v>350000</v>
      </c>
      <c r="L1011" s="15" t="s">
        <v>133</v>
      </c>
      <c r="M1011" s="44">
        <f>SUMIFS('Saldos Iniciales'!$D$2:$D$38,'Saldos Iniciales'!$A$2:$A$38,C1011,'Saldos Iniciales'!$B$2:$B$38,D1011)+SUMIFS($K$1:$K$1033,$C$1:$C$1033,C1011,$D$1:$D$1033,D1011,$B$1:$B$1033,"&lt;="&amp;B1011)</f>
        <v>506391.70999999926</v>
      </c>
      <c r="N1011" s="65">
        <f>IF(tblMovimientos[[#This Row],[Tipo de Movimiento]]="Ingreso",tblMovimientos[[#This Row],[Monto (S/)]],"0")</f>
        <v>350000</v>
      </c>
      <c r="O1011" s="65" t="str">
        <f>IF(tblMovimientos[[#This Row],[Tipo de Movimiento]]="Egreso",tblMovimientos[[#This Row],[Monto (S/)]],"0")</f>
        <v>0</v>
      </c>
      <c r="P1011" s="28">
        <f>IF(tblMovimientos[[#This Row],[Tipo de Movimiento]]="Ingreso",tblMovimientos[[#This Row],[Ingreso]],-tblMovimientos[[#This Row],[Egreso]])</f>
        <v>350000</v>
      </c>
    </row>
    <row r="1012" spans="1:16" x14ac:dyDescent="0.3">
      <c r="B1012" s="39">
        <v>46290</v>
      </c>
      <c r="C1012" s="46" t="str">
        <f>_xlfn.XLOOKUP(tblMovimientos[[#This Row],[Cuenta Bancaria]],Listas!$B:$B,Listas!$A:$A,"")</f>
        <v>SSP Capital</v>
      </c>
      <c r="D1012" s="41" t="s">
        <v>104</v>
      </c>
      <c r="E1012" s="4" t="str">
        <f>_xlfn.XLOOKUP(tblMovimientos[[#This Row],[Cuenta Bancaria]],Listas!$B:$B,Listas!$C:$C,"")</f>
        <v xml:space="preserve">Amerant Bank </v>
      </c>
      <c r="F1012" s="41" t="s">
        <v>10</v>
      </c>
      <c r="G1012" s="41" t="s">
        <v>38</v>
      </c>
      <c r="H1012" s="4" t="str">
        <f>IFERROR(_xlfn.XLOOKUP(G1012,Listas!E:E,Listas!F:F,""),"")</f>
        <v>Operativo</v>
      </c>
      <c r="I1012" s="46" t="str">
        <f>IFERROR(_xlfn.XLOOKUP(G1012,Listas!E:E,Listas!G:G,""),"")</f>
        <v>Externo</v>
      </c>
      <c r="J1012" s="43">
        <v>295</v>
      </c>
      <c r="K1012" s="5">
        <f t="shared" si="11"/>
        <v>-295</v>
      </c>
      <c r="L1012" s="15" t="s">
        <v>133</v>
      </c>
      <c r="M1012" s="44">
        <f>SUMIFS('Saldos Iniciales'!$D$2:$D$38,'Saldos Iniciales'!$A$2:$A$38,C1012,'Saldos Iniciales'!$B$2:$B$38,D1012)+SUMIFS($K$1:$K$1033,$C$1:$C$1033,C1012,$D$1:$D$1033,D1012,$B$1:$B$1033,"&lt;="&amp;B1012)</f>
        <v>506391.70999999926</v>
      </c>
      <c r="N1012" s="65" t="str">
        <f>IF(tblMovimientos[[#This Row],[Tipo de Movimiento]]="Ingreso",tblMovimientos[[#This Row],[Monto (S/)]],"0")</f>
        <v>0</v>
      </c>
      <c r="O1012" s="65">
        <f>IF(tblMovimientos[[#This Row],[Tipo de Movimiento]]="Egreso",tblMovimientos[[#This Row],[Monto (S/)]],"0")</f>
        <v>295</v>
      </c>
      <c r="P1012" s="28">
        <f>IF(tblMovimientos[[#This Row],[Tipo de Movimiento]]="Ingreso",tblMovimientos[[#This Row],[Ingreso]],-tblMovimientos[[#This Row],[Egreso]])</f>
        <v>-295</v>
      </c>
    </row>
    <row r="1013" spans="1:16" x14ac:dyDescent="0.3">
      <c r="B1013" s="39">
        <v>46290</v>
      </c>
      <c r="C1013" s="46" t="str">
        <f>_xlfn.XLOOKUP(tblMovimientos[[#This Row],[Cuenta Bancaria]],Listas!$B:$B,Listas!$A:$A,"")</f>
        <v>SSP Capital</v>
      </c>
      <c r="D1013" s="41" t="s">
        <v>104</v>
      </c>
      <c r="E1013" s="4" t="str">
        <f>_xlfn.XLOOKUP(tblMovimientos[[#This Row],[Cuenta Bancaria]],Listas!$B:$B,Listas!$C:$C,"")</f>
        <v xml:space="preserve">Amerant Bank </v>
      </c>
      <c r="F1013" s="41" t="s">
        <v>10</v>
      </c>
      <c r="G1013" s="41" t="s">
        <v>46</v>
      </c>
      <c r="H1013" s="4" t="str">
        <f>IFERROR(_xlfn.XLOOKUP(G1013,Listas!E:E,Listas!F:F,""),"")</f>
        <v>Financiamiento</v>
      </c>
      <c r="I1013" s="46" t="str">
        <f>IFERROR(_xlfn.XLOOKUP(G1013,Listas!E:E,Listas!G:G,""),"")</f>
        <v>Externo</v>
      </c>
      <c r="J1013" s="43">
        <v>4071.45</v>
      </c>
      <c r="K1013" s="5">
        <f t="shared" si="11"/>
        <v>-4071.45</v>
      </c>
      <c r="L1013" s="15" t="s">
        <v>133</v>
      </c>
      <c r="M1013" s="44">
        <f>SUMIFS('Saldos Iniciales'!$D$2:$D$38,'Saldos Iniciales'!$A$2:$A$38,C1013,'Saldos Iniciales'!$B$2:$B$38,D1013)+SUMIFS($K$1:$K$1033,$C$1:$C$1033,C1013,$D$1:$D$1033,D1013,$B$1:$B$1033,"&lt;="&amp;B1013)</f>
        <v>506391.70999999926</v>
      </c>
      <c r="N1013" s="65" t="str">
        <f>IF(tblMovimientos[[#This Row],[Tipo de Movimiento]]="Ingreso",tblMovimientos[[#This Row],[Monto (S/)]],"0")</f>
        <v>0</v>
      </c>
      <c r="O1013" s="65">
        <f>IF(tblMovimientos[[#This Row],[Tipo de Movimiento]]="Egreso",tblMovimientos[[#This Row],[Monto (S/)]],"0")</f>
        <v>4071.45</v>
      </c>
      <c r="P1013" s="28">
        <f>IF(tblMovimientos[[#This Row],[Tipo de Movimiento]]="Ingreso",tblMovimientos[[#This Row],[Ingreso]],-tblMovimientos[[#This Row],[Egreso]])</f>
        <v>-4071.45</v>
      </c>
    </row>
    <row r="1014" spans="1:16" x14ac:dyDescent="0.3">
      <c r="B1014" s="39">
        <v>46290</v>
      </c>
      <c r="C1014" s="46" t="str">
        <f>_xlfn.XLOOKUP(tblMovimientos[[#This Row],[Cuenta Bancaria]],Listas!$B:$B,Listas!$A:$A,"")</f>
        <v>SSP Capital</v>
      </c>
      <c r="D1014" s="41" t="s">
        <v>104</v>
      </c>
      <c r="E1014" s="4" t="str">
        <f>_xlfn.XLOOKUP(tblMovimientos[[#This Row],[Cuenta Bancaria]],Listas!$B:$B,Listas!$C:$C,"")</f>
        <v xml:space="preserve">Amerant Bank </v>
      </c>
      <c r="F1014" s="41" t="s">
        <v>10</v>
      </c>
      <c r="G1014" s="41" t="s">
        <v>56</v>
      </c>
      <c r="H1014" s="4" t="str">
        <f>IFERROR(_xlfn.XLOOKUP(G1014,Listas!E:E,Listas!F:F,""),"")</f>
        <v>Inversion</v>
      </c>
      <c r="I1014" s="46" t="str">
        <f>IFERROR(_xlfn.XLOOKUP(G1014,Listas!E:E,Listas!G:G,""),"")</f>
        <v>Externo</v>
      </c>
      <c r="J1014" s="43">
        <v>8392.27</v>
      </c>
      <c r="K1014" s="5">
        <f t="shared" si="11"/>
        <v>-8392.27</v>
      </c>
      <c r="L1014" s="15" t="s">
        <v>133</v>
      </c>
      <c r="M1014" s="44">
        <f>SUMIFS('Saldos Iniciales'!$D$2:$D$38,'Saldos Iniciales'!$A$2:$A$38,C1014,'Saldos Iniciales'!$B$2:$B$38,D1014)+SUMIFS($K$1:$K$1033,$C$1:$C$1033,C1014,$D$1:$D$1033,D1014,$B$1:$B$1033,"&lt;="&amp;B1014)</f>
        <v>506391.70999999926</v>
      </c>
      <c r="N1014" s="65" t="str">
        <f>IF(tblMovimientos[[#This Row],[Tipo de Movimiento]]="Ingreso",tblMovimientos[[#This Row],[Monto (S/)]],"0")</f>
        <v>0</v>
      </c>
      <c r="O1014" s="65">
        <f>IF(tblMovimientos[[#This Row],[Tipo de Movimiento]]="Egreso",tblMovimientos[[#This Row],[Monto (S/)]],"0")</f>
        <v>8392.27</v>
      </c>
      <c r="P1014" s="28">
        <f>IF(tblMovimientos[[#This Row],[Tipo de Movimiento]]="Ingreso",tblMovimientos[[#This Row],[Ingreso]],-tblMovimientos[[#This Row],[Egreso]])</f>
        <v>-8392.27</v>
      </c>
    </row>
    <row r="1015" spans="1:16" x14ac:dyDescent="0.3">
      <c r="B1015" s="39">
        <v>46290</v>
      </c>
      <c r="C1015" s="46" t="str">
        <f>_xlfn.XLOOKUP(tblMovimientos[[#This Row],[Cuenta Bancaria]],Listas!$B:$B,Listas!$A:$A,"")</f>
        <v>SSP Capital</v>
      </c>
      <c r="D1015" s="41" t="s">
        <v>104</v>
      </c>
      <c r="E1015" s="4" t="str">
        <f>_xlfn.XLOOKUP(tblMovimientos[[#This Row],[Cuenta Bancaria]],Listas!$B:$B,Listas!$C:$C,"")</f>
        <v xml:space="preserve">Amerant Bank </v>
      </c>
      <c r="F1015" s="41" t="s">
        <v>10</v>
      </c>
      <c r="G1015" s="41" t="s">
        <v>46</v>
      </c>
      <c r="H1015" s="4" t="str">
        <f>IFERROR(_xlfn.XLOOKUP(G1015,Listas!E:E,Listas!F:F,""),"")</f>
        <v>Financiamiento</v>
      </c>
      <c r="I1015" s="46" t="str">
        <f>IFERROR(_xlfn.XLOOKUP(G1015,Listas!E:E,Listas!G:G,""),"")</f>
        <v>Externo</v>
      </c>
      <c r="J1015" s="43">
        <v>8666.67</v>
      </c>
      <c r="K1015" s="5">
        <f t="shared" ref="K1015:K1033" si="12">IF(F1015="Ingreso",J1015,-J1015)</f>
        <v>-8666.67</v>
      </c>
      <c r="L1015" s="15" t="s">
        <v>133</v>
      </c>
      <c r="M1015" s="44">
        <f>SUMIFS('Saldos Iniciales'!$D$2:$D$38,'Saldos Iniciales'!$A$2:$A$38,C1015,'Saldos Iniciales'!$B$2:$B$38,D1015)+SUMIFS($K$1:$K$1033,$C$1:$C$1033,C1015,$D$1:$D$1033,D1015,$B$1:$B$1033,"&lt;="&amp;B1015)</f>
        <v>506391.70999999926</v>
      </c>
      <c r="N1015" s="65" t="str">
        <f>IF(tblMovimientos[[#This Row],[Tipo de Movimiento]]="Ingreso",tblMovimientos[[#This Row],[Monto (S/)]],"0")</f>
        <v>0</v>
      </c>
      <c r="O1015" s="65">
        <f>IF(tblMovimientos[[#This Row],[Tipo de Movimiento]]="Egreso",tblMovimientos[[#This Row],[Monto (S/)]],"0")</f>
        <v>8666.67</v>
      </c>
      <c r="P1015" s="28">
        <f>IF(tblMovimientos[[#This Row],[Tipo de Movimiento]]="Ingreso",tblMovimientos[[#This Row],[Ingreso]],-tblMovimientos[[#This Row],[Egreso]])</f>
        <v>-8666.67</v>
      </c>
    </row>
    <row r="1016" spans="1:16" x14ac:dyDescent="0.3">
      <c r="B1016" s="39">
        <v>46290</v>
      </c>
      <c r="C1016" s="46" t="str">
        <f>_xlfn.XLOOKUP(tblMovimientos[[#This Row],[Cuenta Bancaria]],Listas!$B:$B,Listas!$A:$A,"")</f>
        <v>SSP Capital</v>
      </c>
      <c r="D1016" s="41" t="s">
        <v>104</v>
      </c>
      <c r="E1016" s="4" t="str">
        <f>_xlfn.XLOOKUP(tblMovimientos[[#This Row],[Cuenta Bancaria]],Listas!$B:$B,Listas!$C:$C,"")</f>
        <v xml:space="preserve">Amerant Bank </v>
      </c>
      <c r="F1016" s="41" t="s">
        <v>10</v>
      </c>
      <c r="G1016" s="41" t="s">
        <v>38</v>
      </c>
      <c r="H1016" s="4" t="str">
        <f>IFERROR(_xlfn.XLOOKUP(G1016,Listas!E:E,Listas!F:F,""),"")</f>
        <v>Operativo</v>
      </c>
      <c r="I1016" s="46" t="str">
        <f>IFERROR(_xlfn.XLOOKUP(G1016,Listas!E:E,Listas!G:G,""),"")</f>
        <v>Externo</v>
      </c>
      <c r="J1016" s="43">
        <v>10753.2</v>
      </c>
      <c r="K1016" s="5">
        <f t="shared" si="12"/>
        <v>-10753.2</v>
      </c>
      <c r="L1016" s="15" t="s">
        <v>133</v>
      </c>
      <c r="M1016" s="44">
        <f>SUMIFS('Saldos Iniciales'!$D$2:$D$38,'Saldos Iniciales'!$A$2:$A$38,C1016,'Saldos Iniciales'!$B$2:$B$38,D1016)+SUMIFS($K$1:$K$1033,$C$1:$C$1033,C1016,$D$1:$D$1033,D1016,$B$1:$B$1033,"&lt;="&amp;B1016)</f>
        <v>506391.70999999926</v>
      </c>
      <c r="N1016" s="65" t="str">
        <f>IF(tblMovimientos[[#This Row],[Tipo de Movimiento]]="Ingreso",tblMovimientos[[#This Row],[Monto (S/)]],"0")</f>
        <v>0</v>
      </c>
      <c r="O1016" s="65">
        <f>IF(tblMovimientos[[#This Row],[Tipo de Movimiento]]="Egreso",tblMovimientos[[#This Row],[Monto (S/)]],"0")</f>
        <v>10753.2</v>
      </c>
      <c r="P1016" s="28">
        <f>IF(tblMovimientos[[#This Row],[Tipo de Movimiento]]="Ingreso",tblMovimientos[[#This Row],[Ingreso]],-tblMovimientos[[#This Row],[Egreso]])</f>
        <v>-10753.2</v>
      </c>
    </row>
    <row r="1017" spans="1:16" x14ac:dyDescent="0.3">
      <c r="B1017" s="39">
        <v>46290</v>
      </c>
      <c r="C1017" s="46" t="str">
        <f>_xlfn.XLOOKUP(tblMovimientos[[#This Row],[Cuenta Bancaria]],Listas!$B:$B,Listas!$A:$A,"")</f>
        <v>SSP Capital</v>
      </c>
      <c r="D1017" s="41" t="s">
        <v>104</v>
      </c>
      <c r="E1017" s="4" t="str">
        <f>_xlfn.XLOOKUP(tblMovimientos[[#This Row],[Cuenta Bancaria]],Listas!$B:$B,Listas!$C:$C,"")</f>
        <v xml:space="preserve">Amerant Bank </v>
      </c>
      <c r="F1017" s="41" t="s">
        <v>10</v>
      </c>
      <c r="G1017" s="41" t="s">
        <v>46</v>
      </c>
      <c r="H1017" s="4" t="str">
        <f>IFERROR(_xlfn.XLOOKUP(G1017,Listas!E:E,Listas!F:F,""),"")</f>
        <v>Financiamiento</v>
      </c>
      <c r="I1017" s="46" t="str">
        <f>IFERROR(_xlfn.XLOOKUP(G1017,Listas!E:E,Listas!G:G,""),"")</f>
        <v>Externo</v>
      </c>
      <c r="J1017" s="43">
        <v>33463.550000000003</v>
      </c>
      <c r="K1017" s="5">
        <f t="shared" si="12"/>
        <v>-33463.550000000003</v>
      </c>
      <c r="L1017" s="15" t="s">
        <v>133</v>
      </c>
      <c r="M1017" s="44">
        <f>SUMIFS('Saldos Iniciales'!$D$2:$D$38,'Saldos Iniciales'!$A$2:$A$38,C1017,'Saldos Iniciales'!$B$2:$B$38,D1017)+SUMIFS($K$1:$K$1033,$C$1:$C$1033,C1017,$D$1:$D$1033,D1017,$B$1:$B$1033,"&lt;="&amp;B1017)</f>
        <v>506391.70999999926</v>
      </c>
      <c r="N1017" s="65" t="str">
        <f>IF(tblMovimientos[[#This Row],[Tipo de Movimiento]]="Ingreso",tblMovimientos[[#This Row],[Monto (S/)]],"0")</f>
        <v>0</v>
      </c>
      <c r="O1017" s="65">
        <f>IF(tblMovimientos[[#This Row],[Tipo de Movimiento]]="Egreso",tblMovimientos[[#This Row],[Monto (S/)]],"0")</f>
        <v>33463.550000000003</v>
      </c>
      <c r="P1017" s="28">
        <f>IF(tblMovimientos[[#This Row],[Tipo de Movimiento]]="Ingreso",tblMovimientos[[#This Row],[Ingreso]],-tblMovimientos[[#This Row],[Egreso]])</f>
        <v>-33463.550000000003</v>
      </c>
    </row>
    <row r="1018" spans="1:16" x14ac:dyDescent="0.3">
      <c r="B1018" s="39">
        <v>46290</v>
      </c>
      <c r="C1018" s="46" t="str">
        <f>_xlfn.XLOOKUP(tblMovimientos[[#This Row],[Cuenta Bancaria]],Listas!$B:$B,Listas!$A:$A,"")</f>
        <v>Go Blue</v>
      </c>
      <c r="D1018" s="41" t="s">
        <v>126</v>
      </c>
      <c r="E1018" s="4" t="str">
        <f>_xlfn.XLOOKUP(tblMovimientos[[#This Row],[Cuenta Bancaria]],Listas!$B:$B,Listas!$C:$C,"")</f>
        <v xml:space="preserve">Amerant Bank </v>
      </c>
      <c r="F1018" s="41" t="s">
        <v>10</v>
      </c>
      <c r="G1018" s="41" t="s">
        <v>38</v>
      </c>
      <c r="H1018" s="4" t="str">
        <f>IFERROR(_xlfn.XLOOKUP(G1018,Listas!E:E,Listas!F:F,""),"")</f>
        <v>Operativo</v>
      </c>
      <c r="I1018" s="46" t="str">
        <f>IFERROR(_xlfn.XLOOKUP(G1018,Listas!E:E,Listas!G:G,""),"")</f>
        <v>Externo</v>
      </c>
      <c r="J1018" s="43">
        <v>3125</v>
      </c>
      <c r="K1018" s="5">
        <f t="shared" si="12"/>
        <v>-3125</v>
      </c>
      <c r="L1018" s="15" t="s">
        <v>133</v>
      </c>
      <c r="M1018" s="44">
        <f>SUMIFS('Saldos Iniciales'!$D$2:$D$38,'Saldos Iniciales'!$A$2:$A$38,C1018,'Saldos Iniciales'!$B$2:$B$38,D1018)+SUMIFS($K$1:$K$1033,$C$1:$C$1033,C1018,$D$1:$D$1033,D1018,$B$1:$B$1033,"&lt;="&amp;B1018)</f>
        <v>11349.689999999999</v>
      </c>
      <c r="N1018" s="65" t="str">
        <f>IF(tblMovimientos[[#This Row],[Tipo de Movimiento]]="Ingreso",tblMovimientos[[#This Row],[Monto (S/)]],"0")</f>
        <v>0</v>
      </c>
      <c r="O1018" s="65">
        <f>IF(tblMovimientos[[#This Row],[Tipo de Movimiento]]="Egreso",tblMovimientos[[#This Row],[Monto (S/)]],"0")</f>
        <v>3125</v>
      </c>
      <c r="P1018" s="28">
        <f>IF(tblMovimientos[[#This Row],[Tipo de Movimiento]]="Ingreso",tblMovimientos[[#This Row],[Ingreso]],-tblMovimientos[[#This Row],[Egreso]])</f>
        <v>-3125</v>
      </c>
    </row>
    <row r="1019" spans="1:16" x14ac:dyDescent="0.3">
      <c r="A1019" s="45"/>
      <c r="B1019" s="39">
        <v>46290</v>
      </c>
      <c r="C1019" s="46" t="str">
        <f>_xlfn.XLOOKUP(tblMovimientos[[#This Row],[Cuenta Bancaria]],Listas!$B:$B,Listas!$A:$A,"")</f>
        <v>Go Blue</v>
      </c>
      <c r="D1019" s="41" t="s">
        <v>126</v>
      </c>
      <c r="E1019" s="46" t="str">
        <f>_xlfn.XLOOKUP(tblMovimientos[[#This Row],[Cuenta Bancaria]],Listas!$B:$B,Listas!$C:$C,"")</f>
        <v xml:space="preserve">Amerant Bank </v>
      </c>
      <c r="F1019" s="41" t="s">
        <v>10</v>
      </c>
      <c r="G1019" s="41" t="s">
        <v>44</v>
      </c>
      <c r="H1019" s="46" t="str">
        <f>IFERROR(_xlfn.XLOOKUP(G1019,Listas!E:E,Listas!F:F,""),"")</f>
        <v>Operativo</v>
      </c>
      <c r="I1019" s="46" t="str">
        <f>IFERROR(_xlfn.XLOOKUP(G1019,Listas!E:E,Listas!G:G,""),"")</f>
        <v>Externo</v>
      </c>
      <c r="J1019" s="43">
        <v>15</v>
      </c>
      <c r="K1019" s="5">
        <f t="shared" si="12"/>
        <v>-15</v>
      </c>
      <c r="L1019" s="15" t="s">
        <v>133</v>
      </c>
      <c r="M1019" s="44">
        <f>SUMIFS('Saldos Iniciales'!$D$2:$D$38,'Saldos Iniciales'!$A$2:$A$38,C1019,'Saldos Iniciales'!$B$2:$B$38,D1019)+SUMIFS($K$1:$K$1033,$C$1:$C$1033,C1019,$D$1:$D$1033,D1019,$B$1:$B$1033,"&lt;="&amp;B1019)</f>
        <v>11349.689999999999</v>
      </c>
      <c r="N1019" s="76" t="str">
        <f>IF(tblMovimientos[[#This Row],[Tipo de Movimiento]]="Ingreso",tblMovimientos[[#This Row],[Monto (S/)]],"0")</f>
        <v>0</v>
      </c>
      <c r="O1019" s="76">
        <f>IF(tblMovimientos[[#This Row],[Tipo de Movimiento]]="Egreso",tblMovimientos[[#This Row],[Monto (S/)]],"0")</f>
        <v>15</v>
      </c>
      <c r="P1019" s="28">
        <f>IF(tblMovimientos[[#This Row],[Tipo de Movimiento]]="Ingreso",tblMovimientos[[#This Row],[Ingreso]],-tblMovimientos[[#This Row],[Egreso]])</f>
        <v>-15</v>
      </c>
    </row>
    <row r="1020" spans="1:16" x14ac:dyDescent="0.3">
      <c r="B1020" s="39">
        <v>46293</v>
      </c>
      <c r="C1020" s="46" t="str">
        <f>_xlfn.XLOOKUP(tblMovimientos[[#This Row],[Cuenta Bancaria]],Listas!$B:$B,Listas!$A:$A,"")</f>
        <v>A&amp;M Imports</v>
      </c>
      <c r="D1020" s="41" t="s">
        <v>100</v>
      </c>
      <c r="E1020" s="4" t="str">
        <f>_xlfn.XLOOKUP(tblMovimientos[[#This Row],[Cuenta Bancaria]],Listas!$B:$B,Listas!$C:$C,"")</f>
        <v>Bank of America</v>
      </c>
      <c r="F1020" s="41" t="s">
        <v>9</v>
      </c>
      <c r="G1020" s="41" t="s">
        <v>68</v>
      </c>
      <c r="H1020" s="4" t="str">
        <f>IFERROR(_xlfn.XLOOKUP(G1020,Listas!E:E,Listas!F:F,""),"")</f>
        <v>Operativo</v>
      </c>
      <c r="I1020" s="46" t="str">
        <f>IFERROR(_xlfn.XLOOKUP(G1020,Listas!E:E,Listas!G:G,""),"")</f>
        <v>Externo</v>
      </c>
      <c r="J1020" s="43">
        <v>16978.900000000001</v>
      </c>
      <c r="K1020" s="5">
        <f t="shared" si="12"/>
        <v>16978.900000000001</v>
      </c>
      <c r="L1020" s="15" t="s">
        <v>133</v>
      </c>
      <c r="M1020" s="44">
        <f>SUMIFS('Saldos Iniciales'!$D$2:$D$38,'Saldos Iniciales'!$A$2:$A$38,C1020,'Saldos Iniciales'!$B$2:$B$38,D1020)+SUMIFS($K$1:$K$1033,$C$1:$C$1033,C1020,$D$1:$D$1033,D1020,$B$1:$B$1033,"&lt;="&amp;B1020)</f>
        <v>1330582.2599999998</v>
      </c>
      <c r="N1020" s="65">
        <f>IF(tblMovimientos[[#This Row],[Tipo de Movimiento]]="Ingreso",tblMovimientos[[#This Row],[Monto (S/)]],"0")</f>
        <v>16978.900000000001</v>
      </c>
      <c r="O1020" s="65" t="str">
        <f>IF(tblMovimientos[[#This Row],[Tipo de Movimiento]]="Egreso",tblMovimientos[[#This Row],[Monto (S/)]],"0")</f>
        <v>0</v>
      </c>
      <c r="P1020" s="28">
        <f>IF(tblMovimientos[[#This Row],[Tipo de Movimiento]]="Ingreso",tblMovimientos[[#This Row],[Ingreso]],-tblMovimientos[[#This Row],[Egreso]])</f>
        <v>16978.900000000001</v>
      </c>
    </row>
    <row r="1021" spans="1:16" x14ac:dyDescent="0.3">
      <c r="B1021" s="39">
        <v>46293</v>
      </c>
      <c r="C1021" s="46" t="str">
        <f>_xlfn.XLOOKUP(tblMovimientos[[#This Row],[Cuenta Bancaria]],Listas!$B:$B,Listas!$A:$A,"")</f>
        <v>CFT Group</v>
      </c>
      <c r="D1021" s="41" t="s">
        <v>94</v>
      </c>
      <c r="E1021" s="4" t="str">
        <f>_xlfn.XLOOKUP(tblMovimientos[[#This Row],[Cuenta Bancaria]],Listas!$B:$B,Listas!$C:$C,"")</f>
        <v>Bank of America</v>
      </c>
      <c r="F1021" s="41" t="s">
        <v>9</v>
      </c>
      <c r="G1021" s="41" t="s">
        <v>68</v>
      </c>
      <c r="H1021" s="4" t="str">
        <f>IFERROR(_xlfn.XLOOKUP(G1021,Listas!E:E,Listas!F:F,""),"")</f>
        <v>Operativo</v>
      </c>
      <c r="I1021" s="46" t="str">
        <f>IFERROR(_xlfn.XLOOKUP(G1021,Listas!E:E,Listas!G:G,""),"")</f>
        <v>Externo</v>
      </c>
      <c r="J1021" s="43">
        <v>7796.5</v>
      </c>
      <c r="K1021" s="5">
        <f t="shared" si="12"/>
        <v>7796.5</v>
      </c>
      <c r="L1021" s="15" t="s">
        <v>133</v>
      </c>
      <c r="M1021" s="44">
        <f>SUMIFS('Saldos Iniciales'!$D$2:$D$38,'Saldos Iniciales'!$A$2:$A$38,C1021,'Saldos Iniciales'!$B$2:$B$38,D1021)+SUMIFS($K$1:$K$1033,$C$1:$C$1033,C1021,$D$1:$D$1033,D1021,$B$1:$B$1033,"&lt;="&amp;B1021)</f>
        <v>380018.52999999997</v>
      </c>
      <c r="N1021" s="65">
        <f>IF(tblMovimientos[[#This Row],[Tipo de Movimiento]]="Ingreso",tblMovimientos[[#This Row],[Monto (S/)]],"0")</f>
        <v>7796.5</v>
      </c>
      <c r="O1021" s="65" t="str">
        <f>IF(tblMovimientos[[#This Row],[Tipo de Movimiento]]="Egreso",tblMovimientos[[#This Row],[Monto (S/)]],"0")</f>
        <v>0</v>
      </c>
      <c r="P1021" s="28">
        <f>IF(tblMovimientos[[#This Row],[Tipo de Movimiento]]="Ingreso",tblMovimientos[[#This Row],[Ingreso]],-tblMovimientos[[#This Row],[Egreso]])</f>
        <v>7796.5</v>
      </c>
    </row>
    <row r="1022" spans="1:16" x14ac:dyDescent="0.3">
      <c r="B1022" s="39">
        <v>46293</v>
      </c>
      <c r="C1022" s="46" t="str">
        <f>_xlfn.XLOOKUP(tblMovimientos[[#This Row],[Cuenta Bancaria]],Listas!$B:$B,Listas!$A:$A,"")</f>
        <v>112 Florida Ave</v>
      </c>
      <c r="D1022" s="41" t="s">
        <v>123</v>
      </c>
      <c r="E1022" s="4" t="str">
        <f>_xlfn.XLOOKUP(tblMovimientos[[#This Row],[Cuenta Bancaria]],Listas!$B:$B,Listas!$C:$C,"")</f>
        <v>Bank of America</v>
      </c>
      <c r="F1022" s="41" t="s">
        <v>10</v>
      </c>
      <c r="G1022" s="41" t="s">
        <v>44</v>
      </c>
      <c r="H1022" s="4" t="str">
        <f>IFERROR(_xlfn.XLOOKUP(G1022,Listas!E:E,Listas!F:F,""),"")</f>
        <v>Operativo</v>
      </c>
      <c r="I1022" s="46" t="str">
        <f>IFERROR(_xlfn.XLOOKUP(G1022,Listas!E:E,Listas!G:G,""),"")</f>
        <v>Externo</v>
      </c>
      <c r="J1022" s="43">
        <v>15</v>
      </c>
      <c r="K1022" s="5">
        <f t="shared" si="12"/>
        <v>-15</v>
      </c>
      <c r="L1022" s="15" t="s">
        <v>133</v>
      </c>
      <c r="M1022" s="44">
        <f>SUMIFS('Saldos Iniciales'!$D$2:$D$38,'Saldos Iniciales'!$A$2:$A$38,C1022,'Saldos Iniciales'!$B$2:$B$38,D1022)+SUMIFS($K$1:$K$1033,$C$1:$C$1033,C1022,$D$1:$D$1033,D1022,$B$1:$B$1033,"&lt;="&amp;B1022)</f>
        <v>23374.690000000006</v>
      </c>
      <c r="N1022" s="65" t="str">
        <f>IF(tblMovimientos[[#This Row],[Tipo de Movimiento]]="Ingreso",tblMovimientos[[#This Row],[Monto (S/)]],"0")</f>
        <v>0</v>
      </c>
      <c r="O1022" s="65">
        <f>IF(tblMovimientos[[#This Row],[Tipo de Movimiento]]="Egreso",tblMovimientos[[#This Row],[Monto (S/)]],"0")</f>
        <v>15</v>
      </c>
      <c r="P1022" s="28">
        <f>IF(tblMovimientos[[#This Row],[Tipo de Movimiento]]="Ingreso",tblMovimientos[[#This Row],[Ingreso]],-tblMovimientos[[#This Row],[Egreso]])</f>
        <v>-15</v>
      </c>
    </row>
    <row r="1023" spans="1:16" x14ac:dyDescent="0.3">
      <c r="B1023" s="39">
        <v>46293</v>
      </c>
      <c r="C1023" s="46" t="str">
        <f>_xlfn.XLOOKUP(tblMovimientos[[#This Row],[Cuenta Bancaria]],Listas!$B:$B,Listas!$A:$A,"")</f>
        <v>3628 Thomas Ave</v>
      </c>
      <c r="D1023" s="41" t="s">
        <v>124</v>
      </c>
      <c r="E1023" s="4" t="str">
        <f>_xlfn.XLOOKUP(tblMovimientos[[#This Row],[Cuenta Bancaria]],Listas!$B:$B,Listas!$C:$C,"")</f>
        <v>Bank of America</v>
      </c>
      <c r="F1023" s="41" t="s">
        <v>10</v>
      </c>
      <c r="G1023" s="41" t="s">
        <v>38</v>
      </c>
      <c r="H1023" s="4" t="str">
        <f>IFERROR(_xlfn.XLOOKUP(G1023,Listas!E:E,Listas!F:F,""),"")</f>
        <v>Operativo</v>
      </c>
      <c r="I1023" s="46" t="str">
        <f>IFERROR(_xlfn.XLOOKUP(G1023,Listas!E:E,Listas!G:G,""),"")</f>
        <v>Externo</v>
      </c>
      <c r="J1023" s="43">
        <v>89.25</v>
      </c>
      <c r="K1023" s="5">
        <f t="shared" si="12"/>
        <v>-89.25</v>
      </c>
      <c r="L1023" s="15" t="s">
        <v>133</v>
      </c>
      <c r="M1023" s="44">
        <f>SUMIFS('Saldos Iniciales'!$D$2:$D$38,'Saldos Iniciales'!$A$2:$A$38,C1023,'Saldos Iniciales'!$B$2:$B$38,D1023)+SUMIFS($K$1:$K$1033,$C$1:$C$1033,C1023,$D$1:$D$1033,D1023,$B$1:$B$1033,"&lt;="&amp;B1023)</f>
        <v>16266.809999999998</v>
      </c>
      <c r="N1023" s="65" t="str">
        <f>IF(tblMovimientos[[#This Row],[Tipo de Movimiento]]="Ingreso",tblMovimientos[[#This Row],[Monto (S/)]],"0")</f>
        <v>0</v>
      </c>
      <c r="O1023" s="65">
        <f>IF(tblMovimientos[[#This Row],[Tipo de Movimiento]]="Egreso",tblMovimientos[[#This Row],[Monto (S/)]],"0")</f>
        <v>89.25</v>
      </c>
      <c r="P1023" s="28">
        <f>IF(tblMovimientos[[#This Row],[Tipo de Movimiento]]="Ingreso",tblMovimientos[[#This Row],[Ingreso]],-tblMovimientos[[#This Row],[Egreso]])</f>
        <v>-89.25</v>
      </c>
    </row>
    <row r="1024" spans="1:16" x14ac:dyDescent="0.3">
      <c r="B1024" s="39">
        <v>46293</v>
      </c>
      <c r="C1024" s="46" t="str">
        <f>_xlfn.XLOOKUP(tblMovimientos[[#This Row],[Cuenta Bancaria]],Listas!$B:$B,Listas!$A:$A,"")</f>
        <v>3628 Thomas Ave</v>
      </c>
      <c r="D1024" s="41" t="s">
        <v>124</v>
      </c>
      <c r="E1024" s="4" t="str">
        <f>_xlfn.XLOOKUP(tblMovimientos[[#This Row],[Cuenta Bancaria]],Listas!$B:$B,Listas!$C:$C,"")</f>
        <v>Bank of America</v>
      </c>
      <c r="F1024" s="41" t="s">
        <v>10</v>
      </c>
      <c r="G1024" s="41" t="s">
        <v>38</v>
      </c>
      <c r="H1024" s="4" t="str">
        <f>IFERROR(_xlfn.XLOOKUP(G1024,Listas!E:E,Listas!F:F,""),"")</f>
        <v>Operativo</v>
      </c>
      <c r="I1024" s="46" t="str">
        <f>IFERROR(_xlfn.XLOOKUP(G1024,Listas!E:E,Listas!G:G,""),"")</f>
        <v>Externo</v>
      </c>
      <c r="J1024" s="43">
        <v>375</v>
      </c>
      <c r="K1024" s="5">
        <f t="shared" si="12"/>
        <v>-375</v>
      </c>
      <c r="L1024" s="15" t="s">
        <v>133</v>
      </c>
      <c r="M1024" s="44">
        <f>SUMIFS('Saldos Iniciales'!$D$2:$D$38,'Saldos Iniciales'!$A$2:$A$38,C1024,'Saldos Iniciales'!$B$2:$B$38,D1024)+SUMIFS($K$1:$K$1033,$C$1:$C$1033,C1024,$D$1:$D$1033,D1024,$B$1:$B$1033,"&lt;="&amp;B1024)</f>
        <v>16266.809999999998</v>
      </c>
      <c r="N1024" s="65" t="str">
        <f>IF(tblMovimientos[[#This Row],[Tipo de Movimiento]]="Ingreso",tblMovimientos[[#This Row],[Monto (S/)]],"0")</f>
        <v>0</v>
      </c>
      <c r="O1024" s="65">
        <f>IF(tblMovimientos[[#This Row],[Tipo de Movimiento]]="Egreso",tblMovimientos[[#This Row],[Monto (S/)]],"0")</f>
        <v>375</v>
      </c>
      <c r="P1024" s="28">
        <f>IF(tblMovimientos[[#This Row],[Tipo de Movimiento]]="Ingreso",tblMovimientos[[#This Row],[Ingreso]],-tblMovimientos[[#This Row],[Egreso]])</f>
        <v>-375</v>
      </c>
    </row>
    <row r="1025" spans="1:16" x14ac:dyDescent="0.3">
      <c r="B1025" s="39">
        <v>46293</v>
      </c>
      <c r="C1025" s="46" t="str">
        <f>_xlfn.XLOOKUP(tblMovimientos[[#This Row],[Cuenta Bancaria]],Listas!$B:$B,Listas!$A:$A,"")</f>
        <v>3628 Thomas Ave</v>
      </c>
      <c r="D1025" s="41" t="s">
        <v>124</v>
      </c>
      <c r="E1025" s="4" t="str">
        <f>_xlfn.XLOOKUP(tblMovimientos[[#This Row],[Cuenta Bancaria]],Listas!$B:$B,Listas!$C:$C,"")</f>
        <v>Bank of America</v>
      </c>
      <c r="F1025" s="41" t="s">
        <v>10</v>
      </c>
      <c r="G1025" s="41" t="s">
        <v>38</v>
      </c>
      <c r="H1025" s="4" t="str">
        <f>IFERROR(_xlfn.XLOOKUP(G1025,Listas!E:E,Listas!F:F,""),"")</f>
        <v>Operativo</v>
      </c>
      <c r="I1025" s="46" t="str">
        <f>IFERROR(_xlfn.XLOOKUP(G1025,Listas!E:E,Listas!G:G,""),"")</f>
        <v>Externo</v>
      </c>
      <c r="J1025" s="43">
        <v>150</v>
      </c>
      <c r="K1025" s="5">
        <f t="shared" si="12"/>
        <v>-150</v>
      </c>
      <c r="L1025" s="15" t="s">
        <v>133</v>
      </c>
      <c r="M1025" s="44">
        <f>SUMIFS('Saldos Iniciales'!$D$2:$D$38,'Saldos Iniciales'!$A$2:$A$38,C1025,'Saldos Iniciales'!$B$2:$B$38,D1025)+SUMIFS($K$1:$K$1033,$C$1:$C$1033,C1025,$D$1:$D$1033,D1025,$B$1:$B$1033,"&lt;="&amp;B1025)</f>
        <v>16266.809999999998</v>
      </c>
      <c r="N1025" s="65" t="str">
        <f>IF(tblMovimientos[[#This Row],[Tipo de Movimiento]]="Ingreso",tblMovimientos[[#This Row],[Monto (S/)]],"0")</f>
        <v>0</v>
      </c>
      <c r="O1025" s="65">
        <f>IF(tblMovimientos[[#This Row],[Tipo de Movimiento]]="Egreso",tblMovimientos[[#This Row],[Monto (S/)]],"0")</f>
        <v>150</v>
      </c>
      <c r="P1025" s="28">
        <f>IF(tblMovimientos[[#This Row],[Tipo de Movimiento]]="Ingreso",tblMovimientos[[#This Row],[Ingreso]],-tblMovimientos[[#This Row],[Egreso]])</f>
        <v>-150</v>
      </c>
    </row>
    <row r="1026" spans="1:16" x14ac:dyDescent="0.3">
      <c r="A1026" s="45"/>
      <c r="B1026" s="39">
        <v>46293</v>
      </c>
      <c r="C1026" s="46" t="str">
        <f>_xlfn.XLOOKUP(tblMovimientos[[#This Row],[Cuenta Bancaria]],Listas!$B:$B,Listas!$A:$A,"")</f>
        <v>3628 Thomas Ave</v>
      </c>
      <c r="D1026" s="41" t="s">
        <v>124</v>
      </c>
      <c r="E1026" s="46" t="str">
        <f>_xlfn.XLOOKUP(tblMovimientos[[#This Row],[Cuenta Bancaria]],Listas!$B:$B,Listas!$C:$C,"")</f>
        <v>Bank of America</v>
      </c>
      <c r="F1026" s="41" t="s">
        <v>10</v>
      </c>
      <c r="G1026" s="41" t="s">
        <v>44</v>
      </c>
      <c r="H1026" s="46" t="str">
        <f>IFERROR(_xlfn.XLOOKUP(G1026,Listas!E:E,Listas!F:F,""),"")</f>
        <v>Operativo</v>
      </c>
      <c r="I1026" s="46" t="str">
        <f>IFERROR(_xlfn.XLOOKUP(G1026,Listas!E:E,Listas!G:G,""),"")</f>
        <v>Externo</v>
      </c>
      <c r="J1026" s="43">
        <v>15</v>
      </c>
      <c r="K1026" s="5">
        <f t="shared" si="12"/>
        <v>-15</v>
      </c>
      <c r="L1026" s="15" t="s">
        <v>133</v>
      </c>
      <c r="M1026" s="44">
        <f>SUMIFS('Saldos Iniciales'!$D$2:$D$38,'Saldos Iniciales'!$A$2:$A$38,C1026,'Saldos Iniciales'!$B$2:$B$38,D1026)+SUMIFS($K$1:$K$1033,$C$1:$C$1033,C1026,$D$1:$D$1033,D1026,$B$1:$B$1033,"&lt;="&amp;B1026)</f>
        <v>16266.809999999998</v>
      </c>
      <c r="N1026" s="76" t="str">
        <f>IF(tblMovimientos[[#This Row],[Tipo de Movimiento]]="Ingreso",tblMovimientos[[#This Row],[Monto (S/)]],"0")</f>
        <v>0</v>
      </c>
      <c r="O1026" s="76">
        <f>IF(tblMovimientos[[#This Row],[Tipo de Movimiento]]="Egreso",tblMovimientos[[#This Row],[Monto (S/)]],"0")</f>
        <v>15</v>
      </c>
      <c r="P1026" s="28">
        <f>IF(tblMovimientos[[#This Row],[Tipo de Movimiento]]="Ingreso",tblMovimientos[[#This Row],[Ingreso]],-tblMovimientos[[#This Row],[Egreso]])</f>
        <v>-15</v>
      </c>
    </row>
    <row r="1027" spans="1:16" x14ac:dyDescent="0.3">
      <c r="B1027" s="39">
        <v>46294</v>
      </c>
      <c r="C1027" s="46" t="str">
        <f>_xlfn.XLOOKUP(tblMovimientos[[#This Row],[Cuenta Bancaria]],Listas!$B:$B,Listas!$A:$A,"")</f>
        <v>SSP Capital</v>
      </c>
      <c r="D1027" s="41" t="s">
        <v>101</v>
      </c>
      <c r="E1027" s="4" t="str">
        <f>_xlfn.XLOOKUP(tblMovimientos[[#This Row],[Cuenta Bancaria]],Listas!$B:$B,Listas!$C:$C,"")</f>
        <v>Bank of America</v>
      </c>
      <c r="F1027" s="41" t="s">
        <v>10</v>
      </c>
      <c r="G1027" s="41" t="s">
        <v>48</v>
      </c>
      <c r="H1027" s="46" t="str">
        <f>IFERROR(_xlfn.XLOOKUP(G1027,Listas!E:E,Listas!F:F,""),"")</f>
        <v>Financiamiento</v>
      </c>
      <c r="I1027" s="46" t="str">
        <f>IFERROR(_xlfn.XLOOKUP(G1027,Listas!E:E,Listas!G:G,""),"")</f>
        <v>Externo</v>
      </c>
      <c r="J1027" s="43">
        <v>526.75</v>
      </c>
      <c r="K1027" s="5">
        <f t="shared" si="12"/>
        <v>-526.75</v>
      </c>
      <c r="L1027" s="15" t="s">
        <v>133</v>
      </c>
      <c r="M1027" s="44">
        <f>SUMIFS('Saldos Iniciales'!$D$2:$D$38,'Saldos Iniciales'!$A$2:$A$38,C1027,'Saldos Iniciales'!$B$2:$B$38,D1027)+SUMIFS($K$1:$K$1033,$C$1:$C$1033,C1027,$D$1:$D$1033,D1027,$B$1:$B$1033,"&lt;="&amp;B1027)</f>
        <v>21115.380000000005</v>
      </c>
    </row>
    <row r="1028" spans="1:16" x14ac:dyDescent="0.3">
      <c r="B1028" s="39">
        <v>46294</v>
      </c>
      <c r="C1028" s="46" t="str">
        <f>_xlfn.XLOOKUP(tblMovimientos[[#This Row],[Cuenta Bancaria]],Listas!$B:$B,Listas!$A:$A,"")</f>
        <v>SSP Capital</v>
      </c>
      <c r="D1028" s="41" t="s">
        <v>101</v>
      </c>
      <c r="E1028" s="4" t="str">
        <f>_xlfn.XLOOKUP(tblMovimientos[[#This Row],[Cuenta Bancaria]],Listas!$B:$B,Listas!$C:$C,"")</f>
        <v>Bank of America</v>
      </c>
      <c r="F1028" s="41" t="s">
        <v>10</v>
      </c>
      <c r="G1028" s="41" t="s">
        <v>38</v>
      </c>
      <c r="H1028" s="46" t="str">
        <f>IFERROR(_xlfn.XLOOKUP(G1028,Listas!E:E,Listas!F:F,""),"")</f>
        <v>Operativo</v>
      </c>
      <c r="I1028" s="46" t="str">
        <f>IFERROR(_xlfn.XLOOKUP(G1028,Listas!E:E,Listas!G:G,""),"")</f>
        <v>Externo</v>
      </c>
      <c r="J1028" s="43">
        <v>194.86</v>
      </c>
      <c r="K1028" s="5">
        <f t="shared" si="12"/>
        <v>-194.86</v>
      </c>
      <c r="L1028" s="15" t="s">
        <v>133</v>
      </c>
      <c r="M1028" s="44">
        <f>SUMIFS('Saldos Iniciales'!$D$2:$D$38,'Saldos Iniciales'!$A$2:$A$38,C1028,'Saldos Iniciales'!$B$2:$B$38,D1028)+SUMIFS($K$1:$K$1033,$C$1:$C$1033,C1028,$D$1:$D$1033,D1028,$B$1:$B$1033,"&lt;="&amp;B1028)</f>
        <v>21115.380000000005</v>
      </c>
      <c r="N1028" s="77" t="str">
        <f>IF(tblMovimientos[[#This Row],[Tipo de Movimiento]]="Ingreso",tblMovimientos[[#This Row],[Monto (S/)]],"0")</f>
        <v>0</v>
      </c>
      <c r="O1028" s="77">
        <f>IF(tblMovimientos[[#This Row],[Tipo de Movimiento]]="Egreso",tblMovimientos[[#This Row],[Monto (S/)]],"0")</f>
        <v>194.86</v>
      </c>
      <c r="P1028" s="28">
        <f>IF(tblMovimientos[[#This Row],[Tipo de Movimiento]]="Ingreso",tblMovimientos[[#This Row],[Ingreso]],-tblMovimientos[[#This Row],[Egreso]])</f>
        <v>-194.86</v>
      </c>
    </row>
    <row r="1029" spans="1:16" x14ac:dyDescent="0.3">
      <c r="B1029" s="39">
        <v>46294</v>
      </c>
      <c r="C1029" s="46" t="str">
        <f>_xlfn.XLOOKUP(tblMovimientos[[#This Row],[Cuenta Bancaria]],Listas!$B:$B,Listas!$A:$A,"")</f>
        <v>CFT Group</v>
      </c>
      <c r="D1029" s="41" t="s">
        <v>94</v>
      </c>
      <c r="E1029" s="4" t="str">
        <f>_xlfn.XLOOKUP(tblMovimientos[[#This Row],[Cuenta Bancaria]],Listas!$B:$B,Listas!$C:$C,"")</f>
        <v>Bank of America</v>
      </c>
      <c r="F1029" s="41" t="s">
        <v>9</v>
      </c>
      <c r="G1029" s="41" t="s">
        <v>68</v>
      </c>
      <c r="H1029" s="46" t="str">
        <f>IFERROR(_xlfn.XLOOKUP(G1029,Listas!E:E,Listas!F:F,""),"")</f>
        <v>Operativo</v>
      </c>
      <c r="I1029" s="46" t="str">
        <f>IFERROR(_xlfn.XLOOKUP(G1029,Listas!E:E,Listas!G:G,""),"")</f>
        <v>Externo</v>
      </c>
      <c r="J1029" s="43">
        <v>184.93</v>
      </c>
      <c r="K1029" s="5">
        <f t="shared" si="12"/>
        <v>184.93</v>
      </c>
      <c r="L1029" s="15" t="s">
        <v>133</v>
      </c>
      <c r="M1029" s="44">
        <f>SUMIFS('Saldos Iniciales'!$D$2:$D$38,'Saldos Iniciales'!$A$2:$A$38,C1029,'Saldos Iniciales'!$B$2:$B$38,D1029)+SUMIFS($K$1:$K$1033,$C$1:$C$1033,C1029,$D$1:$D$1033,D1029,$B$1:$B$1033,"&lt;="&amp;B1029)</f>
        <v>377225.5</v>
      </c>
      <c r="N1029" s="77">
        <f>IF(tblMovimientos[[#This Row],[Tipo de Movimiento]]="Ingreso",tblMovimientos[[#This Row],[Monto (S/)]],"0")</f>
        <v>184.93</v>
      </c>
      <c r="O1029" s="77" t="str">
        <f>IF(tblMovimientos[[#This Row],[Tipo de Movimiento]]="Egreso",tblMovimientos[[#This Row],[Monto (S/)]],"0")</f>
        <v>0</v>
      </c>
      <c r="P1029" s="28">
        <f>IF(tblMovimientos[[#This Row],[Tipo de Movimiento]]="Ingreso",tblMovimientos[[#This Row],[Ingreso]],-tblMovimientos[[#This Row],[Egreso]])</f>
        <v>184.93</v>
      </c>
    </row>
    <row r="1030" spans="1:16" x14ac:dyDescent="0.3">
      <c r="B1030" s="39">
        <v>46294</v>
      </c>
      <c r="C1030" s="46" t="str">
        <f>_xlfn.XLOOKUP(tblMovimientos[[#This Row],[Cuenta Bancaria]],Listas!$B:$B,Listas!$A:$A,"")</f>
        <v>CFT Group</v>
      </c>
      <c r="D1030" s="41" t="s">
        <v>94</v>
      </c>
      <c r="E1030" s="4" t="str">
        <f>_xlfn.XLOOKUP(tblMovimientos[[#This Row],[Cuenta Bancaria]],Listas!$B:$B,Listas!$C:$C,"")</f>
        <v>Bank of America</v>
      </c>
      <c r="F1030" s="41" t="s">
        <v>10</v>
      </c>
      <c r="G1030" s="41" t="s">
        <v>46</v>
      </c>
      <c r="H1030" s="46" t="str">
        <f>IFERROR(_xlfn.XLOOKUP(G1030,Listas!E:E,Listas!F:F,""),"")</f>
        <v>Financiamiento</v>
      </c>
      <c r="I1030" s="46" t="str">
        <f>IFERROR(_xlfn.XLOOKUP(G1030,Listas!E:E,Listas!G:G,""),"")</f>
        <v>Externo</v>
      </c>
      <c r="J1030" s="43">
        <v>2977.96</v>
      </c>
      <c r="K1030" s="5">
        <f t="shared" si="12"/>
        <v>-2977.96</v>
      </c>
      <c r="L1030" s="15" t="s">
        <v>133</v>
      </c>
      <c r="M1030" s="44">
        <f>SUMIFS('Saldos Iniciales'!$D$2:$D$38,'Saldos Iniciales'!$A$2:$A$38,C1030,'Saldos Iniciales'!$B$2:$B$38,D1030)+SUMIFS($K$1:$K$1033,$C$1:$C$1033,C1030,$D$1:$D$1033,D1030,$B$1:$B$1033,"&lt;="&amp;B1030)</f>
        <v>377225.5</v>
      </c>
      <c r="N1030" s="77" t="str">
        <f>IF(tblMovimientos[[#This Row],[Tipo de Movimiento]]="Ingreso",tblMovimientos[[#This Row],[Monto (S/)]],"0")</f>
        <v>0</v>
      </c>
      <c r="O1030" s="77">
        <f>IF(tblMovimientos[[#This Row],[Tipo de Movimiento]]="Egreso",tblMovimientos[[#This Row],[Monto (S/)]],"0")</f>
        <v>2977.96</v>
      </c>
      <c r="P1030" s="28">
        <f>IF(tblMovimientos[[#This Row],[Tipo de Movimiento]]="Ingreso",tblMovimientos[[#This Row],[Ingreso]],-tblMovimientos[[#This Row],[Egreso]])</f>
        <v>-2977.96</v>
      </c>
    </row>
    <row r="1031" spans="1:16" x14ac:dyDescent="0.3">
      <c r="B1031" s="39">
        <v>46294</v>
      </c>
      <c r="C1031" s="46" t="str">
        <f>_xlfn.XLOOKUP(tblMovimientos[[#This Row],[Cuenta Bancaria]],Listas!$B:$B,Listas!$A:$A,"")</f>
        <v>3628 Thomas Ave</v>
      </c>
      <c r="D1031" s="41" t="s">
        <v>124</v>
      </c>
      <c r="E1031" s="4" t="str">
        <f>_xlfn.XLOOKUP(tblMovimientos[[#This Row],[Cuenta Bancaria]],Listas!$B:$B,Listas!$C:$C,"")</f>
        <v>Bank of America</v>
      </c>
      <c r="F1031" s="41" t="s">
        <v>9</v>
      </c>
      <c r="G1031" s="41" t="s">
        <v>81</v>
      </c>
      <c r="H1031" s="46" t="str">
        <f>IFERROR(_xlfn.XLOOKUP(G1031,Listas!E:E,Listas!F:F,""),"")</f>
        <v>Operativo</v>
      </c>
      <c r="I1031" s="46" t="str">
        <f>IFERROR(_xlfn.XLOOKUP(G1031,Listas!E:E,Listas!G:G,""),"")</f>
        <v>Externo</v>
      </c>
      <c r="J1031" s="43">
        <v>3000</v>
      </c>
      <c r="K1031" s="5">
        <f t="shared" si="12"/>
        <v>3000</v>
      </c>
      <c r="L1031" s="15" t="s">
        <v>133</v>
      </c>
      <c r="M1031" s="44">
        <f>SUMIFS('Saldos Iniciales'!$D$2:$D$38,'Saldos Iniciales'!$A$2:$A$38,C1031,'Saldos Iniciales'!$B$2:$B$38,D1031)+SUMIFS($K$1:$K$1033,$C$1:$C$1033,C1031,$D$1:$D$1033,D1031,$B$1:$B$1033,"&lt;="&amp;B1031)</f>
        <v>19266.809999999998</v>
      </c>
      <c r="N1031" s="77">
        <f>IF(tblMovimientos[[#This Row],[Tipo de Movimiento]]="Ingreso",tblMovimientos[[#This Row],[Monto (S/)]],"0")</f>
        <v>3000</v>
      </c>
      <c r="O1031" s="77" t="str">
        <f>IF(tblMovimientos[[#This Row],[Tipo de Movimiento]]="Egreso",tblMovimientos[[#This Row],[Monto (S/)]],"0")</f>
        <v>0</v>
      </c>
      <c r="P1031" s="28">
        <f>IF(tblMovimientos[[#This Row],[Tipo de Movimiento]]="Ingreso",tblMovimientos[[#This Row],[Ingreso]],-tblMovimientos[[#This Row],[Egreso]])</f>
        <v>3000</v>
      </c>
    </row>
    <row r="1032" spans="1:16" x14ac:dyDescent="0.3">
      <c r="B1032" s="39">
        <v>46294</v>
      </c>
      <c r="C1032" s="46" t="str">
        <f>_xlfn.XLOOKUP(tblMovimientos[[#This Row],[Cuenta Bancaria]],Listas!$B:$B,Listas!$A:$A,"")</f>
        <v>SSP Capital</v>
      </c>
      <c r="D1032" s="41" t="s">
        <v>104</v>
      </c>
      <c r="E1032" s="4" t="str">
        <f>_xlfn.XLOOKUP(tblMovimientos[[#This Row],[Cuenta Bancaria]],Listas!$B:$B,Listas!$C:$C,"")</f>
        <v xml:space="preserve">Amerant Bank </v>
      </c>
      <c r="F1032" s="41" t="s">
        <v>10</v>
      </c>
      <c r="G1032" s="41" t="s">
        <v>40</v>
      </c>
      <c r="H1032" s="46" t="str">
        <f>IFERROR(_xlfn.XLOOKUP(G1032,Listas!E:E,Listas!F:F,""),"")</f>
        <v>Operativo</v>
      </c>
      <c r="I1032" s="46" t="str">
        <f>IFERROR(_xlfn.XLOOKUP(G1032,Listas!E:E,Listas!G:G,""),"")</f>
        <v>Externo</v>
      </c>
      <c r="J1032" s="43">
        <v>168437.9</v>
      </c>
      <c r="K1032" s="5">
        <f t="shared" si="12"/>
        <v>-168437.9</v>
      </c>
      <c r="L1032" s="15" t="s">
        <v>133</v>
      </c>
      <c r="M1032" s="44">
        <f>SUMIFS('Saldos Iniciales'!$D$2:$D$38,'Saldos Iniciales'!$A$2:$A$38,C1032,'Saldos Iniciales'!$B$2:$B$38,D1032)+SUMIFS($K$1:$K$1033,$C$1:$C$1033,C1032,$D$1:$D$1033,D1032,$B$1:$B$1033,"&lt;="&amp;B1032)</f>
        <v>337953.80999999924</v>
      </c>
      <c r="N1032" s="77" t="str">
        <f>IF(tblMovimientos[[#This Row],[Tipo de Movimiento]]="Ingreso",tblMovimientos[[#This Row],[Monto (S/)]],"0")</f>
        <v>0</v>
      </c>
      <c r="O1032" s="77">
        <f>IF(tblMovimientos[[#This Row],[Tipo de Movimiento]]="Egreso",tblMovimientos[[#This Row],[Monto (S/)]],"0")</f>
        <v>168437.9</v>
      </c>
      <c r="P1032" s="28">
        <f>IF(tblMovimientos[[#This Row],[Tipo de Movimiento]]="Ingreso",tblMovimientos[[#This Row],[Ingreso]],-tblMovimientos[[#This Row],[Egreso]])</f>
        <v>-168437.9</v>
      </c>
    </row>
    <row r="1033" spans="1:16" x14ac:dyDescent="0.3">
      <c r="B1033" s="39">
        <v>46294</v>
      </c>
      <c r="C1033" s="46" t="str">
        <f>_xlfn.XLOOKUP(tblMovimientos[[#This Row],[Cuenta Bancaria]],Listas!$B:$B,Listas!$A:$A,"")</f>
        <v/>
      </c>
      <c r="D1033" s="41" t="s">
        <v>187</v>
      </c>
      <c r="E1033" s="4" t="str">
        <f>_xlfn.XLOOKUP(tblMovimientos[[#This Row],[Cuenta Bancaria]],Listas!$B:$B,Listas!$C:$C,"")</f>
        <v/>
      </c>
      <c r="F1033" s="41" t="s">
        <v>10</v>
      </c>
      <c r="G1033" s="41" t="s">
        <v>38</v>
      </c>
      <c r="H1033" s="46" t="str">
        <f>IFERROR(_xlfn.XLOOKUP(G1033,Listas!E:E,Listas!F:F,""),"")</f>
        <v>Operativo</v>
      </c>
      <c r="I1033" s="46" t="str">
        <f>IFERROR(_xlfn.XLOOKUP(G1033,Listas!E:E,Listas!G:G,""),"")</f>
        <v>Externo</v>
      </c>
      <c r="J1033" s="43">
        <v>1166.92</v>
      </c>
      <c r="K1033" s="5">
        <f t="shared" si="12"/>
        <v>-1166.92</v>
      </c>
      <c r="L1033" s="15" t="s">
        <v>133</v>
      </c>
      <c r="M1033" s="44">
        <f>SUMIFS('Saldos Iniciales'!$D$2:$D$38,'Saldos Iniciales'!$A$2:$A$38,C1033,'Saldos Iniciales'!$B$2:$B$38,D1033)+SUMIFS($K$1:$K$1033,$C$1:$C$1033,C1033,$D$1:$D$1033,D1033,$B$1:$B$1033,"&lt;="&amp;B1033)</f>
        <v>-1166.92</v>
      </c>
      <c r="N1033" s="77" t="str">
        <f>IF(tblMovimientos[[#This Row],[Tipo de Movimiento]]="Ingreso",tblMovimientos[[#This Row],[Monto (S/)]],"0")</f>
        <v>0</v>
      </c>
      <c r="O1033" s="77">
        <f>IF(tblMovimientos[[#This Row],[Tipo de Movimiento]]="Egreso",tblMovimientos[[#This Row],[Monto (S/)]],"0")</f>
        <v>1166.92</v>
      </c>
      <c r="P1033" s="28">
        <f>IF(tblMovimientos[[#This Row],[Tipo de Movimiento]]="Ingreso",tblMovimientos[[#This Row],[Ingreso]],-tblMovimientos[[#This Row],[Egreso]])</f>
        <v>-1166.92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7C0C725B-A7FB-4D85-9B63-4AE4C3487A06}">
          <x14:formula1>
            <xm:f>Listas!$A$2:$A$34</xm:f>
          </x14:formula1>
          <xm:sqref>C2:C1033</xm:sqref>
        </x14:dataValidation>
        <x14:dataValidation type="list" allowBlank="1" xr:uid="{DC8BA3D2-F104-4639-8653-545CA2BBE131}">
          <x14:formula1>
            <xm:f>Listas!$E$2:$E$52</xm:f>
          </x14:formula1>
          <xm:sqref>G2:G1033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F2:F1033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topLeftCell="B1" zoomScale="70" workbookViewId="0">
      <pane ySplit="1" topLeftCell="A2" activePane="bottomLeft" state="frozen"/>
      <selection pane="bottomLeft" activeCell="E2" sqref="E2:E9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1521347.2400000012</v>
      </c>
      <c r="E2" s="37">
        <f>C2+D2</f>
        <v>1938025.5000000009</v>
      </c>
    </row>
    <row r="3" spans="1:5" x14ac:dyDescent="0.3">
      <c r="A3" s="32" t="s">
        <v>160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1694234.3500000078</v>
      </c>
      <c r="E3" s="37">
        <f t="shared" ref="E3:E9" si="0">C3+D3</f>
        <v>2861535.8800000073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-255.48000000000002</v>
      </c>
      <c r="E4" s="37">
        <f t="shared" si="0"/>
        <v>16254.48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13178</v>
      </c>
      <c r="E6" s="37">
        <f t="shared" si="0"/>
        <v>13270.02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14640.350000000017</v>
      </c>
      <c r="E7" s="37">
        <f t="shared" si="0"/>
        <v>18005.290000000015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S2" activePane="bottomRight" state="frozen"/>
      <selection pane="topRight" activeCell="C1" sqref="C1"/>
      <selection pane="bottomLeft" activeCell="A5" sqref="A5"/>
      <selection pane="bottomRight" activeCell="C9" sqref="C9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168</v>
      </c>
      <c r="N1" s="1" t="s">
        <v>172</v>
      </c>
      <c r="O1" s="1" t="s">
        <v>173</v>
      </c>
      <c r="P1" s="1" t="s">
        <v>174</v>
      </c>
      <c r="Q1" s="1" t="s">
        <v>175</v>
      </c>
      <c r="R1" s="1" t="s">
        <v>176</v>
      </c>
      <c r="S1" s="1" t="s">
        <v>177</v>
      </c>
      <c r="T1" s="1" t="s">
        <v>178</v>
      </c>
      <c r="U1" s="1" t="s">
        <v>179</v>
      </c>
      <c r="V1" s="1" t="s">
        <v>180</v>
      </c>
      <c r="W1" s="1" t="s">
        <v>181</v>
      </c>
      <c r="X1" s="1" t="s">
        <v>182</v>
      </c>
      <c r="Y1" s="1" t="s">
        <v>183</v>
      </c>
      <c r="Z1" s="1" t="s">
        <v>184</v>
      </c>
      <c r="AA1" s="1" t="s">
        <v>185</v>
      </c>
      <c r="AB1" s="1" t="s">
        <v>186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SUMIFS(Movimientos!$J$1:$J$1033,Movimientos!$C$1:$C$1033,$B2,Movimientos!$D$1:$D$1033,$C2,Movimientos!$L$1:$L$1033,A$3,Movimientos!$F$1:$F$1033,"Ingreso")</f>
        <v>490932.83999999997</v>
      </c>
      <c r="K2" s="44">
        <f>SUMIFS(Movimientos!$J$1:$J$1033,Movimientos!$C$1:$C$1033,$B2,Movimientos!$D$1:$D$1033,$C2,Movimientos!$L$1:$L$1033,A$3,Movimientos!$F$1:$F$1033,"Egreso")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SUMIFS(Movimientos!$J$1:$J$1033,Movimientos!$C$1:$C$1033,$B2,Movimientos!$D$1:$D$1033,$C2,Movimientos!$L$1:$L$1033,A$4,Movimientos!$F$1:$F$1033,"Ingreso")</f>
        <v>215870.71999999997</v>
      </c>
      <c r="P2" s="44">
        <f>SUMIFS(Movimientos!$J$1:$J$1033,Movimientos!$C$1:$C$1033,$B2,Movimientos!$D$1:$D$1033,$C2,Movimientos!$L$1:$L$1033,A$4,Movimientos!$F$1:$F$1033,"Egreso")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SUMIFS(Movimientos!$J$1:$J$1033,Movimientos!$C$1:$C$1033,$B2,Movimientos!$D$1:$D$1033,$C2,Movimientos!$L$1:$L$1033,A$5,Movimientos!$F$1:$F$1033,"Ingreso")</f>
        <v>555995.58000000007</v>
      </c>
      <c r="U2" s="44">
        <f>SUMIFS(Movimientos!$J$1:$J$1033,Movimientos!$C$1:$C$1033,$B2,Movimientos!$D$1:$D$1033,$C2,Movimientos!$L$1:$L$1033,A$5,Movimientos!$F$1:$F$1033,"Egreso")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SUMIFS(Movimientos!$J$1:$J$1033,Movimientos!$C$1:$C$1033,$B2,Movimientos!$D$1:$D$1033,$C2,Movimientos!$L$1:$L$1033,A$6,Movimientos!$F$1:$F$1033,"Ingreso")</f>
        <v>345932.23</v>
      </c>
      <c r="Z2" s="44">
        <f>SUMIFS(Movimientos!$J$1:$J$1033,Movimientos!$C$1:$C$1033,$B2,Movimientos!$D$1:$D$1033,$C2,Movimientos!$L$1:$L$1033,A$6,Movimientos!$F$1:$F$1033,"Egreso")</f>
        <v>403589.06</v>
      </c>
      <c r="AA2" s="7">
        <f>+Y2-Z2</f>
        <v>-57656.830000000016</v>
      </c>
      <c r="AB2" s="12">
        <f>X2+Y2-Z2</f>
        <v>377225.50000000029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SUMIFS(Movimientos!$J$1:$J$1033,Movimientos!$C$1:$C$1033,$B3,Movimientos!$D$1:$D$1033,$C3,Movimientos!$L$1:$L$1033,A$3,Movimientos!$F$1:$F$1033,"Ingreso")</f>
        <v>8947382.8399999999</v>
      </c>
      <c r="K3" s="44">
        <f>SUMIFS(Movimientos!$J$1:$J$1033,Movimientos!$C$1:$C$1033,$B3,Movimientos!$D$1:$D$1033,$C3,Movimientos!$L$1:$L$1033,A$3,Movimientos!$F$1:$F$1033,"Egreso")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SUMIFS(Movimientos!$J$1:$J$1033,Movimientos!$C$1:$C$1033,$B3,Movimientos!$D$1:$D$1033,$C3,Movimientos!$L$1:$L$1033,A$4,Movimientos!$F$1:$F$1033,"Ingreso")</f>
        <v>250000</v>
      </c>
      <c r="P3" s="44">
        <f>SUMIFS(Movimientos!$J$1:$J$1033,Movimientos!$C$1:$C$1033,$B3,Movimientos!$D$1:$D$1033,$C3,Movimientos!$L$1:$L$1033,A$4,Movimientos!$F$1:$F$1033,"Egreso")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SUMIFS(Movimientos!$J$1:$J$1033,Movimientos!$C$1:$C$1033,$B3,Movimientos!$D$1:$D$1033,$C3,Movimientos!$L$1:$L$1033,A$5,Movimientos!$F$1:$F$1033,"Ingreso")</f>
        <v>910061.42999999993</v>
      </c>
      <c r="U3" s="44">
        <f>SUMIFS(Movimientos!$J$1:$J$1033,Movimientos!$C$1:$C$1033,$B3,Movimientos!$D$1:$D$1033,$C3,Movimientos!$L$1:$L$1033,A$5,Movimientos!$F$1:$F$1033,"Egreso")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SUMIFS(Movimientos!$J$1:$J$1033,Movimientos!$C$1:$C$1033,$B3,Movimientos!$D$1:$D$1033,$C3,Movimientos!$L$1:$L$1033,A$6,Movimientos!$F$1:$F$1033,"Ingreso")</f>
        <v>2658155.37</v>
      </c>
      <c r="Z3" s="44">
        <f>SUMIFS(Movimientos!$J$1:$J$1033,Movimientos!$C$1:$C$1033,$B3,Movimientos!$D$1:$D$1033,$C3,Movimientos!$L$1:$L$1033,A$6,Movimientos!$F$1:$F$1033,"Egreso")</f>
        <v>1500102.98</v>
      </c>
      <c r="AA3" s="7">
        <f t="shared" ref="AA3:AA35" si="3">+Y3-Z3</f>
        <v>1158052.3900000001</v>
      </c>
      <c r="AB3" s="12">
        <f>X3+Y3-Z3</f>
        <v>1458385.7099999995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SUMIFS(Movimientos!$J$1:$J$1033,Movimientos!$C$1:$C$1033,$B4,Movimientos!$D$1:$D$1033,$C4,Movimientos!$L$1:$L$1033,A$3,Movimientos!$F$1:$F$1033,"Ingreso")</f>
        <v>0</v>
      </c>
      <c r="K4" s="44">
        <f>SUMIFS(Movimientos!$J$1:$J$1033,Movimientos!$C$1:$C$1033,$B4,Movimientos!$D$1:$D$1033,$C4,Movimientos!$L$1:$L$1033,A$3,Movimientos!$F$1:$F$1033,"Egreso")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SUMIFS(Movimientos!$J$1:$J$1033,Movimientos!$C$1:$C$1033,$B4,Movimientos!$D$1:$D$1033,$C4,Movimientos!$L$1:$L$1033,A$4,Movimientos!$F$1:$F$1033,"Ingreso")</f>
        <v>0</v>
      </c>
      <c r="P4" s="44">
        <f>SUMIFS(Movimientos!$J$1:$J$1033,Movimientos!$C$1:$C$1033,$B4,Movimientos!$D$1:$D$1033,$C4,Movimientos!$L$1:$L$1033,A$4,Movimientos!$F$1:$F$1033,"Egreso")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SUMIFS(Movimientos!$J$1:$J$1033,Movimientos!$C$1:$C$1033,$B4,Movimientos!$D$1:$D$1033,$C4,Movimientos!$L$1:$L$1033,A$5,Movimientos!$F$1:$F$1033,"Ingreso")</f>
        <v>0</v>
      </c>
      <c r="U4" s="44">
        <f>SUMIFS(Movimientos!$J$1:$J$1033,Movimientos!$C$1:$C$1033,$B4,Movimientos!$D$1:$D$1033,$C4,Movimientos!$L$1:$L$1033,A$5,Movimientos!$F$1:$F$1033,"Egreso")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SUMIFS(Movimientos!$J$1:$J$1033,Movimientos!$C$1:$C$1033,$B4,Movimientos!$D$1:$D$1033,$C4,Movimientos!$L$1:$L$1033,A$6,Movimientos!$F$1:$F$1033,"Ingreso")</f>
        <v>0</v>
      </c>
      <c r="Z4" s="44">
        <f>SUMIFS(Movimientos!$J$1:$J$1033,Movimientos!$C$1:$C$1033,$B4,Movimientos!$D$1:$D$1033,$C4,Movimientos!$L$1:$L$1033,A$6,Movimientos!$F$1:$F$1033,"Egreso")</f>
        <v>0</v>
      </c>
      <c r="AA4" s="7">
        <f t="shared" si="3"/>
        <v>0</v>
      </c>
      <c r="AB4" s="12">
        <f>X4+Y4-Z4</f>
        <v>5237.2300000000005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SUMIFS(Movimientos!$J$1:$J$1033,Movimientos!$C$1:$C$1033,$B5,Movimientos!$D$1:$D$1033,$C5,Movimientos!$L$1:$L$1033,A$3,Movimientos!$F$1:$F$1033,"Ingreso")</f>
        <v>16742.400000000001</v>
      </c>
      <c r="K5" s="44">
        <f>SUMIFS(Movimientos!$J$1:$J$1033,Movimientos!$C$1:$C$1033,$B5,Movimientos!$D$1:$D$1033,$C5,Movimientos!$L$1:$L$1033,A$3,Movimientos!$F$1:$F$1033,"Egreso")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SUMIFS(Movimientos!$J$1:$J$1033,Movimientos!$C$1:$C$1033,$B5,Movimientos!$D$1:$D$1033,$C5,Movimientos!$L$1:$L$1033,A$4,Movimientos!$F$1:$F$1033,"Ingreso")</f>
        <v>10053.57</v>
      </c>
      <c r="P5" s="44">
        <f>SUMIFS(Movimientos!$J$1:$J$1033,Movimientos!$C$1:$C$1033,$B5,Movimientos!$D$1:$D$1033,$C5,Movimientos!$L$1:$L$1033,A$4,Movimientos!$F$1:$F$1033,"Egreso")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SUMIFS(Movimientos!$J$1:$J$1033,Movimientos!$C$1:$C$1033,$B5,Movimientos!$D$1:$D$1033,$C5,Movimientos!$L$1:$L$1033,A$5,Movimientos!$F$1:$F$1033,"Ingreso")</f>
        <v>10068.98</v>
      </c>
      <c r="U5" s="44">
        <f>SUMIFS(Movimientos!$J$1:$J$1033,Movimientos!$C$1:$C$1033,$B5,Movimientos!$D$1:$D$1033,$C5,Movimientos!$L$1:$L$1033,A$5,Movimientos!$F$1:$F$1033,"Egreso")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SUMIFS(Movimientos!$J$1:$J$1033,Movimientos!$C$1:$C$1033,$B5,Movimientos!$D$1:$D$1033,$C5,Movimientos!$L$1:$L$1033,A$6,Movimientos!$F$1:$F$1033,"Ingreso")</f>
        <v>7206.23</v>
      </c>
      <c r="Z5" s="44">
        <f>SUMIFS(Movimientos!$J$1:$J$1033,Movimientos!$C$1:$C$1033,$B5,Movimientos!$D$1:$D$1033,$C5,Movimientos!$L$1:$L$1033,A$6,Movimientos!$F$1:$F$1033,"Egreso")</f>
        <v>0</v>
      </c>
      <c r="AA5" s="7">
        <f t="shared" si="3"/>
        <v>7206.23</v>
      </c>
      <c r="AB5" s="12">
        <f>X5+Y5-Z5</f>
        <v>95486.460000000254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SUMIFS(Movimientos!$J$1:$J$1033,Movimientos!$C$1:$C$1033,$B6,Movimientos!$D$1:$D$1033,$C6,Movimientos!$L$1:$L$1033,A$3,Movimientos!$F$1:$F$1033,"Ingreso")</f>
        <v>0</v>
      </c>
      <c r="K6" s="44">
        <f>SUMIFS(Movimientos!$J$1:$J$1033,Movimientos!$C$1:$C$1033,$B6,Movimientos!$D$1:$D$1033,$C6,Movimientos!$L$1:$L$1033,A$3,Movimientos!$F$1:$F$1033,"Egreso")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SUMIFS(Movimientos!$J$1:$J$1033,Movimientos!$C$1:$C$1033,$B6,Movimientos!$D$1:$D$1033,$C6,Movimientos!$L$1:$L$1033,A$4,Movimientos!$F$1:$F$1033,"Ingreso")</f>
        <v>0</v>
      </c>
      <c r="P6" s="44">
        <f>SUMIFS(Movimientos!$J$1:$J$1033,Movimientos!$C$1:$C$1033,$B6,Movimientos!$D$1:$D$1033,$C6,Movimientos!$L$1:$L$1033,A$4,Movimientos!$F$1:$F$1033,"Egreso")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SUMIFS(Movimientos!$J$1:$J$1033,Movimientos!$C$1:$C$1033,$B6,Movimientos!$D$1:$D$1033,$C6,Movimientos!$L$1:$L$1033,A$5,Movimientos!$F$1:$F$1033,"Ingreso")</f>
        <v>0</v>
      </c>
      <c r="U6" s="44">
        <f>SUMIFS(Movimientos!$J$1:$J$1033,Movimientos!$C$1:$C$1033,$B6,Movimientos!$D$1:$D$1033,$C6,Movimientos!$L$1:$L$1033,A$5,Movimientos!$F$1:$F$1033,"Egreso")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SUMIFS(Movimientos!$J$1:$J$1033,Movimientos!$C$1:$C$1033,$B6,Movimientos!$D$1:$D$1033,$C6,Movimientos!$L$1:$L$1033,A$6,Movimientos!$F$1:$F$1033,"Ingreso")</f>
        <v>0</v>
      </c>
      <c r="Z6" s="44">
        <f>SUMIFS(Movimientos!$J$1:$J$1033,Movimientos!$C$1:$C$1033,$B6,Movimientos!$D$1:$D$1033,$C6,Movimientos!$L$1:$L$1033,A$6,Movimientos!$F$1:$F$1033,"Egreso")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SUMIFS(Movimientos!$J$1:$J$1033,Movimientos!$C$1:$C$1033,$B7,Movimientos!$D$1:$D$1033,$C7,Movimientos!$L$1:$L$1033,A$3,Movimientos!$F$1:$F$1033,"Ingreso")</f>
        <v>0</v>
      </c>
      <c r="K7" s="44">
        <f>SUMIFS(Movimientos!$J$1:$J$1033,Movimientos!$C$1:$C$1033,$B7,Movimientos!$D$1:$D$1033,$C7,Movimientos!$L$1:$L$1033,A$3,Movimientos!$F$1:$F$1033,"Egreso")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SUMIFS(Movimientos!$J$1:$J$1033,Movimientos!$C$1:$C$1033,$B7,Movimientos!$D$1:$D$1033,$C7,Movimientos!$L$1:$L$1033,A$4,Movimientos!$F$1:$F$1033,"Ingreso")</f>
        <v>0</v>
      </c>
      <c r="P7" s="44">
        <f>SUMIFS(Movimientos!$J$1:$J$1033,Movimientos!$C$1:$C$1033,$B7,Movimientos!$D$1:$D$1033,$C7,Movimientos!$L$1:$L$1033,A$4,Movimientos!$F$1:$F$1033,"Egreso")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SUMIFS(Movimientos!$J$1:$J$1033,Movimientos!$C$1:$C$1033,$B7,Movimientos!$D$1:$D$1033,$C7,Movimientos!$L$1:$L$1033,A$5,Movimientos!$F$1:$F$1033,"Ingreso")</f>
        <v>0</v>
      </c>
      <c r="U7" s="44">
        <f>SUMIFS(Movimientos!$J$1:$J$1033,Movimientos!$C$1:$C$1033,$B7,Movimientos!$D$1:$D$1033,$C7,Movimientos!$L$1:$L$1033,A$5,Movimientos!$F$1:$F$1033,"Egreso")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SUMIFS(Movimientos!$J$1:$J$1033,Movimientos!$C$1:$C$1033,$B7,Movimientos!$D$1:$D$1033,$C7,Movimientos!$L$1:$L$1033,A$6,Movimientos!$F$1:$F$1033,"Ingreso")</f>
        <v>0</v>
      </c>
      <c r="Z7" s="44">
        <f>SUMIFS(Movimientos!$J$1:$J$1033,Movimientos!$C$1:$C$1033,$B7,Movimientos!$D$1:$D$1033,$C7,Movimientos!$L$1:$L$1033,F$5,Movimientos!$F$1:$F$1033,"Egreso")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170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SUMIFS(Movimientos!$J$1:$J$1033,Movimientos!$C$1:$C$1033,$B8,Movimientos!$D$1:$D$1033,$C8,Movimientos!$L$1:$L$1033,A$3,Movimientos!$F$1:$F$1033,"Ingreso")</f>
        <v>440602.39</v>
      </c>
      <c r="K8" s="44">
        <f>SUMIFS(Movimientos!$J$1:$J$1033,Movimientos!$C$1:$C$1033,$B8,Movimientos!$D$1:$D$1033,$C8,Movimientos!$L$1:$L$1033,A$3,Movimientos!$F$1:$F$1033,"Egreso")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SUMIFS(Movimientos!$J$1:$J$1033,Movimientos!$C$1:$C$1033,$B8,Movimientos!$D$1:$D$1033,$C8,Movimientos!$L$1:$L$1033,A$4,Movimientos!$F$1:$F$1033,"Ingreso")</f>
        <v>1306812.04</v>
      </c>
      <c r="P8" s="44">
        <f>SUMIFS(Movimientos!$J$1:$J$1033,Movimientos!$C$1:$C$1033,$B8,Movimientos!$D$1:$D$1033,$C8,Movimientos!$L$1:$L$1033,A$4,Movimientos!$F$1:$F$1033,"Egreso")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SUMIFS(Movimientos!$J$1:$J$1033,Movimientos!$C$1:$C$1033,$B8,Movimientos!$D$1:$D$1033,$C8,Movimientos!$L$1:$L$1033,A$5,Movimientos!$F$1:$F$1033,"Ingreso")</f>
        <v>250866.9</v>
      </c>
      <c r="U8" s="44">
        <f>SUMIFS(Movimientos!$J$1:$J$1033,Movimientos!$C$1:$C$1033,$B8,Movimientos!$D$1:$D$1033,$C8,Movimientos!$L$1:$L$1033,A$5,Movimientos!$F$1:$F$1033,"Egreso")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SUMIFS(Movimientos!$J$1:$J$1033,Movimientos!$C$1:$C$1033,$B8,Movimientos!$D$1:$D$1033,$C8,Movimientos!$L$1:$L$1033,A$6,Movimientos!$F$1:$F$1033,"Ingreso")</f>
        <v>517564.88</v>
      </c>
      <c r="Z8" s="44">
        <f>SUMIFS(Movimientos!$J$1:$J$1033,Movimientos!$C$1:$C$1033,$B8,Movimientos!$D$1:$D$1033,$C8,Movimientos!$L$1:$L$1033,F$5,Movimientos!$F$1:$F$1033,"Egreso")</f>
        <v>0</v>
      </c>
      <c r="AA8" s="7">
        <f t="shared" si="3"/>
        <v>517564.88</v>
      </c>
      <c r="AB8" s="12">
        <f t="shared" si="12"/>
        <v>1937463.1199999996</v>
      </c>
    </row>
    <row r="9" spans="1:28" x14ac:dyDescent="0.3">
      <c r="A9" s="11" t="s">
        <v>171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SUMIFS(Movimientos!$J$1:$J$1033,Movimientos!$C$1:$C$1033,$B9,Movimientos!$D$1:$D$1033,$C9,Movimientos!$L$1:$L$1033,A$3,Movimientos!$F$1:$F$1033,"Ingreso")</f>
        <v>15307.88</v>
      </c>
      <c r="K9" s="44">
        <f>SUMIFS(Movimientos!$J$1:$J$1033,Movimientos!$C$1:$C$1033,$B9,Movimientos!$D$1:$D$1033,$C9,Movimientos!$L$1:$L$1033,A$3,Movimientos!$F$1:$F$1033,"Egreso")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SUMIFS(Movimientos!$J$1:$J$1033,Movimientos!$C$1:$C$1033,$B9,Movimientos!$D$1:$D$1033,$C9,Movimientos!$L$1:$L$1033,A$4,Movimientos!$F$1:$F$1033,"Ingreso")</f>
        <v>15280.15</v>
      </c>
      <c r="P9" s="44">
        <f>SUMIFS(Movimientos!$J$1:$J$1033,Movimientos!$C$1:$C$1033,$B9,Movimientos!$D$1:$D$1033,$C9,Movimientos!$L$1:$L$1033,A$4,Movimientos!$F$1:$F$1033,"Egreso")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SUMIFS(Movimientos!$J$1:$J$1033,Movimientos!$C$1:$C$1033,$B9,Movimientos!$D$1:$D$1033,$C9,Movimientos!$L$1:$L$1033,A$5,Movimientos!$F$1:$F$1033,"Ingreso")</f>
        <v>35280.15</v>
      </c>
      <c r="U9" s="44">
        <f>SUMIFS(Movimientos!$J$1:$J$1033,Movimientos!$C$1:$C$1033,$B9,Movimientos!$D$1:$D$1033,$C9,Movimientos!$L$1:$L$1033,A$5,Movimientos!$F$1:$F$1033,"Egreso")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SUMIFS(Movimientos!$J$1:$J$1033,Movimientos!$C$1:$C$1033,$B9,Movimientos!$D$1:$D$1033,$C9,Movimientos!$L$1:$L$1033,A$6,Movimientos!$F$1:$F$1033,"Ingreso")</f>
        <v>15266.29</v>
      </c>
      <c r="Z9" s="44">
        <f>SUMIFS(Movimientos!$J$1:$J$1033,Movimientos!$C$1:$C$1033,$B9,Movimientos!$D$1:$D$1033,$C9,Movimientos!$L$1:$L$1033,F$5,Movimientos!$F$1:$F$1033,"Egreso")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SUMIFS(Movimientos!$J$1:$J$1033,Movimientos!$C$1:$C$1033,$B10,Movimientos!$D$1:$D$1033,$C10,Movimientos!$L$1:$L$1033,A$3,Movimientos!$F$1:$F$1033,"Ingreso")</f>
        <v>0</v>
      </c>
      <c r="K10" s="44">
        <f>SUMIFS(Movimientos!$J$1:$J$1033,Movimientos!$C$1:$C$1033,$B10,Movimientos!$D$1:$D$1033,$C10,Movimientos!$L$1:$L$1033,A$3,Movimientos!$F$1:$F$1033,"Egreso")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SUMIFS(Movimientos!$J$1:$J$1033,Movimientos!$C$1:$C$1033,$B10,Movimientos!$D$1:$D$1033,$C10,Movimientos!$L$1:$L$1033,A$4,Movimientos!$F$1:$F$1033,"Ingreso")</f>
        <v>1000</v>
      </c>
      <c r="P10" s="44">
        <f>SUMIFS(Movimientos!$J$1:$J$1033,Movimientos!$C$1:$C$1033,$B10,Movimientos!$D$1:$D$1033,$C10,Movimientos!$L$1:$L$1033,A$4,Movimientos!$F$1:$F$1033,"Egreso")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SUMIFS(Movimientos!$J$1:$J$1033,Movimientos!$C$1:$C$1033,$B10,Movimientos!$D$1:$D$1033,$C10,Movimientos!$L$1:$L$1033,A$5,Movimientos!$F$1:$F$1033,"Ingreso")</f>
        <v>0</v>
      </c>
      <c r="U10" s="44">
        <f>SUMIFS(Movimientos!$J$1:$J$1033,Movimientos!$C$1:$C$1033,$B10,Movimientos!$D$1:$D$1033,$C10,Movimientos!$L$1:$L$1033,A$5,Movimientos!$F$1:$F$1033,"Egreso")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SUMIFS(Movimientos!$J$1:$J$1033,Movimientos!$C$1:$C$1033,$B10,Movimientos!$D$1:$D$1033,$C10,Movimientos!$L$1:$L$1033,A$6,Movimientos!$F$1:$F$1033,"Ingreso")</f>
        <v>0</v>
      </c>
      <c r="Z10" s="44">
        <f>SUMIFS(Movimientos!$J$1:$J$1033,Movimientos!$C$1:$C$1033,$B10,Movimientos!$D$1:$D$1033,$C10,Movimientos!$L$1:$L$1033,F$5,Movimientos!$F$1:$F$1033,"Egreso")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SUMIFS(Movimientos!$J$1:$J$1033,Movimientos!$C$1:$C$1033,$B11,Movimientos!$D$1:$D$1033,$C11,Movimientos!$L$1:$L$1033,A$3,Movimientos!$F$1:$F$1033,"Ingreso")</f>
        <v>0</v>
      </c>
      <c r="K11" s="44">
        <f>SUMIFS(Movimientos!$J$1:$J$1033,Movimientos!$C$1:$C$1033,$B11,Movimientos!$D$1:$D$1033,$C11,Movimientos!$L$1:$L$1033,A$3,Movimientos!$F$1:$F$1033,"Egreso")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SUMIFS(Movimientos!$J$1:$J$1033,Movimientos!$C$1:$C$1033,$B11,Movimientos!$D$1:$D$1033,$C11,Movimientos!$L$1:$L$1033,A$4,Movimientos!$F$1:$F$1033,"Ingreso")</f>
        <v>0</v>
      </c>
      <c r="P11" s="44">
        <f>SUMIFS(Movimientos!$J$1:$J$1033,Movimientos!$C$1:$C$1033,$B11,Movimientos!$D$1:$D$1033,$C11,Movimientos!$L$1:$L$1033,A$4,Movimientos!$F$1:$F$1033,"Egreso")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SUMIFS(Movimientos!$J$1:$J$1033,Movimientos!$C$1:$C$1033,$B11,Movimientos!$D$1:$D$1033,$C11,Movimientos!$L$1:$L$1033,A$5,Movimientos!$F$1:$F$1033,"Ingreso")</f>
        <v>0</v>
      </c>
      <c r="U11" s="44">
        <f>SUMIFS(Movimientos!$J$1:$J$1033,Movimientos!$C$1:$C$1033,$B11,Movimientos!$D$1:$D$1033,$C11,Movimientos!$L$1:$L$1033,A$5,Movimientos!$F$1:$F$1033,"Egreso")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SUMIFS(Movimientos!$J$1:$J$1033,Movimientos!$C$1:$C$1033,$B11,Movimientos!$D$1:$D$1033,$C11,Movimientos!$L$1:$L$1033,A$6,Movimientos!$F$1:$F$1033,"Ingreso")</f>
        <v>0</v>
      </c>
      <c r="Z11" s="44">
        <f>SUMIFS(Movimientos!$J$1:$J$1033,Movimientos!$C$1:$C$1033,$B11,Movimientos!$D$1:$D$1033,$C11,Movimientos!$L$1:$L$1033,F$5,Movimientos!$F$1:$F$1033,"Egreso")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SUMIFS(Movimientos!$J$1:$J$1033,Movimientos!$C$1:$C$1033,$B12,Movimientos!$D$1:$D$1033,$C12,Movimientos!$L$1:$L$1033,A$3,Movimientos!$F$1:$F$1033,"Ingreso")</f>
        <v>4970000</v>
      </c>
      <c r="K12" s="44">
        <f>SUMIFS(Movimientos!$J$1:$J$1033,Movimientos!$C$1:$C$1033,$B12,Movimientos!$D$1:$D$1033,$C12,Movimientos!$L$1:$L$1033,A$3,Movimientos!$F$1:$F$1033,"Egreso")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SUMIFS(Movimientos!$J$1:$J$1033,Movimientos!$C$1:$C$1033,$B12,Movimientos!$D$1:$D$1033,$C12,Movimientos!$L$1:$L$1033,A$4,Movimientos!$F$1:$F$1033,"Ingreso")</f>
        <v>1320000</v>
      </c>
      <c r="P12" s="44">
        <f>SUMIFS(Movimientos!$J$1:$J$1033,Movimientos!$C$1:$C$1033,$B12,Movimientos!$D$1:$D$1033,$C12,Movimientos!$L$1:$L$1033,A$4,Movimientos!$F$1:$F$1033,"Egreso")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SUMIFS(Movimientos!$J$1:$J$1033,Movimientos!$C$1:$C$1033,$B12,Movimientos!$D$1:$D$1033,$C12,Movimientos!$L$1:$L$1033,A$5,Movimientos!$F$1:$F$1033,"Ingreso")</f>
        <v>1100000</v>
      </c>
      <c r="U12" s="44">
        <f>SUMIFS(Movimientos!$J$1:$J$1033,Movimientos!$C$1:$C$1033,$B12,Movimientos!$D$1:$D$1033,$C12,Movimientos!$L$1:$L$1033,A$5,Movimientos!$F$1:$F$1033,"Egreso")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SUMIFS(Movimientos!$J$1:$J$1033,Movimientos!$C$1:$C$1033,$B12,Movimientos!$D$1:$D$1033,$C12,Movimientos!$L$1:$L$1033,A$6,Movimientos!$F$1:$F$1033,"Ingreso")</f>
        <v>350000</v>
      </c>
      <c r="Z12" s="44">
        <f>SUMIFS(Movimientos!$J$1:$J$1033,Movimientos!$C$1:$C$1033,$B12,Movimientos!$D$1:$D$1033,$C12,Movimientos!$L$1:$L$1033,F$5,Movimientos!$F$1:$F$1033,"Egreso")</f>
        <v>0</v>
      </c>
      <c r="AA12" s="7">
        <f t="shared" si="3"/>
        <v>350000</v>
      </c>
      <c r="AB12" s="12">
        <f t="shared" si="12"/>
        <v>1058218.3199999991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SUMIFS(Movimientos!$J$1:$J$1033,Movimientos!$C$1:$C$1033,$B13,Movimientos!$D$1:$D$1033,$C13,Movimientos!$L$1:$L$1033,A$3,Movimientos!$F$1:$F$1033,"Ingreso")</f>
        <v>0</v>
      </c>
      <c r="K13" s="44">
        <f>SUMIFS(Movimientos!$J$1:$J$1033,Movimientos!$C$1:$C$1033,$B13,Movimientos!$D$1:$D$1033,$C13,Movimientos!$L$1:$L$1033,A$3,Movimientos!$F$1:$F$1033,"Egreso")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SUMIFS(Movimientos!$J$1:$J$1033,Movimientos!$C$1:$C$1033,$B13,Movimientos!$D$1:$D$1033,$C13,Movimientos!$L$1:$L$1033,A$4,Movimientos!$F$1:$F$1033,"Ingreso")</f>
        <v>0</v>
      </c>
      <c r="P13" s="44">
        <f>SUMIFS(Movimientos!$J$1:$J$1033,Movimientos!$C$1:$C$1033,$B13,Movimientos!$D$1:$D$1033,$C13,Movimientos!$L$1:$L$1033,A$4,Movimientos!$F$1:$F$1033,"Egreso")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SUMIFS(Movimientos!$J$1:$J$1033,Movimientos!$C$1:$C$1033,$B13,Movimientos!$D$1:$D$1033,$C13,Movimientos!$L$1:$L$1033,A$5,Movimientos!$F$1:$F$1033,"Ingreso")</f>
        <v>0</v>
      </c>
      <c r="U13" s="44">
        <f>SUMIFS(Movimientos!$J$1:$J$1033,Movimientos!$C$1:$C$1033,$B13,Movimientos!$D$1:$D$1033,$C13,Movimientos!$L$1:$L$1033,A$5,Movimientos!$F$1:$F$1033,"Egreso")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SUMIFS(Movimientos!$J$1:$J$1033,Movimientos!$C$1:$C$1033,$B13,Movimientos!$D$1:$D$1033,$C13,Movimientos!$L$1:$L$1033,A$6,Movimientos!$F$1:$F$1033,"Ingreso")</f>
        <v>0</v>
      </c>
      <c r="Z13" s="44">
        <f>SUMIFS(Movimientos!$J$1:$J$1033,Movimientos!$C$1:$C$1033,$B13,Movimientos!$D$1:$D$1033,$C13,Movimientos!$L$1:$L$1033,F$5,Movimientos!$F$1:$F$1033,"Egreso")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SUMIFS(Movimientos!$J$1:$J$1033,Movimientos!$C$1:$C$1033,$B14,Movimientos!$D$1:$D$1033,$C14,Movimientos!$L$1:$L$1033,A$3,Movimientos!$F$1:$F$1033,"Ingreso")</f>
        <v>56867.66</v>
      </c>
      <c r="K14" s="44">
        <f>SUMIFS(Movimientos!$J$1:$J$1033,Movimientos!$C$1:$C$1033,$B14,Movimientos!$D$1:$D$1033,$C14,Movimientos!$L$1:$L$1033,A$3,Movimientos!$F$1:$F$1033,"Egreso")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SUMIFS(Movimientos!$J$1:$J$1033,Movimientos!$C$1:$C$1033,$B14,Movimientos!$D$1:$D$1033,$C14,Movimientos!$L$1:$L$1033,A$4,Movimientos!$F$1:$F$1033,"Ingreso")</f>
        <v>2426.71</v>
      </c>
      <c r="P14" s="44">
        <f>SUMIFS(Movimientos!$J$1:$J$1033,Movimientos!$C$1:$C$1033,$B14,Movimientos!$D$1:$D$1033,$C14,Movimientos!$L$1:$L$1033,A$4,Movimientos!$F$1:$F$1033,"Egreso")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SUMIFS(Movimientos!$J$1:$J$1033,Movimientos!$C$1:$C$1033,$B14,Movimientos!$D$1:$D$1033,$C14,Movimientos!$L$1:$L$1033,A$5,Movimientos!$F$1:$F$1033,"Ingreso")</f>
        <v>2434.02</v>
      </c>
      <c r="U14" s="44">
        <f>SUMIFS(Movimientos!$J$1:$J$1033,Movimientos!$C$1:$C$1033,$B14,Movimientos!$D$1:$D$1033,$C14,Movimientos!$L$1:$L$1033,A$5,Movimientos!$F$1:$F$1033,"Egreso")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SUMIFS(Movimientos!$J$1:$J$1033,Movimientos!$C$1:$C$1033,$B14,Movimientos!$D$1:$D$1033,$C14,Movimientos!$L$1:$L$1033,A$6,Movimientos!$F$1:$F$1033,"Ingreso")</f>
        <v>0</v>
      </c>
      <c r="Z14" s="44">
        <f>SUMIFS(Movimientos!$J$1:$J$1033,Movimientos!$C$1:$C$1033,$B14,Movimientos!$D$1:$D$1033,$C14,Movimientos!$L$1:$L$1033,F$5,Movimientos!$F$1:$F$1033,"Egreso")</f>
        <v>0</v>
      </c>
      <c r="AA14" s="7">
        <f t="shared" si="3"/>
        <v>0</v>
      </c>
      <c r="AB14" s="12">
        <f t="shared" si="12"/>
        <v>811541.34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SUMIFS(Movimientos!$J$1:$J$1033,Movimientos!$C$1:$C$1033,$B15,Movimientos!$D$1:$D$1033,$C15,Movimientos!$L$1:$L$1033,A$3,Movimientos!$F$1:$F$1033,"Ingreso")</f>
        <v>0</v>
      </c>
      <c r="K15" s="44">
        <f>SUMIFS(Movimientos!$J$1:$J$1033,Movimientos!$C$1:$C$1033,$B15,Movimientos!$D$1:$D$1033,$C15,Movimientos!$L$1:$L$1033,A$3,Movimientos!$F$1:$F$1033,"Egreso")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SUMIFS(Movimientos!$J$1:$J$1033,Movimientos!$C$1:$C$1033,$B15,Movimientos!$D$1:$D$1033,$C15,Movimientos!$L$1:$L$1033,A$4,Movimientos!$F$1:$F$1033,"Ingreso")</f>
        <v>0</v>
      </c>
      <c r="P15" s="44">
        <f>SUMIFS(Movimientos!$J$1:$J$1033,Movimientos!$C$1:$C$1033,$B15,Movimientos!$D$1:$D$1033,$C15,Movimientos!$L$1:$L$1033,A$4,Movimientos!$F$1:$F$1033,"Egreso")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SUMIFS(Movimientos!$J$1:$J$1033,Movimientos!$C$1:$C$1033,$B15,Movimientos!$D$1:$D$1033,$C15,Movimientos!$L$1:$L$1033,A$5,Movimientos!$F$1:$F$1033,"Ingreso")</f>
        <v>0</v>
      </c>
      <c r="U15" s="44">
        <f>SUMIFS(Movimientos!$J$1:$J$1033,Movimientos!$C$1:$C$1033,$B15,Movimientos!$D$1:$D$1033,$C15,Movimientos!$L$1:$L$1033,A$5,Movimientos!$F$1:$F$1033,"Egreso")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SUMIFS(Movimientos!$J$1:$J$1033,Movimientos!$C$1:$C$1033,$B15,Movimientos!$D$1:$D$1033,$C15,Movimientos!$L$1:$L$1033,A$6,Movimientos!$F$1:$F$1033,"Ingreso")</f>
        <v>0</v>
      </c>
      <c r="Z15" s="44">
        <f>SUMIFS(Movimientos!$J$1:$J$1033,Movimientos!$C$1:$C$1033,$B15,Movimientos!$D$1:$D$1033,$C15,Movimientos!$L$1:$L$1033,F$5,Movimientos!$F$1:$F$1033,"Egreso")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SUMIFS(Movimientos!$J$1:$J$1033,Movimientos!$C$1:$C$1033,$B16,Movimientos!$D$1:$D$1033,$C16,Movimientos!$L$1:$L$1033,A$3,Movimientos!$F$1:$F$1033,"Ingreso")</f>
        <v>0</v>
      </c>
      <c r="K16" s="44">
        <f>SUMIFS(Movimientos!$J$1:$J$1033,Movimientos!$C$1:$C$1033,$B16,Movimientos!$D$1:$D$1033,$C16,Movimientos!$L$1:$L$1033,A$3,Movimientos!$F$1:$F$1033,"Egreso")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SUMIFS(Movimientos!$J$1:$J$1033,Movimientos!$C$1:$C$1033,$B16,Movimientos!$D$1:$D$1033,$C16,Movimientos!$L$1:$L$1033,A$4,Movimientos!$F$1:$F$1033,"Ingreso")</f>
        <v>0</v>
      </c>
      <c r="P16" s="44">
        <f>SUMIFS(Movimientos!$J$1:$J$1033,Movimientos!$C$1:$C$1033,$B16,Movimientos!$D$1:$D$1033,$C16,Movimientos!$L$1:$L$1033,A$4,Movimientos!$F$1:$F$1033,"Egreso")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SUMIFS(Movimientos!$J$1:$J$1033,Movimientos!$C$1:$C$1033,$B16,Movimientos!$D$1:$D$1033,$C16,Movimientos!$L$1:$L$1033,A$5,Movimientos!$F$1:$F$1033,"Ingreso")</f>
        <v>0</v>
      </c>
      <c r="U16" s="44">
        <f>SUMIFS(Movimientos!$J$1:$J$1033,Movimientos!$C$1:$C$1033,$B16,Movimientos!$D$1:$D$1033,$C16,Movimientos!$L$1:$L$1033,A$5,Movimientos!$F$1:$F$1033,"Egreso")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SUMIFS(Movimientos!$J$1:$J$1033,Movimientos!$C$1:$C$1033,$B16,Movimientos!$D$1:$D$1033,$C16,Movimientos!$L$1:$L$1033,A$6,Movimientos!$F$1:$F$1033,"Ingreso")</f>
        <v>0</v>
      </c>
      <c r="Z16" s="44">
        <f>SUMIFS(Movimientos!$J$1:$J$1033,Movimientos!$C$1:$C$1033,$B16,Movimientos!$D$1:$D$1033,$C16,Movimientos!$L$1:$L$1033,F$5,Movimientos!$F$1:$F$1033,"Egreso")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SUMIFS(Movimientos!$J$1:$J$1033,Movimientos!$C$1:$C$1033,$B17,Movimientos!$D$1:$D$1033,$C17,Movimientos!$L$1:$L$1033,A$3,Movimientos!$F$1:$F$1033,"Ingreso")</f>
        <v>0</v>
      </c>
      <c r="K17" s="44">
        <f>SUMIFS(Movimientos!$J$1:$J$1033,Movimientos!$C$1:$C$1033,$B17,Movimientos!$D$1:$D$1033,$C17,Movimientos!$L$1:$L$1033,A$3,Movimientos!$F$1:$F$1033,"Egreso")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SUMIFS(Movimientos!$J$1:$J$1033,Movimientos!$C$1:$C$1033,$B17,Movimientos!$D$1:$D$1033,$C17,Movimientos!$L$1:$L$1033,A$4,Movimientos!$F$1:$F$1033,"Ingreso")</f>
        <v>0</v>
      </c>
      <c r="P17" s="44">
        <f>SUMIFS(Movimientos!$J$1:$J$1033,Movimientos!$C$1:$C$1033,$B17,Movimientos!$D$1:$D$1033,$C17,Movimientos!$L$1:$L$1033,A$4,Movimientos!$F$1:$F$1033,"Egreso")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SUMIFS(Movimientos!$J$1:$J$1033,Movimientos!$C$1:$C$1033,$B17,Movimientos!$D$1:$D$1033,$C17,Movimientos!$L$1:$L$1033,A$5,Movimientos!$F$1:$F$1033,"Ingreso")</f>
        <v>0</v>
      </c>
      <c r="U17" s="44">
        <f>SUMIFS(Movimientos!$J$1:$J$1033,Movimientos!$C$1:$C$1033,$B17,Movimientos!$D$1:$D$1033,$C17,Movimientos!$L$1:$L$1033,A$5,Movimientos!$F$1:$F$1033,"Egreso")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SUMIFS(Movimientos!$J$1:$J$1033,Movimientos!$C$1:$C$1033,$B17,Movimientos!$D$1:$D$1033,$C17,Movimientos!$L$1:$L$1033,A$6,Movimientos!$F$1:$F$1033,"Ingreso")</f>
        <v>0</v>
      </c>
      <c r="Z17" s="44">
        <f>SUMIFS(Movimientos!$J$1:$J$1033,Movimientos!$C$1:$C$1033,$B17,Movimientos!$D$1:$D$1033,$C17,Movimientos!$L$1:$L$1033,F$5,Movimientos!$F$1:$F$1033,"Egreso")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SUMIFS(Movimientos!$J$1:$J$1033,Movimientos!$C$1:$C$1033,$B18,Movimientos!$D$1:$D$1033,$C18,Movimientos!$L$1:$L$1033,A$3,Movimientos!$F$1:$F$1033,"Ingreso")</f>
        <v>0</v>
      </c>
      <c r="K18" s="44">
        <f>SUMIFS(Movimientos!$J$1:$J$1033,Movimientos!$C$1:$C$1033,$B18,Movimientos!$D$1:$D$1033,$C18,Movimientos!$L$1:$L$1033,A$3,Movimientos!$F$1:$F$1033,"Egreso")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SUMIFS(Movimientos!$J$1:$J$1033,Movimientos!$C$1:$C$1033,$B18,Movimientos!$D$1:$D$1033,$C18,Movimientos!$L$1:$L$1033,A$4,Movimientos!$F$1:$F$1033,"Ingreso")</f>
        <v>0</v>
      </c>
      <c r="P18" s="44">
        <f>SUMIFS(Movimientos!$J$1:$J$1033,Movimientos!$C$1:$C$1033,$B18,Movimientos!$D$1:$D$1033,$C18,Movimientos!$L$1:$L$1033,A$4,Movimientos!$F$1:$F$1033,"Egreso")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SUMIFS(Movimientos!$J$1:$J$1033,Movimientos!$C$1:$C$1033,$B18,Movimientos!$D$1:$D$1033,$C18,Movimientos!$L$1:$L$1033,A$5,Movimientos!$F$1:$F$1033,"Ingreso")</f>
        <v>0</v>
      </c>
      <c r="U18" s="44">
        <f>SUMIFS(Movimientos!$J$1:$J$1033,Movimientos!$C$1:$C$1033,$B18,Movimientos!$D$1:$D$1033,$C18,Movimientos!$L$1:$L$1033,A$5,Movimientos!$F$1:$F$1033,"Egreso")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SUMIFS(Movimientos!$J$1:$J$1033,Movimientos!$C$1:$C$1033,$B18,Movimientos!$D$1:$D$1033,$C18,Movimientos!$L$1:$L$1033,A$6,Movimientos!$F$1:$F$1033,"Ingreso")</f>
        <v>0</v>
      </c>
      <c r="Z18" s="44">
        <f>SUMIFS(Movimientos!$J$1:$J$1033,Movimientos!$C$1:$C$1033,$B18,Movimientos!$D$1:$D$1033,$C18,Movimientos!$L$1:$L$1033,F$5,Movimientos!$F$1:$F$1033,"Egreso")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SUMIFS(Movimientos!$J$1:$J$1033,Movimientos!$C$1:$C$1033,$B19,Movimientos!$D$1:$D$1033,$C19,Movimientos!$L$1:$L$1033,A$3,Movimientos!$F$1:$F$1033,"Ingreso")</f>
        <v>2580000</v>
      </c>
      <c r="K19" s="44">
        <f>SUMIFS(Movimientos!$J$1:$J$1033,Movimientos!$C$1:$C$1033,$B19,Movimientos!$D$1:$D$1033,$C19,Movimientos!$L$1:$L$1033,A$3,Movimientos!$F$1:$F$1033,"Egreso")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SUMIFS(Movimientos!$J$1:$J$1033,Movimientos!$C$1:$C$1033,$B19,Movimientos!$D$1:$D$1033,$C19,Movimientos!$L$1:$L$1033,A$4,Movimientos!$F$1:$F$1033,"Ingreso")</f>
        <v>0</v>
      </c>
      <c r="P19" s="44">
        <f>SUMIFS(Movimientos!$J$1:$J$1033,Movimientos!$C$1:$C$1033,$B19,Movimientos!$D$1:$D$1033,$C19,Movimientos!$L$1:$L$1033,A$4,Movimientos!$F$1:$F$1033,"Egreso")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SUMIFS(Movimientos!$J$1:$J$1033,Movimientos!$C$1:$C$1033,$B19,Movimientos!$D$1:$D$1033,$C19,Movimientos!$L$1:$L$1033,A$5,Movimientos!$F$1:$F$1033,"Ingreso")</f>
        <v>560000</v>
      </c>
      <c r="U19" s="44">
        <f>SUMIFS(Movimientos!$J$1:$J$1033,Movimientos!$C$1:$C$1033,$B19,Movimientos!$D$1:$D$1033,$C19,Movimientos!$L$1:$L$1033,A$5,Movimientos!$F$1:$F$1033,"Egreso")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SUMIFS(Movimientos!$J$1:$J$1033,Movimientos!$C$1:$C$1033,$B19,Movimientos!$D$1:$D$1033,$C19,Movimientos!$L$1:$L$1033,A$6,Movimientos!$F$1:$F$1033,"Ingreso")</f>
        <v>34281.760000000002</v>
      </c>
      <c r="Z19" s="44">
        <f>SUMIFS(Movimientos!$J$1:$J$1033,Movimientos!$C$1:$C$1033,$B19,Movimientos!$D$1:$D$1033,$C19,Movimientos!$L$1:$L$1033,F$5,Movimientos!$F$1:$F$1033,"Egreso")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SUMIFS(Movimientos!$J$1:$J$1033,Movimientos!$C$1:$C$1033,$B20,Movimientos!$D$1:$D$1033,$C20,Movimientos!$L$1:$L$1033,A$3,Movimientos!$F$1:$F$1033,"Ingreso")</f>
        <v>0</v>
      </c>
      <c r="K20" s="44">
        <f>SUMIFS(Movimientos!$J$1:$J$1033,Movimientos!$C$1:$C$1033,$B20,Movimientos!$D$1:$D$1033,$C20,Movimientos!$L$1:$L$1033,A$3,Movimientos!$F$1:$F$1033,"Egreso")</f>
        <v>0</v>
      </c>
      <c r="L20" s="7">
        <f t="shared" si="0"/>
        <v>0</v>
      </c>
      <c r="M20" s="12">
        <f t="shared" si="6"/>
        <v>88090.370000000112</v>
      </c>
      <c r="N20" s="5">
        <f t="shared" si="7"/>
        <v>88090.370000000112</v>
      </c>
      <c r="O20" s="44">
        <f>SUMIFS(Movimientos!$J$1:$J$1033,Movimientos!$C$1:$C$1033,$B20,Movimientos!$D$1:$D$1033,$C20,Movimientos!$L$1:$L$1033,A$4,Movimientos!$F$1:$F$1033,"Ingreso")</f>
        <v>0</v>
      </c>
      <c r="P20" s="44">
        <f>SUMIFS(Movimientos!$J$1:$J$1033,Movimientos!$C$1:$C$1033,$B20,Movimientos!$D$1:$D$1033,$C20,Movimientos!$L$1:$L$1033,A$4,Movimientos!$F$1:$F$1033,"Egreso")</f>
        <v>0</v>
      </c>
      <c r="Q20" s="7">
        <f t="shared" si="1"/>
        <v>0</v>
      </c>
      <c r="R20" s="12">
        <f t="shared" si="8"/>
        <v>88090.370000000112</v>
      </c>
      <c r="S20" s="5">
        <f t="shared" si="9"/>
        <v>88090.370000000112</v>
      </c>
      <c r="T20" s="44">
        <f>SUMIFS(Movimientos!$J$1:$J$1033,Movimientos!$C$1:$C$1033,$B20,Movimientos!$D$1:$D$1033,$C20,Movimientos!$L$1:$L$1033,A$5,Movimientos!$F$1:$F$1033,"Ingreso")</f>
        <v>70003.87</v>
      </c>
      <c r="U20" s="44">
        <f>SUMIFS(Movimientos!$J$1:$J$1033,Movimientos!$C$1:$C$1033,$B20,Movimientos!$D$1:$D$1033,$C20,Movimientos!$L$1:$L$1033,A$5,Movimientos!$F$1:$F$1033,"Egreso")</f>
        <v>59924.979999999996</v>
      </c>
      <c r="V20" s="7">
        <f t="shared" si="2"/>
        <v>10078.89</v>
      </c>
      <c r="W20" s="12">
        <f t="shared" si="10"/>
        <v>98169.260000000111</v>
      </c>
      <c r="X20" s="5">
        <f t="shared" si="11"/>
        <v>98169.260000000111</v>
      </c>
      <c r="Y20" s="44">
        <f>SUMIFS(Movimientos!$J$1:$J$1033,Movimientos!$C$1:$C$1033,$B20,Movimientos!$D$1:$D$1033,$C20,Movimientos!$L$1:$L$1033,A$6,Movimientos!$F$1:$F$1033,"Ingreso")</f>
        <v>0</v>
      </c>
      <c r="Z20" s="44">
        <f>SUMIFS(Movimientos!$J$1:$J$1033,Movimientos!$C$1:$C$1033,$B20,Movimientos!$D$1:$D$1033,$C20,Movimientos!$L$1:$L$1033,F$5,Movimientos!$F$1:$F$1033,"Egreso")</f>
        <v>0</v>
      </c>
      <c r="AA20" s="7">
        <f t="shared" si="3"/>
        <v>0</v>
      </c>
      <c r="AB20" s="12">
        <f t="shared" si="12"/>
        <v>98169.260000000111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SUMIFS(Movimientos!$J$1:$J$1033,Movimientos!$C$1:$C$1033,$B21,Movimientos!$D$1:$D$1033,$C21,Movimientos!$L$1:$L$1033,A$3,Movimientos!$F$1:$F$1033,"Ingreso")</f>
        <v>0</v>
      </c>
      <c r="K21" s="44">
        <f>SUMIFS(Movimientos!$J$1:$J$1033,Movimientos!$C$1:$C$1033,$B21,Movimientos!$D$1:$D$1033,$C21,Movimientos!$L$1:$L$1033,A$3,Movimientos!$F$1:$F$1033,"Egreso")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SUMIFS(Movimientos!$J$1:$J$1033,Movimientos!$C$1:$C$1033,$B21,Movimientos!$D$1:$D$1033,$C21,Movimientos!$L$1:$L$1033,A$4,Movimientos!$F$1:$F$1033,"Ingreso")</f>
        <v>14659.29</v>
      </c>
      <c r="P21" s="44">
        <f>SUMIFS(Movimientos!$J$1:$J$1033,Movimientos!$C$1:$C$1033,$B21,Movimientos!$D$1:$D$1033,$C21,Movimientos!$L$1:$L$1033,A$4,Movimientos!$F$1:$F$1033,"Egreso")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SUMIFS(Movimientos!$J$1:$J$1033,Movimientos!$C$1:$C$1033,$B21,Movimientos!$D$1:$D$1033,$C21,Movimientos!$L$1:$L$1033,A$5,Movimientos!$F$1:$F$1033,"Ingreso")</f>
        <v>0</v>
      </c>
      <c r="U21" s="44">
        <f>SUMIFS(Movimientos!$J$1:$J$1033,Movimientos!$C$1:$C$1033,$B21,Movimientos!$D$1:$D$1033,$C21,Movimientos!$L$1:$L$1033,A$5,Movimientos!$F$1:$F$1033,"Egreso")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SUMIFS(Movimientos!$J$1:$J$1033,Movimientos!$C$1:$C$1033,$B21,Movimientos!$D$1:$D$1033,$C21,Movimientos!$L$1:$L$1033,A$6,Movimientos!$F$1:$F$1033,"Ingreso")</f>
        <v>0</v>
      </c>
      <c r="Z21" s="44">
        <f>SUMIFS(Movimientos!$J$1:$J$1033,Movimientos!$C$1:$C$1033,$B21,Movimientos!$D$1:$D$1033,$C21,Movimientos!$L$1:$L$1033,F$5,Movimientos!$F$1:$F$1033,"Egreso")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SUMIFS(Movimientos!$J$1:$J$1033,Movimientos!$C$1:$C$1033,$B22,Movimientos!$D$1:$D$1033,$C22,Movimientos!$L$1:$L$1033,A$3,Movimientos!$F$1:$F$1033,"Ingreso")</f>
        <v>0</v>
      </c>
      <c r="K22" s="44">
        <f>SUMIFS(Movimientos!$J$1:$J$1033,Movimientos!$C$1:$C$1033,$B22,Movimientos!$D$1:$D$1033,$C22,Movimientos!$L$1:$L$1033,A$3,Movimientos!$F$1:$F$1033,"Egreso")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SUMIFS(Movimientos!$J$1:$J$1033,Movimientos!$C$1:$C$1033,$B22,Movimientos!$D$1:$D$1033,$C22,Movimientos!$L$1:$L$1033,A$4,Movimientos!$F$1:$F$1033,"Ingreso")</f>
        <v>0</v>
      </c>
      <c r="P22" s="44">
        <f>SUMIFS(Movimientos!$J$1:$J$1033,Movimientos!$C$1:$C$1033,$B22,Movimientos!$D$1:$D$1033,$C22,Movimientos!$L$1:$L$1033,A$4,Movimientos!$F$1:$F$1033,"Egreso")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SUMIFS(Movimientos!$J$1:$J$1033,Movimientos!$C$1:$C$1033,$B22,Movimientos!$D$1:$D$1033,$C22,Movimientos!$L$1:$L$1033,A$5,Movimientos!$F$1:$F$1033,"Ingreso")</f>
        <v>100</v>
      </c>
      <c r="U22" s="44">
        <f>SUMIFS(Movimientos!$J$1:$J$1033,Movimientos!$C$1:$C$1033,$B22,Movimientos!$D$1:$D$1033,$C22,Movimientos!$L$1:$L$1033,A$5,Movimientos!$F$1:$F$1033,"Egreso")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SUMIFS(Movimientos!$J$1:$J$1033,Movimientos!$C$1:$C$1033,$B22,Movimientos!$D$1:$D$1033,$C22,Movimientos!$L$1:$L$1033,A$6,Movimientos!$F$1:$F$1033,"Ingreso")</f>
        <v>0</v>
      </c>
      <c r="Z22" s="44">
        <f>SUMIFS(Movimientos!$J$1:$J$1033,Movimientos!$C$1:$C$1033,$B22,Movimientos!$D$1:$D$1033,$C22,Movimientos!$L$1:$L$1033,F$5,Movimientos!$F$1:$F$1033,"Egreso")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SUMIFS(Movimientos!$J$1:$J$1033,Movimientos!$C$1:$C$1033,$B23,Movimientos!$D$1:$D$1033,$C23,Movimientos!$L$1:$L$1033,A$3,Movimientos!$F$1:$F$1033,"Ingreso")</f>
        <v>0</v>
      </c>
      <c r="K23" s="44">
        <f>SUMIFS(Movimientos!$J$1:$J$1033,Movimientos!$C$1:$C$1033,$B23,Movimientos!$D$1:$D$1033,$C23,Movimientos!$L$1:$L$1033,A$3,Movimientos!$F$1:$F$1033,"Egreso")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SUMIFS(Movimientos!$J$1:$J$1033,Movimientos!$C$1:$C$1033,$B23,Movimientos!$D$1:$D$1033,$C23,Movimientos!$L$1:$L$1033,A$4,Movimientos!$F$1:$F$1033,"Ingreso")</f>
        <v>0</v>
      </c>
      <c r="P23" s="44">
        <f>SUMIFS(Movimientos!$J$1:$J$1033,Movimientos!$C$1:$C$1033,$B23,Movimientos!$D$1:$D$1033,$C23,Movimientos!$L$1:$L$1033,A$4,Movimientos!$F$1:$F$1033,"Egreso")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SUMIFS(Movimientos!$J$1:$J$1033,Movimientos!$C$1:$C$1033,$B23,Movimientos!$D$1:$D$1033,$C23,Movimientos!$L$1:$L$1033,A$5,Movimientos!$F$1:$F$1033,"Ingreso")</f>
        <v>0</v>
      </c>
      <c r="U23" s="44">
        <f>SUMIFS(Movimientos!$J$1:$J$1033,Movimientos!$C$1:$C$1033,$B23,Movimientos!$D$1:$D$1033,$C23,Movimientos!$L$1:$L$1033,A$5,Movimientos!$F$1:$F$1033,"Egreso")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SUMIFS(Movimientos!$J$1:$J$1033,Movimientos!$C$1:$C$1033,$B23,Movimientos!$D$1:$D$1033,$C23,Movimientos!$L$1:$L$1033,A$6,Movimientos!$F$1:$F$1033,"Ingreso")</f>
        <v>0</v>
      </c>
      <c r="Z23" s="44">
        <f>SUMIFS(Movimientos!$J$1:$J$1033,Movimientos!$C$1:$C$1033,$B23,Movimientos!$D$1:$D$1033,$C23,Movimientos!$L$1:$L$1033,F$5,Movimientos!$F$1:$F$1033,"Egreso")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SUMIFS(Movimientos!$J$1:$J$1033,Movimientos!$C$1:$C$1033,$B24,Movimientos!$D$1:$D$1033,$C24,Movimientos!$L$1:$L$1033,A$3,Movimientos!$F$1:$F$1033,"Ingreso")</f>
        <v>0</v>
      </c>
      <c r="K24" s="44">
        <f>SUMIFS(Movimientos!$J$1:$J$1033,Movimientos!$C$1:$C$1033,$B24,Movimientos!$D$1:$D$1033,$C24,Movimientos!$L$1:$L$1033,A$3,Movimientos!$F$1:$F$1033,"Egreso")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SUMIFS(Movimientos!$J$1:$J$1033,Movimientos!$C$1:$C$1033,$B24,Movimientos!$D$1:$D$1033,$C24,Movimientos!$L$1:$L$1033,A$4,Movimientos!$F$1:$F$1033,"Ingreso")</f>
        <v>1451269.78</v>
      </c>
      <c r="P24" s="44">
        <f>SUMIFS(Movimientos!$J$1:$J$1033,Movimientos!$C$1:$C$1033,$B24,Movimientos!$D$1:$D$1033,$C24,Movimientos!$L$1:$L$1033,A$4,Movimientos!$F$1:$F$1033,"Egreso")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SUMIFS(Movimientos!$J$1:$J$1033,Movimientos!$C$1:$C$1033,$B24,Movimientos!$D$1:$D$1033,$C24,Movimientos!$L$1:$L$1033,A$5,Movimientos!$F$1:$F$1033,"Ingreso")</f>
        <v>0</v>
      </c>
      <c r="U24" s="44">
        <f>SUMIFS(Movimientos!$J$1:$J$1033,Movimientos!$C$1:$C$1033,$B24,Movimientos!$D$1:$D$1033,$C24,Movimientos!$L$1:$L$1033,A$5,Movimientos!$F$1:$F$1033,"Egreso")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SUMIFS(Movimientos!$J$1:$J$1033,Movimientos!$C$1:$C$1033,$B24,Movimientos!$D$1:$D$1033,$C24,Movimientos!$L$1:$L$1033,A$6,Movimientos!$F$1:$F$1033,"Ingreso")</f>
        <v>0</v>
      </c>
      <c r="Z24" s="44">
        <f>SUMIFS(Movimientos!$J$1:$J$1033,Movimientos!$C$1:$C$1033,$B24,Movimientos!$D$1:$D$1033,$C24,Movimientos!$L$1:$L$1033,F$5,Movimientos!$F$1:$F$1033,"Egreso")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SUMIFS(Movimientos!$J$1:$J$1033,Movimientos!$C$1:$C$1033,$B25,Movimientos!$D$1:$D$1033,$C25,Movimientos!$L$1:$L$1033,A$3,Movimientos!$F$1:$F$1033,"Ingreso")</f>
        <v>0</v>
      </c>
      <c r="K25" s="44">
        <f>SUMIFS(Movimientos!$J$1:$J$1033,Movimientos!$C$1:$C$1033,$B25,Movimientos!$D$1:$D$1033,$C25,Movimientos!$L$1:$L$1033,A$3,Movimientos!$F$1:$F$1033,"Egreso")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SUMIFS(Movimientos!$J$1:$J$1033,Movimientos!$C$1:$C$1033,$B25,Movimientos!$D$1:$D$1033,$C25,Movimientos!$L$1:$L$1033,A$4,Movimientos!$F$1:$F$1033,"Ingreso")</f>
        <v>0</v>
      </c>
      <c r="P25" s="44">
        <f>SUMIFS(Movimientos!$J$1:$J$1033,Movimientos!$C$1:$C$1033,$B25,Movimientos!$D$1:$D$1033,$C25,Movimientos!$L$1:$L$1033,A$4,Movimientos!$F$1:$F$1033,"Egreso")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SUMIFS(Movimientos!$J$1:$J$1033,Movimientos!$C$1:$C$1033,$B25,Movimientos!$D$1:$D$1033,$C25,Movimientos!$L$1:$L$1033,A$5,Movimientos!$F$1:$F$1033,"Ingreso")</f>
        <v>0</v>
      </c>
      <c r="U25" s="44">
        <f>SUMIFS(Movimientos!$J$1:$J$1033,Movimientos!$C$1:$C$1033,$B25,Movimientos!$D$1:$D$1033,$C25,Movimientos!$L$1:$L$1033,A$5,Movimientos!$F$1:$F$1033,"Egreso")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SUMIFS(Movimientos!$J$1:$J$1033,Movimientos!$C$1:$C$1033,$B25,Movimientos!$D$1:$D$1033,$C25,Movimientos!$L$1:$L$1033,A$6,Movimientos!$F$1:$F$1033,"Ingreso")</f>
        <v>0</v>
      </c>
      <c r="Z25" s="44">
        <f>SUMIFS(Movimientos!$J$1:$J$1033,Movimientos!$C$1:$C$1033,$B25,Movimientos!$D$1:$D$1033,$C25,Movimientos!$L$1:$L$1033,F$5,Movimientos!$F$1:$F$1033,"Egreso")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SUMIFS(Movimientos!$J$1:$J$1033,Movimientos!$C$1:$C$1033,$B26,Movimientos!$D$1:$D$1033,$C26,Movimientos!$L$1:$L$1033,A$3,Movimientos!$F$1:$F$1033,"Ingreso")</f>
        <v>0</v>
      </c>
      <c r="K26" s="44">
        <f>SUMIFS(Movimientos!$J$1:$J$1033,Movimientos!$C$1:$C$1033,$B26,Movimientos!$D$1:$D$1033,$C26,Movimientos!$L$1:$L$1033,A$3,Movimientos!$F$1:$F$1033,"Egreso")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SUMIFS(Movimientos!$J$1:$J$1033,Movimientos!$C$1:$C$1033,$B26,Movimientos!$D$1:$D$1033,$C26,Movimientos!$L$1:$L$1033,A$4,Movimientos!$F$1:$F$1033,"Ingreso")</f>
        <v>0</v>
      </c>
      <c r="P26" s="44">
        <f>SUMIFS(Movimientos!$J$1:$J$1033,Movimientos!$C$1:$C$1033,$B26,Movimientos!$D$1:$D$1033,$C26,Movimientos!$L$1:$L$1033,A$4,Movimientos!$F$1:$F$1033,"Egreso")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SUMIFS(Movimientos!$J$1:$J$1033,Movimientos!$C$1:$C$1033,$B26,Movimientos!$D$1:$D$1033,$C26,Movimientos!$L$1:$L$1033,A$5,Movimientos!$F$1:$F$1033,"Ingreso")</f>
        <v>0</v>
      </c>
      <c r="U26" s="44">
        <f>SUMIFS(Movimientos!$J$1:$J$1033,Movimientos!$C$1:$C$1033,$B26,Movimientos!$D$1:$D$1033,$C26,Movimientos!$L$1:$L$1033,A$5,Movimientos!$F$1:$F$1033,"Egreso")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SUMIFS(Movimientos!$J$1:$J$1033,Movimientos!$C$1:$C$1033,$B26,Movimientos!$D$1:$D$1033,$C26,Movimientos!$L$1:$L$1033,A$6,Movimientos!$F$1:$F$1033,"Ingreso")</f>
        <v>0</v>
      </c>
      <c r="Z26" s="44">
        <f>SUMIFS(Movimientos!$J$1:$J$1033,Movimientos!$C$1:$C$1033,$B26,Movimientos!$D$1:$D$1033,$C26,Movimientos!$L$1:$L$1033,F$5,Movimientos!$F$1:$F$1033,"Egreso")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SUMIFS(Movimientos!$J$1:$J$1033,Movimientos!$C$1:$C$1033,$B27,Movimientos!$D$1:$D$1033,$C27,Movimientos!$L$1:$L$1033,A$3,Movimientos!$F$1:$F$1033,"Ingreso")</f>
        <v>0</v>
      </c>
      <c r="K27" s="44">
        <f>SUMIFS(Movimientos!$J$1:$J$1033,Movimientos!$C$1:$C$1033,$B27,Movimientos!$D$1:$D$1033,$C27,Movimientos!$L$1:$L$1033,A$3,Movimientos!$F$1:$F$1033,"Egreso")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SUMIFS(Movimientos!$J$1:$J$1033,Movimientos!$C$1:$C$1033,$B27,Movimientos!$D$1:$D$1033,$C27,Movimientos!$L$1:$L$1033,A$4,Movimientos!$F$1:$F$1033,"Ingreso")</f>
        <v>518.65</v>
      </c>
      <c r="P27" s="44">
        <f>SUMIFS(Movimientos!$J$1:$J$1033,Movimientos!$C$1:$C$1033,$B27,Movimientos!$D$1:$D$1033,$C27,Movimientos!$L$1:$L$1033,A$4,Movimientos!$F$1:$F$1033,"Egreso")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SUMIFS(Movimientos!$J$1:$J$1033,Movimientos!$C$1:$C$1033,$B27,Movimientos!$D$1:$D$1033,$C27,Movimientos!$L$1:$L$1033,A$5,Movimientos!$F$1:$F$1033,"Ingreso")</f>
        <v>0</v>
      </c>
      <c r="U27" s="44">
        <f>SUMIFS(Movimientos!$J$1:$J$1033,Movimientos!$C$1:$C$1033,$B27,Movimientos!$D$1:$D$1033,$C27,Movimientos!$L$1:$L$1033,A$5,Movimientos!$F$1:$F$1033,"Egreso")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SUMIFS(Movimientos!$J$1:$J$1033,Movimientos!$C$1:$C$1033,$B27,Movimientos!$D$1:$D$1033,$C27,Movimientos!$L$1:$L$1033,A$6,Movimientos!$F$1:$F$1033,"Ingreso")</f>
        <v>0</v>
      </c>
      <c r="Z27" s="44">
        <f>SUMIFS(Movimientos!$J$1:$J$1033,Movimientos!$C$1:$C$1033,$B27,Movimientos!$D$1:$D$1033,$C27,Movimientos!$L$1:$L$1033,F$5,Movimientos!$F$1:$F$1033,"Egreso")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SUMIFS(Movimientos!$J$1:$J$1033,Movimientos!$C$1:$C$1033,$B28,Movimientos!$D$1:$D$1033,$C28,Movimientos!$L$1:$L$1033,A$3,Movimientos!$F$1:$F$1033,"Ingreso")</f>
        <v>0</v>
      </c>
      <c r="K28" s="44">
        <f>SUMIFS(Movimientos!$J$1:$J$1033,Movimientos!$C$1:$C$1033,$B28,Movimientos!$D$1:$D$1033,$C28,Movimientos!$L$1:$L$1033,A$3,Movimientos!$F$1:$F$1033,"Egreso")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SUMIFS(Movimientos!$J$1:$J$1033,Movimientos!$C$1:$C$1033,$B28,Movimientos!$D$1:$D$1033,$C28,Movimientos!$L$1:$L$1033,A$4,Movimientos!$F$1:$F$1033,"Ingreso")</f>
        <v>0</v>
      </c>
      <c r="P28" s="44">
        <f>SUMIFS(Movimientos!$J$1:$J$1033,Movimientos!$C$1:$C$1033,$B28,Movimientos!$D$1:$D$1033,$C28,Movimientos!$L$1:$L$1033,A$4,Movimientos!$F$1:$F$1033,"Egreso")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SUMIFS(Movimientos!$J$1:$J$1033,Movimientos!$C$1:$C$1033,$B28,Movimientos!$D$1:$D$1033,$C28,Movimientos!$L$1:$L$1033,A$5,Movimientos!$F$1:$F$1033,"Ingreso")</f>
        <v>0</v>
      </c>
      <c r="U28" s="44">
        <f>SUMIFS(Movimientos!$J$1:$J$1033,Movimientos!$C$1:$C$1033,$B28,Movimientos!$D$1:$D$1033,$C28,Movimientos!$L$1:$L$1033,A$5,Movimientos!$F$1:$F$1033,"Egreso")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SUMIFS(Movimientos!$J$1:$J$1033,Movimientos!$C$1:$C$1033,$B28,Movimientos!$D$1:$D$1033,$C28,Movimientos!$L$1:$L$1033,A$6,Movimientos!$F$1:$F$1033,"Ingreso")</f>
        <v>0</v>
      </c>
      <c r="Z28" s="44">
        <f>SUMIFS(Movimientos!$J$1:$J$1033,Movimientos!$C$1:$C$1033,$B28,Movimientos!$D$1:$D$1033,$C28,Movimientos!$L$1:$L$1033,F$5,Movimientos!$F$1:$F$1033,"Egreso")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SUMIFS(Movimientos!$J$1:$J$1033,Movimientos!$C$1:$C$1033,$B29,Movimientos!$D$1:$D$1033,$C29,Movimientos!$L$1:$L$1033,A$3,Movimientos!$F$1:$F$1033,"Ingreso")</f>
        <v>5250</v>
      </c>
      <c r="K29" s="44">
        <f>SUMIFS(Movimientos!$J$1:$J$1033,Movimientos!$C$1:$C$1033,$B29,Movimientos!$D$1:$D$1033,$C29,Movimientos!$L$1:$L$1033,A$3,Movimientos!$F$1:$F$1033,"Egreso")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SUMIFS(Movimientos!$J$1:$J$1033,Movimientos!$C$1:$C$1033,$B29,Movimientos!$D$1:$D$1033,$C29,Movimientos!$L$1:$L$1033,A$4,Movimientos!$F$1:$F$1033,"Ingreso")</f>
        <v>0</v>
      </c>
      <c r="P29" s="44">
        <f>SUMIFS(Movimientos!$J$1:$J$1033,Movimientos!$C$1:$C$1033,$B29,Movimientos!$D$1:$D$1033,$C29,Movimientos!$L$1:$L$1033,A$4,Movimientos!$F$1:$F$1033,"Egreso")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SUMIFS(Movimientos!$J$1:$J$1033,Movimientos!$C$1:$C$1033,$B29,Movimientos!$D$1:$D$1033,$C29,Movimientos!$L$1:$L$1033,A$5,Movimientos!$F$1:$F$1033,"Ingreso")</f>
        <v>30105.4</v>
      </c>
      <c r="U29" s="44">
        <f>SUMIFS(Movimientos!$J$1:$J$1033,Movimientos!$C$1:$C$1033,$B29,Movimientos!$D$1:$D$1033,$C29,Movimientos!$L$1:$L$1033,A$5,Movimientos!$F$1:$F$1033,"Egreso")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SUMIFS(Movimientos!$J$1:$J$1033,Movimientos!$C$1:$C$1033,$B29,Movimientos!$D$1:$D$1033,$C29,Movimientos!$L$1:$L$1033,A$6,Movimientos!$F$1:$F$1033,"Ingreso")</f>
        <v>5250</v>
      </c>
      <c r="Z29" s="44">
        <f>SUMIFS(Movimientos!$J$1:$J$1033,Movimientos!$C$1:$C$1033,$B29,Movimientos!$D$1:$D$1033,$C29,Movimientos!$L$1:$L$1033,F$5,Movimientos!$F$1:$F$1033,"Egreso")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SUMIFS(Movimientos!$J$1:$J$1033,Movimientos!$C$1:$C$1033,$B30,Movimientos!$D$1:$D$1033,$C30,Movimientos!$L$1:$L$1033,A$3,Movimientos!$F$1:$F$1033,"Ingreso")</f>
        <v>0</v>
      </c>
      <c r="K30" s="44">
        <f>SUMIFS(Movimientos!$J$1:$J$1033,Movimientos!$C$1:$C$1033,$B30,Movimientos!$D$1:$D$1033,$C30,Movimientos!$L$1:$L$1033,A$3,Movimientos!$F$1:$F$1033,"Egreso")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SUMIFS(Movimientos!$J$1:$J$1033,Movimientos!$C$1:$C$1033,$B30,Movimientos!$D$1:$D$1033,$C30,Movimientos!$L$1:$L$1033,A$4,Movimientos!$F$1:$F$1033,"Ingreso")</f>
        <v>0</v>
      </c>
      <c r="P30" s="44">
        <f>SUMIFS(Movimientos!$J$1:$J$1033,Movimientos!$C$1:$C$1033,$B30,Movimientos!$D$1:$D$1033,$C30,Movimientos!$L$1:$L$1033,A$4,Movimientos!$F$1:$F$1033,"Egreso")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SUMIFS(Movimientos!$J$1:$J$1033,Movimientos!$C$1:$C$1033,$B30,Movimientos!$D$1:$D$1033,$C30,Movimientos!$L$1:$L$1033,A$5,Movimientos!$F$1:$F$1033,"Ingreso")</f>
        <v>0</v>
      </c>
      <c r="U30" s="44">
        <f>SUMIFS(Movimientos!$J$1:$J$1033,Movimientos!$C$1:$C$1033,$B30,Movimientos!$D$1:$D$1033,$C30,Movimientos!$L$1:$L$1033,A$5,Movimientos!$F$1:$F$1033,"Egreso")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SUMIFS(Movimientos!$J$1:$J$1033,Movimientos!$C$1:$C$1033,$B30,Movimientos!$D$1:$D$1033,$C30,Movimientos!$L$1:$L$1033,A$6,Movimientos!$F$1:$F$1033,"Ingreso")</f>
        <v>0</v>
      </c>
      <c r="Z30" s="44">
        <f>SUMIFS(Movimientos!$J$1:$J$1033,Movimientos!$C$1:$C$1033,$B30,Movimientos!$D$1:$D$1033,$C30,Movimientos!$L$1:$L$1033,F$5,Movimientos!$F$1:$F$1033,"Egreso")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SUMIFS(Movimientos!$J$1:$J$1033,Movimientos!$C$1:$C$1033,$B31,Movimientos!$D$1:$D$1033,$C31,Movimientos!$L$1:$L$1033,A$3,Movimientos!$F$1:$F$1033,"Ingreso")</f>
        <v>15000</v>
      </c>
      <c r="K31" s="44">
        <f>SUMIFS(Movimientos!$J$1:$J$1033,Movimientos!$C$1:$C$1033,$B31,Movimientos!$D$1:$D$1033,$C31,Movimientos!$L$1:$L$1033,A$3,Movimientos!$F$1:$F$1033,"Egreso")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SUMIFS(Movimientos!$J$1:$J$1033,Movimientos!$C$1:$C$1033,$B31,Movimientos!$D$1:$D$1033,$C31,Movimientos!$L$1:$L$1033,A$4,Movimientos!$F$1:$F$1033,"Ingreso")</f>
        <v>15000</v>
      </c>
      <c r="P31" s="44">
        <f>SUMIFS(Movimientos!$J$1:$J$1033,Movimientos!$C$1:$C$1033,$B31,Movimientos!$D$1:$D$1033,$C31,Movimientos!$L$1:$L$1033,A$4,Movimientos!$F$1:$F$1033,"Egreso")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SUMIFS(Movimientos!$J$1:$J$1033,Movimientos!$C$1:$C$1033,$B31,Movimientos!$D$1:$D$1033,$C31,Movimientos!$L$1:$L$1033,A$5,Movimientos!$F$1:$F$1033,"Ingreso")</f>
        <v>21000</v>
      </c>
      <c r="U31" s="44">
        <f>SUMIFS(Movimientos!$J$1:$J$1033,Movimientos!$C$1:$C$1033,$B31,Movimientos!$D$1:$D$1033,$C31,Movimientos!$L$1:$L$1033,A$5,Movimientos!$F$1:$F$1033,"Egreso")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SUMIFS(Movimientos!$J$1:$J$1033,Movimientos!$C$1:$C$1033,$B31,Movimientos!$D$1:$D$1033,$C31,Movimientos!$L$1:$L$1033,A$6,Movimientos!$F$1:$F$1033,"Ingreso")</f>
        <v>8227.09</v>
      </c>
      <c r="Z31" s="44">
        <f>SUMIFS(Movimientos!$J$1:$J$1033,Movimientos!$C$1:$C$1033,$B31,Movimientos!$D$1:$D$1033,$C31,Movimientos!$L$1:$L$1033,F$5,Movimientos!$F$1:$F$1033,"Egreso")</f>
        <v>0</v>
      </c>
      <c r="AA31" s="7">
        <f t="shared" si="3"/>
        <v>8227.09</v>
      </c>
      <c r="AB31" s="12">
        <f t="shared" si="12"/>
        <v>34786.260000000009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SUMIFS(Movimientos!$J$1:$J$1033,Movimientos!$C$1:$C$1033,$B32,Movimientos!$D$1:$D$1033,$C32,Movimientos!$L$1:$L$1033,A$3,Movimientos!$F$1:$F$1033,"Ingreso")</f>
        <v>12000</v>
      </c>
      <c r="K32" s="44">
        <f>SUMIFS(Movimientos!$J$1:$J$1033,Movimientos!$C$1:$C$1033,$B32,Movimientos!$D$1:$D$1033,$C32,Movimientos!$L$1:$L$1033,A$3,Movimientos!$F$1:$F$1033,"Egreso")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SUMIFS(Movimientos!$J$1:$J$1033,Movimientos!$C$1:$C$1033,$B32,Movimientos!$D$1:$D$1033,$C32,Movimientos!$L$1:$L$1033,A$4,Movimientos!$F$1:$F$1033,"Ingreso")</f>
        <v>8800</v>
      </c>
      <c r="P32" s="44">
        <f>SUMIFS(Movimientos!$J$1:$J$1033,Movimientos!$C$1:$C$1033,$B32,Movimientos!$D$1:$D$1033,$C32,Movimientos!$L$1:$L$1033,A$4,Movimientos!$F$1:$F$1033,"Egreso")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SUMIFS(Movimientos!$J$1:$J$1033,Movimientos!$C$1:$C$1033,$B32,Movimientos!$D$1:$D$1033,$C32,Movimientos!$L$1:$L$1033,A$5,Movimientos!$F$1:$F$1033,"Ingreso")</f>
        <v>9400</v>
      </c>
      <c r="U32" s="44">
        <f>SUMIFS(Movimientos!$J$1:$J$1033,Movimientos!$C$1:$C$1033,$B32,Movimientos!$D$1:$D$1033,$C32,Movimientos!$L$1:$L$1033,A$5,Movimientos!$F$1:$F$1033,"Egreso")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SUMIFS(Movimientos!$J$1:$J$1033,Movimientos!$C$1:$C$1033,$B32,Movimientos!$D$1:$D$1033,$C32,Movimientos!$L$1:$L$1033,A$6,Movimientos!$F$1:$F$1033,"Ingreso")</f>
        <v>7304.8099999999995</v>
      </c>
      <c r="Z32" s="44">
        <f>SUMIFS(Movimientos!$J$1:$J$1033,Movimientos!$C$1:$C$1033,$B32,Movimientos!$D$1:$D$1033,$C32,Movimientos!$L$1:$L$1033,F$5,Movimientos!$F$1:$F$1033,"Egreso")</f>
        <v>0</v>
      </c>
      <c r="AA32" s="7">
        <f t="shared" si="3"/>
        <v>7304.8099999999995</v>
      </c>
      <c r="AB32" s="12">
        <f t="shared" si="12"/>
        <v>31040.85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SUMIFS(Movimientos!$J$1:$J$1033,Movimientos!$C$1:$C$1033,$B33,Movimientos!$D$1:$D$1033,$C33,Movimientos!$L$1:$L$1033,A$3,Movimientos!$F$1:$F$1033,"Ingreso")</f>
        <v>59000</v>
      </c>
      <c r="K33" s="44">
        <f>SUMIFS(Movimientos!$J$1:$J$1033,Movimientos!$C$1:$C$1033,$B33,Movimientos!$D$1:$D$1033,$C33,Movimientos!$L$1:$L$1033,A$3,Movimientos!$F$1:$F$1033,"Egreso")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SUMIFS(Movimientos!$J$1:$J$1033,Movimientos!$C$1:$C$1033,$B33,Movimientos!$D$1:$D$1033,$C33,Movimientos!$L$1:$L$1033,A$4,Movimientos!$F$1:$F$1033,"Ingreso")</f>
        <v>50000</v>
      </c>
      <c r="P33" s="44">
        <f>SUMIFS(Movimientos!$J$1:$J$1033,Movimientos!$C$1:$C$1033,$B33,Movimientos!$D$1:$D$1033,$C33,Movimientos!$L$1:$L$1033,A$4,Movimientos!$F$1:$F$1033,"Egreso")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SUMIFS(Movimientos!$J$1:$J$1033,Movimientos!$C$1:$C$1033,$B33,Movimientos!$D$1:$D$1033,$C33,Movimientos!$L$1:$L$1033,A$5,Movimientos!$F$1:$F$1033,"Ingreso")</f>
        <v>23000</v>
      </c>
      <c r="U33" s="44">
        <f>SUMIFS(Movimientos!$J$1:$J$1033,Movimientos!$C$1:$C$1033,$B33,Movimientos!$D$1:$D$1033,$C33,Movimientos!$L$1:$L$1033,A$5,Movimientos!$F$1:$F$1033,"Egreso")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SUMIFS(Movimientos!$J$1:$J$1033,Movimientos!$C$1:$C$1033,$B33,Movimientos!$D$1:$D$1033,$C33,Movimientos!$L$1:$L$1033,A$6,Movimientos!$F$1:$F$1033,"Ingreso")</f>
        <v>20000</v>
      </c>
      <c r="Z33" s="44">
        <f>SUMIFS(Movimientos!$J$1:$J$1033,Movimientos!$C$1:$C$1033,$B33,Movimientos!$D$1:$D$1033,$C33,Movimientos!$L$1:$L$1033,F$5,Movimientos!$F$1:$F$1033,"Egreso")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SUMIFS(Movimientos!$J$1:$J$1033,Movimientos!$C$1:$C$1033,$B34,Movimientos!$D$1:$D$1033,$C34,Movimientos!$L$1:$L$1033,A$3,Movimientos!$F$1:$F$1033,"Ingreso")</f>
        <v>59000</v>
      </c>
      <c r="K34" s="44">
        <f>SUMIFS(Movimientos!$J$1:$J$1033,Movimientos!$C$1:$C$1033,$B34,Movimientos!$D$1:$D$1033,$C34,Movimientos!$L$1:$L$1033,A$3,Movimientos!$F$1:$F$1033,"Egreso")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SUMIFS(Movimientos!$J$1:$J$1033,Movimientos!$C$1:$C$1033,$B34,Movimientos!$D$1:$D$1033,$C34,Movimientos!$L$1:$L$1033,A$4,Movimientos!$F$1:$F$1033,"Ingreso")</f>
        <v>50000</v>
      </c>
      <c r="P34" s="44">
        <f>SUMIFS(Movimientos!$J$1:$J$1033,Movimientos!$C$1:$C$1033,$B34,Movimientos!$D$1:$D$1033,$C34,Movimientos!$L$1:$L$1033,A$4,Movimientos!$F$1:$F$1033,"Egreso")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SUMIFS(Movimientos!$J$1:$J$1033,Movimientos!$C$1:$C$1033,$B34,Movimientos!$D$1:$D$1033,$C34,Movimientos!$L$1:$L$1033,A$5,Movimientos!$F$1:$F$1033,"Ingreso")</f>
        <v>23000</v>
      </c>
      <c r="U34" s="44">
        <f>SUMIFS(Movimientos!$J$1:$J$1033,Movimientos!$C$1:$C$1033,$B34,Movimientos!$D$1:$D$1033,$C34,Movimientos!$L$1:$L$1033,A$5,Movimientos!$F$1:$F$1033,"Egreso")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SUMIFS(Movimientos!$J$1:$J$1033,Movimientos!$C$1:$C$1033,$B34,Movimientos!$D$1:$D$1033,$C34,Movimientos!$L$1:$L$1033,A$6,Movimientos!$F$1:$F$1033,"Ingreso")</f>
        <v>20000</v>
      </c>
      <c r="Z34" s="44">
        <f>SUMIFS(Movimientos!$J$1:$J$1033,Movimientos!$C$1:$C$1033,$B34,Movimientos!$D$1:$D$1033,$C34,Movimientos!$L$1:$L$1033,F$5,Movimientos!$F$1:$F$1033,"Egreso")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169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SUMIFS(Movimientos!$J$1:$J$1033,Movimientos!$C$1:$C$1033,$B35,Movimientos!$D$1:$D$1033,$C35,Movimientos!$L$1:$L$1033,A$3,Movimientos!$F$1:$F$1033,"Ingreso")</f>
        <v>0</v>
      </c>
      <c r="K35" s="44">
        <f>SUMIFS(Movimientos!$J$1:$J$1033,Movimientos!$C$1:$C$1033,$B35,Movimientos!$D$1:$D$1033,$C35,Movimientos!$L$1:$L$1033,A$3,Movimientos!$F$1:$F$1033,"Egreso")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SUMIFS(Movimientos!$J$1:$J$1033,Movimientos!$C$1:$C$1033,$B35,Movimientos!$D$1:$D$1033,$C35,Movimientos!$L$1:$L$1033,A$4,Movimientos!$F$1:$F$1033,"Ingreso")</f>
        <v>15000</v>
      </c>
      <c r="P35" s="44">
        <f>SUMIFS(Movimientos!$J$1:$J$1033,Movimientos!$C$1:$C$1033,$B35,Movimientos!$D$1:$D$1033,$C35,Movimientos!$L$1:$L$1033,A$4,Movimientos!$F$1:$F$1033,"Egreso")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SUMIFS(Movimientos!$J$1:$J$1033,Movimientos!$C$1:$C$1033,$B35,Movimientos!$D$1:$D$1033,$C35,Movimientos!$L$1:$L$1033,A$5,Movimientos!$F$1:$F$1033,"Ingreso")</f>
        <v>0</v>
      </c>
      <c r="U35" s="44">
        <f>SUMIFS(Movimientos!$J$1:$J$1033,Movimientos!$C$1:$C$1033,$B35,Movimientos!$D$1:$D$1033,$C35,Movimientos!$L$1:$L$1033,A$5,Movimientos!$F$1:$F$1033,"Egreso")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SUMIFS(Movimientos!$J$1:$J$1033,Movimientos!$C$1:$C$1033,$B35,Movimientos!$D$1:$D$1033,$C35,Movimientos!$L$1:$L$1033,A$6,Movimientos!$F$1:$F$1033,"Ingreso")</f>
        <v>6500</v>
      </c>
      <c r="Z35" s="44">
        <f>SUMIFS(Movimientos!$J$1:$J$1033,Movimientos!$C$1:$C$1033,$B35,Movimientos!$D$1:$D$1033,$C35,Movimientos!$L$1:$L$1033,F$5,Movimientos!$F$1:$F$1033,"Egreso")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153"/>
  <sheetViews>
    <sheetView showGridLines="0" zoomScale="80" zoomScaleNormal="80" workbookViewId="0">
      <pane xSplit="2" ySplit="1" topLeftCell="C140" activePane="bottomRight" state="frozen"/>
      <selection pane="topRight" activeCell="C1" sqref="C1"/>
      <selection pane="bottomLeft" activeCell="A2" sqref="A2"/>
      <selection pane="bottomRight" activeCell="B153" sqref="B153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145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Group")+SUMIFS(Movimientos!$K$1:$K$1033,Movimientos!$C$1:$C$1033,"CFT Group",Movimientos!$B$1:$B$1033,"&lt;="&amp;$B33)</f>
        <v>1064727.47</v>
      </c>
      <c r="D33" s="24">
        <f>SUMIFS('Saldos Iniciales'!$D:$D,'Saldos Iniciales'!$A:$A,"M1B")+SUMIFS(Movimientos!$K$1:$K$1033,Movimientos!$C$1:$C$1033,"M1B",Movimientos!$B$1:$B$1033,"&lt;="&amp;$B33)</f>
        <v>69376.390000000174</v>
      </c>
      <c r="E33" s="24">
        <f>SUMIFS('Saldos Iniciales'!$D:$D,'Saldos Iniciales'!$A:$A,"Durand")+SUMIFS(Movimientos!$K$1:$K$1033,Movimientos!$C$1:$C$1033,"Durand",Movimientos!$B$1:$B$1033,"&lt;="&amp;$B33)</f>
        <v>1669.89</v>
      </c>
      <c r="F33" s="24">
        <f>SUMIFS('Saldos Iniciales'!$D:$D,'Saldos Iniciales'!$A:$A,"A&amp;M Imports")+SUMIFS(Movimientos!$K$1:$K$1033,Movimientos!$C$1:$C$1033,"A&amp;M Imports",Movimientos!$B$1:$B$1033,"&lt;="&amp;$B33)</f>
        <v>635892.87999999989</v>
      </c>
      <c r="G33" s="24">
        <f>SUMIFS('Saldos Iniciales'!$D:$D,'Saldos Iniciales'!$A:$A,"SSP Capital")+SUMIFS(Movimientos!$K$1:$K$1033,Movimientos!$C$1:$C$1033,"SSP Capital",Movimientos!$B$1:$B$1033,"&lt;="&amp;$B33)</f>
        <v>1030143.7899999993</v>
      </c>
      <c r="H33" s="24">
        <f>SUMIFS('Saldos Iniciales'!$D:$D,'Saldos Iniciales'!$A:$A,"Cross Family Trust")+SUMIFS(Movimientos!$K$1:$K$1033,Movimientos!$C$1:$C$1033,"Cross Family Trust",Movimientos!$B$1:$B$1033,"&lt;="&amp;$B33)</f>
        <v>131496.38</v>
      </c>
      <c r="I33" s="24">
        <f>SUMIFS('Saldos Iniciales'!$D:$D,'Saldos Iniciales'!$A:$A,"Cross Security Trust")+SUMIFS(Movimientos!$K$1:$K$1033,Movimientos!$C$1:$C$1033,"Cross Security Trust",Movimientos!$B$1:$B$1033,"&lt;="&amp;$B33)</f>
        <v>88090.37</v>
      </c>
      <c r="J33" s="24">
        <f>SUMIFS('Saldos Iniciales'!$D:$D,'Saldos Iniciales'!$A:$A,"Electrama")+SUMIFS(Movimientos!$K$1:$K$1033,Movimientos!$C$1:$C$1033,"Electrama",Movimientos!$B$1:$B$1033,"&lt;="&amp;$B33)</f>
        <v>511.15999999999985</v>
      </c>
      <c r="K33" s="24">
        <f>SUMIFS('Saldos Iniciales'!$D:$D,'Saldos Iniciales'!$A:$A,"Sacred Valley Capital")+SUMIFS(Movimientos!$K$1:$K$1033,Movimientos!$C$1:$C$1033,"Sacred Valley Capital",Movimientos!$B$1:$B$1033,"&lt;="&amp;$B33)</f>
        <v>84.35</v>
      </c>
      <c r="L33" s="24">
        <f>SUMIFS('Saldos Iniciales'!$D:$D,'Saldos Iniciales'!$A:$A,"YWC Capital")+SUMIFS(Movimientos!$K$1:$K$1033,Movimientos!$C$1:$C$1033,"YWC Capital",Movimientos!$B$1:$B$1033,"&lt;="&amp;$B33)</f>
        <v>2237.77</v>
      </c>
      <c r="M33" s="24">
        <f>SUMIFS('Saldos Iniciales'!$D:$D,'Saldos Iniciales'!$A:$A,"Soweto")+SUMIFS(Movimientos!$K$1:$K$1033,Movimientos!$C$1:$C$1033,"Soweto",Movimientos!$B$1:$B$1033,"&lt;="&amp;$B33)</f>
        <v>3349.94</v>
      </c>
      <c r="N33" s="24">
        <f>SUMIFS('Saldos Iniciales'!$D:$D,'Saldos Iniciales'!$A:$A,"Green Stone Trust")+SUMIFS(Movimientos!$K$1:$K$1033,Movimientos!$C$1:$C$1033,"Green Stone Trust",Movimientos!$B$1:$B$1033,"&lt;="&amp;$B33)</f>
        <v>1968.99</v>
      </c>
      <c r="O33" s="24">
        <f>SUMIFS('Saldos Iniciales'!$D:$D,'Saldos Iniciales'!$A:$A,"EC Auto")+SUMIFS(Movimientos!$K$1:$K$1033,Movimientos!$C$1:$C$1033,"EC Auto",Movimientos!$B$1:$B$1033,"&lt;="&amp;$B33)</f>
        <v>901.34</v>
      </c>
      <c r="P33" s="24">
        <f>SUMIFS('Saldos Iniciales'!$D:$D,'Saldos Iniciales'!$A:$A,"Arbor Capital Properties")+SUMIFS(Movimientos!$K$1:$K$1033,Movimientos!$C$1:$C$1033,"Arbor Capital Properties",Movimientos!$B$1:$B$1033,"&lt;="&amp;$B33)</f>
        <v>1428.08</v>
      </c>
      <c r="Q33" s="24">
        <f>SUMIFS('Saldos Iniciales'!$D:$D,'Saldos Iniciales'!$A:$A,"2515 Overbrook")+SUMIFS(Movimientos!$K$1:$K$1033,Movimientos!$C$1:$C$1033,"2515 Overbrook",Movimientos!$B$1:$B$1033,"&lt;="&amp;$B33)</f>
        <v>26416.26999999996</v>
      </c>
      <c r="R33" s="24">
        <f>SUMIFS('Saldos Iniciales'!$D:$D,'Saldos Iniciales'!$A:$A,"112 Florida Ave")+SUMIFS(Movimientos!$K$1:$K$1033,Movimientos!$C$1:$C$1033,"112 Florida Ave",Movimientos!$B$1:$B$1033,"&lt;="&amp;$B33)</f>
        <v>5321.4300000000021</v>
      </c>
      <c r="S33" s="24">
        <f>SUMIFS('Saldos Iniciales'!$D:$D,'Saldos Iniciales'!$A:$A,"3628 Thomas Ave")+SUMIFS(Movimientos!$K$1:$K$1033,Movimientos!$C$1:$C$1033,"3628 Thomas Ave",Movimientos!$B$1:$B$1033,"&lt;="&amp;$B33)</f>
        <v>24833.23</v>
      </c>
      <c r="T33" s="24">
        <f>SUMIFS('Saldos Iniciales'!$D:$D,'Saldos Iniciales'!$A:$A,"Green Harbor Trust")+SUMIFS(Movimientos!$K$1:$K$1033,Movimientos!$C$1:$C$1033,"Green Harbor Trust",Movimientos!$B$1:$B$1033,"&lt;="&amp;$B33)</f>
        <v>345</v>
      </c>
      <c r="U33" s="24">
        <f>SUMIFS('Saldos Iniciales'!$D:$D,'Saldos Iniciales'!$A:$A,"Go Blue")+SUMIFS(Movimientos!$K$1:$K$1033,Movimientos!$C$1:$C$1033,"Go Blue",Movimientos!$B$1:$B$1033,"&lt;="&amp;$B33)</f>
        <v>12117.82</v>
      </c>
      <c r="V33" s="25">
        <f t="shared" ref="V33:V39" si="1">SUM(C33:U33)</f>
        <v>3100912.5499999993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Group")+SUMIFS(Movimientos!$K$1:$K$1033,Movimientos!$C$1:$C$1033,"CFT Group",Movimientos!$B$1:$B$1033,"&lt;="&amp;$B34)</f>
        <v>1064727.47</v>
      </c>
      <c r="D34" s="24">
        <f>SUMIFS('Saldos Iniciales'!$D:$D,'Saldos Iniciales'!$A:$A,"M1B")+SUMIFS(Movimientos!$K$1:$K$1033,Movimientos!$C$1:$C$1033,"M1B",Movimientos!$B$1:$B$1033,"&lt;="&amp;$B34)</f>
        <v>69376.390000000174</v>
      </c>
      <c r="E34" s="24">
        <f>SUMIFS('Saldos Iniciales'!$D:$D,'Saldos Iniciales'!$A:$A,"Durand")+SUMIFS(Movimientos!$K$1:$K$1033,Movimientos!$C$1:$C$1033,"Durand",Movimientos!$B$1:$B$1033,"&lt;="&amp;$B34)</f>
        <v>1669.89</v>
      </c>
      <c r="F34" s="24">
        <f>SUMIFS('Saldos Iniciales'!$D:$D,'Saldos Iniciales'!$A:$A,"A&amp;M Imports")+SUMIFS(Movimientos!$K$1:$K$1033,Movimientos!$C$1:$C$1033,"A&amp;M Imports",Movimientos!$B$1:$B$1033,"&lt;="&amp;$B34)</f>
        <v>635892.87999999989</v>
      </c>
      <c r="G34" s="24">
        <f>SUMIFS('Saldos Iniciales'!$D:$D,'Saldos Iniciales'!$A:$A,"SSP Capital")+SUMIFS(Movimientos!$K$1:$K$1033,Movimientos!$C$1:$C$1033,"SSP Capital",Movimientos!$B$1:$B$1033,"&lt;="&amp;$B34)</f>
        <v>1030143.7899999993</v>
      </c>
      <c r="H34" s="24">
        <f>SUMIFS('Saldos Iniciales'!$D:$D,'Saldos Iniciales'!$A:$A,"Cross Family Trust")+SUMIFS(Movimientos!$K$1:$K$1033,Movimientos!$C$1:$C$1033,"Cross Family Trust",Movimientos!$B$1:$B$1033,"&lt;="&amp;$B34)</f>
        <v>131496.38</v>
      </c>
      <c r="I34" s="24">
        <f>SUMIFS('Saldos Iniciales'!$D:$D,'Saldos Iniciales'!$A:$A,"Cross Security Trust")+SUMIFS(Movimientos!$K$1:$K$1033,Movimientos!$C$1:$C$1033,"Cross Security Trust",Movimientos!$B$1:$B$1033,"&lt;="&amp;$B34)</f>
        <v>88090.37</v>
      </c>
      <c r="J34" s="24">
        <f>SUMIFS('Saldos Iniciales'!$D:$D,'Saldos Iniciales'!$A:$A,"Electrama")+SUMIFS(Movimientos!$K$1:$K$1033,Movimientos!$C$1:$C$1033,"Electrama",Movimientos!$B$1:$B$1033,"&lt;="&amp;$B34)</f>
        <v>511.15999999999985</v>
      </c>
      <c r="K34" s="24">
        <f>SUMIFS('Saldos Iniciales'!$D:$D,'Saldos Iniciales'!$A:$A,"Sacred Valley Capital")+SUMIFS(Movimientos!$K$1:$K$1033,Movimientos!$C$1:$C$1033,"Sacred Valley Capital",Movimientos!$B$1:$B$1033,"&lt;="&amp;$B34)</f>
        <v>84.35</v>
      </c>
      <c r="L34" s="24">
        <f>SUMIFS('Saldos Iniciales'!$D:$D,'Saldos Iniciales'!$A:$A,"YWC Capital")+SUMIFS(Movimientos!$K$1:$K$1033,Movimientos!$C$1:$C$1033,"YWC Capital",Movimientos!$B$1:$B$1033,"&lt;="&amp;$B34)</f>
        <v>2237.77</v>
      </c>
      <c r="M34" s="24">
        <f>SUMIFS('Saldos Iniciales'!$D:$D,'Saldos Iniciales'!$A:$A,"Soweto")+SUMIFS(Movimientos!$K$1:$K$1033,Movimientos!$C$1:$C$1033,"Soweto",Movimientos!$B$1:$B$1033,"&lt;="&amp;$B34)</f>
        <v>3349.94</v>
      </c>
      <c r="N34" s="24">
        <f>SUMIFS('Saldos Iniciales'!$D:$D,'Saldos Iniciales'!$A:$A,"Green Stone Trust")+SUMIFS(Movimientos!$K$1:$K$1033,Movimientos!$C$1:$C$1033,"Green Stone Trust",Movimientos!$B$1:$B$1033,"&lt;="&amp;$B34)</f>
        <v>1968.99</v>
      </c>
      <c r="O34" s="24">
        <f>SUMIFS('Saldos Iniciales'!$D:$D,'Saldos Iniciales'!$A:$A,"EC Auto")+SUMIFS(Movimientos!$K$1:$K$1033,Movimientos!$C$1:$C$1033,"EC Auto",Movimientos!$B$1:$B$1033,"&lt;="&amp;$B34)</f>
        <v>901.34</v>
      </c>
      <c r="P34" s="24">
        <f>SUMIFS('Saldos Iniciales'!$D:$D,'Saldos Iniciales'!$A:$A,"Arbor Capital Properties")+SUMIFS(Movimientos!$K$1:$K$1033,Movimientos!$C$1:$C$1033,"Arbor Capital Properties",Movimientos!$B$1:$B$1033,"&lt;="&amp;$B34)</f>
        <v>1428.08</v>
      </c>
      <c r="Q34" s="24">
        <f>SUMIFS('Saldos Iniciales'!$D:$D,'Saldos Iniciales'!$A:$A,"2515 Overbrook")+SUMIFS(Movimientos!$K$1:$K$1033,Movimientos!$C$1:$C$1033,"2515 Overbrook",Movimientos!$B$1:$B$1033,"&lt;="&amp;$B34)</f>
        <v>25789.969999999961</v>
      </c>
      <c r="R34" s="24">
        <f>SUMIFS('Saldos Iniciales'!$D:$D,'Saldos Iniciales'!$A:$A,"112 Florida Ave")+SUMIFS(Movimientos!$K$1:$K$1033,Movimientos!$C$1:$C$1033,"112 Florida Ave",Movimientos!$B$1:$B$1033,"&lt;="&amp;$B34)</f>
        <v>5321.4300000000021</v>
      </c>
      <c r="S34" s="24">
        <f>SUMIFS('Saldos Iniciales'!$D:$D,'Saldos Iniciales'!$A:$A,"3628 Thomas Ave")+SUMIFS(Movimientos!$K$1:$K$1033,Movimientos!$C$1:$C$1033,"3628 Thomas Ave",Movimientos!$B$1:$B$1033,"&lt;="&amp;$B34)</f>
        <v>24833.23</v>
      </c>
      <c r="T34" s="24">
        <f>SUMIFS('Saldos Iniciales'!$D:$D,'Saldos Iniciales'!$A:$A,"Green Harbor Trust")+SUMIFS(Movimientos!$K$1:$K$1033,Movimientos!$C$1:$C$1033,"Green Harbor Trust",Movimientos!$B$1:$B$1033,"&lt;="&amp;$B34)</f>
        <v>345</v>
      </c>
      <c r="U34" s="24">
        <f>SUMIFS('Saldos Iniciales'!$D:$D,'Saldos Iniciales'!$A:$A,"Go Blue")+SUMIFS(Movimientos!$K$1:$K$1033,Movimientos!$C$1:$C$1033,"Go Blue",Movimientos!$B$1:$B$1033,"&lt;="&amp;$B34)</f>
        <v>8808.2400000000016</v>
      </c>
      <c r="V34" s="25">
        <f t="shared" si="1"/>
        <v>3096976.6699999995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Group")+SUMIFS(Movimientos!$K$1:$K$1033,Movimientos!$C$1:$C$1033,"CFT Group",Movimientos!$B$1:$B$1033,"&lt;="&amp;$B35)</f>
        <v>1064727.47</v>
      </c>
      <c r="D35" s="24">
        <f>SUMIFS('Saldos Iniciales'!$D:$D,'Saldos Iniciales'!$A:$A,"M1B")+SUMIFS(Movimientos!$K$1:$K$1033,Movimientos!$C$1:$C$1033,"M1B",Movimientos!$B$1:$B$1033,"&lt;="&amp;$B35)</f>
        <v>69376.390000000174</v>
      </c>
      <c r="E35" s="24">
        <f>SUMIFS('Saldos Iniciales'!$D:$D,'Saldos Iniciales'!$A:$A,"Durand")+SUMIFS(Movimientos!$K$1:$K$1033,Movimientos!$C$1:$C$1033,"Durand",Movimientos!$B$1:$B$1033,"&lt;="&amp;$B35)</f>
        <v>1669.89</v>
      </c>
      <c r="F35" s="24">
        <f>SUMIFS('Saldos Iniciales'!$D:$D,'Saldos Iniciales'!$A:$A,"A&amp;M Imports")+SUMIFS(Movimientos!$K$1:$K$1033,Movimientos!$C$1:$C$1033,"A&amp;M Imports",Movimientos!$B$1:$B$1033,"&lt;="&amp;$B35)</f>
        <v>635892.87999999989</v>
      </c>
      <c r="G35" s="24">
        <f>SUMIFS('Saldos Iniciales'!$D:$D,'Saldos Iniciales'!$A:$A,"SSP Capital")+SUMIFS(Movimientos!$K$1:$K$1033,Movimientos!$C$1:$C$1033,"SSP Capital",Movimientos!$B$1:$B$1033,"&lt;="&amp;$B35)</f>
        <v>1029853.7799999993</v>
      </c>
      <c r="H35" s="24">
        <f>SUMIFS('Saldos Iniciales'!$D:$D,'Saldos Iniciales'!$A:$A,"Cross Family Trust")+SUMIFS(Movimientos!$K$1:$K$1033,Movimientos!$C$1:$C$1033,"Cross Family Trust",Movimientos!$B$1:$B$1033,"&lt;="&amp;$B35)</f>
        <v>125496.38</v>
      </c>
      <c r="I35" s="24">
        <f>SUMIFS('Saldos Iniciales'!$D:$D,'Saldos Iniciales'!$A:$A,"Cross Security Trust")+SUMIFS(Movimientos!$K$1:$K$1033,Movimientos!$C$1:$C$1033,"Cross Security Trust",Movimientos!$B$1:$B$1033,"&lt;="&amp;$B35)</f>
        <v>88090.37</v>
      </c>
      <c r="J35" s="24">
        <f>SUMIFS('Saldos Iniciales'!$D:$D,'Saldos Iniciales'!$A:$A,"Electrama")+SUMIFS(Movimientos!$K$1:$K$1033,Movimientos!$C$1:$C$1033,"Electrama",Movimientos!$B$1:$B$1033,"&lt;="&amp;$B35)</f>
        <v>511.15999999999985</v>
      </c>
      <c r="K35" s="24">
        <f>SUMIFS('Saldos Iniciales'!$D:$D,'Saldos Iniciales'!$A:$A,"Sacred Valley Capital")+SUMIFS(Movimientos!$K$1:$K$1033,Movimientos!$C$1:$C$1033,"Sacred Valley Capital",Movimientos!$B$1:$B$1033,"&lt;="&amp;$B35)</f>
        <v>84.35</v>
      </c>
      <c r="L35" s="24">
        <f>SUMIFS('Saldos Iniciales'!$D:$D,'Saldos Iniciales'!$A:$A,"YWC Capital")+SUMIFS(Movimientos!$K$1:$K$1033,Movimientos!$C$1:$C$1033,"YWC Capital",Movimientos!$B$1:$B$1033,"&lt;="&amp;$B35)</f>
        <v>2237.77</v>
      </c>
      <c r="M35" s="24">
        <f>SUMIFS('Saldos Iniciales'!$D:$D,'Saldos Iniciales'!$A:$A,"Soweto")+SUMIFS(Movimientos!$K$1:$K$1033,Movimientos!$C$1:$C$1033,"Soweto",Movimientos!$B$1:$B$1033,"&lt;="&amp;$B35)</f>
        <v>3349.94</v>
      </c>
      <c r="N35" s="24">
        <f>SUMIFS('Saldos Iniciales'!$D:$D,'Saldos Iniciales'!$A:$A,"Green Stone Trust")+SUMIFS(Movimientos!$K$1:$K$1033,Movimientos!$C$1:$C$1033,"Green Stone Trust",Movimientos!$B$1:$B$1033,"&lt;="&amp;$B35)</f>
        <v>1968.99</v>
      </c>
      <c r="O35" s="24">
        <f>SUMIFS('Saldos Iniciales'!$D:$D,'Saldos Iniciales'!$A:$A,"EC Auto")+SUMIFS(Movimientos!$K$1:$K$1033,Movimientos!$C$1:$C$1033,"EC Auto",Movimientos!$B$1:$B$1033,"&lt;="&amp;$B35)</f>
        <v>901.34</v>
      </c>
      <c r="P35" s="24">
        <f>SUMIFS('Saldos Iniciales'!$D:$D,'Saldos Iniciales'!$A:$A,"Arbor Capital Properties")+SUMIFS(Movimientos!$K$1:$K$1033,Movimientos!$C$1:$C$1033,"Arbor Capital Properties",Movimientos!$B$1:$B$1033,"&lt;="&amp;$B35)</f>
        <v>1428.08</v>
      </c>
      <c r="Q35" s="24">
        <f>SUMIFS('Saldos Iniciales'!$D:$D,'Saldos Iniciales'!$A:$A,"2515 Overbrook")+SUMIFS(Movimientos!$K$1:$K$1033,Movimientos!$C$1:$C$1033,"2515 Overbrook",Movimientos!$B$1:$B$1033,"&lt;="&amp;$B35)</f>
        <v>25789.969999999961</v>
      </c>
      <c r="R35" s="24">
        <f>SUMIFS('Saldos Iniciales'!$D:$D,'Saldos Iniciales'!$A:$A,"112 Florida Ave")+SUMIFS(Movimientos!$K$1:$K$1033,Movimientos!$C$1:$C$1033,"112 Florida Ave",Movimientos!$B$1:$B$1033,"&lt;="&amp;$B35)</f>
        <v>5321.4300000000021</v>
      </c>
      <c r="S35" s="24">
        <f>SUMIFS('Saldos Iniciales'!$D:$D,'Saldos Iniciales'!$A:$A,"3628 Thomas Ave")+SUMIFS(Movimientos!$K$1:$K$1033,Movimientos!$C$1:$C$1033,"3628 Thomas Ave",Movimientos!$B$1:$B$1033,"&lt;="&amp;$B35)</f>
        <v>24833.23</v>
      </c>
      <c r="T35" s="24">
        <f>SUMIFS('Saldos Iniciales'!$D:$D,'Saldos Iniciales'!$A:$A,"Green Harbor Trust")+SUMIFS(Movimientos!$K$1:$K$1033,Movimientos!$C$1:$C$1033,"Green Harbor Trust",Movimientos!$B$1:$B$1033,"&lt;="&amp;$B35)</f>
        <v>345</v>
      </c>
      <c r="U35" s="24">
        <f>SUMIFS('Saldos Iniciales'!$D:$D,'Saldos Iniciales'!$A:$A,"Go Blue")+SUMIFS(Movimientos!$K$1:$K$1033,Movimientos!$C$1:$C$1033,"Go Blue",Movimientos!$B$1:$B$1033,"&lt;="&amp;$B35)</f>
        <v>8808.2400000000016</v>
      </c>
      <c r="V35" s="25">
        <f t="shared" si="1"/>
        <v>3090686.6599999997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Group")+SUMIFS(Movimientos!$K$1:$K$1033,Movimientos!$C$1:$C$1033,"CFT Group",Movimientos!$B$1:$B$1033,"&lt;="&amp;$B36)</f>
        <v>814727.47000000009</v>
      </c>
      <c r="D36" s="24">
        <f>SUMIFS('Saldos Iniciales'!$D:$D,'Saldos Iniciales'!$A:$A,"M1B")+SUMIFS(Movimientos!$K$1:$K$1033,Movimientos!$C$1:$C$1033,"M1B",Movimientos!$B$1:$B$1033,"&lt;="&amp;$B36)</f>
        <v>69376.390000000174</v>
      </c>
      <c r="E36" s="24">
        <f>SUMIFS('Saldos Iniciales'!$D:$D,'Saldos Iniciales'!$A:$A,"Durand")+SUMIFS(Movimientos!$K$1:$K$1033,Movimientos!$C$1:$C$1033,"Durand",Movimientos!$B$1:$B$1033,"&lt;="&amp;$B36)</f>
        <v>1669.89</v>
      </c>
      <c r="F36" s="24">
        <f>SUMIFS('Saldos Iniciales'!$D:$D,'Saldos Iniciales'!$A:$A,"A&amp;M Imports")+SUMIFS(Movimientos!$K$1:$K$1033,Movimientos!$C$1:$C$1033,"A&amp;M Imports",Movimientos!$B$1:$B$1033,"&lt;="&amp;$B36)</f>
        <v>560584.99999999988</v>
      </c>
      <c r="G36" s="24">
        <f>SUMIFS('Saldos Iniciales'!$D:$D,'Saldos Iniciales'!$A:$A,"SSP Capital")+SUMIFS(Movimientos!$K$1:$K$1033,Movimientos!$C$1:$C$1033,"SSP Capital",Movimientos!$B$1:$B$1033,"&lt;="&amp;$B36)</f>
        <v>1185956.5699999994</v>
      </c>
      <c r="H36" s="24">
        <f>SUMIFS('Saldos Iniciales'!$D:$D,'Saldos Iniciales'!$A:$A,"Cross Family Trust")+SUMIFS(Movimientos!$K$1:$K$1033,Movimientos!$C$1:$C$1033,"Cross Family Trust",Movimientos!$B$1:$B$1033,"&lt;="&amp;$B36)</f>
        <v>116496.38</v>
      </c>
      <c r="I36" s="24">
        <f>SUMIFS('Saldos Iniciales'!$D:$D,'Saldos Iniciales'!$A:$A,"Cross Security Trust")+SUMIFS(Movimientos!$K$1:$K$1033,Movimientos!$C$1:$C$1033,"Cross Security Trust",Movimientos!$B$1:$B$1033,"&lt;="&amp;$B36)</f>
        <v>88090.37</v>
      </c>
      <c r="J36" s="24">
        <f>SUMIFS('Saldos Iniciales'!$D:$D,'Saldos Iniciales'!$A:$A,"Electrama")+SUMIFS(Movimientos!$K$1:$K$1033,Movimientos!$C$1:$C$1033,"Electrama",Movimientos!$B$1:$B$1033,"&lt;="&amp;$B36)</f>
        <v>511.15999999999985</v>
      </c>
      <c r="K36" s="24">
        <f>SUMIFS('Saldos Iniciales'!$D:$D,'Saldos Iniciales'!$A:$A,"Sacred Valley Capital")+SUMIFS(Movimientos!$K$1:$K$1033,Movimientos!$C$1:$C$1033,"Sacred Valley Capital",Movimientos!$B$1:$B$1033,"&lt;="&amp;$B36)</f>
        <v>84.35</v>
      </c>
      <c r="L36" s="24">
        <f>SUMIFS('Saldos Iniciales'!$D:$D,'Saldos Iniciales'!$A:$A,"YWC Capital")+SUMIFS(Movimientos!$K$1:$K$1033,Movimientos!$C$1:$C$1033,"YWC Capital",Movimientos!$B$1:$B$1033,"&lt;="&amp;$B36)</f>
        <v>2237.77</v>
      </c>
      <c r="M36" s="24">
        <f>SUMIFS('Saldos Iniciales'!$D:$D,'Saldos Iniciales'!$A:$A,"Soweto")+SUMIFS(Movimientos!$K$1:$K$1033,Movimientos!$C$1:$C$1033,"Soweto",Movimientos!$B$1:$B$1033,"&lt;="&amp;$B36)</f>
        <v>3349.94</v>
      </c>
      <c r="N36" s="24">
        <f>SUMIFS('Saldos Iniciales'!$D:$D,'Saldos Iniciales'!$A:$A,"Green Stone Trust")+SUMIFS(Movimientos!$K$1:$K$1033,Movimientos!$C$1:$C$1033,"Green Stone Trust",Movimientos!$B$1:$B$1033,"&lt;="&amp;$B36)</f>
        <v>1968.99</v>
      </c>
      <c r="O36" s="24">
        <f>SUMIFS('Saldos Iniciales'!$D:$D,'Saldos Iniciales'!$A:$A,"EC Auto")+SUMIFS(Movimientos!$K$1:$K$1033,Movimientos!$C$1:$C$1033,"EC Auto",Movimientos!$B$1:$B$1033,"&lt;="&amp;$B36)</f>
        <v>382.69000000000005</v>
      </c>
      <c r="P36" s="24">
        <f>SUMIFS('Saldos Iniciales'!$D:$D,'Saldos Iniciales'!$A:$A,"Arbor Capital Properties")+SUMIFS(Movimientos!$K$1:$K$1033,Movimientos!$C$1:$C$1033,"Arbor Capital Properties",Movimientos!$B$1:$B$1033,"&lt;="&amp;$B36)</f>
        <v>1428.08</v>
      </c>
      <c r="Q36" s="24">
        <f>SUMIFS('Saldos Iniciales'!$D:$D,'Saldos Iniciales'!$A:$A,"2515 Overbrook")+SUMIFS(Movimientos!$K$1:$K$1033,Movimientos!$C$1:$C$1033,"2515 Overbrook",Movimientos!$B$1:$B$1033,"&lt;="&amp;$B36)</f>
        <v>25789.969999999961</v>
      </c>
      <c r="R36" s="24">
        <f>SUMIFS('Saldos Iniciales'!$D:$D,'Saldos Iniciales'!$A:$A,"112 Florida Ave")+SUMIFS(Movimientos!$K$1:$K$1033,Movimientos!$C$1:$C$1033,"112 Florida Ave",Movimientos!$B$1:$B$1033,"&lt;="&amp;$B36)</f>
        <v>5321.4300000000021</v>
      </c>
      <c r="S36" s="24">
        <f>SUMIFS('Saldos Iniciales'!$D:$D,'Saldos Iniciales'!$A:$A,"3628 Thomas Ave")+SUMIFS(Movimientos!$K$1:$K$1033,Movimientos!$C$1:$C$1033,"3628 Thomas Ave",Movimientos!$B$1:$B$1033,"&lt;="&amp;$B36)</f>
        <v>24833.23</v>
      </c>
      <c r="T36" s="24">
        <f>SUMIFS('Saldos Iniciales'!$D:$D,'Saldos Iniciales'!$A:$A,"Green Harbor Trust")+SUMIFS(Movimientos!$K$1:$K$1033,Movimientos!$C$1:$C$1033,"Green Harbor Trust",Movimientos!$B$1:$B$1033,"&lt;="&amp;$B36)</f>
        <v>345</v>
      </c>
      <c r="U36" s="24">
        <f>SUMIFS('Saldos Iniciales'!$D:$D,'Saldos Iniciales'!$A:$A,"Go Blue")+SUMIFS(Movimientos!$K$1:$K$1033,Movimientos!$C$1:$C$1033,"Go Blue",Movimientos!$B$1:$B$1033,"&lt;="&amp;$B36)</f>
        <v>7716.0900000000038</v>
      </c>
      <c r="V36" s="25">
        <f t="shared" si="1"/>
        <v>2910870.7699999996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Group")+SUMIFS(Movimientos!$K$1:$K$1033,Movimientos!$C$1:$C$1033,"CFT Group",Movimientos!$B$1:$B$1033,"&lt;="&amp;$B37)</f>
        <v>814727.47000000009</v>
      </c>
      <c r="D37" s="24">
        <f>SUMIFS('Saldos Iniciales'!$D:$D,'Saldos Iniciales'!$A:$A,"M1B")+SUMIFS(Movimientos!$K$1:$K$1033,Movimientos!$C$1:$C$1033,"M1B",Movimientos!$B$1:$B$1033,"&lt;="&amp;$B37)</f>
        <v>69376.390000000174</v>
      </c>
      <c r="E37" s="24">
        <f>SUMIFS('Saldos Iniciales'!$D:$D,'Saldos Iniciales'!$A:$A,"Durand")+SUMIFS(Movimientos!$K$1:$K$1033,Movimientos!$C$1:$C$1033,"Durand",Movimientos!$B$1:$B$1033,"&lt;="&amp;$B37)</f>
        <v>1669.89</v>
      </c>
      <c r="F37" s="24">
        <f>SUMIFS('Saldos Iniciales'!$D:$D,'Saldos Iniciales'!$A:$A,"A&amp;M Imports")+SUMIFS(Movimientos!$K$1:$K$1033,Movimientos!$C$1:$C$1033,"A&amp;M Imports",Movimientos!$B$1:$B$1033,"&lt;="&amp;$B37)</f>
        <v>560584.99999999988</v>
      </c>
      <c r="G37" s="24">
        <f>SUMIFS('Saldos Iniciales'!$D:$D,'Saldos Iniciales'!$A:$A,"SSP Capital")+SUMIFS(Movimientos!$K$1:$K$1033,Movimientos!$C$1:$C$1033,"SSP Capital",Movimientos!$B$1:$B$1033,"&lt;="&amp;$B37)</f>
        <v>1178270.4399999992</v>
      </c>
      <c r="H37" s="24">
        <f>SUMIFS('Saldos Iniciales'!$D:$D,'Saldos Iniciales'!$A:$A,"Cross Family Trust")+SUMIFS(Movimientos!$K$1:$K$1033,Movimientos!$C$1:$C$1033,"Cross Family Trust",Movimientos!$B$1:$B$1033,"&lt;="&amp;$B37)</f>
        <v>116496.38</v>
      </c>
      <c r="I37" s="24">
        <f>SUMIFS('Saldos Iniciales'!$D:$D,'Saldos Iniciales'!$A:$A,"Cross Security Trust")+SUMIFS(Movimientos!$K$1:$K$1033,Movimientos!$C$1:$C$1033,"Cross Security Trust",Movimientos!$B$1:$B$1033,"&lt;="&amp;$B37)</f>
        <v>88090.37</v>
      </c>
      <c r="J37" s="24">
        <f>SUMIFS('Saldos Iniciales'!$D:$D,'Saldos Iniciales'!$A:$A,"Electrama")+SUMIFS(Movimientos!$K$1:$K$1033,Movimientos!$C$1:$C$1033,"Electrama",Movimientos!$B$1:$B$1033,"&lt;="&amp;$B37)</f>
        <v>511.15999999999985</v>
      </c>
      <c r="K37" s="24">
        <f>SUMIFS('Saldos Iniciales'!$D:$D,'Saldos Iniciales'!$A:$A,"Sacred Valley Capital")+SUMIFS(Movimientos!$K$1:$K$1033,Movimientos!$C$1:$C$1033,"Sacred Valley Capital",Movimientos!$B$1:$B$1033,"&lt;="&amp;$B37)</f>
        <v>84.35</v>
      </c>
      <c r="L37" s="24">
        <f>SUMIFS('Saldos Iniciales'!$D:$D,'Saldos Iniciales'!$A:$A,"YWC Capital")+SUMIFS(Movimientos!$K$1:$K$1033,Movimientos!$C$1:$C$1033,"YWC Capital",Movimientos!$B$1:$B$1033,"&lt;="&amp;$B37)</f>
        <v>2237.77</v>
      </c>
      <c r="M37" s="24">
        <f>SUMIFS('Saldos Iniciales'!$D:$D,'Saldos Iniciales'!$A:$A,"Soweto")+SUMIFS(Movimientos!$K$1:$K$1033,Movimientos!$C$1:$C$1033,"Soweto",Movimientos!$B$1:$B$1033,"&lt;="&amp;$B37)</f>
        <v>3349.94</v>
      </c>
      <c r="N37" s="24">
        <f>SUMIFS('Saldos Iniciales'!$D:$D,'Saldos Iniciales'!$A:$A,"Green Stone Trust")+SUMIFS(Movimientos!$K$1:$K$1033,Movimientos!$C$1:$C$1033,"Green Stone Trust",Movimientos!$B$1:$B$1033,"&lt;="&amp;$B37)</f>
        <v>1968.99</v>
      </c>
      <c r="O37" s="24">
        <f>SUMIFS('Saldos Iniciales'!$D:$D,'Saldos Iniciales'!$A:$A,"EC Auto")+SUMIFS(Movimientos!$K$1:$K$1033,Movimientos!$C$1:$C$1033,"EC Auto",Movimientos!$B$1:$B$1033,"&lt;="&amp;$B37)</f>
        <v>382.69000000000005</v>
      </c>
      <c r="P37" s="24">
        <f>SUMIFS('Saldos Iniciales'!$D:$D,'Saldos Iniciales'!$A:$A,"Arbor Capital Properties")+SUMIFS(Movimientos!$K$1:$K$1033,Movimientos!$C$1:$C$1033,"Arbor Capital Properties",Movimientos!$B$1:$B$1033,"&lt;="&amp;$B37)</f>
        <v>1428.08</v>
      </c>
      <c r="Q37" s="24">
        <f>SUMIFS('Saldos Iniciales'!$D:$D,'Saldos Iniciales'!$A:$A,"2515 Overbrook")+SUMIFS(Movimientos!$K$1:$K$1033,Movimientos!$C$1:$C$1033,"2515 Overbrook",Movimientos!$B$1:$B$1033,"&lt;="&amp;$B37)</f>
        <v>25789.969999999961</v>
      </c>
      <c r="R37" s="24">
        <f>SUMIFS('Saldos Iniciales'!$D:$D,'Saldos Iniciales'!$A:$A,"112 Florida Ave")+SUMIFS(Movimientos!$K$1:$K$1033,Movimientos!$C$1:$C$1033,"112 Florida Ave",Movimientos!$B$1:$B$1033,"&lt;="&amp;$B37)</f>
        <v>5321.4300000000021</v>
      </c>
      <c r="S37" s="24">
        <f>SUMIFS('Saldos Iniciales'!$D:$D,'Saldos Iniciales'!$A:$A,"3628 Thomas Ave")+SUMIFS(Movimientos!$K$1:$K$1033,Movimientos!$C$1:$C$1033,"3628 Thomas Ave",Movimientos!$B$1:$B$1033,"&lt;="&amp;$B37)</f>
        <v>24833.23</v>
      </c>
      <c r="T37" s="24">
        <f>SUMIFS('Saldos Iniciales'!$D:$D,'Saldos Iniciales'!$A:$A,"Green Harbor Trust")+SUMIFS(Movimientos!$K$1:$K$1033,Movimientos!$C$1:$C$1033,"Green Harbor Trust",Movimientos!$B$1:$B$1033,"&lt;="&amp;$B37)</f>
        <v>345</v>
      </c>
      <c r="U37" s="24">
        <f>SUMIFS('Saldos Iniciales'!$D:$D,'Saldos Iniciales'!$A:$A,"Go Blue")+SUMIFS(Movimientos!$K$1:$K$1033,Movimientos!$C$1:$C$1033,"Go Blue",Movimientos!$B$1:$B$1033,"&lt;="&amp;$B37)</f>
        <v>7716.0900000000038</v>
      </c>
      <c r="V37" s="25">
        <f t="shared" si="1"/>
        <v>2903184.6399999997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Group")+SUMIFS(Movimientos!$K$1:$K$1033,Movimientos!$C$1:$C$1033,"CFT Group",Movimientos!$B$1:$B$1033,"&lt;="&amp;$B38)</f>
        <v>814727.47000000009</v>
      </c>
      <c r="D38" s="24">
        <f>SUMIFS('Saldos Iniciales'!$D:$D,'Saldos Iniciales'!$A:$A,"M1B")+SUMIFS(Movimientos!$K$1:$K$1033,Movimientos!$C$1:$C$1033,"M1B",Movimientos!$B$1:$B$1033,"&lt;="&amp;$B38)</f>
        <v>69376.390000000174</v>
      </c>
      <c r="E38" s="24">
        <f>SUMIFS('Saldos Iniciales'!$D:$D,'Saldos Iniciales'!$A:$A,"Durand")+SUMIFS(Movimientos!$K$1:$K$1033,Movimientos!$C$1:$C$1033,"Durand",Movimientos!$B$1:$B$1033,"&lt;="&amp;$B38)</f>
        <v>1669.89</v>
      </c>
      <c r="F38" s="24">
        <f>SUMIFS('Saldos Iniciales'!$D:$D,'Saldos Iniciales'!$A:$A,"A&amp;M Imports")+SUMIFS(Movimientos!$K$1:$K$1033,Movimientos!$C$1:$C$1033,"A&amp;M Imports",Movimientos!$B$1:$B$1033,"&lt;="&amp;$B38)</f>
        <v>560584.99999999988</v>
      </c>
      <c r="G38" s="24">
        <f>SUMIFS('Saldos Iniciales'!$D:$D,'Saldos Iniciales'!$A:$A,"SSP Capital")+SUMIFS(Movimientos!$K$1:$K$1033,Movimientos!$C$1:$C$1033,"SSP Capital",Movimientos!$B$1:$B$1033,"&lt;="&amp;$B38)</f>
        <v>1178270.4399999992</v>
      </c>
      <c r="H38" s="24">
        <f>SUMIFS('Saldos Iniciales'!$D:$D,'Saldos Iniciales'!$A:$A,"Cross Family Trust")+SUMIFS(Movimientos!$K$1:$K$1033,Movimientos!$C$1:$C$1033,"Cross Family Trust",Movimientos!$B$1:$B$1033,"&lt;="&amp;$B38)</f>
        <v>116496.38</v>
      </c>
      <c r="I38" s="24">
        <f>SUMIFS('Saldos Iniciales'!$D:$D,'Saldos Iniciales'!$A:$A,"Cross Security Trust")+SUMIFS(Movimientos!$K$1:$K$1033,Movimientos!$C$1:$C$1033,"Cross Security Trust",Movimientos!$B$1:$B$1033,"&lt;="&amp;$B38)</f>
        <v>88090.37</v>
      </c>
      <c r="J38" s="24">
        <f>SUMIFS('Saldos Iniciales'!$D:$D,'Saldos Iniciales'!$A:$A,"Electrama")+SUMIFS(Movimientos!$K$1:$K$1033,Movimientos!$C$1:$C$1033,"Electrama",Movimientos!$B$1:$B$1033,"&lt;="&amp;$B38)</f>
        <v>511.15999999999985</v>
      </c>
      <c r="K38" s="24">
        <f>SUMIFS('Saldos Iniciales'!$D:$D,'Saldos Iniciales'!$A:$A,"Sacred Valley Capital")+SUMIFS(Movimientos!$K$1:$K$1033,Movimientos!$C$1:$C$1033,"Sacred Valley Capital",Movimientos!$B$1:$B$1033,"&lt;="&amp;$B38)</f>
        <v>84.35</v>
      </c>
      <c r="L38" s="24">
        <f>SUMIFS('Saldos Iniciales'!$D:$D,'Saldos Iniciales'!$A:$A,"YWC Capital")+SUMIFS(Movimientos!$K$1:$K$1033,Movimientos!$C$1:$C$1033,"YWC Capital",Movimientos!$B$1:$B$1033,"&lt;="&amp;$B38)</f>
        <v>2237.77</v>
      </c>
      <c r="M38" s="24">
        <f>SUMIFS('Saldos Iniciales'!$D:$D,'Saldos Iniciales'!$A:$A,"Soweto")+SUMIFS(Movimientos!$K$1:$K$1033,Movimientos!$C$1:$C$1033,"Soweto",Movimientos!$B$1:$B$1033,"&lt;="&amp;$B38)</f>
        <v>3349.94</v>
      </c>
      <c r="N38" s="24">
        <f>SUMIFS('Saldos Iniciales'!$D:$D,'Saldos Iniciales'!$A:$A,"Green Stone Trust")+SUMIFS(Movimientos!$K$1:$K$1033,Movimientos!$C$1:$C$1033,"Green Stone Trust",Movimientos!$B$1:$B$1033,"&lt;="&amp;$B38)</f>
        <v>1968.99</v>
      </c>
      <c r="O38" s="24">
        <f>SUMIFS('Saldos Iniciales'!$D:$D,'Saldos Iniciales'!$A:$A,"EC Auto")+SUMIFS(Movimientos!$K$1:$K$1033,Movimientos!$C$1:$C$1033,"EC Auto",Movimientos!$B$1:$B$1033,"&lt;="&amp;$B38)</f>
        <v>382.69000000000005</v>
      </c>
      <c r="P38" s="24">
        <f>SUMIFS('Saldos Iniciales'!$D:$D,'Saldos Iniciales'!$A:$A,"Arbor Capital Properties")+SUMIFS(Movimientos!$K$1:$K$1033,Movimientos!$C$1:$C$1033,"Arbor Capital Properties",Movimientos!$B$1:$B$1033,"&lt;="&amp;$B38)</f>
        <v>1428.08</v>
      </c>
      <c r="Q38" s="24">
        <f>SUMIFS('Saldos Iniciales'!$D:$D,'Saldos Iniciales'!$A:$A,"2515 Overbrook")+SUMIFS(Movimientos!$K$1:$K$1033,Movimientos!$C$1:$C$1033,"2515 Overbrook",Movimientos!$B$1:$B$1033,"&lt;="&amp;$B38)</f>
        <v>25789.969999999961</v>
      </c>
      <c r="R38" s="24">
        <f>SUMIFS('Saldos Iniciales'!$D:$D,'Saldos Iniciales'!$A:$A,"112 Florida Ave")+SUMIFS(Movimientos!$K$1:$K$1033,Movimientos!$C$1:$C$1033,"112 Florida Ave",Movimientos!$B$1:$B$1033,"&lt;="&amp;$B38)</f>
        <v>5321.4300000000021</v>
      </c>
      <c r="S38" s="24">
        <f>SUMIFS('Saldos Iniciales'!$D:$D,'Saldos Iniciales'!$A:$A,"3628 Thomas Ave")+SUMIFS(Movimientos!$K$1:$K$1033,Movimientos!$C$1:$C$1033,"3628 Thomas Ave",Movimientos!$B$1:$B$1033,"&lt;="&amp;$B38)</f>
        <v>24833.23</v>
      </c>
      <c r="T38" s="24">
        <f>SUMIFS('Saldos Iniciales'!$D:$D,'Saldos Iniciales'!$A:$A,"Green Harbor Trust")+SUMIFS(Movimientos!$K$1:$K$1033,Movimientos!$C$1:$C$1033,"Green Harbor Trust",Movimientos!$B$1:$B$1033,"&lt;="&amp;$B38)</f>
        <v>345</v>
      </c>
      <c r="U38" s="24">
        <f>SUMIFS('Saldos Iniciales'!$D:$D,'Saldos Iniciales'!$A:$A,"Go Blue")+SUMIFS(Movimientos!$K$1:$K$1033,Movimientos!$C$1:$C$1033,"Go Blue",Movimientos!$B$1:$B$1033,"&lt;="&amp;$B38)</f>
        <v>7716.0900000000038</v>
      </c>
      <c r="V38" s="25">
        <f t="shared" si="1"/>
        <v>2903184.6399999997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Group")+SUMIFS(Movimientos!$K$1:$K$1033,Movimientos!$C$1:$C$1033,"CFT Group",Movimientos!$B$1:$B$1033,"&lt;="&amp;$B39)</f>
        <v>814727.47000000009</v>
      </c>
      <c r="D39" s="24">
        <f>SUMIFS('Saldos Iniciales'!$D:$D,'Saldos Iniciales'!$A:$A,"M1B")+SUMIFS(Movimientos!$K$1:$K$1033,Movimientos!$C$1:$C$1033,"M1B",Movimientos!$B$1:$B$1033,"&lt;="&amp;$B39)</f>
        <v>69376.390000000174</v>
      </c>
      <c r="E39" s="24">
        <f>SUMIFS('Saldos Iniciales'!$D:$D,'Saldos Iniciales'!$A:$A,"Durand")+SUMIFS(Movimientos!$K$1:$K$1033,Movimientos!$C$1:$C$1033,"Durand",Movimientos!$B$1:$B$1033,"&lt;="&amp;$B39)</f>
        <v>1669.89</v>
      </c>
      <c r="F39" s="24">
        <f>SUMIFS('Saldos Iniciales'!$D:$D,'Saldos Iniciales'!$A:$A,"A&amp;M Imports")+SUMIFS(Movimientos!$K$1:$K$1033,Movimientos!$C$1:$C$1033,"A&amp;M Imports",Movimientos!$B$1:$B$1033,"&lt;="&amp;$B39)</f>
        <v>560584.99999999988</v>
      </c>
      <c r="G39" s="24">
        <f>SUMIFS('Saldos Iniciales'!$D:$D,'Saldos Iniciales'!$A:$A,"SSP Capital")+SUMIFS(Movimientos!$K$1:$K$1033,Movimientos!$C$1:$C$1033,"SSP Capital",Movimientos!$B$1:$B$1033,"&lt;="&amp;$B39)</f>
        <v>1178270.4399999992</v>
      </c>
      <c r="H39" s="24">
        <f>SUMIFS('Saldos Iniciales'!$D:$D,'Saldos Iniciales'!$A:$A,"Cross Family Trust")+SUMIFS(Movimientos!$K$1:$K$1033,Movimientos!$C$1:$C$1033,"Cross Family Trust",Movimientos!$B$1:$B$1033,"&lt;="&amp;$B39)</f>
        <v>116496.38</v>
      </c>
      <c r="I39" s="24">
        <f>SUMIFS('Saldos Iniciales'!$D:$D,'Saldos Iniciales'!$A:$A,"Cross Security Trust")+SUMIFS(Movimientos!$K$1:$K$1033,Movimientos!$C$1:$C$1033,"Cross Security Trust",Movimientos!$B$1:$B$1033,"&lt;="&amp;$B39)</f>
        <v>88090.37</v>
      </c>
      <c r="J39" s="24">
        <f>SUMIFS('Saldos Iniciales'!$D:$D,'Saldos Iniciales'!$A:$A,"Electrama")+SUMIFS(Movimientos!$K$1:$K$1033,Movimientos!$C$1:$C$1033,"Electrama",Movimientos!$B$1:$B$1033,"&lt;="&amp;$B39)</f>
        <v>511.15999999999985</v>
      </c>
      <c r="K39" s="24">
        <f>SUMIFS('Saldos Iniciales'!$D:$D,'Saldos Iniciales'!$A:$A,"Sacred Valley Capital")+SUMIFS(Movimientos!$K$1:$K$1033,Movimientos!$C$1:$C$1033,"Sacred Valley Capital",Movimientos!$B$1:$B$1033,"&lt;="&amp;$B39)</f>
        <v>84.35</v>
      </c>
      <c r="L39" s="24">
        <f>SUMIFS('Saldos Iniciales'!$D:$D,'Saldos Iniciales'!$A:$A,"YWC Capital")+SUMIFS(Movimientos!$K$1:$K$1033,Movimientos!$C$1:$C$1033,"YWC Capital",Movimientos!$B$1:$B$1033,"&lt;="&amp;$B39)</f>
        <v>2237.77</v>
      </c>
      <c r="M39" s="24">
        <f>SUMIFS('Saldos Iniciales'!$D:$D,'Saldos Iniciales'!$A:$A,"Soweto")+SUMIFS(Movimientos!$K$1:$K$1033,Movimientos!$C$1:$C$1033,"Soweto",Movimientos!$B$1:$B$1033,"&lt;="&amp;$B39)</f>
        <v>3349.94</v>
      </c>
      <c r="N39" s="24">
        <f>SUMIFS('Saldos Iniciales'!$D:$D,'Saldos Iniciales'!$A:$A,"Green Stone Trust")+SUMIFS(Movimientos!$K$1:$K$1033,Movimientos!$C$1:$C$1033,"Green Stone Trust",Movimientos!$B$1:$B$1033,"&lt;="&amp;$B39)</f>
        <v>1968.99</v>
      </c>
      <c r="O39" s="24">
        <f>SUMIFS('Saldos Iniciales'!$D:$D,'Saldos Iniciales'!$A:$A,"EC Auto")+SUMIFS(Movimientos!$K$1:$K$1033,Movimientos!$C$1:$C$1033,"EC Auto",Movimientos!$B$1:$B$1033,"&lt;="&amp;$B39)</f>
        <v>382.69000000000005</v>
      </c>
      <c r="P39" s="24">
        <f>SUMIFS('Saldos Iniciales'!$D:$D,'Saldos Iniciales'!$A:$A,"Arbor Capital Properties")+SUMIFS(Movimientos!$K$1:$K$1033,Movimientos!$C$1:$C$1033,"Arbor Capital Properties",Movimientos!$B$1:$B$1033,"&lt;="&amp;$B39)</f>
        <v>1428.08</v>
      </c>
      <c r="Q39" s="24">
        <f>SUMIFS('Saldos Iniciales'!$D:$D,'Saldos Iniciales'!$A:$A,"2515 Overbrook")+SUMIFS(Movimientos!$K$1:$K$1033,Movimientos!$C$1:$C$1033,"2515 Overbrook",Movimientos!$B$1:$B$1033,"&lt;="&amp;$B39)</f>
        <v>25789.969999999961</v>
      </c>
      <c r="R39" s="24">
        <f>SUMIFS('Saldos Iniciales'!$D:$D,'Saldos Iniciales'!$A:$A,"112 Florida Ave")+SUMIFS(Movimientos!$K$1:$K$1033,Movimientos!$C$1:$C$1033,"112 Florida Ave",Movimientos!$B$1:$B$1033,"&lt;="&amp;$B39)</f>
        <v>5321.4300000000021</v>
      </c>
      <c r="S39" s="24">
        <f>SUMIFS('Saldos Iniciales'!$D:$D,'Saldos Iniciales'!$A:$A,"3628 Thomas Ave")+SUMIFS(Movimientos!$K$1:$K$1033,Movimientos!$C$1:$C$1033,"3628 Thomas Ave",Movimientos!$B$1:$B$1033,"&lt;="&amp;$B39)</f>
        <v>24833.23</v>
      </c>
      <c r="T39" s="24">
        <f>SUMIFS('Saldos Iniciales'!$D:$D,'Saldos Iniciales'!$A:$A,"Green Harbor Trust")+SUMIFS(Movimientos!$K$1:$K$1033,Movimientos!$C$1:$C$1033,"Green Harbor Trust",Movimientos!$B$1:$B$1033,"&lt;="&amp;$B39)</f>
        <v>345</v>
      </c>
      <c r="U39" s="24">
        <f>SUMIFS('Saldos Iniciales'!$D:$D,'Saldos Iniciales'!$A:$A,"Go Blue")+SUMIFS(Movimientos!$K$1:$K$1033,Movimientos!$C$1:$C$1033,"Go Blue",Movimientos!$B$1:$B$1033,"&lt;="&amp;$B39)</f>
        <v>7716.0900000000038</v>
      </c>
      <c r="V39" s="25">
        <f t="shared" si="1"/>
        <v>2903184.6399999997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Group")+SUMIFS(Movimientos!$K$1:$K$1033,Movimientos!$C$1:$C$1033,"CFT Group",Movimientos!$B$1:$B$1033,"&lt;="&amp;$B40)</f>
        <v>814727.47000000009</v>
      </c>
      <c r="D40" s="24">
        <f>SUMIFS('Saldos Iniciales'!$D:$D,'Saldos Iniciales'!$A:$A,"M1B")+SUMIFS(Movimientos!$K$1:$K$1033,Movimientos!$C$1:$C$1033,"M1B",Movimientos!$B$1:$B$1033,"&lt;="&amp;$B40)</f>
        <v>69376.390000000174</v>
      </c>
      <c r="E40" s="24">
        <f>SUMIFS('Saldos Iniciales'!$D:$D,'Saldos Iniciales'!$A:$A,"Durand")+SUMIFS(Movimientos!$K$1:$K$1033,Movimientos!$C$1:$C$1033,"Durand",Movimientos!$B$1:$B$1033,"&lt;="&amp;$B40)</f>
        <v>1669.89</v>
      </c>
      <c r="F40" s="24">
        <f>SUMIFS('Saldos Iniciales'!$D:$D,'Saldos Iniciales'!$A:$A,"A&amp;M Imports")+SUMIFS(Movimientos!$K$1:$K$1033,Movimientos!$C$1:$C$1033,"A&amp;M Imports",Movimientos!$B$1:$B$1033,"&lt;="&amp;$B40)</f>
        <v>560584.99999999988</v>
      </c>
      <c r="G40" s="24">
        <f>SUMIFS('Saldos Iniciales'!$D:$D,'Saldos Iniciales'!$A:$A,"SSP Capital")+SUMIFS(Movimientos!$K$1:$K$1033,Movimientos!$C$1:$C$1033,"SSP Capital",Movimientos!$B$1:$B$1033,"&lt;="&amp;$B40)</f>
        <v>1178270.4399999992</v>
      </c>
      <c r="H40" s="24">
        <f>SUMIFS('Saldos Iniciales'!$D:$D,'Saldos Iniciales'!$A:$A,"Cross Family Trust")+SUMIFS(Movimientos!$K$1:$K$1033,Movimientos!$C$1:$C$1033,"Cross Family Trust",Movimientos!$B$1:$B$1033,"&lt;="&amp;$B40)</f>
        <v>116496.38</v>
      </c>
      <c r="I40" s="24">
        <f>SUMIFS('Saldos Iniciales'!$D:$D,'Saldos Iniciales'!$A:$A,"Cross Security Trust")+SUMIFS(Movimientos!$K$1:$K$1033,Movimientos!$C$1:$C$1033,"Cross Security Trust",Movimientos!$B$1:$B$1033,"&lt;="&amp;$B40)</f>
        <v>88090.37</v>
      </c>
      <c r="J40" s="24">
        <f>SUMIFS('Saldos Iniciales'!$D:$D,'Saldos Iniciales'!$A:$A,"Electrama")+SUMIFS(Movimientos!$K$1:$K$1033,Movimientos!$C$1:$C$1033,"Electrama",Movimientos!$B$1:$B$1033,"&lt;="&amp;$B40)</f>
        <v>511.15999999999985</v>
      </c>
      <c r="K40" s="24">
        <f>SUMIFS('Saldos Iniciales'!$D:$D,'Saldos Iniciales'!$A:$A,"Sacred Valley Capital")+SUMIFS(Movimientos!$K$1:$K$1033,Movimientos!$C$1:$C$1033,"Sacred Valley Capital",Movimientos!$B$1:$B$1033,"&lt;="&amp;$B40)</f>
        <v>84.35</v>
      </c>
      <c r="L40" s="24">
        <f>SUMIFS('Saldos Iniciales'!$D:$D,'Saldos Iniciales'!$A:$A,"YWC Capital")+SUMIFS(Movimientos!$K$1:$K$1033,Movimientos!$C$1:$C$1033,"YWC Capital",Movimientos!$B$1:$B$1033,"&lt;="&amp;$B40)</f>
        <v>2237.77</v>
      </c>
      <c r="M40" s="24">
        <f>SUMIFS('Saldos Iniciales'!$D:$D,'Saldos Iniciales'!$A:$A,"Soweto")+SUMIFS(Movimientos!$K$1:$K$1033,Movimientos!$C$1:$C$1033,"Soweto",Movimientos!$B$1:$B$1033,"&lt;="&amp;$B40)</f>
        <v>3349.94</v>
      </c>
      <c r="N40" s="24">
        <f>SUMIFS('Saldos Iniciales'!$D:$D,'Saldos Iniciales'!$A:$A,"Green Stone Trust")+SUMIFS(Movimientos!$K$1:$K$1033,Movimientos!$C$1:$C$1033,"Green Stone Trust",Movimientos!$B$1:$B$1033,"&lt;="&amp;$B40)</f>
        <v>1968.99</v>
      </c>
      <c r="O40" s="24">
        <f>SUMIFS('Saldos Iniciales'!$D:$D,'Saldos Iniciales'!$A:$A,"EC Auto")+SUMIFS(Movimientos!$K$1:$K$1033,Movimientos!$C$1:$C$1033,"EC Auto",Movimientos!$B$1:$B$1033,"&lt;="&amp;$B40)</f>
        <v>382.69000000000005</v>
      </c>
      <c r="P40" s="24">
        <f>SUMIFS('Saldos Iniciales'!$D:$D,'Saldos Iniciales'!$A:$A,"Arbor Capital Properties")+SUMIFS(Movimientos!$K$1:$K$1033,Movimientos!$C$1:$C$1033,"Arbor Capital Properties",Movimientos!$B$1:$B$1033,"&lt;="&amp;$B40)</f>
        <v>1428.08</v>
      </c>
      <c r="Q40" s="24">
        <f>SUMIFS('Saldos Iniciales'!$D:$D,'Saldos Iniciales'!$A:$A,"2515 Overbrook")+SUMIFS(Movimientos!$K$1:$K$1033,Movimientos!$C$1:$C$1033,"2515 Overbrook",Movimientos!$B$1:$B$1033,"&lt;="&amp;$B40)</f>
        <v>25789.969999999961</v>
      </c>
      <c r="R40" s="24">
        <f>SUMIFS('Saldos Iniciales'!$D:$D,'Saldos Iniciales'!$A:$A,"112 Florida Ave")+SUMIFS(Movimientos!$K$1:$K$1033,Movimientos!$C$1:$C$1033,"112 Florida Ave",Movimientos!$B$1:$B$1033,"&lt;="&amp;$B40)</f>
        <v>5321.4300000000021</v>
      </c>
      <c r="S40" s="24">
        <f>SUMIFS('Saldos Iniciales'!$D:$D,'Saldos Iniciales'!$A:$A,"3628 Thomas Ave")+SUMIFS(Movimientos!$K$1:$K$1033,Movimientos!$C$1:$C$1033,"3628 Thomas Ave",Movimientos!$B$1:$B$1033,"&lt;="&amp;$B40)</f>
        <v>24833.23</v>
      </c>
      <c r="T40" s="24">
        <f>SUMIFS('Saldos Iniciales'!$D:$D,'Saldos Iniciales'!$A:$A,"Green Harbor Trust")+SUMIFS(Movimientos!$K$1:$K$1033,Movimientos!$C$1:$C$1033,"Green Harbor Trust",Movimientos!$B$1:$B$1033,"&lt;="&amp;$B40)</f>
        <v>345</v>
      </c>
      <c r="U40" s="24">
        <f>SUMIFS('Saldos Iniciales'!$D:$D,'Saldos Iniciales'!$A:$A,"Go Blue")+SUMIFS(Movimientos!$K$1:$K$1033,Movimientos!$C$1:$C$1033,"Go Blue",Movimientos!$B$1:$B$1033,"&lt;="&amp;$B40)</f>
        <v>6744.5000000000036</v>
      </c>
      <c r="V40" s="25">
        <f t="shared" ref="V40:V43" si="2">SUM(C40:U40)</f>
        <v>2902213.05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Group")+SUMIFS(Movimientos!$K$1:$K$1033,Movimientos!$C$1:$C$1033,"CFT Group",Movimientos!$B$1:$B$1033,"&lt;="&amp;$B41)</f>
        <v>928714.62000000011</v>
      </c>
      <c r="D41" s="24">
        <f>SUMIFS('Saldos Iniciales'!$D:$D,'Saldos Iniciales'!$A:$A,"M1B")+SUMIFS(Movimientos!$K$1:$K$1033,Movimientos!$C$1:$C$1033,"M1B",Movimientos!$B$1:$B$1033,"&lt;="&amp;$B41)</f>
        <v>69376.390000000174</v>
      </c>
      <c r="E41" s="24">
        <f>SUMIFS('Saldos Iniciales'!$D:$D,'Saldos Iniciales'!$A:$A,"Durand")+SUMIFS(Movimientos!$K$1:$K$1033,Movimientos!$C$1:$C$1033,"Durand",Movimientos!$B$1:$B$1033,"&lt;="&amp;$B41)</f>
        <v>1669.89</v>
      </c>
      <c r="F41" s="24">
        <f>SUMIFS('Saldos Iniciales'!$D:$D,'Saldos Iniciales'!$A:$A,"A&amp;M Imports")+SUMIFS(Movimientos!$K$1:$K$1033,Movimientos!$C$1:$C$1033,"A&amp;M Imports",Movimientos!$B$1:$B$1033,"&lt;="&amp;$B41)</f>
        <v>560584.99999999988</v>
      </c>
      <c r="G41" s="24">
        <f>SUMIFS('Saldos Iniciales'!$D:$D,'Saldos Iniciales'!$A:$A,"SSP Capital")+SUMIFS(Movimientos!$K$1:$K$1033,Movimientos!$C$1:$C$1033,"SSP Capital",Movimientos!$B$1:$B$1033,"&lt;="&amp;$B41)</f>
        <v>1174516.1699999992</v>
      </c>
      <c r="H41" s="24">
        <f>SUMIFS('Saldos Iniciales'!$D:$D,'Saldos Iniciales'!$A:$A,"Cross Family Trust")+SUMIFS(Movimientos!$K$1:$K$1033,Movimientos!$C$1:$C$1033,"Cross Family Trust",Movimientos!$B$1:$B$1033,"&lt;="&amp;$B41)</f>
        <v>116496.38</v>
      </c>
      <c r="I41" s="24">
        <f>SUMIFS('Saldos Iniciales'!$D:$D,'Saldos Iniciales'!$A:$A,"Cross Security Trust")+SUMIFS(Movimientos!$K$1:$K$1033,Movimientos!$C$1:$C$1033,"Cross Security Trust",Movimientos!$B$1:$B$1033,"&lt;="&amp;$B41)</f>
        <v>88090.37</v>
      </c>
      <c r="J41" s="24">
        <f>SUMIFS('Saldos Iniciales'!$D:$D,'Saldos Iniciales'!$A:$A,"Electrama")+SUMIFS(Movimientos!$K$1:$K$1033,Movimientos!$C$1:$C$1033,"Electrama",Movimientos!$B$1:$B$1033,"&lt;="&amp;$B41)</f>
        <v>511.15999999999985</v>
      </c>
      <c r="K41" s="24">
        <f>SUMIFS('Saldos Iniciales'!$D:$D,'Saldos Iniciales'!$A:$A,"Sacred Valley Capital")+SUMIFS(Movimientos!$K$1:$K$1033,Movimientos!$C$1:$C$1033,"Sacred Valley Capital",Movimientos!$B$1:$B$1033,"&lt;="&amp;$B41)</f>
        <v>84.35</v>
      </c>
      <c r="L41" s="24">
        <f>SUMIFS('Saldos Iniciales'!$D:$D,'Saldos Iniciales'!$A:$A,"YWC Capital")+SUMIFS(Movimientos!$K$1:$K$1033,Movimientos!$C$1:$C$1033,"YWC Capital",Movimientos!$B$1:$B$1033,"&lt;="&amp;$B41)</f>
        <v>2237.77</v>
      </c>
      <c r="M41" s="24">
        <f>SUMIFS('Saldos Iniciales'!$D:$D,'Saldos Iniciales'!$A:$A,"Soweto")+SUMIFS(Movimientos!$K$1:$K$1033,Movimientos!$C$1:$C$1033,"Soweto",Movimientos!$B$1:$B$1033,"&lt;="&amp;$B41)</f>
        <v>3349.94</v>
      </c>
      <c r="N41" s="24">
        <f>SUMIFS('Saldos Iniciales'!$D:$D,'Saldos Iniciales'!$A:$A,"Green Stone Trust")+SUMIFS(Movimientos!$K$1:$K$1033,Movimientos!$C$1:$C$1033,"Green Stone Trust",Movimientos!$B$1:$B$1033,"&lt;="&amp;$B41)</f>
        <v>1968.99</v>
      </c>
      <c r="O41" s="24">
        <f>SUMIFS('Saldos Iniciales'!$D:$D,'Saldos Iniciales'!$A:$A,"EC Auto")+SUMIFS(Movimientos!$K$1:$K$1033,Movimientos!$C$1:$C$1033,"EC Auto",Movimientos!$B$1:$B$1033,"&lt;="&amp;$B41)</f>
        <v>382.69000000000005</v>
      </c>
      <c r="P41" s="24">
        <f>SUMIFS('Saldos Iniciales'!$D:$D,'Saldos Iniciales'!$A:$A,"Arbor Capital Properties")+SUMIFS(Movimientos!$K$1:$K$1033,Movimientos!$C$1:$C$1033,"Arbor Capital Properties",Movimientos!$B$1:$B$1033,"&lt;="&amp;$B41)</f>
        <v>1428.08</v>
      </c>
      <c r="Q41" s="24">
        <f>SUMIFS('Saldos Iniciales'!$D:$D,'Saldos Iniciales'!$A:$A,"2515 Overbrook")+SUMIFS(Movimientos!$K$1:$K$1033,Movimientos!$C$1:$C$1033,"2515 Overbrook",Movimientos!$B$1:$B$1033,"&lt;="&amp;$B41)</f>
        <v>25789.969999999961</v>
      </c>
      <c r="R41" s="24">
        <f>SUMIFS('Saldos Iniciales'!$D:$D,'Saldos Iniciales'!$A:$A,"112 Florida Ave")+SUMIFS(Movimientos!$K$1:$K$1033,Movimientos!$C$1:$C$1033,"112 Florida Ave",Movimientos!$B$1:$B$1033,"&lt;="&amp;$B41)</f>
        <v>5321.4300000000021</v>
      </c>
      <c r="S41" s="24">
        <f>SUMIFS('Saldos Iniciales'!$D:$D,'Saldos Iniciales'!$A:$A,"3628 Thomas Ave")+SUMIFS(Movimientos!$K$1:$K$1033,Movimientos!$C$1:$C$1033,"3628 Thomas Ave",Movimientos!$B$1:$B$1033,"&lt;="&amp;$B41)</f>
        <v>24833.23</v>
      </c>
      <c r="T41" s="24">
        <f>SUMIFS('Saldos Iniciales'!$D:$D,'Saldos Iniciales'!$A:$A,"Green Harbor Trust")+SUMIFS(Movimientos!$K$1:$K$1033,Movimientos!$C$1:$C$1033,"Green Harbor Trust",Movimientos!$B$1:$B$1033,"&lt;="&amp;$B41)</f>
        <v>345</v>
      </c>
      <c r="U41" s="24">
        <f>SUMIFS('Saldos Iniciales'!$D:$D,'Saldos Iniciales'!$A:$A,"Go Blue")+SUMIFS(Movimientos!$K$1:$K$1033,Movimientos!$C$1:$C$1033,"Go Blue",Movimientos!$B$1:$B$1033,"&lt;="&amp;$B41)</f>
        <v>6583.0800000000036</v>
      </c>
      <c r="V41" s="25">
        <f t="shared" si="2"/>
        <v>3012284.51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Group")+SUMIFS(Movimientos!$K$1:$K$1033,Movimientos!$C$1:$C$1033,"CFT Group",Movimientos!$B$1:$B$1033,"&lt;="&amp;$B42)</f>
        <v>2370079.2799999998</v>
      </c>
      <c r="D42" s="24">
        <f>SUMIFS('Saldos Iniciales'!$D:$D,'Saldos Iniciales'!$A:$A,"M1B")+SUMIFS(Movimientos!$K$1:$K$1033,Movimientos!$C$1:$C$1033,"M1B",Movimientos!$B$1:$B$1033,"&lt;="&amp;$B42)</f>
        <v>69376.390000000174</v>
      </c>
      <c r="E42" s="24">
        <f>SUMIFS('Saldos Iniciales'!$D:$D,'Saldos Iniciales'!$A:$A,"Durand")+SUMIFS(Movimientos!$K$1:$K$1033,Movimientos!$C$1:$C$1033,"Durand",Movimientos!$B$1:$B$1033,"&lt;="&amp;$B42)</f>
        <v>1669.89</v>
      </c>
      <c r="F42" s="24">
        <f>SUMIFS('Saldos Iniciales'!$D:$D,'Saldos Iniciales'!$A:$A,"A&amp;M Imports")+SUMIFS(Movimientos!$K$1:$K$1033,Movimientos!$C$1:$C$1033,"A&amp;M Imports",Movimientos!$B$1:$B$1033,"&lt;="&amp;$B42)</f>
        <v>575346.56999999983</v>
      </c>
      <c r="G42" s="24">
        <f>SUMIFS('Saldos Iniciales'!$D:$D,'Saldos Iniciales'!$A:$A,"SSP Capital")+SUMIFS(Movimientos!$K$1:$K$1033,Movimientos!$C$1:$C$1033,"SSP Capital",Movimientos!$B$1:$B$1033,"&lt;="&amp;$B42)</f>
        <v>1174516.1699999992</v>
      </c>
      <c r="H42" s="24">
        <f>SUMIFS('Saldos Iniciales'!$D:$D,'Saldos Iniciales'!$A:$A,"Cross Family Trust")+SUMIFS(Movimientos!$K$1:$K$1033,Movimientos!$C$1:$C$1033,"Cross Family Trust",Movimientos!$B$1:$B$1033,"&lt;="&amp;$B42)</f>
        <v>116496.38</v>
      </c>
      <c r="I42" s="24">
        <f>SUMIFS('Saldos Iniciales'!$D:$D,'Saldos Iniciales'!$A:$A,"Cross Security Trust")+SUMIFS(Movimientos!$K$1:$K$1033,Movimientos!$C$1:$C$1033,"Cross Security Trust",Movimientos!$B$1:$B$1033,"&lt;="&amp;$B42)</f>
        <v>88090.37</v>
      </c>
      <c r="J42" s="24">
        <f>SUMIFS('Saldos Iniciales'!$D:$D,'Saldos Iniciales'!$A:$A,"Electrama")+SUMIFS(Movimientos!$K$1:$K$1033,Movimientos!$C$1:$C$1033,"Electrama",Movimientos!$B$1:$B$1033,"&lt;="&amp;$B42)</f>
        <v>511.15999999999985</v>
      </c>
      <c r="K42" s="24">
        <f>SUMIFS('Saldos Iniciales'!$D:$D,'Saldos Iniciales'!$A:$A,"Sacred Valley Capital")+SUMIFS(Movimientos!$K$1:$K$1033,Movimientos!$C$1:$C$1033,"Sacred Valley Capital",Movimientos!$B$1:$B$1033,"&lt;="&amp;$B42)</f>
        <v>84.35</v>
      </c>
      <c r="L42" s="24">
        <f>SUMIFS('Saldos Iniciales'!$D:$D,'Saldos Iniciales'!$A:$A,"YWC Capital")+SUMIFS(Movimientos!$K$1:$K$1033,Movimientos!$C$1:$C$1033,"YWC Capital",Movimientos!$B$1:$B$1033,"&lt;="&amp;$B42)</f>
        <v>2237.77</v>
      </c>
      <c r="M42" s="24">
        <f>SUMIFS('Saldos Iniciales'!$D:$D,'Saldos Iniciales'!$A:$A,"Soweto")+SUMIFS(Movimientos!$K$1:$K$1033,Movimientos!$C$1:$C$1033,"Soweto",Movimientos!$B$1:$B$1033,"&lt;="&amp;$B42)</f>
        <v>3349.94</v>
      </c>
      <c r="N42" s="24">
        <f>SUMIFS('Saldos Iniciales'!$D:$D,'Saldos Iniciales'!$A:$A,"Green Stone Trust")+SUMIFS(Movimientos!$K$1:$K$1033,Movimientos!$C$1:$C$1033,"Green Stone Trust",Movimientos!$B$1:$B$1033,"&lt;="&amp;$B42)</f>
        <v>1968.99</v>
      </c>
      <c r="O42" s="24">
        <f>SUMIFS('Saldos Iniciales'!$D:$D,'Saldos Iniciales'!$A:$A,"EC Auto")+SUMIFS(Movimientos!$K$1:$K$1033,Movimientos!$C$1:$C$1033,"EC Auto",Movimientos!$B$1:$B$1033,"&lt;="&amp;$B42)</f>
        <v>382.69000000000005</v>
      </c>
      <c r="P42" s="24">
        <f>SUMIFS('Saldos Iniciales'!$D:$D,'Saldos Iniciales'!$A:$A,"Arbor Capital Properties")+SUMIFS(Movimientos!$K$1:$K$1033,Movimientos!$C$1:$C$1033,"Arbor Capital Properties",Movimientos!$B$1:$B$1033,"&lt;="&amp;$B42)</f>
        <v>1428.08</v>
      </c>
      <c r="Q42" s="24">
        <f>SUMIFS('Saldos Iniciales'!$D:$D,'Saldos Iniciales'!$A:$A,"2515 Overbrook")+SUMIFS(Movimientos!$K$1:$K$1033,Movimientos!$C$1:$C$1033,"2515 Overbrook",Movimientos!$B$1:$B$1033,"&lt;="&amp;$B42)</f>
        <v>25789.969999999961</v>
      </c>
      <c r="R42" s="24">
        <f>SUMIFS('Saldos Iniciales'!$D:$D,'Saldos Iniciales'!$A:$A,"112 Florida Ave")+SUMIFS(Movimientos!$K$1:$K$1033,Movimientos!$C$1:$C$1033,"112 Florida Ave",Movimientos!$B$1:$B$1033,"&lt;="&amp;$B42)</f>
        <v>5321.4300000000021</v>
      </c>
      <c r="S42" s="24">
        <f>SUMIFS('Saldos Iniciales'!$D:$D,'Saldos Iniciales'!$A:$A,"3628 Thomas Ave")+SUMIFS(Movimientos!$K$1:$K$1033,Movimientos!$C$1:$C$1033,"3628 Thomas Ave",Movimientos!$B$1:$B$1033,"&lt;="&amp;$B42)</f>
        <v>24743.98</v>
      </c>
      <c r="T42" s="24">
        <f>SUMIFS('Saldos Iniciales'!$D:$D,'Saldos Iniciales'!$A:$A,"Green Harbor Trust")+SUMIFS(Movimientos!$K$1:$K$1033,Movimientos!$C$1:$C$1033,"Green Harbor Trust",Movimientos!$B$1:$B$1033,"&lt;="&amp;$B42)</f>
        <v>345</v>
      </c>
      <c r="U42" s="24">
        <f>SUMIFS('Saldos Iniciales'!$D:$D,'Saldos Iniciales'!$A:$A,"Go Blue")+SUMIFS(Movimientos!$K$1:$K$1033,Movimientos!$C$1:$C$1033,"Go Blue",Movimientos!$B$1:$B$1033,"&lt;="&amp;$B42)</f>
        <v>6583.0800000000036</v>
      </c>
      <c r="V42" s="25">
        <f t="shared" si="2"/>
        <v>4468321.4899999993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Group")+SUMIFS(Movimientos!$K$1:$K$1033,Movimientos!$C$1:$C$1033,"CFT Group",Movimientos!$B$1:$B$1033,"&lt;="&amp;$B43)</f>
        <v>1919118.1700000002</v>
      </c>
      <c r="D43" s="24">
        <f>SUMIFS('Saldos Iniciales'!$D:$D,'Saldos Iniciales'!$A:$A,"M1B")+SUMIFS(Movimientos!$K$1:$K$1033,Movimientos!$C$1:$C$1033,"M1B",Movimientos!$B$1:$B$1033,"&lt;="&amp;$B43)</f>
        <v>69376.390000000174</v>
      </c>
      <c r="E43" s="24">
        <f>SUMIFS('Saldos Iniciales'!$D:$D,'Saldos Iniciales'!$A:$A,"Durand")+SUMIFS(Movimientos!$K$1:$K$1033,Movimientos!$C$1:$C$1033,"Durand",Movimientos!$B$1:$B$1033,"&lt;="&amp;$B43)</f>
        <v>1669.89</v>
      </c>
      <c r="F43" s="24">
        <f>SUMIFS('Saldos Iniciales'!$D:$D,'Saldos Iniciales'!$A:$A,"A&amp;M Imports")+SUMIFS(Movimientos!$K$1:$K$1033,Movimientos!$C$1:$C$1033,"A&amp;M Imports",Movimientos!$B$1:$B$1033,"&lt;="&amp;$B43)</f>
        <v>395665.96999999986</v>
      </c>
      <c r="G43" s="24">
        <f>SUMIFS('Saldos Iniciales'!$D:$D,'Saldos Iniciales'!$A:$A,"SSP Capital")+SUMIFS(Movimientos!$K$1:$K$1033,Movimientos!$C$1:$C$1033,"SSP Capital",Movimientos!$B$1:$B$1033,"&lt;="&amp;$B43)</f>
        <v>808973.94999999925</v>
      </c>
      <c r="H43" s="24">
        <f>SUMIFS('Saldos Iniciales'!$D:$D,'Saldos Iniciales'!$A:$A,"Cross Family Trust")+SUMIFS(Movimientos!$K$1:$K$1033,Movimientos!$C$1:$C$1033,"Cross Family Trust",Movimientos!$B$1:$B$1033,"&lt;="&amp;$B43)</f>
        <v>116496.38</v>
      </c>
      <c r="I43" s="24">
        <f>SUMIFS('Saldos Iniciales'!$D:$D,'Saldos Iniciales'!$A:$A,"Cross Security Trust")+SUMIFS(Movimientos!$K$1:$K$1033,Movimientos!$C$1:$C$1033,"Cross Security Trust",Movimientos!$B$1:$B$1033,"&lt;="&amp;$B43)</f>
        <v>88090.37</v>
      </c>
      <c r="J43" s="24">
        <f>SUMIFS('Saldos Iniciales'!$D:$D,'Saldos Iniciales'!$A:$A,"Electrama")+SUMIFS(Movimientos!$K$1:$K$1033,Movimientos!$C$1:$C$1033,"Electrama",Movimientos!$B$1:$B$1033,"&lt;="&amp;$B43)</f>
        <v>511.15999999999985</v>
      </c>
      <c r="K43" s="24">
        <f>SUMIFS('Saldos Iniciales'!$D:$D,'Saldos Iniciales'!$A:$A,"Sacred Valley Capital")+SUMIFS(Movimientos!$K$1:$K$1033,Movimientos!$C$1:$C$1033,"Sacred Valley Capital",Movimientos!$B$1:$B$1033,"&lt;="&amp;$B43)</f>
        <v>84.35</v>
      </c>
      <c r="L43" s="24">
        <f>SUMIFS('Saldos Iniciales'!$D:$D,'Saldos Iniciales'!$A:$A,"YWC Capital")+SUMIFS(Movimientos!$K$1:$K$1033,Movimientos!$C$1:$C$1033,"YWC Capital",Movimientos!$B$1:$B$1033,"&lt;="&amp;$B43)</f>
        <v>2237.77</v>
      </c>
      <c r="M43" s="24">
        <f>SUMIFS('Saldos Iniciales'!$D:$D,'Saldos Iniciales'!$A:$A,"Soweto")+SUMIFS(Movimientos!$K$1:$K$1033,Movimientos!$C$1:$C$1033,"Soweto",Movimientos!$B$1:$B$1033,"&lt;="&amp;$B43)</f>
        <v>3349.94</v>
      </c>
      <c r="N43" s="24">
        <f>SUMIFS('Saldos Iniciales'!$D:$D,'Saldos Iniciales'!$A:$A,"Green Stone Trust")+SUMIFS(Movimientos!$K$1:$K$1033,Movimientos!$C$1:$C$1033,"Green Stone Trust",Movimientos!$B$1:$B$1033,"&lt;="&amp;$B43)</f>
        <v>1968.99</v>
      </c>
      <c r="O43" s="24">
        <f>SUMIFS('Saldos Iniciales'!$D:$D,'Saldos Iniciales'!$A:$A,"EC Auto")+SUMIFS(Movimientos!$K$1:$K$1033,Movimientos!$C$1:$C$1033,"EC Auto",Movimientos!$B$1:$B$1033,"&lt;="&amp;$B43)</f>
        <v>382.69000000000005</v>
      </c>
      <c r="P43" s="24">
        <f>SUMIFS('Saldos Iniciales'!$D:$D,'Saldos Iniciales'!$A:$A,"Arbor Capital Properties")+SUMIFS(Movimientos!$K$1:$K$1033,Movimientos!$C$1:$C$1033,"Arbor Capital Properties",Movimientos!$B$1:$B$1033,"&lt;="&amp;$B43)</f>
        <v>1428.08</v>
      </c>
      <c r="Q43" s="24">
        <f>SUMIFS('Saldos Iniciales'!$D:$D,'Saldos Iniciales'!$A:$A,"2515 Overbrook")+SUMIFS(Movimientos!$K$1:$K$1033,Movimientos!$C$1:$C$1033,"2515 Overbrook",Movimientos!$B$1:$B$1033,"&lt;="&amp;$B43)</f>
        <v>25789.969999999961</v>
      </c>
      <c r="R43" s="24">
        <f>SUMIFS('Saldos Iniciales'!$D:$D,'Saldos Iniciales'!$A:$A,"112 Florida Ave")+SUMIFS(Movimientos!$K$1:$K$1033,Movimientos!$C$1:$C$1033,"112 Florida Ave",Movimientos!$B$1:$B$1033,"&lt;="&amp;$B43)</f>
        <v>5321.4300000000021</v>
      </c>
      <c r="S43" s="24">
        <f>SUMIFS('Saldos Iniciales'!$D:$D,'Saldos Iniciales'!$A:$A,"3628 Thomas Ave")+SUMIFS(Movimientos!$K$1:$K$1033,Movimientos!$C$1:$C$1033,"3628 Thomas Ave",Movimientos!$B$1:$B$1033,"&lt;="&amp;$B43)</f>
        <v>24743.98</v>
      </c>
      <c r="T43" s="24">
        <f>SUMIFS('Saldos Iniciales'!$D:$D,'Saldos Iniciales'!$A:$A,"Green Harbor Trust")+SUMIFS(Movimientos!$K$1:$K$1033,Movimientos!$C$1:$C$1033,"Green Harbor Trust",Movimientos!$B$1:$B$1033,"&lt;="&amp;$B43)</f>
        <v>345</v>
      </c>
      <c r="U43" s="24">
        <f>SUMIFS('Saldos Iniciales'!$D:$D,'Saldos Iniciales'!$A:$A,"Go Blue")+SUMIFS(Movimientos!$K$1:$K$1033,Movimientos!$C$1:$C$1033,"Go Blue",Movimientos!$B$1:$B$1033,"&lt;="&amp;$B43)</f>
        <v>54068.08</v>
      </c>
      <c r="V43" s="25">
        <f t="shared" si="2"/>
        <v>3519622.5599999996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Group")+SUMIFS(Movimientos!$K$1:$K$1033,Movimientos!$C$1:$C$1033,"CFT Group",Movimientos!$B$1:$B$1033,"&lt;="&amp;$B44)</f>
        <v>1919118.1700000002</v>
      </c>
      <c r="D44" s="24">
        <f>SUMIFS('Saldos Iniciales'!$D:$D,'Saldos Iniciales'!$A:$A,"M1B")+SUMIFS(Movimientos!$K$1:$K$1033,Movimientos!$C$1:$C$1033,"M1B",Movimientos!$B$1:$B$1033,"&lt;="&amp;$B44)</f>
        <v>69376.390000000174</v>
      </c>
      <c r="E44" s="24">
        <f>SUMIFS('Saldos Iniciales'!$D:$D,'Saldos Iniciales'!$A:$A,"Durand")+SUMIFS(Movimientos!$K$1:$K$1033,Movimientos!$C$1:$C$1033,"Durand",Movimientos!$B$1:$B$1033,"&lt;="&amp;$B44)</f>
        <v>1669.89</v>
      </c>
      <c r="F44" s="24">
        <f>SUMIFS('Saldos Iniciales'!$D:$D,'Saldos Iniciales'!$A:$A,"A&amp;M Imports")+SUMIFS(Movimientos!$K$1:$K$1033,Movimientos!$C$1:$C$1033,"A&amp;M Imports",Movimientos!$B$1:$B$1033,"&lt;="&amp;$B44)</f>
        <v>395665.96999999986</v>
      </c>
      <c r="G44" s="24">
        <f>SUMIFS('Saldos Iniciales'!$D:$D,'Saldos Iniciales'!$A:$A,"SSP Capital")+SUMIFS(Movimientos!$K$1:$K$1033,Movimientos!$C$1:$C$1033,"SSP Capital",Movimientos!$B$1:$B$1033,"&lt;="&amp;$B44)</f>
        <v>3777590.9499999997</v>
      </c>
      <c r="H44" s="24">
        <f>SUMIFS('Saldos Iniciales'!$D:$D,'Saldos Iniciales'!$A:$A,"Cross Family Trust")+SUMIFS(Movimientos!$K$1:$K$1033,Movimientos!$C$1:$C$1033,"Cross Family Trust",Movimientos!$B$1:$B$1033,"&lt;="&amp;$B44)</f>
        <v>116496.38</v>
      </c>
      <c r="I44" s="24">
        <f>SUMIFS('Saldos Iniciales'!$D:$D,'Saldos Iniciales'!$A:$A,"Cross Security Trust")+SUMIFS(Movimientos!$K$1:$K$1033,Movimientos!$C$1:$C$1033,"Cross Security Trust",Movimientos!$B$1:$B$1033,"&lt;="&amp;$B44)</f>
        <v>88090.37</v>
      </c>
      <c r="J44" s="24">
        <f>SUMIFS('Saldos Iniciales'!$D:$D,'Saldos Iniciales'!$A:$A,"Electrama")+SUMIFS(Movimientos!$K$1:$K$1033,Movimientos!$C$1:$C$1033,"Electrama",Movimientos!$B$1:$B$1033,"&lt;="&amp;$B44)</f>
        <v>511.15999999999985</v>
      </c>
      <c r="K44" s="24">
        <f>SUMIFS('Saldos Iniciales'!$D:$D,'Saldos Iniciales'!$A:$A,"Sacred Valley Capital")+SUMIFS(Movimientos!$K$1:$K$1033,Movimientos!$C$1:$C$1033,"Sacred Valley Capital",Movimientos!$B$1:$B$1033,"&lt;="&amp;$B44)</f>
        <v>84.35</v>
      </c>
      <c r="L44" s="24">
        <f>SUMIFS('Saldos Iniciales'!$D:$D,'Saldos Iniciales'!$A:$A,"YWC Capital")+SUMIFS(Movimientos!$K$1:$K$1033,Movimientos!$C$1:$C$1033,"YWC Capital",Movimientos!$B$1:$B$1033,"&lt;="&amp;$B44)</f>
        <v>2237.77</v>
      </c>
      <c r="M44" s="24">
        <f>SUMIFS('Saldos Iniciales'!$D:$D,'Saldos Iniciales'!$A:$A,"Soweto")+SUMIFS(Movimientos!$K$1:$K$1033,Movimientos!$C$1:$C$1033,"Soweto",Movimientos!$B$1:$B$1033,"&lt;="&amp;$B44)</f>
        <v>3349.94</v>
      </c>
      <c r="N44" s="24">
        <f>SUMIFS('Saldos Iniciales'!$D:$D,'Saldos Iniciales'!$A:$A,"Green Stone Trust")+SUMIFS(Movimientos!$K$1:$K$1033,Movimientos!$C$1:$C$1033,"Green Stone Trust",Movimientos!$B$1:$B$1033,"&lt;="&amp;$B44)</f>
        <v>1968.99</v>
      </c>
      <c r="O44" s="24">
        <f>SUMIFS('Saldos Iniciales'!$D:$D,'Saldos Iniciales'!$A:$A,"EC Auto")+SUMIFS(Movimientos!$K$1:$K$1033,Movimientos!$C$1:$C$1033,"EC Auto",Movimientos!$B$1:$B$1033,"&lt;="&amp;$B44)</f>
        <v>382.69000000000005</v>
      </c>
      <c r="P44" s="24">
        <f>SUMIFS('Saldos Iniciales'!$D:$D,'Saldos Iniciales'!$A:$A,"Arbor Capital Properties")+SUMIFS(Movimientos!$K$1:$K$1033,Movimientos!$C$1:$C$1033,"Arbor Capital Properties",Movimientos!$B$1:$B$1033,"&lt;="&amp;$B44)</f>
        <v>1428.08</v>
      </c>
      <c r="Q44" s="24">
        <f>SUMIFS('Saldos Iniciales'!$D:$D,'Saldos Iniciales'!$A:$A,"2515 Overbrook")+SUMIFS(Movimientos!$K$1:$K$1033,Movimientos!$C$1:$C$1033,"2515 Overbrook",Movimientos!$B$1:$B$1033,"&lt;="&amp;$B44)</f>
        <v>27789.969999999961</v>
      </c>
      <c r="R44" s="24">
        <f>SUMIFS('Saldos Iniciales'!$D:$D,'Saldos Iniciales'!$A:$A,"112 Florida Ave")+SUMIFS(Movimientos!$K$1:$K$1033,Movimientos!$C$1:$C$1033,"112 Florida Ave",Movimientos!$B$1:$B$1033,"&lt;="&amp;$B44)</f>
        <v>5321.4300000000021</v>
      </c>
      <c r="S44" s="24">
        <f>SUMIFS('Saldos Iniciales'!$D:$D,'Saldos Iniciales'!$A:$A,"3628 Thomas Ave")+SUMIFS(Movimientos!$K$1:$K$1033,Movimientos!$C$1:$C$1033,"3628 Thomas Ave",Movimientos!$B$1:$B$1033,"&lt;="&amp;$B44)</f>
        <v>24484.85</v>
      </c>
      <c r="T44" s="24">
        <f>SUMIFS('Saldos Iniciales'!$D:$D,'Saldos Iniciales'!$A:$A,"Green Harbor Trust")+SUMIFS(Movimientos!$K$1:$K$1033,Movimientos!$C$1:$C$1033,"Green Harbor Trust",Movimientos!$B$1:$B$1033,"&lt;="&amp;$B44)</f>
        <v>345</v>
      </c>
      <c r="U44" s="24">
        <f>SUMIFS('Saldos Iniciales'!$D:$D,'Saldos Iniciales'!$A:$A,"Go Blue")+SUMIFS(Movimientos!$K$1:$K$1033,Movimientos!$C$1:$C$1033,"Go Blue",Movimientos!$B$1:$B$1033,"&lt;="&amp;$B44)</f>
        <v>54068.08</v>
      </c>
      <c r="V44" s="25">
        <f t="shared" ref="V44:V46" si="3">SUM(C44:U44)</f>
        <v>6489980.4299999988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Group")+SUMIFS(Movimientos!$K$1:$K$1033,Movimientos!$C$1:$C$1033,"CFT Group",Movimientos!$B$1:$B$1033,"&lt;="&amp;$B45)</f>
        <v>1919118.1700000002</v>
      </c>
      <c r="D45" s="24">
        <f>SUMIFS('Saldos Iniciales'!$D:$D,'Saldos Iniciales'!$A:$A,"M1B")+SUMIFS(Movimientos!$K$1:$K$1033,Movimientos!$C$1:$C$1033,"M1B",Movimientos!$B$1:$B$1033,"&lt;="&amp;$B45)</f>
        <v>69376.390000000174</v>
      </c>
      <c r="E45" s="24">
        <f>SUMIFS('Saldos Iniciales'!$D:$D,'Saldos Iniciales'!$A:$A,"Durand")+SUMIFS(Movimientos!$K$1:$K$1033,Movimientos!$C$1:$C$1033,"Durand",Movimientos!$B$1:$B$1033,"&lt;="&amp;$B45)</f>
        <v>1669.89</v>
      </c>
      <c r="F45" s="24">
        <f>SUMIFS('Saldos Iniciales'!$D:$D,'Saldos Iniciales'!$A:$A,"A&amp;M Imports")+SUMIFS(Movimientos!$K$1:$K$1033,Movimientos!$C$1:$C$1033,"A&amp;M Imports",Movimientos!$B$1:$B$1033,"&lt;="&amp;$B45)</f>
        <v>395665.96999999986</v>
      </c>
      <c r="G45" s="24">
        <f>SUMIFS('Saldos Iniciales'!$D:$D,'Saldos Iniciales'!$A:$A,"SSP Capital")+SUMIFS(Movimientos!$K$1:$K$1033,Movimientos!$C$1:$C$1033,"SSP Capital",Movimientos!$B$1:$B$1033,"&lt;="&amp;$B45)</f>
        <v>3777590.9499999997</v>
      </c>
      <c r="H45" s="24">
        <f>SUMIFS('Saldos Iniciales'!$D:$D,'Saldos Iniciales'!$A:$A,"Cross Family Trust")+SUMIFS(Movimientos!$K$1:$K$1033,Movimientos!$C$1:$C$1033,"Cross Family Trust",Movimientos!$B$1:$B$1033,"&lt;="&amp;$B45)</f>
        <v>116496.38</v>
      </c>
      <c r="I45" s="24">
        <f>SUMIFS('Saldos Iniciales'!$D:$D,'Saldos Iniciales'!$A:$A,"Cross Security Trust")+SUMIFS(Movimientos!$K$1:$K$1033,Movimientos!$C$1:$C$1033,"Cross Security Trust",Movimientos!$B$1:$B$1033,"&lt;="&amp;$B45)</f>
        <v>88090.37</v>
      </c>
      <c r="J45" s="24">
        <f>SUMIFS('Saldos Iniciales'!$D:$D,'Saldos Iniciales'!$A:$A,"Electrama")+SUMIFS(Movimientos!$K$1:$K$1033,Movimientos!$C$1:$C$1033,"Electrama",Movimientos!$B$1:$B$1033,"&lt;="&amp;$B45)</f>
        <v>511.15999999999985</v>
      </c>
      <c r="K45" s="24">
        <f>SUMIFS('Saldos Iniciales'!$D:$D,'Saldos Iniciales'!$A:$A,"Sacred Valley Capital")+SUMIFS(Movimientos!$K$1:$K$1033,Movimientos!$C$1:$C$1033,"Sacred Valley Capital",Movimientos!$B$1:$B$1033,"&lt;="&amp;$B45)</f>
        <v>84.35</v>
      </c>
      <c r="L45" s="24">
        <f>SUMIFS('Saldos Iniciales'!$D:$D,'Saldos Iniciales'!$A:$A,"YWC Capital")+SUMIFS(Movimientos!$K$1:$K$1033,Movimientos!$C$1:$C$1033,"YWC Capital",Movimientos!$B$1:$B$1033,"&lt;="&amp;$B45)</f>
        <v>2237.77</v>
      </c>
      <c r="M45" s="24">
        <f>SUMIFS('Saldos Iniciales'!$D:$D,'Saldos Iniciales'!$A:$A,"Soweto")+SUMIFS(Movimientos!$K$1:$K$1033,Movimientos!$C$1:$C$1033,"Soweto",Movimientos!$B$1:$B$1033,"&lt;="&amp;$B45)</f>
        <v>3349.94</v>
      </c>
      <c r="N45" s="24">
        <f>SUMIFS('Saldos Iniciales'!$D:$D,'Saldos Iniciales'!$A:$A,"Green Stone Trust")+SUMIFS(Movimientos!$K$1:$K$1033,Movimientos!$C$1:$C$1033,"Green Stone Trust",Movimientos!$B$1:$B$1033,"&lt;="&amp;$B45)</f>
        <v>1968.99</v>
      </c>
      <c r="O45" s="24">
        <f>SUMIFS('Saldos Iniciales'!$D:$D,'Saldos Iniciales'!$A:$A,"EC Auto")+SUMIFS(Movimientos!$K$1:$K$1033,Movimientos!$C$1:$C$1033,"EC Auto",Movimientos!$B$1:$B$1033,"&lt;="&amp;$B45)</f>
        <v>382.69000000000005</v>
      </c>
      <c r="P45" s="24">
        <f>SUMIFS('Saldos Iniciales'!$D:$D,'Saldos Iniciales'!$A:$A,"Arbor Capital Properties")+SUMIFS(Movimientos!$K$1:$K$1033,Movimientos!$C$1:$C$1033,"Arbor Capital Properties",Movimientos!$B$1:$B$1033,"&lt;="&amp;$B45)</f>
        <v>1428.08</v>
      </c>
      <c r="Q45" s="24">
        <f>SUMIFS('Saldos Iniciales'!$D:$D,'Saldos Iniciales'!$A:$A,"2515 Overbrook")+SUMIFS(Movimientos!$K$1:$K$1033,Movimientos!$C$1:$C$1033,"2515 Overbrook",Movimientos!$B$1:$B$1033,"&lt;="&amp;$B45)</f>
        <v>27789.969999999961</v>
      </c>
      <c r="R45" s="24">
        <f>SUMIFS('Saldos Iniciales'!$D:$D,'Saldos Iniciales'!$A:$A,"112 Florida Ave")+SUMIFS(Movimientos!$K$1:$K$1033,Movimientos!$C$1:$C$1033,"112 Florida Ave",Movimientos!$B$1:$B$1033,"&lt;="&amp;$B45)</f>
        <v>5321.4300000000021</v>
      </c>
      <c r="S45" s="24">
        <f>SUMIFS('Saldos Iniciales'!$D:$D,'Saldos Iniciales'!$A:$A,"3628 Thomas Ave")+SUMIFS(Movimientos!$K$1:$K$1033,Movimientos!$C$1:$C$1033,"3628 Thomas Ave",Movimientos!$B$1:$B$1033,"&lt;="&amp;$B45)</f>
        <v>24484.85</v>
      </c>
      <c r="T45" s="24">
        <f>SUMIFS('Saldos Iniciales'!$D:$D,'Saldos Iniciales'!$A:$A,"Green Harbor Trust")+SUMIFS(Movimientos!$K$1:$K$1033,Movimientos!$C$1:$C$1033,"Green Harbor Trust",Movimientos!$B$1:$B$1033,"&lt;="&amp;$B45)</f>
        <v>345</v>
      </c>
      <c r="U45" s="24">
        <f>SUMIFS('Saldos Iniciales'!$D:$D,'Saldos Iniciales'!$A:$A,"Go Blue")+SUMIFS(Movimientos!$K$1:$K$1033,Movimientos!$C$1:$C$1033,"Go Blue",Movimientos!$B$1:$B$1033,"&lt;="&amp;$B45)</f>
        <v>54068.08</v>
      </c>
      <c r="V45" s="25">
        <f t="shared" si="3"/>
        <v>6489980.4299999988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Group")+SUMIFS(Movimientos!$K$1:$K$1033,Movimientos!$C$1:$C$1033,"CFT Group",Movimientos!$B$1:$B$1033,"&lt;="&amp;$B46)</f>
        <v>1919118.1700000002</v>
      </c>
      <c r="D46" s="24">
        <f>SUMIFS('Saldos Iniciales'!$D:$D,'Saldos Iniciales'!$A:$A,"M1B")+SUMIFS(Movimientos!$K$1:$K$1033,Movimientos!$C$1:$C$1033,"M1B",Movimientos!$B$1:$B$1033,"&lt;="&amp;$B46)</f>
        <v>69376.390000000174</v>
      </c>
      <c r="E46" s="24">
        <f>SUMIFS('Saldos Iniciales'!$D:$D,'Saldos Iniciales'!$A:$A,"Durand")+SUMIFS(Movimientos!$K$1:$K$1033,Movimientos!$C$1:$C$1033,"Durand",Movimientos!$B$1:$B$1033,"&lt;="&amp;$B46)</f>
        <v>1669.89</v>
      </c>
      <c r="F46" s="24">
        <f>SUMIFS('Saldos Iniciales'!$D:$D,'Saldos Iniciales'!$A:$A,"A&amp;M Imports")+SUMIFS(Movimientos!$K$1:$K$1033,Movimientos!$C$1:$C$1033,"A&amp;M Imports",Movimientos!$B$1:$B$1033,"&lt;="&amp;$B46)</f>
        <v>395665.96999999986</v>
      </c>
      <c r="G46" s="24">
        <f>SUMIFS('Saldos Iniciales'!$D:$D,'Saldos Iniciales'!$A:$A,"SSP Capital")+SUMIFS(Movimientos!$K$1:$K$1033,Movimientos!$C$1:$C$1033,"SSP Capital",Movimientos!$B$1:$B$1033,"&lt;="&amp;$B46)</f>
        <v>3777590.9499999997</v>
      </c>
      <c r="H46" s="24">
        <f>SUMIFS('Saldos Iniciales'!$D:$D,'Saldos Iniciales'!$A:$A,"Cross Family Trust")+SUMIFS(Movimientos!$K$1:$K$1033,Movimientos!$C$1:$C$1033,"Cross Family Trust",Movimientos!$B$1:$B$1033,"&lt;="&amp;$B46)</f>
        <v>116496.38</v>
      </c>
      <c r="I46" s="24">
        <f>SUMIFS('Saldos Iniciales'!$D:$D,'Saldos Iniciales'!$A:$A,"Cross Security Trust")+SUMIFS(Movimientos!$K$1:$K$1033,Movimientos!$C$1:$C$1033,"Cross Security Trust",Movimientos!$B$1:$B$1033,"&lt;="&amp;$B46)</f>
        <v>88090.37</v>
      </c>
      <c r="J46" s="24">
        <f>SUMIFS('Saldos Iniciales'!$D:$D,'Saldos Iniciales'!$A:$A,"Electrama")+SUMIFS(Movimientos!$K$1:$K$1033,Movimientos!$C$1:$C$1033,"Electrama",Movimientos!$B$1:$B$1033,"&lt;="&amp;$B46)</f>
        <v>511.15999999999985</v>
      </c>
      <c r="K46" s="24">
        <f>SUMIFS('Saldos Iniciales'!$D:$D,'Saldos Iniciales'!$A:$A,"Sacred Valley Capital")+SUMIFS(Movimientos!$K$1:$K$1033,Movimientos!$C$1:$C$1033,"Sacred Valley Capital",Movimientos!$B$1:$B$1033,"&lt;="&amp;$B46)</f>
        <v>84.35</v>
      </c>
      <c r="L46" s="24">
        <f>SUMIFS('Saldos Iniciales'!$D:$D,'Saldos Iniciales'!$A:$A,"YWC Capital")+SUMIFS(Movimientos!$K$1:$K$1033,Movimientos!$C$1:$C$1033,"YWC Capital",Movimientos!$B$1:$B$1033,"&lt;="&amp;$B46)</f>
        <v>2237.77</v>
      </c>
      <c r="M46" s="24">
        <f>SUMIFS('Saldos Iniciales'!$D:$D,'Saldos Iniciales'!$A:$A,"Soweto")+SUMIFS(Movimientos!$K$1:$K$1033,Movimientos!$C$1:$C$1033,"Soweto",Movimientos!$B$1:$B$1033,"&lt;="&amp;$B46)</f>
        <v>3349.94</v>
      </c>
      <c r="N46" s="24">
        <f>SUMIFS('Saldos Iniciales'!$D:$D,'Saldos Iniciales'!$A:$A,"Green Stone Trust")+SUMIFS(Movimientos!$K$1:$K$1033,Movimientos!$C$1:$C$1033,"Green Stone Trust",Movimientos!$B$1:$B$1033,"&lt;="&amp;$B46)</f>
        <v>1968.99</v>
      </c>
      <c r="O46" s="24">
        <f>SUMIFS('Saldos Iniciales'!$D:$D,'Saldos Iniciales'!$A:$A,"EC Auto")+SUMIFS(Movimientos!$K$1:$K$1033,Movimientos!$C$1:$C$1033,"EC Auto",Movimientos!$B$1:$B$1033,"&lt;="&amp;$B46)</f>
        <v>382.69000000000005</v>
      </c>
      <c r="P46" s="24">
        <f>SUMIFS('Saldos Iniciales'!$D:$D,'Saldos Iniciales'!$A:$A,"Arbor Capital Properties")+SUMIFS(Movimientos!$K$1:$K$1033,Movimientos!$C$1:$C$1033,"Arbor Capital Properties",Movimientos!$B$1:$B$1033,"&lt;="&amp;$B46)</f>
        <v>1428.08</v>
      </c>
      <c r="Q46" s="24">
        <f>SUMIFS('Saldos Iniciales'!$D:$D,'Saldos Iniciales'!$A:$A,"2515 Overbrook")+SUMIFS(Movimientos!$K$1:$K$1033,Movimientos!$C$1:$C$1033,"2515 Overbrook",Movimientos!$B$1:$B$1033,"&lt;="&amp;$B46)</f>
        <v>27789.969999999961</v>
      </c>
      <c r="R46" s="24">
        <f>SUMIFS('Saldos Iniciales'!$D:$D,'Saldos Iniciales'!$A:$A,"112 Florida Ave")+SUMIFS(Movimientos!$K$1:$K$1033,Movimientos!$C$1:$C$1033,"112 Florida Ave",Movimientos!$B$1:$B$1033,"&lt;="&amp;$B46)</f>
        <v>5321.4300000000021</v>
      </c>
      <c r="S46" s="24">
        <f>SUMIFS('Saldos Iniciales'!$D:$D,'Saldos Iniciales'!$A:$A,"3628 Thomas Ave")+SUMIFS(Movimientos!$K$1:$K$1033,Movimientos!$C$1:$C$1033,"3628 Thomas Ave",Movimientos!$B$1:$B$1033,"&lt;="&amp;$B46)</f>
        <v>24484.85</v>
      </c>
      <c r="T46" s="24">
        <f>SUMIFS('Saldos Iniciales'!$D:$D,'Saldos Iniciales'!$A:$A,"Green Harbor Trust")+SUMIFS(Movimientos!$K$1:$K$1033,Movimientos!$C$1:$C$1033,"Green Harbor Trust",Movimientos!$B$1:$B$1033,"&lt;="&amp;$B46)</f>
        <v>345</v>
      </c>
      <c r="U46" s="24">
        <f>SUMIFS('Saldos Iniciales'!$D:$D,'Saldos Iniciales'!$A:$A,"Go Blue")+SUMIFS(Movimientos!$K$1:$K$1033,Movimientos!$C$1:$C$1033,"Go Blue",Movimientos!$B$1:$B$1033,"&lt;="&amp;$B46)</f>
        <v>54068.08</v>
      </c>
      <c r="V46" s="25">
        <f t="shared" si="3"/>
        <v>6489980.4299999988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Group")+SUMIFS(Movimientos!$K$1:$K$1033,Movimientos!$C$1:$C$1033,"CFT Group",Movimientos!$B$1:$B$1033,"&lt;="&amp;$B47)</f>
        <v>1067309.2700000003</v>
      </c>
      <c r="D47" s="24">
        <f>SUMIFS('Saldos Iniciales'!$D:$D,'Saldos Iniciales'!$A:$A,"M1B")+SUMIFS(Movimientos!$K$1:$K$1033,Movimientos!$C$1:$C$1033,"M1B",Movimientos!$B$1:$B$1033,"&lt;="&amp;$B47)</f>
        <v>69376.390000000174</v>
      </c>
      <c r="E47" s="24">
        <f>SUMIFS('Saldos Iniciales'!$D:$D,'Saldos Iniciales'!$A:$A,"Durand")+SUMIFS(Movimientos!$K$1:$K$1033,Movimientos!$C$1:$C$1033,"Durand",Movimientos!$B$1:$B$1033,"&lt;="&amp;$B47)</f>
        <v>1669.89</v>
      </c>
      <c r="F47" s="24">
        <f>SUMIFS('Saldos Iniciales'!$D:$D,'Saldos Iniciales'!$A:$A,"A&amp;M Imports")+SUMIFS(Movimientos!$K$1:$K$1033,Movimientos!$C$1:$C$1033,"A&amp;M Imports",Movimientos!$B$1:$B$1033,"&lt;="&amp;$B47)</f>
        <v>334944.56999999983</v>
      </c>
      <c r="G47" s="24">
        <f>SUMIFS('Saldos Iniciales'!$D:$D,'Saldos Iniciales'!$A:$A,"SSP Capital")+SUMIFS(Movimientos!$K$1:$K$1033,Movimientos!$C$1:$C$1033,"SSP Capital",Movimientos!$B$1:$B$1033,"&lt;="&amp;$B47)</f>
        <v>3345979.36</v>
      </c>
      <c r="H47" s="24">
        <f>SUMIFS('Saldos Iniciales'!$D:$D,'Saldos Iniciales'!$A:$A,"Cross Family Trust")+SUMIFS(Movimientos!$K$1:$K$1033,Movimientos!$C$1:$C$1033,"Cross Family Trust",Movimientos!$B$1:$B$1033,"&lt;="&amp;$B47)</f>
        <v>116496.38</v>
      </c>
      <c r="I47" s="24">
        <f>SUMIFS('Saldos Iniciales'!$D:$D,'Saldos Iniciales'!$A:$A,"Cross Security Trust")+SUMIFS(Movimientos!$K$1:$K$1033,Movimientos!$C$1:$C$1033,"Cross Security Trust",Movimientos!$B$1:$B$1033,"&lt;="&amp;$B47)</f>
        <v>88090.37</v>
      </c>
      <c r="J47" s="24">
        <f>SUMIFS('Saldos Iniciales'!$D:$D,'Saldos Iniciales'!$A:$A,"Electrama")+SUMIFS(Movimientos!$K$1:$K$1033,Movimientos!$C$1:$C$1033,"Electrama",Movimientos!$B$1:$B$1033,"&lt;="&amp;$B47)</f>
        <v>511.15999999999985</v>
      </c>
      <c r="K47" s="24">
        <f>SUMIFS('Saldos Iniciales'!$D:$D,'Saldos Iniciales'!$A:$A,"Sacred Valley Capital")+SUMIFS(Movimientos!$K$1:$K$1033,Movimientos!$C$1:$C$1033,"Sacred Valley Capital",Movimientos!$B$1:$B$1033,"&lt;="&amp;$B47)</f>
        <v>84.35</v>
      </c>
      <c r="L47" s="24">
        <f>SUMIFS('Saldos Iniciales'!$D:$D,'Saldos Iniciales'!$A:$A,"YWC Capital")+SUMIFS(Movimientos!$K$1:$K$1033,Movimientos!$C$1:$C$1033,"YWC Capital",Movimientos!$B$1:$B$1033,"&lt;="&amp;$B47)</f>
        <v>2237.77</v>
      </c>
      <c r="M47" s="24">
        <f>SUMIFS('Saldos Iniciales'!$D:$D,'Saldos Iniciales'!$A:$A,"Soweto")+SUMIFS(Movimientos!$K$1:$K$1033,Movimientos!$C$1:$C$1033,"Soweto",Movimientos!$B$1:$B$1033,"&lt;="&amp;$B47)</f>
        <v>3349.94</v>
      </c>
      <c r="N47" s="24">
        <f>SUMIFS('Saldos Iniciales'!$D:$D,'Saldos Iniciales'!$A:$A,"Green Stone Trust")+SUMIFS(Movimientos!$K$1:$K$1033,Movimientos!$C$1:$C$1033,"Green Stone Trust",Movimientos!$B$1:$B$1033,"&lt;="&amp;$B47)</f>
        <v>1968.99</v>
      </c>
      <c r="O47" s="24">
        <f>SUMIFS('Saldos Iniciales'!$D:$D,'Saldos Iniciales'!$A:$A,"EC Auto")+SUMIFS(Movimientos!$K$1:$K$1033,Movimientos!$C$1:$C$1033,"EC Auto",Movimientos!$B$1:$B$1033,"&lt;="&amp;$B47)</f>
        <v>382.69000000000005</v>
      </c>
      <c r="P47" s="24">
        <f>SUMIFS('Saldos Iniciales'!$D:$D,'Saldos Iniciales'!$A:$A,"Arbor Capital Properties")+SUMIFS(Movimientos!$K$1:$K$1033,Movimientos!$C$1:$C$1033,"Arbor Capital Properties",Movimientos!$B$1:$B$1033,"&lt;="&amp;$B47)</f>
        <v>1428.08</v>
      </c>
      <c r="Q47" s="24">
        <f>SUMIFS('Saldos Iniciales'!$D:$D,'Saldos Iniciales'!$A:$A,"2515 Overbrook")+SUMIFS(Movimientos!$K$1:$K$1033,Movimientos!$C$1:$C$1033,"2515 Overbrook",Movimientos!$B$1:$B$1033,"&lt;="&amp;$B47)</f>
        <v>29789.969999999961</v>
      </c>
      <c r="R47" s="24">
        <f>SUMIFS('Saldos Iniciales'!$D:$D,'Saldos Iniciales'!$A:$A,"112 Florida Ave")+SUMIFS(Movimientos!$K$1:$K$1033,Movimientos!$C$1:$C$1033,"112 Florida Ave",Movimientos!$B$1:$B$1033,"&lt;="&amp;$B47)</f>
        <v>5321.4300000000021</v>
      </c>
      <c r="S47" s="24">
        <f>SUMIFS('Saldos Iniciales'!$D:$D,'Saldos Iniciales'!$A:$A,"3628 Thomas Ave")+SUMIFS(Movimientos!$K$1:$K$1033,Movimientos!$C$1:$C$1033,"3628 Thomas Ave",Movimientos!$B$1:$B$1033,"&lt;="&amp;$B47)</f>
        <v>20484.849999999999</v>
      </c>
      <c r="T47" s="24">
        <f>SUMIFS('Saldos Iniciales'!$D:$D,'Saldos Iniciales'!$A:$A,"Green Harbor Trust")+SUMIFS(Movimientos!$K$1:$K$1033,Movimientos!$C$1:$C$1033,"Green Harbor Trust",Movimientos!$B$1:$B$1033,"&lt;="&amp;$B47)</f>
        <v>345</v>
      </c>
      <c r="U47" s="24">
        <f>SUMIFS('Saldos Iniciales'!$D:$D,'Saldos Iniciales'!$A:$A,"Go Blue")+SUMIFS(Movimientos!$K$1:$K$1033,Movimientos!$C$1:$C$1033,"Go Blue",Movimientos!$B$1:$B$1033,"&lt;="&amp;$B47)</f>
        <v>54018.080000000002</v>
      </c>
      <c r="V47" s="25">
        <f t="shared" ref="V47" si="4">SUM(C47:U47)</f>
        <v>5143788.54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Group")+SUMIFS(Movimientos!$K$1:$K$1033,Movimientos!$C$1:$C$1033,"CFT Group",Movimientos!$B$1:$B$1033,"&lt;="&amp;$B48)</f>
        <v>1167692.0800000003</v>
      </c>
      <c r="D48" s="24">
        <f>SUMIFS('Saldos Iniciales'!$D:$D,'Saldos Iniciales'!$A:$A,"M1B")+SUMIFS(Movimientos!$K$1:$K$1033,Movimientos!$C$1:$C$1033,"M1B",Movimientos!$B$1:$B$1033,"&lt;="&amp;$B48)</f>
        <v>69376.390000000174</v>
      </c>
      <c r="E48" s="24">
        <f>SUMIFS('Saldos Iniciales'!$D:$D,'Saldos Iniciales'!$A:$A,"Durand")+SUMIFS(Movimientos!$K$1:$K$1033,Movimientos!$C$1:$C$1033,"Durand",Movimientos!$B$1:$B$1033,"&lt;="&amp;$B48)</f>
        <v>1669.89</v>
      </c>
      <c r="F48" s="24">
        <f>SUMIFS('Saldos Iniciales'!$D:$D,'Saldos Iniciales'!$A:$A,"A&amp;M Imports")+SUMIFS(Movimientos!$K$1:$K$1033,Movimientos!$C$1:$C$1033,"A&amp;M Imports",Movimientos!$B$1:$B$1033,"&lt;="&amp;$B48)</f>
        <v>334944.56999999983</v>
      </c>
      <c r="G48" s="24">
        <f>SUMIFS('Saldos Iniciales'!$D:$D,'Saldos Iniciales'!$A:$A,"SSP Capital")+SUMIFS(Movimientos!$K$1:$K$1033,Movimientos!$C$1:$C$1033,"SSP Capital",Movimientos!$B$1:$B$1033,"&lt;="&amp;$B48)</f>
        <v>3343489</v>
      </c>
      <c r="H48" s="24">
        <f>SUMIFS('Saldos Iniciales'!$D:$D,'Saldos Iniciales'!$A:$A,"Cross Family Trust")+SUMIFS(Movimientos!$K$1:$K$1033,Movimientos!$C$1:$C$1033,"Cross Family Trust",Movimientos!$B$1:$B$1033,"&lt;="&amp;$B48)</f>
        <v>116496.38</v>
      </c>
      <c r="I48" s="24">
        <f>SUMIFS('Saldos Iniciales'!$D:$D,'Saldos Iniciales'!$A:$A,"Cross Security Trust")+SUMIFS(Movimientos!$K$1:$K$1033,Movimientos!$C$1:$C$1033,"Cross Security Trust",Movimientos!$B$1:$B$1033,"&lt;="&amp;$B48)</f>
        <v>88090.37</v>
      </c>
      <c r="J48" s="24">
        <f>SUMIFS('Saldos Iniciales'!$D:$D,'Saldos Iniciales'!$A:$A,"Electrama")+SUMIFS(Movimientos!$K$1:$K$1033,Movimientos!$C$1:$C$1033,"Electrama",Movimientos!$B$1:$B$1033,"&lt;="&amp;$B48)</f>
        <v>511.15999999999985</v>
      </c>
      <c r="K48" s="24">
        <f>SUMIFS('Saldos Iniciales'!$D:$D,'Saldos Iniciales'!$A:$A,"Sacred Valley Capital")+SUMIFS(Movimientos!$K$1:$K$1033,Movimientos!$C$1:$C$1033,"Sacred Valley Capital",Movimientos!$B$1:$B$1033,"&lt;="&amp;$B48)</f>
        <v>84.35</v>
      </c>
      <c r="L48" s="24">
        <f>SUMIFS('Saldos Iniciales'!$D:$D,'Saldos Iniciales'!$A:$A,"YWC Capital")+SUMIFS(Movimientos!$K$1:$K$1033,Movimientos!$C$1:$C$1033,"YWC Capital",Movimientos!$B$1:$B$1033,"&lt;="&amp;$B48)</f>
        <v>2237.77</v>
      </c>
      <c r="M48" s="24">
        <f>SUMIFS('Saldos Iniciales'!$D:$D,'Saldos Iniciales'!$A:$A,"Soweto")+SUMIFS(Movimientos!$K$1:$K$1033,Movimientos!$C$1:$C$1033,"Soweto",Movimientos!$B$1:$B$1033,"&lt;="&amp;$B48)</f>
        <v>3349.94</v>
      </c>
      <c r="N48" s="24">
        <f>SUMIFS('Saldos Iniciales'!$D:$D,'Saldos Iniciales'!$A:$A,"Green Stone Trust")+SUMIFS(Movimientos!$K$1:$K$1033,Movimientos!$C$1:$C$1033,"Green Stone Trust",Movimientos!$B$1:$B$1033,"&lt;="&amp;$B48)</f>
        <v>1968.99</v>
      </c>
      <c r="O48" s="24">
        <f>SUMIFS('Saldos Iniciales'!$D:$D,'Saldos Iniciales'!$A:$A,"EC Auto")+SUMIFS(Movimientos!$K$1:$K$1033,Movimientos!$C$1:$C$1033,"EC Auto",Movimientos!$B$1:$B$1033,"&lt;="&amp;$B48)</f>
        <v>382.69000000000005</v>
      </c>
      <c r="P48" s="24">
        <f>SUMIFS('Saldos Iniciales'!$D:$D,'Saldos Iniciales'!$A:$A,"Arbor Capital Properties")+SUMIFS(Movimientos!$K$1:$K$1033,Movimientos!$C$1:$C$1033,"Arbor Capital Properties",Movimientos!$B$1:$B$1033,"&lt;="&amp;$B48)</f>
        <v>1428.08</v>
      </c>
      <c r="Q48" s="24">
        <f>SUMIFS('Saldos Iniciales'!$D:$D,'Saldos Iniciales'!$A:$A,"2515 Overbrook")+SUMIFS(Movimientos!$K$1:$K$1033,Movimientos!$C$1:$C$1033,"2515 Overbrook",Movimientos!$B$1:$B$1033,"&lt;="&amp;$B48)</f>
        <v>29789.969999999961</v>
      </c>
      <c r="R48" s="24">
        <f>SUMIFS('Saldos Iniciales'!$D:$D,'Saldos Iniciales'!$A:$A,"112 Florida Ave")+SUMIFS(Movimientos!$K$1:$K$1033,Movimientos!$C$1:$C$1033,"112 Florida Ave",Movimientos!$B$1:$B$1033,"&lt;="&amp;$B48)</f>
        <v>20321.43</v>
      </c>
      <c r="S48" s="24">
        <f>SUMIFS('Saldos Iniciales'!$D:$D,'Saldos Iniciales'!$A:$A,"3628 Thomas Ave")+SUMIFS(Movimientos!$K$1:$K$1033,Movimientos!$C$1:$C$1033,"3628 Thomas Ave",Movimientos!$B$1:$B$1033,"&lt;="&amp;$B48)</f>
        <v>19811.349999999999</v>
      </c>
      <c r="T48" s="24">
        <f>SUMIFS('Saldos Iniciales'!$D:$D,'Saldos Iniciales'!$A:$A,"Green Harbor Trust")+SUMIFS(Movimientos!$K$1:$K$1033,Movimientos!$C$1:$C$1033,"Green Harbor Trust",Movimientos!$B$1:$B$1033,"&lt;="&amp;$B48)</f>
        <v>345</v>
      </c>
      <c r="U48" s="24">
        <f>SUMIFS('Saldos Iniciales'!$D:$D,'Saldos Iniciales'!$A:$A,"Go Blue")+SUMIFS(Movimientos!$K$1:$K$1033,Movimientos!$C$1:$C$1033,"Go Blue",Movimientos!$B$1:$B$1033,"&lt;="&amp;$B48)</f>
        <v>51334.36</v>
      </c>
      <c r="V48" s="25">
        <f t="shared" ref="V48" si="5">SUM(C48:U48)</f>
        <v>5253323.7699999996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Group")+SUMIFS(Movimientos!$K$1:$K$1033,Movimientos!$C$1:$C$1033,"CFT Group",Movimientos!$B$1:$B$1033,"&lt;="&amp;$B49)</f>
        <v>1179692.0800000003</v>
      </c>
      <c r="D49" s="24">
        <f>SUMIFS('Saldos Iniciales'!$D:$D,'Saldos Iniciales'!$A:$A,"M1B")+SUMIFS(Movimientos!$K$1:$K$1033,Movimientos!$C$1:$C$1033,"M1B",Movimientos!$B$1:$B$1033,"&lt;="&amp;$B49)</f>
        <v>69376.390000000174</v>
      </c>
      <c r="E49" s="24">
        <f>SUMIFS('Saldos Iniciales'!$D:$D,'Saldos Iniciales'!$A:$A,"Durand")+SUMIFS(Movimientos!$K$1:$K$1033,Movimientos!$C$1:$C$1033,"Durand",Movimientos!$B$1:$B$1033,"&lt;="&amp;$B49)</f>
        <v>1669.89</v>
      </c>
      <c r="F49" s="24">
        <f>SUMIFS('Saldos Iniciales'!$D:$D,'Saldos Iniciales'!$A:$A,"A&amp;M Imports")+SUMIFS(Movimientos!$K$1:$K$1033,Movimientos!$C$1:$C$1033,"A&amp;M Imports",Movimientos!$B$1:$B$1033,"&lt;="&amp;$B49)</f>
        <v>334944.56999999983</v>
      </c>
      <c r="G49" s="24">
        <f>SUMIFS('Saldos Iniciales'!$D:$D,'Saldos Iniciales'!$A:$A,"SSP Capital")+SUMIFS(Movimientos!$K$1:$K$1033,Movimientos!$C$1:$C$1033,"SSP Capital",Movimientos!$B$1:$B$1033,"&lt;="&amp;$B49)</f>
        <v>3341105.51</v>
      </c>
      <c r="H49" s="24">
        <f>SUMIFS('Saldos Iniciales'!$D:$D,'Saldos Iniciales'!$A:$A,"Cross Family Trust")+SUMIFS(Movimientos!$K$1:$K$1033,Movimientos!$C$1:$C$1033,"Cross Family Trust",Movimientos!$B$1:$B$1033,"&lt;="&amp;$B49)</f>
        <v>116496.38</v>
      </c>
      <c r="I49" s="24">
        <f>SUMIFS('Saldos Iniciales'!$D:$D,'Saldos Iniciales'!$A:$A,"Cross Security Trust")+SUMIFS(Movimientos!$K$1:$K$1033,Movimientos!$C$1:$C$1033,"Cross Security Trust",Movimientos!$B$1:$B$1033,"&lt;="&amp;$B49)</f>
        <v>88090.37</v>
      </c>
      <c r="J49" s="24">
        <f>SUMIFS('Saldos Iniciales'!$D:$D,'Saldos Iniciales'!$A:$A,"Electrama")+SUMIFS(Movimientos!$K$1:$K$1033,Movimientos!$C$1:$C$1033,"Electrama",Movimientos!$B$1:$B$1033,"&lt;="&amp;$B49)</f>
        <v>511.15999999999985</v>
      </c>
      <c r="K49" s="24">
        <f>SUMIFS('Saldos Iniciales'!$D:$D,'Saldos Iniciales'!$A:$A,"Sacred Valley Capital")+SUMIFS(Movimientos!$K$1:$K$1033,Movimientos!$C$1:$C$1033,"Sacred Valley Capital",Movimientos!$B$1:$B$1033,"&lt;="&amp;$B49)</f>
        <v>84.35</v>
      </c>
      <c r="L49" s="24">
        <f>SUMIFS('Saldos Iniciales'!$D:$D,'Saldos Iniciales'!$A:$A,"YWC Capital")+SUMIFS(Movimientos!$K$1:$K$1033,Movimientos!$C$1:$C$1033,"YWC Capital",Movimientos!$B$1:$B$1033,"&lt;="&amp;$B49)</f>
        <v>2237.77</v>
      </c>
      <c r="M49" s="24">
        <f>SUMIFS('Saldos Iniciales'!$D:$D,'Saldos Iniciales'!$A:$A,"Soweto")+SUMIFS(Movimientos!$K$1:$K$1033,Movimientos!$C$1:$C$1033,"Soweto",Movimientos!$B$1:$B$1033,"&lt;="&amp;$B49)</f>
        <v>3349.94</v>
      </c>
      <c r="N49" s="24">
        <f>SUMIFS('Saldos Iniciales'!$D:$D,'Saldos Iniciales'!$A:$A,"Green Stone Trust")+SUMIFS(Movimientos!$K$1:$K$1033,Movimientos!$C$1:$C$1033,"Green Stone Trust",Movimientos!$B$1:$B$1033,"&lt;="&amp;$B49)</f>
        <v>1968.99</v>
      </c>
      <c r="O49" s="24">
        <f>SUMIFS('Saldos Iniciales'!$D:$D,'Saldos Iniciales'!$A:$A,"EC Auto")+SUMIFS(Movimientos!$K$1:$K$1033,Movimientos!$C$1:$C$1033,"EC Auto",Movimientos!$B$1:$B$1033,"&lt;="&amp;$B49)</f>
        <v>382.69000000000005</v>
      </c>
      <c r="P49" s="24">
        <f>SUMIFS('Saldos Iniciales'!$D:$D,'Saldos Iniciales'!$A:$A,"Arbor Capital Properties")+SUMIFS(Movimientos!$K$1:$K$1033,Movimientos!$C$1:$C$1033,"Arbor Capital Properties",Movimientos!$B$1:$B$1033,"&lt;="&amp;$B49)</f>
        <v>1428.08</v>
      </c>
      <c r="Q49" s="24">
        <f>SUMIFS('Saldos Iniciales'!$D:$D,'Saldos Iniciales'!$A:$A,"2515 Overbrook")+SUMIFS(Movimientos!$K$1:$K$1033,Movimientos!$C$1:$C$1033,"2515 Overbrook",Movimientos!$B$1:$B$1033,"&lt;="&amp;$B49)</f>
        <v>29789.969999999961</v>
      </c>
      <c r="R49" s="24">
        <f>SUMIFS('Saldos Iniciales'!$D:$D,'Saldos Iniciales'!$A:$A,"112 Florida Ave")+SUMIFS(Movimientos!$K$1:$K$1033,Movimientos!$C$1:$C$1033,"112 Florida Ave",Movimientos!$B$1:$B$1033,"&lt;="&amp;$B49)</f>
        <v>20321.43</v>
      </c>
      <c r="S49" s="24">
        <f>SUMIFS('Saldos Iniciales'!$D:$D,'Saldos Iniciales'!$A:$A,"3628 Thomas Ave")+SUMIFS(Movimientos!$K$1:$K$1033,Movimientos!$C$1:$C$1033,"3628 Thomas Ave",Movimientos!$B$1:$B$1033,"&lt;="&amp;$B49)</f>
        <v>16681.349999999999</v>
      </c>
      <c r="T49" s="24">
        <f>SUMIFS('Saldos Iniciales'!$D:$D,'Saldos Iniciales'!$A:$A,"Green Harbor Trust")+SUMIFS(Movimientos!$K$1:$K$1033,Movimientos!$C$1:$C$1033,"Green Harbor Trust",Movimientos!$B$1:$B$1033,"&lt;="&amp;$B49)</f>
        <v>345</v>
      </c>
      <c r="U49" s="24">
        <f>SUMIFS('Saldos Iniciales'!$D:$D,'Saldos Iniciales'!$A:$A,"Go Blue")+SUMIFS(Movimientos!$K$1:$K$1033,Movimientos!$C$1:$C$1033,"Go Blue",Movimientos!$B$1:$B$1033,"&lt;="&amp;$B49)</f>
        <v>50334.36</v>
      </c>
      <c r="V49" s="25">
        <f t="shared" ref="V49" si="6">SUM(C49:U49)</f>
        <v>5258810.2799999993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Group")+SUMIFS(Movimientos!$K$1:$K$1033,Movimientos!$C$1:$C$1033,"CFT Group",Movimientos!$B$1:$B$1033,"&lt;="&amp;$B50)</f>
        <v>1179692.0800000003</v>
      </c>
      <c r="D50" s="24">
        <f>SUMIFS('Saldos Iniciales'!$D:$D,'Saldos Iniciales'!$A:$A,"M1B")+SUMIFS(Movimientos!$K$1:$K$1033,Movimientos!$C$1:$C$1033,"M1B",Movimientos!$B$1:$B$1033,"&lt;="&amp;$B50)</f>
        <v>69376.390000000174</v>
      </c>
      <c r="E50" s="24">
        <f>SUMIFS('Saldos Iniciales'!$D:$D,'Saldos Iniciales'!$A:$A,"Durand")+SUMIFS(Movimientos!$K$1:$K$1033,Movimientos!$C$1:$C$1033,"Durand",Movimientos!$B$1:$B$1033,"&lt;="&amp;$B50)</f>
        <v>1669.89</v>
      </c>
      <c r="F50" s="24">
        <f>SUMIFS('Saldos Iniciales'!$D:$D,'Saldos Iniciales'!$A:$A,"A&amp;M Imports")+SUMIFS(Movimientos!$K$1:$K$1033,Movimientos!$C$1:$C$1033,"A&amp;M Imports",Movimientos!$B$1:$B$1033,"&lt;="&amp;$B50)</f>
        <v>334944.56999999983</v>
      </c>
      <c r="G50" s="24">
        <f>SUMIFS('Saldos Iniciales'!$D:$D,'Saldos Iniciales'!$A:$A,"SSP Capital")+SUMIFS(Movimientos!$K$1:$K$1033,Movimientos!$C$1:$C$1033,"SSP Capital",Movimientos!$B$1:$B$1033,"&lt;="&amp;$B50)</f>
        <v>3340938.8499999996</v>
      </c>
      <c r="H50" s="24">
        <f>SUMIFS('Saldos Iniciales'!$D:$D,'Saldos Iniciales'!$A:$A,"Cross Family Trust")+SUMIFS(Movimientos!$K$1:$K$1033,Movimientos!$C$1:$C$1033,"Cross Family Trust",Movimientos!$B$1:$B$1033,"&lt;="&amp;$B50)</f>
        <v>116496.38</v>
      </c>
      <c r="I50" s="24">
        <f>SUMIFS('Saldos Iniciales'!$D:$D,'Saldos Iniciales'!$A:$A,"Cross Security Trust")+SUMIFS(Movimientos!$K$1:$K$1033,Movimientos!$C$1:$C$1033,"Cross Security Trust",Movimientos!$B$1:$B$1033,"&lt;="&amp;$B50)</f>
        <v>88090.37</v>
      </c>
      <c r="J50" s="24">
        <f>SUMIFS('Saldos Iniciales'!$D:$D,'Saldos Iniciales'!$A:$A,"Electrama")+SUMIFS(Movimientos!$K$1:$K$1033,Movimientos!$C$1:$C$1033,"Electrama",Movimientos!$B$1:$B$1033,"&lt;="&amp;$B50)</f>
        <v>511.15999999999985</v>
      </c>
      <c r="K50" s="24">
        <f>SUMIFS('Saldos Iniciales'!$D:$D,'Saldos Iniciales'!$A:$A,"Sacred Valley Capital")+SUMIFS(Movimientos!$K$1:$K$1033,Movimientos!$C$1:$C$1033,"Sacred Valley Capital",Movimientos!$B$1:$B$1033,"&lt;="&amp;$B50)</f>
        <v>84.35</v>
      </c>
      <c r="L50" s="24">
        <f>SUMIFS('Saldos Iniciales'!$D:$D,'Saldos Iniciales'!$A:$A,"YWC Capital")+SUMIFS(Movimientos!$K$1:$K$1033,Movimientos!$C$1:$C$1033,"YWC Capital",Movimientos!$B$1:$B$1033,"&lt;="&amp;$B50)</f>
        <v>2237.77</v>
      </c>
      <c r="M50" s="24">
        <f>SUMIFS('Saldos Iniciales'!$D:$D,'Saldos Iniciales'!$A:$A,"Soweto")+SUMIFS(Movimientos!$K$1:$K$1033,Movimientos!$C$1:$C$1033,"Soweto",Movimientos!$B$1:$B$1033,"&lt;="&amp;$B50)</f>
        <v>3349.94</v>
      </c>
      <c r="N50" s="24">
        <f>SUMIFS('Saldos Iniciales'!$D:$D,'Saldos Iniciales'!$A:$A,"Green Stone Trust")+SUMIFS(Movimientos!$K$1:$K$1033,Movimientos!$C$1:$C$1033,"Green Stone Trust",Movimientos!$B$1:$B$1033,"&lt;="&amp;$B50)</f>
        <v>1968.99</v>
      </c>
      <c r="O50" s="24">
        <f>SUMIFS('Saldos Iniciales'!$D:$D,'Saldos Iniciales'!$A:$A,"EC Auto")+SUMIFS(Movimientos!$K$1:$K$1033,Movimientos!$C$1:$C$1033,"EC Auto",Movimientos!$B$1:$B$1033,"&lt;="&amp;$B50)</f>
        <v>382.69000000000005</v>
      </c>
      <c r="P50" s="24">
        <f>SUMIFS('Saldos Iniciales'!$D:$D,'Saldos Iniciales'!$A:$A,"Arbor Capital Properties")+SUMIFS(Movimientos!$K$1:$K$1033,Movimientos!$C$1:$C$1033,"Arbor Capital Properties",Movimientos!$B$1:$B$1033,"&lt;="&amp;$B50)</f>
        <v>1428.08</v>
      </c>
      <c r="Q50" s="24">
        <f>SUMIFS('Saldos Iniciales'!$D:$D,'Saldos Iniciales'!$A:$A,"2515 Overbrook")+SUMIFS(Movimientos!$K$1:$K$1033,Movimientos!$C$1:$C$1033,"2515 Overbrook",Movimientos!$B$1:$B$1033,"&lt;="&amp;$B50)</f>
        <v>29789.969999999961</v>
      </c>
      <c r="R50" s="24">
        <f>SUMIFS('Saldos Iniciales'!$D:$D,'Saldos Iniciales'!$A:$A,"112 Florida Ave")+SUMIFS(Movimientos!$K$1:$K$1033,Movimientos!$C$1:$C$1033,"112 Florida Ave",Movimientos!$B$1:$B$1033,"&lt;="&amp;$B50)</f>
        <v>20321.43</v>
      </c>
      <c r="S50" s="24">
        <f>SUMIFS('Saldos Iniciales'!$D:$D,'Saldos Iniciales'!$A:$A,"3628 Thomas Ave")+SUMIFS(Movimientos!$K$1:$K$1033,Movimientos!$C$1:$C$1033,"3628 Thomas Ave",Movimientos!$B$1:$B$1033,"&lt;="&amp;$B50)</f>
        <v>16681.349999999999</v>
      </c>
      <c r="T50" s="24">
        <f>SUMIFS('Saldos Iniciales'!$D:$D,'Saldos Iniciales'!$A:$A,"Green Harbor Trust")+SUMIFS(Movimientos!$K$1:$K$1033,Movimientos!$C$1:$C$1033,"Green Harbor Trust",Movimientos!$B$1:$B$1033,"&lt;="&amp;$B50)</f>
        <v>345</v>
      </c>
      <c r="U50" s="24">
        <f>SUMIFS('Saldos Iniciales'!$D:$D,'Saldos Iniciales'!$A:$A,"Go Blue")+SUMIFS(Movimientos!$K$1:$K$1033,Movimientos!$C$1:$C$1033,"Go Blue",Movimientos!$B$1:$B$1033,"&lt;="&amp;$B50)</f>
        <v>50334.36</v>
      </c>
      <c r="V50" s="25">
        <f t="shared" ref="V50:V51" si="7">SUM(C50:U50)</f>
        <v>5258643.6199999992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Group")+SUMIFS(Movimientos!$K$1:$K$1033,Movimientos!$C$1:$C$1033,"CFT Group",Movimientos!$B$1:$B$1033,"&lt;="&amp;$B51)</f>
        <v>1179692.0800000003</v>
      </c>
      <c r="D51" s="24">
        <f>SUMIFS('Saldos Iniciales'!$D:$D,'Saldos Iniciales'!$A:$A,"M1B")+SUMIFS(Movimientos!$K$1:$K$1033,Movimientos!$C$1:$C$1033,"M1B",Movimientos!$B$1:$B$1033,"&lt;="&amp;$B51)</f>
        <v>69376.390000000174</v>
      </c>
      <c r="E51" s="24">
        <f>SUMIFS('Saldos Iniciales'!$D:$D,'Saldos Iniciales'!$A:$A,"Durand")+SUMIFS(Movimientos!$K$1:$K$1033,Movimientos!$C$1:$C$1033,"Durand",Movimientos!$B$1:$B$1033,"&lt;="&amp;$B51)</f>
        <v>1669.89</v>
      </c>
      <c r="F51" s="24">
        <f>SUMIFS('Saldos Iniciales'!$D:$D,'Saldos Iniciales'!$A:$A,"A&amp;M Imports")+SUMIFS(Movimientos!$K$1:$K$1033,Movimientos!$C$1:$C$1033,"A&amp;M Imports",Movimientos!$B$1:$B$1033,"&lt;="&amp;$B51)</f>
        <v>334944.56999999983</v>
      </c>
      <c r="G51" s="24">
        <f>SUMIFS('Saldos Iniciales'!$D:$D,'Saldos Iniciales'!$A:$A,"SSP Capital")+SUMIFS(Movimientos!$K$1:$K$1033,Movimientos!$C$1:$C$1033,"SSP Capital",Movimientos!$B$1:$B$1033,"&lt;="&amp;$B51)</f>
        <v>3340938.8499999996</v>
      </c>
      <c r="H51" s="24">
        <f>SUMIFS('Saldos Iniciales'!$D:$D,'Saldos Iniciales'!$A:$A,"Cross Family Trust")+SUMIFS(Movimientos!$K$1:$K$1033,Movimientos!$C$1:$C$1033,"Cross Family Trust",Movimientos!$B$1:$B$1033,"&lt;="&amp;$B51)</f>
        <v>116496.38</v>
      </c>
      <c r="I51" s="24">
        <f>SUMIFS('Saldos Iniciales'!$D:$D,'Saldos Iniciales'!$A:$A,"Cross Security Trust")+SUMIFS(Movimientos!$K$1:$K$1033,Movimientos!$C$1:$C$1033,"Cross Security Trust",Movimientos!$B$1:$B$1033,"&lt;="&amp;$B51)</f>
        <v>88090.37</v>
      </c>
      <c r="J51" s="24">
        <f>SUMIFS('Saldos Iniciales'!$D:$D,'Saldos Iniciales'!$A:$A,"Electrama")+SUMIFS(Movimientos!$K$1:$K$1033,Movimientos!$C$1:$C$1033,"Electrama",Movimientos!$B$1:$B$1033,"&lt;="&amp;$B51)</f>
        <v>511.15999999999985</v>
      </c>
      <c r="K51" s="24">
        <f>SUMIFS('Saldos Iniciales'!$D:$D,'Saldos Iniciales'!$A:$A,"Sacred Valley Capital")+SUMIFS(Movimientos!$K$1:$K$1033,Movimientos!$C$1:$C$1033,"Sacred Valley Capital",Movimientos!$B$1:$B$1033,"&lt;="&amp;$B51)</f>
        <v>84.35</v>
      </c>
      <c r="L51" s="24">
        <f>SUMIFS('Saldos Iniciales'!$D:$D,'Saldos Iniciales'!$A:$A,"YWC Capital")+SUMIFS(Movimientos!$K$1:$K$1033,Movimientos!$C$1:$C$1033,"YWC Capital",Movimientos!$B$1:$B$1033,"&lt;="&amp;$B51)</f>
        <v>2237.77</v>
      </c>
      <c r="M51" s="24">
        <f>SUMIFS('Saldos Iniciales'!$D:$D,'Saldos Iniciales'!$A:$A,"Soweto")+SUMIFS(Movimientos!$K$1:$K$1033,Movimientos!$C$1:$C$1033,"Soweto",Movimientos!$B$1:$B$1033,"&lt;="&amp;$B51)</f>
        <v>3349.94</v>
      </c>
      <c r="N51" s="24">
        <f>SUMIFS('Saldos Iniciales'!$D:$D,'Saldos Iniciales'!$A:$A,"Green Stone Trust")+SUMIFS(Movimientos!$K$1:$K$1033,Movimientos!$C$1:$C$1033,"Green Stone Trust",Movimientos!$B$1:$B$1033,"&lt;="&amp;$B51)</f>
        <v>1968.99</v>
      </c>
      <c r="O51" s="24">
        <f>SUMIFS('Saldos Iniciales'!$D:$D,'Saldos Iniciales'!$A:$A,"EC Auto")+SUMIFS(Movimientos!$K$1:$K$1033,Movimientos!$C$1:$C$1033,"EC Auto",Movimientos!$B$1:$B$1033,"&lt;="&amp;$B51)</f>
        <v>382.69000000000005</v>
      </c>
      <c r="P51" s="24">
        <f>SUMIFS('Saldos Iniciales'!$D:$D,'Saldos Iniciales'!$A:$A,"Arbor Capital Properties")+SUMIFS(Movimientos!$K$1:$K$1033,Movimientos!$C$1:$C$1033,"Arbor Capital Properties",Movimientos!$B$1:$B$1033,"&lt;="&amp;$B51)</f>
        <v>1428.08</v>
      </c>
      <c r="Q51" s="24">
        <f>SUMIFS('Saldos Iniciales'!$D:$D,'Saldos Iniciales'!$A:$A,"2515 Overbrook")+SUMIFS(Movimientos!$K$1:$K$1033,Movimientos!$C$1:$C$1033,"2515 Overbrook",Movimientos!$B$1:$B$1033,"&lt;="&amp;$B51)</f>
        <v>29789.969999999961</v>
      </c>
      <c r="R51" s="24">
        <f>SUMIFS('Saldos Iniciales'!$D:$D,'Saldos Iniciales'!$A:$A,"112 Florida Ave")+SUMIFS(Movimientos!$K$1:$K$1033,Movimientos!$C$1:$C$1033,"112 Florida Ave",Movimientos!$B$1:$B$1033,"&lt;="&amp;$B51)</f>
        <v>20321.43</v>
      </c>
      <c r="S51" s="24">
        <f>SUMIFS('Saldos Iniciales'!$D:$D,'Saldos Iniciales'!$A:$A,"3628 Thomas Ave")+SUMIFS(Movimientos!$K$1:$K$1033,Movimientos!$C$1:$C$1033,"3628 Thomas Ave",Movimientos!$B$1:$B$1033,"&lt;="&amp;$B51)</f>
        <v>16681.349999999999</v>
      </c>
      <c r="T51" s="24">
        <f>SUMIFS('Saldos Iniciales'!$D:$D,'Saldos Iniciales'!$A:$A,"Green Harbor Trust")+SUMIFS(Movimientos!$K$1:$K$1033,Movimientos!$C$1:$C$1033,"Green Harbor Trust",Movimientos!$B$1:$B$1033,"&lt;="&amp;$B51)</f>
        <v>345</v>
      </c>
      <c r="U51" s="24">
        <f>SUMIFS('Saldos Iniciales'!$D:$D,'Saldos Iniciales'!$A:$A,"Go Blue")+SUMIFS(Movimientos!$K$1:$K$1033,Movimientos!$C$1:$C$1033,"Go Blue",Movimientos!$B$1:$B$1033,"&lt;="&amp;$B51)</f>
        <v>50334.36</v>
      </c>
      <c r="V51" s="25">
        <f t="shared" si="7"/>
        <v>5258643.6199999992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Group")+SUMIFS(Movimientos!$K$1:$K$1033,Movimientos!$C$1:$C$1033,"CFT Group",Movimientos!$B$1:$B$1033,"&lt;="&amp;$B52)</f>
        <v>1179692.0800000003</v>
      </c>
      <c r="D52" s="24">
        <f>SUMIFS('Saldos Iniciales'!$D:$D,'Saldos Iniciales'!$A:$A,"M1B")+SUMIFS(Movimientos!$K$1:$K$1033,Movimientos!$C$1:$C$1033,"M1B",Movimientos!$B$1:$B$1033,"&lt;="&amp;$B52)</f>
        <v>69376.390000000174</v>
      </c>
      <c r="E52" s="24">
        <f>SUMIFS('Saldos Iniciales'!$D:$D,'Saldos Iniciales'!$A:$A,"Durand")+SUMIFS(Movimientos!$K$1:$K$1033,Movimientos!$C$1:$C$1033,"Durand",Movimientos!$B$1:$B$1033,"&lt;="&amp;$B52)</f>
        <v>1669.89</v>
      </c>
      <c r="F52" s="24">
        <f>SUMIFS('Saldos Iniciales'!$D:$D,'Saldos Iniciales'!$A:$A,"A&amp;M Imports")+SUMIFS(Movimientos!$K$1:$K$1033,Movimientos!$C$1:$C$1033,"A&amp;M Imports",Movimientos!$B$1:$B$1033,"&lt;="&amp;$B52)</f>
        <v>334944.56999999983</v>
      </c>
      <c r="G52" s="24">
        <f>SUMIFS('Saldos Iniciales'!$D:$D,'Saldos Iniciales'!$A:$A,"SSP Capital")+SUMIFS(Movimientos!$K$1:$K$1033,Movimientos!$C$1:$C$1033,"SSP Capital",Movimientos!$B$1:$B$1033,"&lt;="&amp;$B52)</f>
        <v>3340938.8499999996</v>
      </c>
      <c r="H52" s="24">
        <f>SUMIFS('Saldos Iniciales'!$D:$D,'Saldos Iniciales'!$A:$A,"Cross Family Trust")+SUMIFS(Movimientos!$K$1:$K$1033,Movimientos!$C$1:$C$1033,"Cross Family Trust",Movimientos!$B$1:$B$1033,"&lt;="&amp;$B52)</f>
        <v>116496.38</v>
      </c>
      <c r="I52" s="24">
        <f>SUMIFS('Saldos Iniciales'!$D:$D,'Saldos Iniciales'!$A:$A,"Cross Security Trust")+SUMIFS(Movimientos!$K$1:$K$1033,Movimientos!$C$1:$C$1033,"Cross Security Trust",Movimientos!$B$1:$B$1033,"&lt;="&amp;$B52)</f>
        <v>88090.37</v>
      </c>
      <c r="J52" s="24">
        <f>SUMIFS('Saldos Iniciales'!$D:$D,'Saldos Iniciales'!$A:$A,"Electrama")+SUMIFS(Movimientos!$K$1:$K$1033,Movimientos!$C$1:$C$1033,"Electrama",Movimientos!$B$1:$B$1033,"&lt;="&amp;$B52)</f>
        <v>511.15999999999985</v>
      </c>
      <c r="K52" s="24">
        <f>SUMIFS('Saldos Iniciales'!$D:$D,'Saldos Iniciales'!$A:$A,"Sacred Valley Capital")+SUMIFS(Movimientos!$K$1:$K$1033,Movimientos!$C$1:$C$1033,"Sacred Valley Capital",Movimientos!$B$1:$B$1033,"&lt;="&amp;$B52)</f>
        <v>84.35</v>
      </c>
      <c r="L52" s="24">
        <f>SUMIFS('Saldos Iniciales'!$D:$D,'Saldos Iniciales'!$A:$A,"YWC Capital")+SUMIFS(Movimientos!$K$1:$K$1033,Movimientos!$C$1:$C$1033,"YWC Capital",Movimientos!$B$1:$B$1033,"&lt;="&amp;$B52)</f>
        <v>2237.77</v>
      </c>
      <c r="M52" s="24">
        <f>SUMIFS('Saldos Iniciales'!$D:$D,'Saldos Iniciales'!$A:$A,"Soweto")+SUMIFS(Movimientos!$K$1:$K$1033,Movimientos!$C$1:$C$1033,"Soweto",Movimientos!$B$1:$B$1033,"&lt;="&amp;$B52)</f>
        <v>3349.94</v>
      </c>
      <c r="N52" s="24">
        <f>SUMIFS('Saldos Iniciales'!$D:$D,'Saldos Iniciales'!$A:$A,"Green Stone Trust")+SUMIFS(Movimientos!$K$1:$K$1033,Movimientos!$C$1:$C$1033,"Green Stone Trust",Movimientos!$B$1:$B$1033,"&lt;="&amp;$B52)</f>
        <v>1968.99</v>
      </c>
      <c r="O52" s="24">
        <f>SUMIFS('Saldos Iniciales'!$D:$D,'Saldos Iniciales'!$A:$A,"EC Auto")+SUMIFS(Movimientos!$K$1:$K$1033,Movimientos!$C$1:$C$1033,"EC Auto",Movimientos!$B$1:$B$1033,"&lt;="&amp;$B52)</f>
        <v>382.69000000000005</v>
      </c>
      <c r="P52" s="24">
        <f>SUMIFS('Saldos Iniciales'!$D:$D,'Saldos Iniciales'!$A:$A,"Arbor Capital Properties")+SUMIFS(Movimientos!$K$1:$K$1033,Movimientos!$C$1:$C$1033,"Arbor Capital Properties",Movimientos!$B$1:$B$1033,"&lt;="&amp;$B52)</f>
        <v>1428.08</v>
      </c>
      <c r="Q52" s="24">
        <f>SUMIFS('Saldos Iniciales'!$D:$D,'Saldos Iniciales'!$A:$A,"2515 Overbrook")+SUMIFS(Movimientos!$K$1:$K$1033,Movimientos!$C$1:$C$1033,"2515 Overbrook",Movimientos!$B$1:$B$1033,"&lt;="&amp;$B52)</f>
        <v>29789.969999999961</v>
      </c>
      <c r="R52" s="24">
        <f>SUMIFS('Saldos Iniciales'!$D:$D,'Saldos Iniciales'!$A:$A,"112 Florida Ave")+SUMIFS(Movimientos!$K$1:$K$1033,Movimientos!$C$1:$C$1033,"112 Florida Ave",Movimientos!$B$1:$B$1033,"&lt;="&amp;$B52)</f>
        <v>20321.43</v>
      </c>
      <c r="S52" s="24">
        <f>SUMIFS('Saldos Iniciales'!$D:$D,'Saldos Iniciales'!$A:$A,"3628 Thomas Ave")+SUMIFS(Movimientos!$K$1:$K$1033,Movimientos!$C$1:$C$1033,"3628 Thomas Ave",Movimientos!$B$1:$B$1033,"&lt;="&amp;$B52)</f>
        <v>16681.349999999999</v>
      </c>
      <c r="T52" s="24">
        <f>SUMIFS('Saldos Iniciales'!$D:$D,'Saldos Iniciales'!$A:$A,"Green Harbor Trust")+SUMIFS(Movimientos!$K$1:$K$1033,Movimientos!$C$1:$C$1033,"Green Harbor Trust",Movimientos!$B$1:$B$1033,"&lt;="&amp;$B52)</f>
        <v>345</v>
      </c>
      <c r="U52" s="24">
        <f>SUMIFS('Saldos Iniciales'!$D:$D,'Saldos Iniciales'!$A:$A,"Go Blue")+SUMIFS(Movimientos!$K$1:$K$1033,Movimientos!$C$1:$C$1033,"Go Blue",Movimientos!$B$1:$B$1033,"&lt;="&amp;$B52)</f>
        <v>50334.36</v>
      </c>
      <c r="V52" s="25">
        <f t="shared" ref="V52:V53" si="8">SUM(C52:U52)</f>
        <v>5258643.6199999992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Group")+SUMIFS(Movimientos!$K$1:$K$1033,Movimientos!$C$1:$C$1033,"CFT Group",Movimientos!$B$1:$B$1033,"&lt;="&amp;$B53)</f>
        <v>1179692.0800000003</v>
      </c>
      <c r="D53" s="24">
        <f>SUMIFS('Saldos Iniciales'!$D:$D,'Saldos Iniciales'!$A:$A,"M1B")+SUMIFS(Movimientos!$K$1:$K$1033,Movimientos!$C$1:$C$1033,"M1B",Movimientos!$B$1:$B$1033,"&lt;="&amp;$B53)</f>
        <v>69376.390000000174</v>
      </c>
      <c r="E53" s="24">
        <f>SUMIFS('Saldos Iniciales'!$D:$D,'Saldos Iniciales'!$A:$A,"Durand")+SUMIFS(Movimientos!$K$1:$K$1033,Movimientos!$C$1:$C$1033,"Durand",Movimientos!$B$1:$B$1033,"&lt;="&amp;$B53)</f>
        <v>1669.89</v>
      </c>
      <c r="F53" s="24">
        <f>SUMIFS('Saldos Iniciales'!$D:$D,'Saldos Iniciales'!$A:$A,"A&amp;M Imports")+SUMIFS(Movimientos!$K$1:$K$1033,Movimientos!$C$1:$C$1033,"A&amp;M Imports",Movimientos!$B$1:$B$1033,"&lt;="&amp;$B53)</f>
        <v>334944.56999999983</v>
      </c>
      <c r="G53" s="24">
        <f>SUMIFS('Saldos Iniciales'!$D:$D,'Saldos Iniciales'!$A:$A,"SSP Capital")+SUMIFS(Movimientos!$K$1:$K$1033,Movimientos!$C$1:$C$1033,"SSP Capital",Movimientos!$B$1:$B$1033,"&lt;="&amp;$B53)</f>
        <v>3340938.8499999996</v>
      </c>
      <c r="H53" s="24">
        <f>SUMIFS('Saldos Iniciales'!$D:$D,'Saldos Iniciales'!$A:$A,"Cross Family Trust")+SUMIFS(Movimientos!$K$1:$K$1033,Movimientos!$C$1:$C$1033,"Cross Family Trust",Movimientos!$B$1:$B$1033,"&lt;="&amp;$B53)</f>
        <v>116496.38</v>
      </c>
      <c r="I53" s="24">
        <f>SUMIFS('Saldos Iniciales'!$D:$D,'Saldos Iniciales'!$A:$A,"Cross Security Trust")+SUMIFS(Movimientos!$K$1:$K$1033,Movimientos!$C$1:$C$1033,"Cross Security Trust",Movimientos!$B$1:$B$1033,"&lt;="&amp;$B53)</f>
        <v>88090.37</v>
      </c>
      <c r="J53" s="24">
        <f>SUMIFS('Saldos Iniciales'!$D:$D,'Saldos Iniciales'!$A:$A,"Electrama")+SUMIFS(Movimientos!$K$1:$K$1033,Movimientos!$C$1:$C$1033,"Electrama",Movimientos!$B$1:$B$1033,"&lt;="&amp;$B53)</f>
        <v>511.15999999999985</v>
      </c>
      <c r="K53" s="24">
        <f>SUMIFS('Saldos Iniciales'!$D:$D,'Saldos Iniciales'!$A:$A,"Sacred Valley Capital")+SUMIFS(Movimientos!$K$1:$K$1033,Movimientos!$C$1:$C$1033,"Sacred Valley Capital",Movimientos!$B$1:$B$1033,"&lt;="&amp;$B53)</f>
        <v>84.35</v>
      </c>
      <c r="L53" s="24">
        <f>SUMIFS('Saldos Iniciales'!$D:$D,'Saldos Iniciales'!$A:$A,"YWC Capital")+SUMIFS(Movimientos!$K$1:$K$1033,Movimientos!$C$1:$C$1033,"YWC Capital",Movimientos!$B$1:$B$1033,"&lt;="&amp;$B53)</f>
        <v>2237.77</v>
      </c>
      <c r="M53" s="24">
        <f>SUMIFS('Saldos Iniciales'!$D:$D,'Saldos Iniciales'!$A:$A,"Soweto")+SUMIFS(Movimientos!$K$1:$K$1033,Movimientos!$C$1:$C$1033,"Soweto",Movimientos!$B$1:$B$1033,"&lt;="&amp;$B53)</f>
        <v>3349.94</v>
      </c>
      <c r="N53" s="24">
        <f>SUMIFS('Saldos Iniciales'!$D:$D,'Saldos Iniciales'!$A:$A,"Green Stone Trust")+SUMIFS(Movimientos!$K$1:$K$1033,Movimientos!$C$1:$C$1033,"Green Stone Trust",Movimientos!$B$1:$B$1033,"&lt;="&amp;$B53)</f>
        <v>1968.99</v>
      </c>
      <c r="O53" s="24">
        <f>SUMIFS('Saldos Iniciales'!$D:$D,'Saldos Iniciales'!$A:$A,"EC Auto")+SUMIFS(Movimientos!$K$1:$K$1033,Movimientos!$C$1:$C$1033,"EC Auto",Movimientos!$B$1:$B$1033,"&lt;="&amp;$B53)</f>
        <v>382.69000000000005</v>
      </c>
      <c r="P53" s="24">
        <f>SUMIFS('Saldos Iniciales'!$D:$D,'Saldos Iniciales'!$A:$A,"Arbor Capital Properties")+SUMIFS(Movimientos!$K$1:$K$1033,Movimientos!$C$1:$C$1033,"Arbor Capital Properties",Movimientos!$B$1:$B$1033,"&lt;="&amp;$B53)</f>
        <v>1428.08</v>
      </c>
      <c r="Q53" s="24">
        <f>SUMIFS('Saldos Iniciales'!$D:$D,'Saldos Iniciales'!$A:$A,"2515 Overbrook")+SUMIFS(Movimientos!$K$1:$K$1033,Movimientos!$C$1:$C$1033,"2515 Overbrook",Movimientos!$B$1:$B$1033,"&lt;="&amp;$B53)</f>
        <v>29789.969999999961</v>
      </c>
      <c r="R53" s="24">
        <f>SUMIFS('Saldos Iniciales'!$D:$D,'Saldos Iniciales'!$A:$A,"112 Florida Ave")+SUMIFS(Movimientos!$K$1:$K$1033,Movimientos!$C$1:$C$1033,"112 Florida Ave",Movimientos!$B$1:$B$1033,"&lt;="&amp;$B53)</f>
        <v>20321.43</v>
      </c>
      <c r="S53" s="24">
        <f>SUMIFS('Saldos Iniciales'!$D:$D,'Saldos Iniciales'!$A:$A,"3628 Thomas Ave")+SUMIFS(Movimientos!$K$1:$K$1033,Movimientos!$C$1:$C$1033,"3628 Thomas Ave",Movimientos!$B$1:$B$1033,"&lt;="&amp;$B53)</f>
        <v>16681.349999999999</v>
      </c>
      <c r="T53" s="24">
        <f>SUMIFS('Saldos Iniciales'!$D:$D,'Saldos Iniciales'!$A:$A,"Green Harbor Trust")+SUMIFS(Movimientos!$K$1:$K$1033,Movimientos!$C$1:$C$1033,"Green Harbor Trust",Movimientos!$B$1:$B$1033,"&lt;="&amp;$B53)</f>
        <v>345</v>
      </c>
      <c r="U53" s="24">
        <f>SUMIFS('Saldos Iniciales'!$D:$D,'Saldos Iniciales'!$A:$A,"Go Blue")+SUMIFS(Movimientos!$K$1:$K$1033,Movimientos!$C$1:$C$1033,"Go Blue",Movimientos!$B$1:$B$1033,"&lt;="&amp;$B53)</f>
        <v>50334.36</v>
      </c>
      <c r="V53" s="25">
        <f t="shared" si="8"/>
        <v>5258643.6199999992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Group")+SUMIFS(Movimientos!$K$1:$K$1033,Movimientos!$C$1:$C$1033,"CFT Group",Movimientos!$B$1:$B$1033,"&lt;="&amp;$B54)</f>
        <v>7694665.4700000007</v>
      </c>
      <c r="D54" s="24">
        <f>SUMIFS('Saldos Iniciales'!$D:$D,'Saldos Iniciales'!$A:$A,"M1B")+SUMIFS(Movimientos!$K$1:$K$1033,Movimientos!$C$1:$C$1033,"M1B",Movimientos!$B$1:$B$1033,"&lt;="&amp;$B54)</f>
        <v>69376.390000000174</v>
      </c>
      <c r="E54" s="24">
        <f>SUMIFS('Saldos Iniciales'!$D:$D,'Saldos Iniciales'!$A:$A,"Durand")+SUMIFS(Movimientos!$K$1:$K$1033,Movimientos!$C$1:$C$1033,"Durand",Movimientos!$B$1:$B$1033,"&lt;="&amp;$B54)</f>
        <v>1669.89</v>
      </c>
      <c r="F54" s="24">
        <f>SUMIFS('Saldos Iniciales'!$D:$D,'Saldos Iniciales'!$A:$A,"A&amp;M Imports")+SUMIFS(Movimientos!$K$1:$K$1033,Movimientos!$C$1:$C$1033,"A&amp;M Imports",Movimientos!$B$1:$B$1033,"&lt;="&amp;$B54)</f>
        <v>334944.56999999983</v>
      </c>
      <c r="G54" s="24">
        <f>SUMIFS('Saldos Iniciales'!$D:$D,'Saldos Iniciales'!$A:$A,"SSP Capital")+SUMIFS(Movimientos!$K$1:$K$1033,Movimientos!$C$1:$C$1033,"SSP Capital",Movimientos!$B$1:$B$1033,"&lt;="&amp;$B54)</f>
        <v>3340110.8099999996</v>
      </c>
      <c r="H54" s="24">
        <f>SUMIFS('Saldos Iniciales'!$D:$D,'Saldos Iniciales'!$A:$A,"Cross Family Trust")+SUMIFS(Movimientos!$K$1:$K$1033,Movimientos!$C$1:$C$1033,"Cross Family Trust",Movimientos!$B$1:$B$1033,"&lt;="&amp;$B54)</f>
        <v>116496.38</v>
      </c>
      <c r="I54" s="24">
        <f>SUMIFS('Saldos Iniciales'!$D:$D,'Saldos Iniciales'!$A:$A,"Cross Security Trust")+SUMIFS(Movimientos!$K$1:$K$1033,Movimientos!$C$1:$C$1033,"Cross Security Trust",Movimientos!$B$1:$B$1033,"&lt;="&amp;$B54)</f>
        <v>88090.37</v>
      </c>
      <c r="J54" s="24">
        <f>SUMIFS('Saldos Iniciales'!$D:$D,'Saldos Iniciales'!$A:$A,"Electrama")+SUMIFS(Movimientos!$K$1:$K$1033,Movimientos!$C$1:$C$1033,"Electrama",Movimientos!$B$1:$B$1033,"&lt;="&amp;$B54)</f>
        <v>511.15999999999985</v>
      </c>
      <c r="K54" s="24">
        <f>SUMIFS('Saldos Iniciales'!$D:$D,'Saldos Iniciales'!$A:$A,"Sacred Valley Capital")+SUMIFS(Movimientos!$K$1:$K$1033,Movimientos!$C$1:$C$1033,"Sacred Valley Capital",Movimientos!$B$1:$B$1033,"&lt;="&amp;$B54)</f>
        <v>84.35</v>
      </c>
      <c r="L54" s="24">
        <f>SUMIFS('Saldos Iniciales'!$D:$D,'Saldos Iniciales'!$A:$A,"YWC Capital")+SUMIFS(Movimientos!$K$1:$K$1033,Movimientos!$C$1:$C$1033,"YWC Capital",Movimientos!$B$1:$B$1033,"&lt;="&amp;$B54)</f>
        <v>2237.77</v>
      </c>
      <c r="M54" s="24">
        <f>SUMIFS('Saldos Iniciales'!$D:$D,'Saldos Iniciales'!$A:$A,"Soweto")+SUMIFS(Movimientos!$K$1:$K$1033,Movimientos!$C$1:$C$1033,"Soweto",Movimientos!$B$1:$B$1033,"&lt;="&amp;$B54)</f>
        <v>3349.94</v>
      </c>
      <c r="N54" s="24">
        <f>SUMIFS('Saldos Iniciales'!$D:$D,'Saldos Iniciales'!$A:$A,"Green Stone Trust")+SUMIFS(Movimientos!$K$1:$K$1033,Movimientos!$C$1:$C$1033,"Green Stone Trust",Movimientos!$B$1:$B$1033,"&lt;="&amp;$B54)</f>
        <v>1968.99</v>
      </c>
      <c r="O54" s="24">
        <f>SUMIFS('Saldos Iniciales'!$D:$D,'Saldos Iniciales'!$A:$A,"EC Auto")+SUMIFS(Movimientos!$K$1:$K$1033,Movimientos!$C$1:$C$1033,"EC Auto",Movimientos!$B$1:$B$1033,"&lt;="&amp;$B54)</f>
        <v>382.69000000000005</v>
      </c>
      <c r="P54" s="24">
        <f>SUMIFS('Saldos Iniciales'!$D:$D,'Saldos Iniciales'!$A:$A,"Arbor Capital Properties")+SUMIFS(Movimientos!$K$1:$K$1033,Movimientos!$C$1:$C$1033,"Arbor Capital Properties",Movimientos!$B$1:$B$1033,"&lt;="&amp;$B54)</f>
        <v>1428.08</v>
      </c>
      <c r="Q54" s="24">
        <f>SUMIFS('Saldos Iniciales'!$D:$D,'Saldos Iniciales'!$A:$A,"2515 Overbrook")+SUMIFS(Movimientos!$K$1:$K$1033,Movimientos!$C$1:$C$1033,"2515 Overbrook",Movimientos!$B$1:$B$1033,"&lt;="&amp;$B54)</f>
        <v>31039.969999999961</v>
      </c>
      <c r="R54" s="24">
        <f>SUMIFS('Saldos Iniciales'!$D:$D,'Saldos Iniciales'!$A:$A,"112 Florida Ave")+SUMIFS(Movimientos!$K$1:$K$1033,Movimientos!$C$1:$C$1033,"112 Florida Ave",Movimientos!$B$1:$B$1033,"&lt;="&amp;$B54)</f>
        <v>20321.43</v>
      </c>
      <c r="S54" s="24">
        <f>SUMIFS('Saldos Iniciales'!$D:$D,'Saldos Iniciales'!$A:$A,"3628 Thomas Ave")+SUMIFS(Movimientos!$K$1:$K$1033,Movimientos!$C$1:$C$1033,"3628 Thomas Ave",Movimientos!$B$1:$B$1033,"&lt;="&amp;$B54)</f>
        <v>16681.349999999999</v>
      </c>
      <c r="T54" s="24">
        <f>SUMIFS('Saldos Iniciales'!$D:$D,'Saldos Iniciales'!$A:$A,"Green Harbor Trust")+SUMIFS(Movimientos!$K$1:$K$1033,Movimientos!$C$1:$C$1033,"Green Harbor Trust",Movimientos!$B$1:$B$1033,"&lt;="&amp;$B54)</f>
        <v>345</v>
      </c>
      <c r="U54" s="24">
        <f>SUMIFS('Saldos Iniciales'!$D:$D,'Saldos Iniciales'!$A:$A,"Go Blue")+SUMIFS(Movimientos!$K$1:$K$1033,Movimientos!$C$1:$C$1033,"Go Blue",Movimientos!$B$1:$B$1033,"&lt;="&amp;$B54)</f>
        <v>50109.68</v>
      </c>
      <c r="V54" s="25">
        <f t="shared" ref="V54:V55" si="9">SUM(C54:U54)</f>
        <v>11773814.289999997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Group")+SUMIFS(Movimientos!$K$1:$K$1033,Movimientos!$C$1:$C$1033,"CFT Group",Movimientos!$B$1:$B$1033,"&lt;="&amp;$B55)</f>
        <v>7757074.9200000009</v>
      </c>
      <c r="D55" s="24">
        <f>SUMIFS('Saldos Iniciales'!$D:$D,'Saldos Iniciales'!$A:$A,"M1B")+SUMIFS(Movimientos!$K$1:$K$1033,Movimientos!$C$1:$C$1033,"M1B",Movimientos!$B$1:$B$1033,"&lt;="&amp;$B55)</f>
        <v>69376.390000000174</v>
      </c>
      <c r="E55" s="24">
        <f>SUMIFS('Saldos Iniciales'!$D:$D,'Saldos Iniciales'!$A:$A,"Durand")+SUMIFS(Movimientos!$K$1:$K$1033,Movimientos!$C$1:$C$1033,"Durand",Movimientos!$B$1:$B$1033,"&lt;="&amp;$B55)</f>
        <v>1669.89</v>
      </c>
      <c r="F55" s="24">
        <f>SUMIFS('Saldos Iniciales'!$D:$D,'Saldos Iniciales'!$A:$A,"A&amp;M Imports")+SUMIFS(Movimientos!$K$1:$K$1033,Movimientos!$C$1:$C$1033,"A&amp;M Imports",Movimientos!$B$1:$B$1033,"&lt;="&amp;$B55)</f>
        <v>334944.56999999983</v>
      </c>
      <c r="G55" s="24">
        <f>SUMIFS('Saldos Iniciales'!$D:$D,'Saldos Iniciales'!$A:$A,"SSP Capital")+SUMIFS(Movimientos!$K$1:$K$1033,Movimientos!$C$1:$C$1033,"SSP Capital",Movimientos!$B$1:$B$1033,"&lt;="&amp;$B55)</f>
        <v>3340110.8099999996</v>
      </c>
      <c r="H55" s="24">
        <f>SUMIFS('Saldos Iniciales'!$D:$D,'Saldos Iniciales'!$A:$A,"Cross Family Trust")+SUMIFS(Movimientos!$K$1:$K$1033,Movimientos!$C$1:$C$1033,"Cross Family Trust",Movimientos!$B$1:$B$1033,"&lt;="&amp;$B55)</f>
        <v>116496.38</v>
      </c>
      <c r="I55" s="24">
        <f>SUMIFS('Saldos Iniciales'!$D:$D,'Saldos Iniciales'!$A:$A,"Cross Security Trust")+SUMIFS(Movimientos!$K$1:$K$1033,Movimientos!$C$1:$C$1033,"Cross Security Trust",Movimientos!$B$1:$B$1033,"&lt;="&amp;$B55)</f>
        <v>88090.37</v>
      </c>
      <c r="J55" s="24">
        <f>SUMIFS('Saldos Iniciales'!$D:$D,'Saldos Iniciales'!$A:$A,"Electrama")+SUMIFS(Movimientos!$K$1:$K$1033,Movimientos!$C$1:$C$1033,"Electrama",Movimientos!$B$1:$B$1033,"&lt;="&amp;$B55)</f>
        <v>511.15999999999985</v>
      </c>
      <c r="K55" s="24">
        <f>SUMIFS('Saldos Iniciales'!$D:$D,'Saldos Iniciales'!$A:$A,"Sacred Valley Capital")+SUMIFS(Movimientos!$K$1:$K$1033,Movimientos!$C$1:$C$1033,"Sacred Valley Capital",Movimientos!$B$1:$B$1033,"&lt;="&amp;$B55)</f>
        <v>84.35</v>
      </c>
      <c r="L55" s="24">
        <f>SUMIFS('Saldos Iniciales'!$D:$D,'Saldos Iniciales'!$A:$A,"YWC Capital")+SUMIFS(Movimientos!$K$1:$K$1033,Movimientos!$C$1:$C$1033,"YWC Capital",Movimientos!$B$1:$B$1033,"&lt;="&amp;$B55)</f>
        <v>2237.77</v>
      </c>
      <c r="M55" s="24">
        <f>SUMIFS('Saldos Iniciales'!$D:$D,'Saldos Iniciales'!$A:$A,"Soweto")+SUMIFS(Movimientos!$K$1:$K$1033,Movimientos!$C$1:$C$1033,"Soweto",Movimientos!$B$1:$B$1033,"&lt;="&amp;$B55)</f>
        <v>3349.94</v>
      </c>
      <c r="N55" s="24">
        <f>SUMIFS('Saldos Iniciales'!$D:$D,'Saldos Iniciales'!$A:$A,"Green Stone Trust")+SUMIFS(Movimientos!$K$1:$K$1033,Movimientos!$C$1:$C$1033,"Green Stone Trust",Movimientos!$B$1:$B$1033,"&lt;="&amp;$B55)</f>
        <v>1968.99</v>
      </c>
      <c r="O55" s="24">
        <f>SUMIFS('Saldos Iniciales'!$D:$D,'Saldos Iniciales'!$A:$A,"EC Auto")+SUMIFS(Movimientos!$K$1:$K$1033,Movimientos!$C$1:$C$1033,"EC Auto",Movimientos!$B$1:$B$1033,"&lt;="&amp;$B55)</f>
        <v>382.69000000000005</v>
      </c>
      <c r="P55" s="24">
        <f>SUMIFS('Saldos Iniciales'!$D:$D,'Saldos Iniciales'!$A:$A,"Arbor Capital Properties")+SUMIFS(Movimientos!$K$1:$K$1033,Movimientos!$C$1:$C$1033,"Arbor Capital Properties",Movimientos!$B$1:$B$1033,"&lt;="&amp;$B55)</f>
        <v>1428.08</v>
      </c>
      <c r="Q55" s="24">
        <f>SUMIFS('Saldos Iniciales'!$D:$D,'Saldos Iniciales'!$A:$A,"2515 Overbrook")+SUMIFS(Movimientos!$K$1:$K$1033,Movimientos!$C$1:$C$1033,"2515 Overbrook",Movimientos!$B$1:$B$1033,"&lt;="&amp;$B55)</f>
        <v>31039.969999999961</v>
      </c>
      <c r="R55" s="24">
        <f>SUMIFS('Saldos Iniciales'!$D:$D,'Saldos Iniciales'!$A:$A,"112 Florida Ave")+SUMIFS(Movimientos!$K$1:$K$1033,Movimientos!$C$1:$C$1033,"112 Florida Ave",Movimientos!$B$1:$B$1033,"&lt;="&amp;$B55)</f>
        <v>20321.43</v>
      </c>
      <c r="S55" s="24">
        <f>SUMIFS('Saldos Iniciales'!$D:$D,'Saldos Iniciales'!$A:$A,"3628 Thomas Ave")+SUMIFS(Movimientos!$K$1:$K$1033,Movimientos!$C$1:$C$1033,"3628 Thomas Ave",Movimientos!$B$1:$B$1033,"&lt;="&amp;$B55)</f>
        <v>16681.349999999999</v>
      </c>
      <c r="T55" s="24">
        <f>SUMIFS('Saldos Iniciales'!$D:$D,'Saldos Iniciales'!$A:$A,"Green Harbor Trust")+SUMIFS(Movimientos!$K$1:$K$1033,Movimientos!$C$1:$C$1033,"Green Harbor Trust",Movimientos!$B$1:$B$1033,"&lt;="&amp;$B55)</f>
        <v>345</v>
      </c>
      <c r="U55" s="24">
        <f>SUMIFS('Saldos Iniciales'!$D:$D,'Saldos Iniciales'!$A:$A,"Go Blue")+SUMIFS(Movimientos!$K$1:$K$1033,Movimientos!$C$1:$C$1033,"Go Blue",Movimientos!$B$1:$B$1033,"&lt;="&amp;$B55)</f>
        <v>49981.31</v>
      </c>
      <c r="V55" s="25">
        <f t="shared" si="9"/>
        <v>11836095.370000001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Group")+SUMIFS(Movimientos!$K$1:$K$1033,Movimientos!$C$1:$C$1033,"CFT Group",Movimientos!$B$1:$B$1033,"&lt;="&amp;$B56)</f>
        <v>7824144.040000001</v>
      </c>
      <c r="D56" s="24">
        <f>SUMIFS('Saldos Iniciales'!$D:$D,'Saldos Iniciales'!$A:$A,"M1B")+SUMIFS(Movimientos!$K$1:$K$1033,Movimientos!$C$1:$C$1033,"M1B",Movimientos!$B$1:$B$1033,"&lt;="&amp;$B56)</f>
        <v>72386.190000000177</v>
      </c>
      <c r="E56" s="24">
        <f>SUMIFS('Saldos Iniciales'!$D:$D,'Saldos Iniciales'!$A:$A,"Durand")+SUMIFS(Movimientos!$K$1:$K$1033,Movimientos!$C$1:$C$1033,"Durand",Movimientos!$B$1:$B$1033,"&lt;="&amp;$B56)</f>
        <v>1669.89</v>
      </c>
      <c r="F56" s="24">
        <f>SUMIFS('Saldos Iniciales'!$D:$D,'Saldos Iniciales'!$A:$A,"A&amp;M Imports")+SUMIFS(Movimientos!$K$1:$K$1033,Movimientos!$C$1:$C$1033,"A&amp;M Imports",Movimientos!$B$1:$B$1033,"&lt;="&amp;$B56)</f>
        <v>363806.48999999987</v>
      </c>
      <c r="G56" s="24">
        <f>SUMIFS('Saldos Iniciales'!$D:$D,'Saldos Iniciales'!$A:$A,"SSP Capital")+SUMIFS(Movimientos!$K$1:$K$1033,Movimientos!$C$1:$C$1033,"SSP Capital",Movimientos!$B$1:$B$1033,"&lt;="&amp;$B56)</f>
        <v>3340110.8099999996</v>
      </c>
      <c r="H56" s="24">
        <f>SUMIFS('Saldos Iniciales'!$D:$D,'Saldos Iniciales'!$A:$A,"Cross Family Trust")+SUMIFS(Movimientos!$K$1:$K$1033,Movimientos!$C$1:$C$1033,"Cross Family Trust",Movimientos!$B$1:$B$1033,"&lt;="&amp;$B56)</f>
        <v>116496.38</v>
      </c>
      <c r="I56" s="24">
        <f>SUMIFS('Saldos Iniciales'!$D:$D,'Saldos Iniciales'!$A:$A,"Cross Security Trust")+SUMIFS(Movimientos!$K$1:$K$1033,Movimientos!$C$1:$C$1033,"Cross Security Trust",Movimientos!$B$1:$B$1033,"&lt;="&amp;$B56)</f>
        <v>88090.37</v>
      </c>
      <c r="J56" s="24">
        <f>SUMIFS('Saldos Iniciales'!$D:$D,'Saldos Iniciales'!$A:$A,"Electrama")+SUMIFS(Movimientos!$K$1:$K$1033,Movimientos!$C$1:$C$1033,"Electrama",Movimientos!$B$1:$B$1033,"&lt;="&amp;$B56)</f>
        <v>511.15999999999985</v>
      </c>
      <c r="K56" s="24">
        <f>SUMIFS('Saldos Iniciales'!$D:$D,'Saldos Iniciales'!$A:$A,"Sacred Valley Capital")+SUMIFS(Movimientos!$K$1:$K$1033,Movimientos!$C$1:$C$1033,"Sacred Valley Capital",Movimientos!$B$1:$B$1033,"&lt;="&amp;$B56)</f>
        <v>84.35</v>
      </c>
      <c r="L56" s="24">
        <f>SUMIFS('Saldos Iniciales'!$D:$D,'Saldos Iniciales'!$A:$A,"YWC Capital")+SUMIFS(Movimientos!$K$1:$K$1033,Movimientos!$C$1:$C$1033,"YWC Capital",Movimientos!$B$1:$B$1033,"&lt;="&amp;$B56)</f>
        <v>2237.77</v>
      </c>
      <c r="M56" s="24">
        <f>SUMIFS('Saldos Iniciales'!$D:$D,'Saldos Iniciales'!$A:$A,"Soweto")+SUMIFS(Movimientos!$K$1:$K$1033,Movimientos!$C$1:$C$1033,"Soweto",Movimientos!$B$1:$B$1033,"&lt;="&amp;$B56)</f>
        <v>3349.94</v>
      </c>
      <c r="N56" s="24">
        <f>SUMIFS('Saldos Iniciales'!$D:$D,'Saldos Iniciales'!$A:$A,"Green Stone Trust")+SUMIFS(Movimientos!$K$1:$K$1033,Movimientos!$C$1:$C$1033,"Green Stone Trust",Movimientos!$B$1:$B$1033,"&lt;="&amp;$B56)</f>
        <v>1968.99</v>
      </c>
      <c r="O56" s="24">
        <f>SUMIFS('Saldos Iniciales'!$D:$D,'Saldos Iniciales'!$A:$A,"EC Auto")+SUMIFS(Movimientos!$K$1:$K$1033,Movimientos!$C$1:$C$1033,"EC Auto",Movimientos!$B$1:$B$1033,"&lt;="&amp;$B56)</f>
        <v>382.69000000000005</v>
      </c>
      <c r="P56" s="24">
        <f>SUMIFS('Saldos Iniciales'!$D:$D,'Saldos Iniciales'!$A:$A,"Arbor Capital Properties")+SUMIFS(Movimientos!$K$1:$K$1033,Movimientos!$C$1:$C$1033,"Arbor Capital Properties",Movimientos!$B$1:$B$1033,"&lt;="&amp;$B56)</f>
        <v>1428.08</v>
      </c>
      <c r="Q56" s="24">
        <f>SUMIFS('Saldos Iniciales'!$D:$D,'Saldos Iniciales'!$A:$A,"2515 Overbrook")+SUMIFS(Movimientos!$K$1:$K$1033,Movimientos!$C$1:$C$1033,"2515 Overbrook",Movimientos!$B$1:$B$1033,"&lt;="&amp;$B56)</f>
        <v>31039.969999999961</v>
      </c>
      <c r="R56" s="24">
        <f>SUMIFS('Saldos Iniciales'!$D:$D,'Saldos Iniciales'!$A:$A,"112 Florida Ave")+SUMIFS(Movimientos!$K$1:$K$1033,Movimientos!$C$1:$C$1033,"112 Florida Ave",Movimientos!$B$1:$B$1033,"&lt;="&amp;$B56)</f>
        <v>20321.43</v>
      </c>
      <c r="S56" s="24">
        <f>SUMIFS('Saldos Iniciales'!$D:$D,'Saldos Iniciales'!$A:$A,"3628 Thomas Ave")+SUMIFS(Movimientos!$K$1:$K$1033,Movimientos!$C$1:$C$1033,"3628 Thomas Ave",Movimientos!$B$1:$B$1033,"&lt;="&amp;$B56)</f>
        <v>16681.349999999999</v>
      </c>
      <c r="T56" s="24">
        <f>SUMIFS('Saldos Iniciales'!$D:$D,'Saldos Iniciales'!$A:$A,"Green Harbor Trust")+SUMIFS(Movimientos!$K$1:$K$1033,Movimientos!$C$1:$C$1033,"Green Harbor Trust",Movimientos!$B$1:$B$1033,"&lt;="&amp;$B56)</f>
        <v>345</v>
      </c>
      <c r="U56" s="24">
        <f>SUMIFS('Saldos Iniciales'!$D:$D,'Saldos Iniciales'!$A:$A,"Go Blue")+SUMIFS(Movimientos!$K$1:$K$1033,Movimientos!$C$1:$C$1033,"Go Blue",Movimientos!$B$1:$B$1033,"&lt;="&amp;$B56)</f>
        <v>49981.31</v>
      </c>
      <c r="V56" s="25">
        <f t="shared" ref="V56:V58" si="10">SUM(C56:U56)</f>
        <v>11935036.210000001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Group")+SUMIFS(Movimientos!$K$1:$K$1033,Movimientos!$C$1:$C$1033,"CFT Group",Movimientos!$B$1:$B$1033,"&lt;="&amp;$B57)</f>
        <v>6380269.040000001</v>
      </c>
      <c r="D57" s="24">
        <f>SUMIFS('Saldos Iniciales'!$D:$D,'Saldos Iniciales'!$A:$A,"M1B")+SUMIFS(Movimientos!$K$1:$K$1033,Movimientos!$C$1:$C$1033,"M1B",Movimientos!$B$1:$B$1033,"&lt;="&amp;$B57)</f>
        <v>72386.190000000177</v>
      </c>
      <c r="E57" s="24">
        <f>SUMIFS('Saldos Iniciales'!$D:$D,'Saldos Iniciales'!$A:$A,"Durand")+SUMIFS(Movimientos!$K$1:$K$1033,Movimientos!$C$1:$C$1033,"Durand",Movimientos!$B$1:$B$1033,"&lt;="&amp;$B57)</f>
        <v>1669.89</v>
      </c>
      <c r="F57" s="24">
        <f>SUMIFS('Saldos Iniciales'!$D:$D,'Saldos Iniciales'!$A:$A,"A&amp;M Imports")+SUMIFS(Movimientos!$K$1:$K$1033,Movimientos!$C$1:$C$1033,"A&amp;M Imports",Movimientos!$B$1:$B$1033,"&lt;="&amp;$B57)</f>
        <v>303806.48999999982</v>
      </c>
      <c r="G57" s="24">
        <f>SUMIFS('Saldos Iniciales'!$D:$D,'Saldos Iniciales'!$A:$A,"SSP Capital")+SUMIFS(Movimientos!$K$1:$K$1033,Movimientos!$C$1:$C$1033,"SSP Capital",Movimientos!$B$1:$B$1033,"&lt;="&amp;$B57)</f>
        <v>1947394.8299999994</v>
      </c>
      <c r="H57" s="24">
        <f>SUMIFS('Saldos Iniciales'!$D:$D,'Saldos Iniciales'!$A:$A,"Cross Family Trust")+SUMIFS(Movimientos!$K$1:$K$1033,Movimientos!$C$1:$C$1033,"Cross Family Trust",Movimientos!$B$1:$B$1033,"&lt;="&amp;$B57)</f>
        <v>1996496.38</v>
      </c>
      <c r="I57" s="24">
        <f>SUMIFS('Saldos Iniciales'!$D:$D,'Saldos Iniciales'!$A:$A,"Cross Security Trust")+SUMIFS(Movimientos!$K$1:$K$1033,Movimientos!$C$1:$C$1033,"Cross Security Trust",Movimientos!$B$1:$B$1033,"&lt;="&amp;$B57)</f>
        <v>88090.37</v>
      </c>
      <c r="J57" s="24">
        <f>SUMIFS('Saldos Iniciales'!$D:$D,'Saldos Iniciales'!$A:$A,"Electrama")+SUMIFS(Movimientos!$K$1:$K$1033,Movimientos!$C$1:$C$1033,"Electrama",Movimientos!$B$1:$B$1033,"&lt;="&amp;$B57)</f>
        <v>511.15999999999985</v>
      </c>
      <c r="K57" s="24">
        <f>SUMIFS('Saldos Iniciales'!$D:$D,'Saldos Iniciales'!$A:$A,"Sacred Valley Capital")+SUMIFS(Movimientos!$K$1:$K$1033,Movimientos!$C$1:$C$1033,"Sacred Valley Capital",Movimientos!$B$1:$B$1033,"&lt;="&amp;$B57)</f>
        <v>84.35</v>
      </c>
      <c r="L57" s="24">
        <f>SUMIFS('Saldos Iniciales'!$D:$D,'Saldos Iniciales'!$A:$A,"YWC Capital")+SUMIFS(Movimientos!$K$1:$K$1033,Movimientos!$C$1:$C$1033,"YWC Capital",Movimientos!$B$1:$B$1033,"&lt;="&amp;$B57)</f>
        <v>2237.77</v>
      </c>
      <c r="M57" s="24">
        <f>SUMIFS('Saldos Iniciales'!$D:$D,'Saldos Iniciales'!$A:$A,"Soweto")+SUMIFS(Movimientos!$K$1:$K$1033,Movimientos!$C$1:$C$1033,"Soweto",Movimientos!$B$1:$B$1033,"&lt;="&amp;$B57)</f>
        <v>3349.94</v>
      </c>
      <c r="N57" s="24">
        <f>SUMIFS('Saldos Iniciales'!$D:$D,'Saldos Iniciales'!$A:$A,"Green Stone Trust")+SUMIFS(Movimientos!$K$1:$K$1033,Movimientos!$C$1:$C$1033,"Green Stone Trust",Movimientos!$B$1:$B$1033,"&lt;="&amp;$B57)</f>
        <v>1968.99</v>
      </c>
      <c r="O57" s="24">
        <f>SUMIFS('Saldos Iniciales'!$D:$D,'Saldos Iniciales'!$A:$A,"EC Auto")+SUMIFS(Movimientos!$K$1:$K$1033,Movimientos!$C$1:$C$1033,"EC Auto",Movimientos!$B$1:$B$1033,"&lt;="&amp;$B57)</f>
        <v>382.69000000000005</v>
      </c>
      <c r="P57" s="24">
        <f>SUMIFS('Saldos Iniciales'!$D:$D,'Saldos Iniciales'!$A:$A,"Arbor Capital Properties")+SUMIFS(Movimientos!$K$1:$K$1033,Movimientos!$C$1:$C$1033,"Arbor Capital Properties",Movimientos!$B$1:$B$1033,"&lt;="&amp;$B57)</f>
        <v>1428.08</v>
      </c>
      <c r="Q57" s="24">
        <f>SUMIFS('Saldos Iniciales'!$D:$D,'Saldos Iniciales'!$A:$A,"2515 Overbrook")+SUMIFS(Movimientos!$K$1:$K$1033,Movimientos!$C$1:$C$1033,"2515 Overbrook",Movimientos!$B$1:$B$1033,"&lt;="&amp;$B57)</f>
        <v>31039.969999999961</v>
      </c>
      <c r="R57" s="24">
        <f>SUMIFS('Saldos Iniciales'!$D:$D,'Saldos Iniciales'!$A:$A,"112 Florida Ave")+SUMIFS(Movimientos!$K$1:$K$1033,Movimientos!$C$1:$C$1033,"112 Florida Ave",Movimientos!$B$1:$B$1033,"&lt;="&amp;$B57)</f>
        <v>20321.43</v>
      </c>
      <c r="S57" s="24">
        <f>SUMIFS('Saldos Iniciales'!$D:$D,'Saldos Iniciales'!$A:$A,"3628 Thomas Ave")+SUMIFS(Movimientos!$K$1:$K$1033,Movimientos!$C$1:$C$1033,"3628 Thomas Ave",Movimientos!$B$1:$B$1033,"&lt;="&amp;$B57)</f>
        <v>28473.599999999999</v>
      </c>
      <c r="T57" s="24">
        <f>SUMIFS('Saldos Iniciales'!$D:$D,'Saldos Iniciales'!$A:$A,"Green Harbor Trust")+SUMIFS(Movimientos!$K$1:$K$1033,Movimientos!$C$1:$C$1033,"Green Harbor Trust",Movimientos!$B$1:$B$1033,"&lt;="&amp;$B57)</f>
        <v>345</v>
      </c>
      <c r="U57" s="24">
        <f>SUMIFS('Saldos Iniciales'!$D:$D,'Saldos Iniciales'!$A:$A,"Go Blue")+SUMIFS(Movimientos!$K$1:$K$1033,Movimientos!$C$1:$C$1033,"Go Blue",Movimientos!$B$1:$B$1033,"&lt;="&amp;$B57)</f>
        <v>38025.43</v>
      </c>
      <c r="V57" s="25">
        <f t="shared" si="10"/>
        <v>10918281.599999998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Group")+SUMIFS(Movimientos!$K$1:$K$1033,Movimientos!$C$1:$C$1033,"CFT Group",Movimientos!$B$1:$B$1033,"&lt;="&amp;$B58)</f>
        <v>6369389.040000001</v>
      </c>
      <c r="D58" s="24">
        <f>SUMIFS('Saldos Iniciales'!$D:$D,'Saldos Iniciales'!$A:$A,"M1B")+SUMIFS(Movimientos!$K$1:$K$1033,Movimientos!$C$1:$C$1033,"M1B",Movimientos!$B$1:$B$1033,"&lt;="&amp;$B58)</f>
        <v>72386.190000000177</v>
      </c>
      <c r="E58" s="24">
        <f>SUMIFS('Saldos Iniciales'!$D:$D,'Saldos Iniciales'!$A:$A,"Durand")+SUMIFS(Movimientos!$K$1:$K$1033,Movimientos!$C$1:$C$1033,"Durand",Movimientos!$B$1:$B$1033,"&lt;="&amp;$B58)</f>
        <v>1669.89</v>
      </c>
      <c r="F58" s="24">
        <f>SUMIFS('Saldos Iniciales'!$D:$D,'Saldos Iniciales'!$A:$A,"A&amp;M Imports")+SUMIFS(Movimientos!$K$1:$K$1033,Movimientos!$C$1:$C$1033,"A&amp;M Imports",Movimientos!$B$1:$B$1033,"&lt;="&amp;$B58)</f>
        <v>303806.48999999982</v>
      </c>
      <c r="G58" s="24">
        <f>SUMIFS('Saldos Iniciales'!$D:$D,'Saldos Iniciales'!$A:$A,"SSP Capital")+SUMIFS(Movimientos!$K$1:$K$1033,Movimientos!$C$1:$C$1033,"SSP Capital",Movimientos!$B$1:$B$1033,"&lt;="&amp;$B58)</f>
        <v>1946631.8399999994</v>
      </c>
      <c r="H58" s="24">
        <f>SUMIFS('Saldos Iniciales'!$D:$D,'Saldos Iniciales'!$A:$A,"Cross Family Trust")+SUMIFS(Movimientos!$K$1:$K$1033,Movimientos!$C$1:$C$1033,"Cross Family Trust",Movimientos!$B$1:$B$1033,"&lt;="&amp;$B58)</f>
        <v>1396496.38</v>
      </c>
      <c r="I58" s="24">
        <f>SUMIFS('Saldos Iniciales'!$D:$D,'Saldos Iniciales'!$A:$A,"Cross Security Trust")+SUMIFS(Movimientos!$K$1:$K$1033,Movimientos!$C$1:$C$1033,"Cross Security Trust",Movimientos!$B$1:$B$1033,"&lt;="&amp;$B58)</f>
        <v>88090.37</v>
      </c>
      <c r="J58" s="24">
        <f>SUMIFS('Saldos Iniciales'!$D:$D,'Saldos Iniciales'!$A:$A,"Electrama")+SUMIFS(Movimientos!$K$1:$K$1033,Movimientos!$C$1:$C$1033,"Electrama",Movimientos!$B$1:$B$1033,"&lt;="&amp;$B58)</f>
        <v>511.15999999999985</v>
      </c>
      <c r="K58" s="24">
        <f>SUMIFS('Saldos Iniciales'!$D:$D,'Saldos Iniciales'!$A:$A,"Sacred Valley Capital")+SUMIFS(Movimientos!$K$1:$K$1033,Movimientos!$C$1:$C$1033,"Sacred Valley Capital",Movimientos!$B$1:$B$1033,"&lt;="&amp;$B58)</f>
        <v>84.35</v>
      </c>
      <c r="L58" s="24">
        <f>SUMIFS('Saldos Iniciales'!$D:$D,'Saldos Iniciales'!$A:$A,"YWC Capital")+SUMIFS(Movimientos!$K$1:$K$1033,Movimientos!$C$1:$C$1033,"YWC Capital",Movimientos!$B$1:$B$1033,"&lt;="&amp;$B58)</f>
        <v>2237.77</v>
      </c>
      <c r="M58" s="24">
        <f>SUMIFS('Saldos Iniciales'!$D:$D,'Saldos Iniciales'!$A:$A,"Soweto")+SUMIFS(Movimientos!$K$1:$K$1033,Movimientos!$C$1:$C$1033,"Soweto",Movimientos!$B$1:$B$1033,"&lt;="&amp;$B58)</f>
        <v>3349.94</v>
      </c>
      <c r="N58" s="24">
        <f>SUMIFS('Saldos Iniciales'!$D:$D,'Saldos Iniciales'!$A:$A,"Green Stone Trust")+SUMIFS(Movimientos!$K$1:$K$1033,Movimientos!$C$1:$C$1033,"Green Stone Trust",Movimientos!$B$1:$B$1033,"&lt;="&amp;$B58)</f>
        <v>1968.99</v>
      </c>
      <c r="O58" s="24">
        <f>SUMIFS('Saldos Iniciales'!$D:$D,'Saldos Iniciales'!$A:$A,"EC Auto")+SUMIFS(Movimientos!$K$1:$K$1033,Movimientos!$C$1:$C$1033,"EC Auto",Movimientos!$B$1:$B$1033,"&lt;="&amp;$B58)</f>
        <v>382.69000000000005</v>
      </c>
      <c r="P58" s="24">
        <f>SUMIFS('Saldos Iniciales'!$D:$D,'Saldos Iniciales'!$A:$A,"Arbor Capital Properties")+SUMIFS(Movimientos!$K$1:$K$1033,Movimientos!$C$1:$C$1033,"Arbor Capital Properties",Movimientos!$B$1:$B$1033,"&lt;="&amp;$B58)</f>
        <v>1428.08</v>
      </c>
      <c r="Q58" s="24">
        <f>SUMIFS('Saldos Iniciales'!$D:$D,'Saldos Iniciales'!$A:$A,"2515 Overbrook")+SUMIFS(Movimientos!$K$1:$K$1033,Movimientos!$C$1:$C$1033,"2515 Overbrook",Movimientos!$B$1:$B$1033,"&lt;="&amp;$B58)</f>
        <v>31039.969999999961</v>
      </c>
      <c r="R58" s="24">
        <f>SUMIFS('Saldos Iniciales'!$D:$D,'Saldos Iniciales'!$A:$A,"112 Florida Ave")+SUMIFS(Movimientos!$K$1:$K$1033,Movimientos!$C$1:$C$1033,"112 Florida Ave",Movimientos!$B$1:$B$1033,"&lt;="&amp;$B58)</f>
        <v>20321.43</v>
      </c>
      <c r="S58" s="24">
        <f>SUMIFS('Saldos Iniciales'!$D:$D,'Saldos Iniciales'!$A:$A,"3628 Thomas Ave")+SUMIFS(Movimientos!$K$1:$K$1033,Movimientos!$C$1:$C$1033,"3628 Thomas Ave",Movimientos!$B$1:$B$1033,"&lt;="&amp;$B58)</f>
        <v>28458.6</v>
      </c>
      <c r="T58" s="24">
        <f>SUMIFS('Saldos Iniciales'!$D:$D,'Saldos Iniciales'!$A:$A,"Green Harbor Trust")+SUMIFS(Movimientos!$K$1:$K$1033,Movimientos!$C$1:$C$1033,"Green Harbor Trust",Movimientos!$B$1:$B$1033,"&lt;="&amp;$B58)</f>
        <v>345</v>
      </c>
      <c r="U58" s="24">
        <f>SUMIFS('Saldos Iniciales'!$D:$D,'Saldos Iniciales'!$A:$A,"Go Blue")+SUMIFS(Movimientos!$K$1:$K$1033,Movimientos!$C$1:$C$1033,"Go Blue",Movimientos!$B$1:$B$1033,"&lt;="&amp;$B58)</f>
        <v>29918.639999999999</v>
      </c>
      <c r="V58" s="25">
        <f t="shared" si="10"/>
        <v>10298516.82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Group")+SUMIFS(Movimientos!$K$1:$K$1033,Movimientos!$C$1:$C$1033,"CFT Group",Movimientos!$B$1:$B$1033,"&lt;="&amp;$B59)</f>
        <v>6369389.040000001</v>
      </c>
      <c r="D59" s="24">
        <f>SUMIFS('Saldos Iniciales'!$D:$D,'Saldos Iniciales'!$A:$A,"M1B")+SUMIFS(Movimientos!$K$1:$K$1033,Movimientos!$C$1:$C$1033,"M1B",Movimientos!$B$1:$B$1033,"&lt;="&amp;$B59)</f>
        <v>72386.190000000177</v>
      </c>
      <c r="E59" s="24">
        <f>SUMIFS('Saldos Iniciales'!$D:$D,'Saldos Iniciales'!$A:$A,"Durand")+SUMIFS(Movimientos!$K$1:$K$1033,Movimientos!$C$1:$C$1033,"Durand",Movimientos!$B$1:$B$1033,"&lt;="&amp;$B59)</f>
        <v>1669.89</v>
      </c>
      <c r="F59" s="24">
        <f>SUMIFS('Saldos Iniciales'!$D:$D,'Saldos Iniciales'!$A:$A,"A&amp;M Imports")+SUMIFS(Movimientos!$K$1:$K$1033,Movimientos!$C$1:$C$1033,"A&amp;M Imports",Movimientos!$B$1:$B$1033,"&lt;="&amp;$B59)</f>
        <v>303806.48999999982</v>
      </c>
      <c r="G59" s="24">
        <f>SUMIFS('Saldos Iniciales'!$D:$D,'Saldos Iniciales'!$A:$A,"SSP Capital")+SUMIFS(Movimientos!$K$1:$K$1033,Movimientos!$C$1:$C$1033,"SSP Capital",Movimientos!$B$1:$B$1033,"&lt;="&amp;$B59)</f>
        <v>1946631.8399999994</v>
      </c>
      <c r="H59" s="24">
        <f>SUMIFS('Saldos Iniciales'!$D:$D,'Saldos Iniciales'!$A:$A,"Cross Family Trust")+SUMIFS(Movimientos!$K$1:$K$1033,Movimientos!$C$1:$C$1033,"Cross Family Trust",Movimientos!$B$1:$B$1033,"&lt;="&amp;$B59)</f>
        <v>1396496.38</v>
      </c>
      <c r="I59" s="24">
        <f>SUMIFS('Saldos Iniciales'!$D:$D,'Saldos Iniciales'!$A:$A,"Cross Security Trust")+SUMIFS(Movimientos!$K$1:$K$1033,Movimientos!$C$1:$C$1033,"Cross Security Trust",Movimientos!$B$1:$B$1033,"&lt;="&amp;$B59)</f>
        <v>88090.37</v>
      </c>
      <c r="J59" s="24">
        <f>SUMIFS('Saldos Iniciales'!$D:$D,'Saldos Iniciales'!$A:$A,"Electrama")+SUMIFS(Movimientos!$K$1:$K$1033,Movimientos!$C$1:$C$1033,"Electrama",Movimientos!$B$1:$B$1033,"&lt;="&amp;$B59)</f>
        <v>511.15999999999985</v>
      </c>
      <c r="K59" s="24">
        <f>SUMIFS('Saldos Iniciales'!$D:$D,'Saldos Iniciales'!$A:$A,"Sacred Valley Capital")+SUMIFS(Movimientos!$K$1:$K$1033,Movimientos!$C$1:$C$1033,"Sacred Valley Capital",Movimientos!$B$1:$B$1033,"&lt;="&amp;$B59)</f>
        <v>84.35</v>
      </c>
      <c r="L59" s="24">
        <f>SUMIFS('Saldos Iniciales'!$D:$D,'Saldos Iniciales'!$A:$A,"YWC Capital")+SUMIFS(Movimientos!$K$1:$K$1033,Movimientos!$C$1:$C$1033,"YWC Capital",Movimientos!$B$1:$B$1033,"&lt;="&amp;$B59)</f>
        <v>2237.77</v>
      </c>
      <c r="M59" s="24">
        <f>SUMIFS('Saldos Iniciales'!$D:$D,'Saldos Iniciales'!$A:$A,"Soweto")+SUMIFS(Movimientos!$K$1:$K$1033,Movimientos!$C$1:$C$1033,"Soweto",Movimientos!$B$1:$B$1033,"&lt;="&amp;$B59)</f>
        <v>3349.94</v>
      </c>
      <c r="N59" s="24">
        <f>SUMIFS('Saldos Iniciales'!$D:$D,'Saldos Iniciales'!$A:$A,"Green Stone Trust")+SUMIFS(Movimientos!$K$1:$K$1033,Movimientos!$C$1:$C$1033,"Green Stone Trust",Movimientos!$B$1:$B$1033,"&lt;="&amp;$B59)</f>
        <v>1968.99</v>
      </c>
      <c r="O59" s="24">
        <f>SUMIFS('Saldos Iniciales'!$D:$D,'Saldos Iniciales'!$A:$A,"EC Auto")+SUMIFS(Movimientos!$K$1:$K$1033,Movimientos!$C$1:$C$1033,"EC Auto",Movimientos!$B$1:$B$1033,"&lt;="&amp;$B59)</f>
        <v>382.69000000000005</v>
      </c>
      <c r="P59" s="24">
        <f>SUMIFS('Saldos Iniciales'!$D:$D,'Saldos Iniciales'!$A:$A,"Arbor Capital Properties")+SUMIFS(Movimientos!$K$1:$K$1033,Movimientos!$C$1:$C$1033,"Arbor Capital Properties",Movimientos!$B$1:$B$1033,"&lt;="&amp;$B59)</f>
        <v>1428.08</v>
      </c>
      <c r="Q59" s="24">
        <f>SUMIFS('Saldos Iniciales'!$D:$D,'Saldos Iniciales'!$A:$A,"2515 Overbrook")+SUMIFS(Movimientos!$K$1:$K$1033,Movimientos!$C$1:$C$1033,"2515 Overbrook",Movimientos!$B$1:$B$1033,"&lt;="&amp;$B59)</f>
        <v>31039.969999999961</v>
      </c>
      <c r="R59" s="24">
        <f>SUMIFS('Saldos Iniciales'!$D:$D,'Saldos Iniciales'!$A:$A,"112 Florida Ave")+SUMIFS(Movimientos!$K$1:$K$1033,Movimientos!$C$1:$C$1033,"112 Florida Ave",Movimientos!$B$1:$B$1033,"&lt;="&amp;$B59)</f>
        <v>20321.43</v>
      </c>
      <c r="S59" s="24">
        <f>SUMIFS('Saldos Iniciales'!$D:$D,'Saldos Iniciales'!$A:$A,"3628 Thomas Ave")+SUMIFS(Movimientos!$K$1:$K$1033,Movimientos!$C$1:$C$1033,"3628 Thomas Ave",Movimientos!$B$1:$B$1033,"&lt;="&amp;$B59)</f>
        <v>28458.6</v>
      </c>
      <c r="T59" s="24">
        <f>SUMIFS('Saldos Iniciales'!$D:$D,'Saldos Iniciales'!$A:$A,"Green Harbor Trust")+SUMIFS(Movimientos!$K$1:$K$1033,Movimientos!$C$1:$C$1033,"Green Harbor Trust",Movimientos!$B$1:$B$1033,"&lt;="&amp;$B59)</f>
        <v>345</v>
      </c>
      <c r="U59" s="24">
        <f>SUMIFS('Saldos Iniciales'!$D:$D,'Saldos Iniciales'!$A:$A,"Go Blue")+SUMIFS(Movimientos!$K$1:$K$1033,Movimientos!$C$1:$C$1033,"Go Blue",Movimientos!$B$1:$B$1033,"&lt;="&amp;$B59)</f>
        <v>29918.639999999999</v>
      </c>
      <c r="V59" s="25">
        <f t="shared" ref="V59" si="11">SUM(C59:U59)</f>
        <v>10298516.82</v>
      </c>
    </row>
    <row r="60" spans="1:22" hidden="1" outlineLevel="1" x14ac:dyDescent="0.3">
      <c r="A60" s="22">
        <f t="shared" ref="A60:A125" si="12">+A59+1</f>
        <v>59</v>
      </c>
      <c r="B60" s="23">
        <v>46201</v>
      </c>
      <c r="C60" s="24">
        <f>SUMIFS('Saldos Iniciales'!$D:$D,'Saldos Iniciales'!$A:$A,"CFT Group")+SUMIFS(Movimientos!$K$1:$K$1033,Movimientos!$C$1:$C$1033,"CFT Group",Movimientos!$B$1:$B$1033,"&lt;="&amp;$B60)</f>
        <v>6369389.040000001</v>
      </c>
      <c r="D60" s="24">
        <f>SUMIFS('Saldos Iniciales'!$D:$D,'Saldos Iniciales'!$A:$A,"M1B")+SUMIFS(Movimientos!$K$1:$K$1033,Movimientos!$C$1:$C$1033,"M1B",Movimientos!$B$1:$B$1033,"&lt;="&amp;$B60)</f>
        <v>72386.190000000177</v>
      </c>
      <c r="E60" s="24">
        <f>SUMIFS('Saldos Iniciales'!$D:$D,'Saldos Iniciales'!$A:$A,"Durand")+SUMIFS(Movimientos!$K$1:$K$1033,Movimientos!$C$1:$C$1033,"Durand",Movimientos!$B$1:$B$1033,"&lt;="&amp;$B60)</f>
        <v>1669.89</v>
      </c>
      <c r="F60" s="24">
        <f>SUMIFS('Saldos Iniciales'!$D:$D,'Saldos Iniciales'!$A:$A,"A&amp;M Imports")+SUMIFS(Movimientos!$K$1:$K$1033,Movimientos!$C$1:$C$1033,"A&amp;M Imports",Movimientos!$B$1:$B$1033,"&lt;="&amp;$B60)</f>
        <v>303806.48999999982</v>
      </c>
      <c r="G60" s="24">
        <f>SUMIFS('Saldos Iniciales'!$D:$D,'Saldos Iniciales'!$A:$A,"SSP Capital")+SUMIFS(Movimientos!$K$1:$K$1033,Movimientos!$C$1:$C$1033,"SSP Capital",Movimientos!$B$1:$B$1033,"&lt;="&amp;$B60)</f>
        <v>1946631.8399999994</v>
      </c>
      <c r="H60" s="24">
        <f>SUMIFS('Saldos Iniciales'!$D:$D,'Saldos Iniciales'!$A:$A,"Cross Family Trust")+SUMIFS(Movimientos!$K$1:$K$1033,Movimientos!$C$1:$C$1033,"Cross Family Trust",Movimientos!$B$1:$B$1033,"&lt;="&amp;$B60)</f>
        <v>1396496.38</v>
      </c>
      <c r="I60" s="24">
        <f>SUMIFS('Saldos Iniciales'!$D:$D,'Saldos Iniciales'!$A:$A,"Cross Security Trust")+SUMIFS(Movimientos!$K$1:$K$1033,Movimientos!$C$1:$C$1033,"Cross Security Trust",Movimientos!$B$1:$B$1033,"&lt;="&amp;$B60)</f>
        <v>88090.37</v>
      </c>
      <c r="J60" s="24">
        <f>SUMIFS('Saldos Iniciales'!$D:$D,'Saldos Iniciales'!$A:$A,"Electrama")+SUMIFS(Movimientos!$K$1:$K$1033,Movimientos!$C$1:$C$1033,"Electrama",Movimientos!$B$1:$B$1033,"&lt;="&amp;$B60)</f>
        <v>511.15999999999985</v>
      </c>
      <c r="K60" s="24">
        <f>SUMIFS('Saldos Iniciales'!$D:$D,'Saldos Iniciales'!$A:$A,"Sacred Valley Capital")+SUMIFS(Movimientos!$K$1:$K$1033,Movimientos!$C$1:$C$1033,"Sacred Valley Capital",Movimientos!$B$1:$B$1033,"&lt;="&amp;$B60)</f>
        <v>84.35</v>
      </c>
      <c r="L60" s="24">
        <f>SUMIFS('Saldos Iniciales'!$D:$D,'Saldos Iniciales'!$A:$A,"YWC Capital")+SUMIFS(Movimientos!$K$1:$K$1033,Movimientos!$C$1:$C$1033,"YWC Capital",Movimientos!$B$1:$B$1033,"&lt;="&amp;$B60)</f>
        <v>2237.77</v>
      </c>
      <c r="M60" s="24">
        <f>SUMIFS('Saldos Iniciales'!$D:$D,'Saldos Iniciales'!$A:$A,"Soweto")+SUMIFS(Movimientos!$K$1:$K$1033,Movimientos!$C$1:$C$1033,"Soweto",Movimientos!$B$1:$B$1033,"&lt;="&amp;$B60)</f>
        <v>3349.94</v>
      </c>
      <c r="N60" s="24">
        <f>SUMIFS('Saldos Iniciales'!$D:$D,'Saldos Iniciales'!$A:$A,"Green Stone Trust")+SUMIFS(Movimientos!$K$1:$K$1033,Movimientos!$C$1:$C$1033,"Green Stone Trust",Movimientos!$B$1:$B$1033,"&lt;="&amp;$B60)</f>
        <v>1968.99</v>
      </c>
      <c r="O60" s="24">
        <f>SUMIFS('Saldos Iniciales'!$D:$D,'Saldos Iniciales'!$A:$A,"EC Auto")+SUMIFS(Movimientos!$K$1:$K$1033,Movimientos!$C$1:$C$1033,"EC Auto",Movimientos!$B$1:$B$1033,"&lt;="&amp;$B60)</f>
        <v>382.69000000000005</v>
      </c>
      <c r="P60" s="24">
        <f>SUMIFS('Saldos Iniciales'!$D:$D,'Saldos Iniciales'!$A:$A,"Arbor Capital Properties")+SUMIFS(Movimientos!$K$1:$K$1033,Movimientos!$C$1:$C$1033,"Arbor Capital Properties",Movimientos!$B$1:$B$1033,"&lt;="&amp;$B60)</f>
        <v>1428.08</v>
      </c>
      <c r="Q60" s="24">
        <f>SUMIFS('Saldos Iniciales'!$D:$D,'Saldos Iniciales'!$A:$A,"2515 Overbrook")+SUMIFS(Movimientos!$K$1:$K$1033,Movimientos!$C$1:$C$1033,"2515 Overbrook",Movimientos!$B$1:$B$1033,"&lt;="&amp;$B60)</f>
        <v>31039.969999999961</v>
      </c>
      <c r="R60" s="24">
        <f>SUMIFS('Saldos Iniciales'!$D:$D,'Saldos Iniciales'!$A:$A,"112 Florida Ave")+SUMIFS(Movimientos!$K$1:$K$1033,Movimientos!$C$1:$C$1033,"112 Florida Ave",Movimientos!$B$1:$B$1033,"&lt;="&amp;$B60)</f>
        <v>20321.43</v>
      </c>
      <c r="S60" s="24">
        <f>SUMIFS('Saldos Iniciales'!$D:$D,'Saldos Iniciales'!$A:$A,"3628 Thomas Ave")+SUMIFS(Movimientos!$K$1:$K$1033,Movimientos!$C$1:$C$1033,"3628 Thomas Ave",Movimientos!$B$1:$B$1033,"&lt;="&amp;$B60)</f>
        <v>28458.6</v>
      </c>
      <c r="T60" s="24">
        <f>SUMIFS('Saldos Iniciales'!$D:$D,'Saldos Iniciales'!$A:$A,"Green Harbor Trust")+SUMIFS(Movimientos!$K$1:$K$1033,Movimientos!$C$1:$C$1033,"Green Harbor Trust",Movimientos!$B$1:$B$1033,"&lt;="&amp;$B60)</f>
        <v>345</v>
      </c>
      <c r="U60" s="24">
        <f>SUMIFS('Saldos Iniciales'!$D:$D,'Saldos Iniciales'!$A:$A,"Go Blue")+SUMIFS(Movimientos!$K$1:$K$1033,Movimientos!$C$1:$C$1033,"Go Blue",Movimientos!$B$1:$B$1033,"&lt;="&amp;$B60)</f>
        <v>29918.639999999999</v>
      </c>
      <c r="V60" s="25">
        <f>SUM(C60:U60)</f>
        <v>10298516.82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Group")+SUMIFS(Movimientos!$K$1:$K$1033,Movimientos!$C$1:$C$1033,"CFT Group",Movimientos!$B$1:$B$1033,"&lt;="&amp;$B61)</f>
        <v>6380508.1400000015</v>
      </c>
      <c r="D61" s="24">
        <f>SUMIFS('Saldos Iniciales'!$D:$D,'Saldos Iniciales'!$A:$A,"M1B")+SUMIFS(Movimientos!$K$1:$K$1033,Movimientos!$C$1:$C$1033,"M1B",Movimientos!$B$1:$B$1033,"&lt;="&amp;$B61)</f>
        <v>72386.190000000177</v>
      </c>
      <c r="E61" s="24">
        <f>SUMIFS('Saldos Iniciales'!$D:$D,'Saldos Iniciales'!$A:$A,"Durand")+SUMIFS(Movimientos!$K$1:$K$1033,Movimientos!$C$1:$C$1033,"Durand",Movimientos!$B$1:$B$1033,"&lt;="&amp;$B61)</f>
        <v>1669.89</v>
      </c>
      <c r="F61" s="24">
        <f>SUMIFS('Saldos Iniciales'!$D:$D,'Saldos Iniciales'!$A:$A,"A&amp;M Imports")+SUMIFS(Movimientos!$K$1:$K$1033,Movimientos!$C$1:$C$1033,"A&amp;M Imports",Movimientos!$B$1:$B$1033,"&lt;="&amp;$B61)</f>
        <v>320785.3899999999</v>
      </c>
      <c r="G61" s="24">
        <f>SUMIFS('Saldos Iniciales'!$D:$D,'Saldos Iniciales'!$A:$A,"SSP Capital")+SUMIFS(Movimientos!$K$1:$K$1033,Movimientos!$C$1:$C$1033,"SSP Capital",Movimientos!$B$1:$B$1033,"&lt;="&amp;$B61)</f>
        <v>1782410.0399999993</v>
      </c>
      <c r="H61" s="24">
        <f>SUMIFS('Saldos Iniciales'!$D:$D,'Saldos Iniciales'!$A:$A,"Cross Family Trust")+SUMIFS(Movimientos!$K$1:$K$1033,Movimientos!$C$1:$C$1033,"Cross Family Trust",Movimientos!$B$1:$B$1033,"&lt;="&amp;$B61)</f>
        <v>396496.38</v>
      </c>
      <c r="I61" s="24">
        <f>SUMIFS('Saldos Iniciales'!$D:$D,'Saldos Iniciales'!$A:$A,"Cross Security Trust")+SUMIFS(Movimientos!$K$1:$K$1033,Movimientos!$C$1:$C$1033,"Cross Security Trust",Movimientos!$B$1:$B$1033,"&lt;="&amp;$B61)</f>
        <v>88090.37</v>
      </c>
      <c r="J61" s="24">
        <f>SUMIFS('Saldos Iniciales'!$D:$D,'Saldos Iniciales'!$A:$A,"Electrama")+SUMIFS(Movimientos!$K$1:$K$1033,Movimientos!$C$1:$C$1033,"Electrama",Movimientos!$B$1:$B$1033,"&lt;="&amp;$B61)</f>
        <v>511.15999999999985</v>
      </c>
      <c r="K61" s="24">
        <f>SUMIFS('Saldos Iniciales'!$D:$D,'Saldos Iniciales'!$A:$A,"Sacred Valley Capital")+SUMIFS(Movimientos!$K$1:$K$1033,Movimientos!$C$1:$C$1033,"Sacred Valley Capital",Movimientos!$B$1:$B$1033,"&lt;="&amp;$B61)</f>
        <v>84.35</v>
      </c>
      <c r="L61" s="24">
        <f>SUMIFS('Saldos Iniciales'!$D:$D,'Saldos Iniciales'!$A:$A,"YWC Capital")+SUMIFS(Movimientos!$K$1:$K$1033,Movimientos!$C$1:$C$1033,"YWC Capital",Movimientos!$B$1:$B$1033,"&lt;="&amp;$B61)</f>
        <v>2237.77</v>
      </c>
      <c r="M61" s="24">
        <f>SUMIFS('Saldos Iniciales'!$D:$D,'Saldos Iniciales'!$A:$A,"Soweto")+SUMIFS(Movimientos!$K$1:$K$1033,Movimientos!$C$1:$C$1033,"Soweto",Movimientos!$B$1:$B$1033,"&lt;="&amp;$B61)</f>
        <v>3349.94</v>
      </c>
      <c r="N61" s="24">
        <f>SUMIFS('Saldos Iniciales'!$D:$D,'Saldos Iniciales'!$A:$A,"Green Stone Trust")+SUMIFS(Movimientos!$K$1:$K$1033,Movimientos!$C$1:$C$1033,"Green Stone Trust",Movimientos!$B$1:$B$1033,"&lt;="&amp;$B61)</f>
        <v>1968.99</v>
      </c>
      <c r="O61" s="24">
        <f>SUMIFS('Saldos Iniciales'!$D:$D,'Saldos Iniciales'!$A:$A,"EC Auto")+SUMIFS(Movimientos!$K$1:$K$1033,Movimientos!$C$1:$C$1033,"EC Auto",Movimientos!$B$1:$B$1033,"&lt;="&amp;$B61)</f>
        <v>382.69000000000005</v>
      </c>
      <c r="P61" s="24">
        <f>SUMIFS('Saldos Iniciales'!$D:$D,'Saldos Iniciales'!$A:$A,"Arbor Capital Properties")+SUMIFS(Movimientos!$K$1:$K$1033,Movimientos!$C$1:$C$1033,"Arbor Capital Properties",Movimientos!$B$1:$B$1033,"&lt;="&amp;$B61)</f>
        <v>1428.08</v>
      </c>
      <c r="Q61" s="24">
        <f>SUMIFS('Saldos Iniciales'!$D:$D,'Saldos Iniciales'!$A:$A,"2515 Overbrook")+SUMIFS(Movimientos!$K$1:$K$1033,Movimientos!$C$1:$C$1033,"2515 Overbrook",Movimientos!$B$1:$B$1033,"&lt;="&amp;$B61)</f>
        <v>31039.969999999961</v>
      </c>
      <c r="R61" s="24">
        <f>SUMIFS('Saldos Iniciales'!$D:$D,'Saldos Iniciales'!$A:$A,"112 Florida Ave")+SUMIFS(Movimientos!$K$1:$K$1033,Movimientos!$C$1:$C$1033,"112 Florida Ave",Movimientos!$B$1:$B$1033,"&lt;="&amp;$B61)</f>
        <v>20321.43</v>
      </c>
      <c r="S61" s="24">
        <f>SUMIFS('Saldos Iniciales'!$D:$D,'Saldos Iniciales'!$A:$A,"3628 Thomas Ave")+SUMIFS(Movimientos!$K$1:$K$1033,Movimientos!$C$1:$C$1033,"3628 Thomas Ave",Movimientos!$B$1:$B$1033,"&lt;="&amp;$B61)</f>
        <v>28458.6</v>
      </c>
      <c r="T61" s="24">
        <f>SUMIFS('Saldos Iniciales'!$D:$D,'Saldos Iniciales'!$A:$A,"Green Harbor Trust")+SUMIFS(Movimientos!$K$1:$K$1033,Movimientos!$C$1:$C$1033,"Green Harbor Trust",Movimientos!$B$1:$B$1033,"&lt;="&amp;$B61)</f>
        <v>345</v>
      </c>
      <c r="U61" s="24">
        <f>SUMIFS('Saldos Iniciales'!$D:$D,'Saldos Iniciales'!$A:$A,"Go Blue")+SUMIFS(Movimientos!$K$1:$K$1033,Movimientos!$C$1:$C$1033,"Go Blue",Movimientos!$B$1:$B$1033,"&lt;="&amp;$B61)</f>
        <v>23872.78</v>
      </c>
      <c r="V61" s="25">
        <f t="shared" ref="V61:V62" si="13">SUM(C61:U61)</f>
        <v>9156347.1599999983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Group")+SUMIFS(Movimientos!$K$1:$K$1033,Movimientos!$C$1:$C$1033,"CFT Group",Movimientos!$B$1:$B$1033,"&lt;="&amp;$B62)</f>
        <v>6376919.080000001</v>
      </c>
      <c r="D62" s="24">
        <f>SUMIFS('Saldos Iniciales'!$D:$D,'Saldos Iniciales'!$A:$A,"M1B")+SUMIFS(Movimientos!$K$1:$K$1033,Movimientos!$C$1:$C$1033,"M1B",Movimientos!$B$1:$B$1033,"&lt;="&amp;$B62)</f>
        <v>79139.680000000168</v>
      </c>
      <c r="E62" s="24">
        <f>SUMIFS('Saldos Iniciales'!$D:$D,'Saldos Iniciales'!$A:$A,"Durand")+SUMIFS(Movimientos!$K$1:$K$1033,Movimientos!$C$1:$C$1033,"Durand",Movimientos!$B$1:$B$1033,"&lt;="&amp;$B62)</f>
        <v>1669.89</v>
      </c>
      <c r="F62" s="24">
        <f>SUMIFS('Saldos Iniciales'!$D:$D,'Saldos Iniciales'!$A:$A,"A&amp;M Imports")+SUMIFS(Movimientos!$K$1:$K$1033,Movimientos!$C$1:$C$1033,"A&amp;M Imports",Movimientos!$B$1:$B$1033,"&lt;="&amp;$B62)</f>
        <v>320785.3899999999</v>
      </c>
      <c r="G62" s="24">
        <f>SUMIFS('Saldos Iniciales'!$D:$D,'Saldos Iniciales'!$A:$A,"SSP Capital")+SUMIFS(Movimientos!$K$1:$K$1033,Movimientos!$C$1:$C$1033,"SSP Capital",Movimientos!$B$1:$B$1033,"&lt;="&amp;$B62)</f>
        <v>1710526.8499999994</v>
      </c>
      <c r="H62" s="24">
        <f>SUMIFS('Saldos Iniciales'!$D:$D,'Saldos Iniciales'!$A:$A,"Cross Family Trust")+SUMIFS(Movimientos!$K$1:$K$1033,Movimientos!$C$1:$C$1033,"Cross Family Trust",Movimientos!$B$1:$B$1033,"&lt;="&amp;$B62)</f>
        <v>390496.38</v>
      </c>
      <c r="I62" s="24">
        <f>SUMIFS('Saldos Iniciales'!$D:$D,'Saldos Iniciales'!$A:$A,"Cross Security Trust")+SUMIFS(Movimientos!$K$1:$K$1033,Movimientos!$C$1:$C$1033,"Cross Security Trust",Movimientos!$B$1:$B$1033,"&lt;="&amp;$B62)</f>
        <v>88090.37</v>
      </c>
      <c r="J62" s="24">
        <f>SUMIFS('Saldos Iniciales'!$D:$D,'Saldos Iniciales'!$A:$A,"Electrama")+SUMIFS(Movimientos!$K$1:$K$1033,Movimientos!$C$1:$C$1033,"Electrama",Movimientos!$B$1:$B$1033,"&lt;="&amp;$B62)</f>
        <v>511.15999999999985</v>
      </c>
      <c r="K62" s="24">
        <f>SUMIFS('Saldos Iniciales'!$D:$D,'Saldos Iniciales'!$A:$A,"Sacred Valley Capital")+SUMIFS(Movimientos!$K$1:$K$1033,Movimientos!$C$1:$C$1033,"Sacred Valley Capital",Movimientos!$B$1:$B$1033,"&lt;="&amp;$B62)</f>
        <v>84.35</v>
      </c>
      <c r="L62" s="24">
        <f>SUMIFS('Saldos Iniciales'!$D:$D,'Saldos Iniciales'!$A:$A,"YWC Capital")+SUMIFS(Movimientos!$K$1:$K$1033,Movimientos!$C$1:$C$1033,"YWC Capital",Movimientos!$B$1:$B$1033,"&lt;="&amp;$B62)</f>
        <v>2237.77</v>
      </c>
      <c r="M62" s="24">
        <f>SUMIFS('Saldos Iniciales'!$D:$D,'Saldos Iniciales'!$A:$A,"Soweto")+SUMIFS(Movimientos!$K$1:$K$1033,Movimientos!$C$1:$C$1033,"Soweto",Movimientos!$B$1:$B$1033,"&lt;="&amp;$B62)</f>
        <v>3349.94</v>
      </c>
      <c r="N62" s="24">
        <f>SUMIFS('Saldos Iniciales'!$D:$D,'Saldos Iniciales'!$A:$A,"Green Stone Trust")+SUMIFS(Movimientos!$K$1:$K$1033,Movimientos!$C$1:$C$1033,"Green Stone Trust",Movimientos!$B$1:$B$1033,"&lt;="&amp;$B62)</f>
        <v>1968.99</v>
      </c>
      <c r="O62" s="24">
        <f>SUMIFS('Saldos Iniciales'!$D:$D,'Saldos Iniciales'!$A:$A,"EC Auto")+SUMIFS(Movimientos!$K$1:$K$1033,Movimientos!$C$1:$C$1033,"EC Auto",Movimientos!$B$1:$B$1033,"&lt;="&amp;$B62)</f>
        <v>382.69000000000005</v>
      </c>
      <c r="P62" s="24">
        <f>SUMIFS('Saldos Iniciales'!$D:$D,'Saldos Iniciales'!$A:$A,"Arbor Capital Properties")+SUMIFS(Movimientos!$K$1:$K$1033,Movimientos!$C$1:$C$1033,"Arbor Capital Properties",Movimientos!$B$1:$B$1033,"&lt;="&amp;$B62)</f>
        <v>1428.08</v>
      </c>
      <c r="Q62" s="24">
        <f>SUMIFS('Saldos Iniciales'!$D:$D,'Saldos Iniciales'!$A:$A,"2515 Overbrook")+SUMIFS(Movimientos!$K$1:$K$1033,Movimientos!$C$1:$C$1033,"2515 Overbrook",Movimientos!$B$1:$B$1033,"&lt;="&amp;$B62)</f>
        <v>31039.969999999961</v>
      </c>
      <c r="R62" s="24">
        <f>SUMIFS('Saldos Iniciales'!$D:$D,'Saldos Iniciales'!$A:$A,"112 Florida Ave")+SUMIFS(Movimientos!$K$1:$K$1033,Movimientos!$C$1:$C$1033,"112 Florida Ave",Movimientos!$B$1:$B$1033,"&lt;="&amp;$B62)</f>
        <v>20321.43</v>
      </c>
      <c r="S62" s="24">
        <f>SUMIFS('Saldos Iniciales'!$D:$D,'Saldos Iniciales'!$A:$A,"3628 Thomas Ave")+SUMIFS(Movimientos!$K$1:$K$1033,Movimientos!$C$1:$C$1033,"3628 Thomas Ave",Movimientos!$B$1:$B$1033,"&lt;="&amp;$B62)</f>
        <v>28458.6</v>
      </c>
      <c r="T62" s="24">
        <f>SUMIFS('Saldos Iniciales'!$D:$D,'Saldos Iniciales'!$A:$A,"Green Harbor Trust")+SUMIFS(Movimientos!$K$1:$K$1033,Movimientos!$C$1:$C$1033,"Green Harbor Trust",Movimientos!$B$1:$B$1033,"&lt;="&amp;$B62)</f>
        <v>345</v>
      </c>
      <c r="U62" s="24">
        <f>SUMIFS('Saldos Iniciales'!$D:$D,'Saldos Iniciales'!$A:$A,"Go Blue")+SUMIFS(Movimientos!$K$1:$K$1033,Movimientos!$C$1:$C$1033,"Go Blue",Movimientos!$B$1:$B$1033,"&lt;="&amp;$B62)</f>
        <v>23872.78</v>
      </c>
      <c r="V62" s="25">
        <f t="shared" si="13"/>
        <v>9081628.3999999985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Group")+SUMIFS(Movimientos!$K$1:$K$1033,Movimientos!$C$1:$C$1033,"CFT Group",Movimientos!$B$1:$B$1033,"&lt;="&amp;$B63)</f>
        <v>6376919.080000001</v>
      </c>
      <c r="D63" s="24">
        <f>SUMIFS('Saldos Iniciales'!$D:$D,'Saldos Iniciales'!$A:$A,"M1B")+SUMIFS(Movimientos!$K$1:$K$1033,Movimientos!$C$1:$C$1033,"M1B",Movimientos!$B$1:$B$1033,"&lt;="&amp;$B63)</f>
        <v>79139.680000000168</v>
      </c>
      <c r="E63" s="24">
        <f>SUMIFS('Saldos Iniciales'!$D:$D,'Saldos Iniciales'!$A:$A,"Durand")+SUMIFS(Movimientos!$K$1:$K$1033,Movimientos!$C$1:$C$1033,"Durand",Movimientos!$B$1:$B$1033,"&lt;="&amp;$B63)</f>
        <v>1669.89</v>
      </c>
      <c r="F63" s="24">
        <f>SUMIFS('Saldos Iniciales'!$D:$D,'Saldos Iniciales'!$A:$A,"A&amp;M Imports")+SUMIFS(Movimientos!$K$1:$K$1033,Movimientos!$C$1:$C$1033,"A&amp;M Imports",Movimientos!$B$1:$B$1033,"&lt;="&amp;$B63)</f>
        <v>338976.1399999999</v>
      </c>
      <c r="G63" s="24">
        <f>SUMIFS('Saldos Iniciales'!$D:$D,'Saldos Iniciales'!$A:$A,"SSP Capital")+SUMIFS(Movimientos!$K$1:$K$1033,Movimientos!$C$1:$C$1033,"SSP Capital",Movimientos!$B$1:$B$1033,"&lt;="&amp;$B63)</f>
        <v>1710526.8499999994</v>
      </c>
      <c r="H63" s="24">
        <f>SUMIFS('Saldos Iniciales'!$D:$D,'Saldos Iniciales'!$A:$A,"Cross Family Trust")+SUMIFS(Movimientos!$K$1:$K$1033,Movimientos!$C$1:$C$1033,"Cross Family Trust",Movimientos!$B$1:$B$1033,"&lt;="&amp;$B63)</f>
        <v>390496.38</v>
      </c>
      <c r="I63" s="24">
        <f>SUMIFS('Saldos Iniciales'!$D:$D,'Saldos Iniciales'!$A:$A,"Cross Security Trust")+SUMIFS(Movimientos!$K$1:$K$1033,Movimientos!$C$1:$C$1033,"Cross Security Trust",Movimientos!$B$1:$B$1033,"&lt;="&amp;$B63)</f>
        <v>88090.37</v>
      </c>
      <c r="J63" s="24">
        <f>SUMIFS('Saldos Iniciales'!$D:$D,'Saldos Iniciales'!$A:$A,"Electrama")+SUMIFS(Movimientos!$K$1:$K$1033,Movimientos!$C$1:$C$1033,"Electrama",Movimientos!$B$1:$B$1033,"&lt;="&amp;$B63)</f>
        <v>511.15999999999985</v>
      </c>
      <c r="K63" s="24">
        <f>SUMIFS('Saldos Iniciales'!$D:$D,'Saldos Iniciales'!$A:$A,"Sacred Valley Capital")+SUMIFS(Movimientos!$K$1:$K$1033,Movimientos!$C$1:$C$1033,"Sacred Valley Capital",Movimientos!$B$1:$B$1033,"&lt;="&amp;$B63)</f>
        <v>54.400000000000006</v>
      </c>
      <c r="L63" s="24">
        <f>SUMIFS('Saldos Iniciales'!$D:$D,'Saldos Iniciales'!$A:$A,"YWC Capital")+SUMIFS(Movimientos!$K$1:$K$1033,Movimientos!$C$1:$C$1033,"YWC Capital",Movimientos!$B$1:$B$1033,"&lt;="&amp;$B63)</f>
        <v>2207.8200000000002</v>
      </c>
      <c r="M63" s="24">
        <f>SUMIFS('Saldos Iniciales'!$D:$D,'Saldos Iniciales'!$A:$A,"Soweto")+SUMIFS(Movimientos!$K$1:$K$1033,Movimientos!$C$1:$C$1033,"Soweto",Movimientos!$B$1:$B$1033,"&lt;="&amp;$B63)</f>
        <v>3349.94</v>
      </c>
      <c r="N63" s="24">
        <f>SUMIFS('Saldos Iniciales'!$D:$D,'Saldos Iniciales'!$A:$A,"Green Stone Trust")+SUMIFS(Movimientos!$K$1:$K$1033,Movimientos!$C$1:$C$1033,"Green Stone Trust",Movimientos!$B$1:$B$1033,"&lt;="&amp;$B63)</f>
        <v>1968.99</v>
      </c>
      <c r="O63" s="24">
        <f>SUMIFS('Saldos Iniciales'!$D:$D,'Saldos Iniciales'!$A:$A,"EC Auto")+SUMIFS(Movimientos!$K$1:$K$1033,Movimientos!$C$1:$C$1033,"EC Auto",Movimientos!$B$1:$B$1033,"&lt;="&amp;$B63)</f>
        <v>382.69000000000005</v>
      </c>
      <c r="P63" s="24">
        <f>SUMIFS('Saldos Iniciales'!$D:$D,'Saldos Iniciales'!$A:$A,"Arbor Capital Properties")+SUMIFS(Movimientos!$K$1:$K$1033,Movimientos!$C$1:$C$1033,"Arbor Capital Properties",Movimientos!$B$1:$B$1033,"&lt;="&amp;$B63)</f>
        <v>1412.08</v>
      </c>
      <c r="Q63" s="24">
        <f>SUMIFS('Saldos Iniciales'!$D:$D,'Saldos Iniciales'!$A:$A,"2515 Overbrook")+SUMIFS(Movimientos!$K$1:$K$1033,Movimientos!$C$1:$C$1033,"2515 Overbrook",Movimientos!$B$1:$B$1033,"&lt;="&amp;$B63)</f>
        <v>22496.639999999959</v>
      </c>
      <c r="R63" s="24">
        <f>SUMIFS('Saldos Iniciales'!$D:$D,'Saldos Iniciales'!$A:$A,"112 Florida Ave")+SUMIFS(Movimientos!$K$1:$K$1033,Movimientos!$C$1:$C$1033,"112 Florida Ave",Movimientos!$B$1:$B$1033,"&lt;="&amp;$B63)</f>
        <v>10522.800000000003</v>
      </c>
      <c r="S63" s="24">
        <f>SUMIFS('Saldos Iniciales'!$D:$D,'Saldos Iniciales'!$A:$A,"3628 Thomas Ave")+SUMIFS(Movimientos!$K$1:$K$1033,Movimientos!$C$1:$C$1033,"3628 Thomas Ave",Movimientos!$B$1:$B$1033,"&lt;="&amp;$B63)</f>
        <v>19685.559999999998</v>
      </c>
      <c r="T63" s="24">
        <f>SUMIFS('Saldos Iniciales'!$D:$D,'Saldos Iniciales'!$A:$A,"Green Harbor Trust")+SUMIFS(Movimientos!$K$1:$K$1033,Movimientos!$C$1:$C$1033,"Green Harbor Trust",Movimientos!$B$1:$B$1033,"&lt;="&amp;$B63)</f>
        <v>345</v>
      </c>
      <c r="U63" s="24">
        <f>SUMIFS('Saldos Iniciales'!$D:$D,'Saldos Iniciales'!$A:$A,"Go Blue")+SUMIFS(Movimientos!$K$1:$K$1033,Movimientos!$C$1:$C$1033,"Go Blue",Movimientos!$B$1:$B$1033,"&lt;="&amp;$B63)</f>
        <v>23439.279999999999</v>
      </c>
      <c r="V63" s="25">
        <f t="shared" ref="V63:V67" si="14">SUM(C63:U63)</f>
        <v>9072194.7500000019</v>
      </c>
    </row>
    <row r="64" spans="1:22" hidden="1" outlineLevel="1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Group")+SUMIFS(Movimientos!$K$1:$K$1033,Movimientos!$C$1:$C$1033,"CFT Group",Movimientos!$B$1:$B$1033,"&lt;="&amp;$B64)</f>
        <v>5673919.080000001</v>
      </c>
      <c r="D64" s="24">
        <f>SUMIFS('Saldos Iniciales'!$D:$D,'Saldos Iniciales'!$A:$A,"M1B")+SUMIFS(Movimientos!$K$1:$K$1033,Movimientos!$C$1:$C$1033,"M1B",Movimientos!$B$1:$B$1033,"&lt;="&amp;$B64)</f>
        <v>79139.680000000168</v>
      </c>
      <c r="E64" s="24">
        <f>SUMIFS('Saldos Iniciales'!$D:$D,'Saldos Iniciales'!$A:$A,"Durand")+SUMIFS(Movimientos!$K$1:$K$1033,Movimientos!$C$1:$C$1033,"Durand",Movimientos!$B$1:$B$1033,"&lt;="&amp;$B64)</f>
        <v>1669.89</v>
      </c>
      <c r="F64" s="24">
        <f>SUMIFS('Saldos Iniciales'!$D:$D,'Saldos Iniciales'!$A:$A,"A&amp;M Imports")+SUMIFS(Movimientos!$K$1:$K$1033,Movimientos!$C$1:$C$1033,"A&amp;M Imports",Movimientos!$B$1:$B$1033,"&lt;="&amp;$B64)</f>
        <v>181515.38999999987</v>
      </c>
      <c r="G64" s="24">
        <f>SUMIFS('Saldos Iniciales'!$D:$D,'Saldos Iniciales'!$A:$A,"SSP Capital")+SUMIFS(Movimientos!$K$1:$K$1033,Movimientos!$C$1:$C$1033,"SSP Capital",Movimientos!$B$1:$B$1033,"&lt;="&amp;$B64)</f>
        <v>1775806.9999999995</v>
      </c>
      <c r="H64" s="24">
        <f>SUMIFS('Saldos Iniciales'!$D:$D,'Saldos Iniciales'!$A:$A,"Cross Family Trust")+SUMIFS(Movimientos!$K$1:$K$1033,Movimientos!$C$1:$C$1033,"Cross Family Trust",Movimientos!$B$1:$B$1033,"&lt;="&amp;$B64)</f>
        <v>220496.38</v>
      </c>
      <c r="I64" s="24">
        <f>SUMIFS('Saldos Iniciales'!$D:$D,'Saldos Iniciales'!$A:$A,"Cross Security Trust")+SUMIFS(Movimientos!$K$1:$K$1033,Movimientos!$C$1:$C$1033,"Cross Security Trust",Movimientos!$B$1:$B$1033,"&lt;="&amp;$B64)</f>
        <v>88090.37</v>
      </c>
      <c r="J64" s="24">
        <f>SUMIFS('Saldos Iniciales'!$D:$D,'Saldos Iniciales'!$A:$A,"Electrama")+SUMIFS(Movimientos!$K$1:$K$1033,Movimientos!$C$1:$C$1033,"Electrama",Movimientos!$B$1:$B$1033,"&lt;="&amp;$B64)</f>
        <v>511.15999999999985</v>
      </c>
      <c r="K64" s="24">
        <f>SUMIFS('Saldos Iniciales'!$D:$D,'Saldos Iniciales'!$A:$A,"Sacred Valley Capital")+SUMIFS(Movimientos!$K$1:$K$1033,Movimientos!$C$1:$C$1033,"Sacred Valley Capital",Movimientos!$B$1:$B$1033,"&lt;="&amp;$B64)</f>
        <v>54.400000000000006</v>
      </c>
      <c r="L64" s="24">
        <f>SUMIFS('Saldos Iniciales'!$D:$D,'Saldos Iniciales'!$A:$A,"YWC Capital")+SUMIFS(Movimientos!$K$1:$K$1033,Movimientos!$C$1:$C$1033,"YWC Capital",Movimientos!$B$1:$B$1033,"&lt;="&amp;$B64)</f>
        <v>2207.8200000000002</v>
      </c>
      <c r="M64" s="24">
        <f>SUMIFS('Saldos Iniciales'!$D:$D,'Saldos Iniciales'!$A:$A,"Soweto")+SUMIFS(Movimientos!$K$1:$K$1033,Movimientos!$C$1:$C$1033,"Soweto",Movimientos!$B$1:$B$1033,"&lt;="&amp;$B64)</f>
        <v>3349.94</v>
      </c>
      <c r="N64" s="24">
        <f>SUMIFS('Saldos Iniciales'!$D:$D,'Saldos Iniciales'!$A:$A,"Green Stone Trust")+SUMIFS(Movimientos!$K$1:$K$1033,Movimientos!$C$1:$C$1033,"Green Stone Trust",Movimientos!$B$1:$B$1033,"&lt;="&amp;$B64)</f>
        <v>1968.99</v>
      </c>
      <c r="O64" s="24">
        <f>SUMIFS('Saldos Iniciales'!$D:$D,'Saldos Iniciales'!$A:$A,"EC Auto")+SUMIFS(Movimientos!$K$1:$K$1033,Movimientos!$C$1:$C$1033,"EC Auto",Movimientos!$B$1:$B$1033,"&lt;="&amp;$B64)</f>
        <v>382.69000000000005</v>
      </c>
      <c r="P64" s="24">
        <f>SUMIFS('Saldos Iniciales'!$D:$D,'Saldos Iniciales'!$A:$A,"Arbor Capital Properties")+SUMIFS(Movimientos!$K$1:$K$1033,Movimientos!$C$1:$C$1033,"Arbor Capital Properties",Movimientos!$B$1:$B$1033,"&lt;="&amp;$B64)</f>
        <v>1412.08</v>
      </c>
      <c r="Q64" s="24">
        <f>SUMIFS('Saldos Iniciales'!$D:$D,'Saldos Iniciales'!$A:$A,"2515 Overbrook")+SUMIFS(Movimientos!$K$1:$K$1033,Movimientos!$C$1:$C$1033,"2515 Overbrook",Movimientos!$B$1:$B$1033,"&lt;="&amp;$B64)</f>
        <v>22496.639999999959</v>
      </c>
      <c r="R64" s="24">
        <f>SUMIFS('Saldos Iniciales'!$D:$D,'Saldos Iniciales'!$A:$A,"112 Florida Ave")+SUMIFS(Movimientos!$K$1:$K$1033,Movimientos!$C$1:$C$1033,"112 Florida Ave",Movimientos!$B$1:$B$1033,"&lt;="&amp;$B64)</f>
        <v>10522.800000000003</v>
      </c>
      <c r="S64" s="24">
        <f>SUMIFS('Saldos Iniciales'!$D:$D,'Saldos Iniciales'!$A:$A,"3628 Thomas Ave")+SUMIFS(Movimientos!$K$1:$K$1033,Movimientos!$C$1:$C$1033,"3628 Thomas Ave",Movimientos!$B$1:$B$1033,"&lt;="&amp;$B64)</f>
        <v>28485.559999999998</v>
      </c>
      <c r="T64" s="24">
        <f>SUMIFS('Saldos Iniciales'!$D:$D,'Saldos Iniciales'!$A:$A,"Green Harbor Trust")+SUMIFS(Movimientos!$K$1:$K$1033,Movimientos!$C$1:$C$1033,"Green Harbor Trust",Movimientos!$B$1:$B$1033,"&lt;="&amp;$B64)</f>
        <v>345</v>
      </c>
      <c r="U64" s="24">
        <f>SUMIFS('Saldos Iniciales'!$D:$D,'Saldos Iniciales'!$A:$A,"Go Blue")+SUMIFS(Movimientos!$K$1:$K$1033,Movimientos!$C$1:$C$1033,"Go Blue",Movimientos!$B$1:$B$1033,"&lt;="&amp;$B64)</f>
        <v>36241.22</v>
      </c>
      <c r="V64" s="25">
        <f t="shared" si="14"/>
        <v>8128616.0900000017</v>
      </c>
    </row>
    <row r="65" spans="1:22" hidden="1" outlineLevel="1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Group")+SUMIFS(Movimientos!$K$1:$K$1033,Movimientos!$C$1:$C$1033,"CFT Group",Movimientos!$B$1:$B$1033,"&lt;="&amp;$B65)</f>
        <v>5673919.080000001</v>
      </c>
      <c r="D65" s="24">
        <f>SUMIFS('Saldos Iniciales'!$D:$D,'Saldos Iniciales'!$A:$A,"M1B")+SUMIFS(Movimientos!$K$1:$K$1033,Movimientos!$C$1:$C$1033,"M1B",Movimientos!$B$1:$B$1033,"&lt;="&amp;$B65)</f>
        <v>79139.680000000168</v>
      </c>
      <c r="E65" s="24">
        <f>SUMIFS('Saldos Iniciales'!$D:$D,'Saldos Iniciales'!$A:$A,"Durand")+SUMIFS(Movimientos!$K$1:$K$1033,Movimientos!$C$1:$C$1033,"Durand",Movimientos!$B$1:$B$1033,"&lt;="&amp;$B65)</f>
        <v>1669.89</v>
      </c>
      <c r="F65" s="24">
        <f>SUMIFS('Saldos Iniciales'!$D:$D,'Saldos Iniciales'!$A:$A,"A&amp;M Imports")+SUMIFS(Movimientos!$K$1:$K$1033,Movimientos!$C$1:$C$1033,"A&amp;M Imports",Movimientos!$B$1:$B$1033,"&lt;="&amp;$B65)</f>
        <v>181515.38999999987</v>
      </c>
      <c r="G65" s="24">
        <f>SUMIFS('Saldos Iniciales'!$D:$D,'Saldos Iniciales'!$A:$A,"SSP Capital")+SUMIFS(Movimientos!$K$1:$K$1033,Movimientos!$C$1:$C$1033,"SSP Capital",Movimientos!$B$1:$B$1033,"&lt;="&amp;$B65)</f>
        <v>1775806.9999999995</v>
      </c>
      <c r="H65" s="24">
        <f>SUMIFS('Saldos Iniciales'!$D:$D,'Saldos Iniciales'!$A:$A,"Cross Family Trust")+SUMIFS(Movimientos!$K$1:$K$1033,Movimientos!$C$1:$C$1033,"Cross Family Trust",Movimientos!$B$1:$B$1033,"&lt;="&amp;$B65)</f>
        <v>220496.38</v>
      </c>
      <c r="I65" s="24">
        <f>SUMIFS('Saldos Iniciales'!$D:$D,'Saldos Iniciales'!$A:$A,"Cross Security Trust")+SUMIFS(Movimientos!$K$1:$K$1033,Movimientos!$C$1:$C$1033,"Cross Security Trust",Movimientos!$B$1:$B$1033,"&lt;="&amp;$B65)</f>
        <v>88090.37</v>
      </c>
      <c r="J65" s="24">
        <f>SUMIFS('Saldos Iniciales'!$D:$D,'Saldos Iniciales'!$A:$A,"Electrama")+SUMIFS(Movimientos!$K$1:$K$1033,Movimientos!$C$1:$C$1033,"Electrama",Movimientos!$B$1:$B$1033,"&lt;="&amp;$B65)</f>
        <v>471.15999999999985</v>
      </c>
      <c r="K65" s="24">
        <f>SUMIFS('Saldos Iniciales'!$D:$D,'Saldos Iniciales'!$A:$A,"Sacred Valley Capital")+SUMIFS(Movimientos!$K$1:$K$1033,Movimientos!$C$1:$C$1033,"Sacred Valley Capital",Movimientos!$B$1:$B$1033,"&lt;="&amp;$B65)</f>
        <v>54.400000000000006</v>
      </c>
      <c r="L65" s="24">
        <f>SUMIFS('Saldos Iniciales'!$D:$D,'Saldos Iniciales'!$A:$A,"YWC Capital")+SUMIFS(Movimientos!$K$1:$K$1033,Movimientos!$C$1:$C$1033,"YWC Capital",Movimientos!$B$1:$B$1033,"&lt;="&amp;$B65)</f>
        <v>2207.8200000000002</v>
      </c>
      <c r="M65" s="24">
        <f>SUMIFS('Saldos Iniciales'!$D:$D,'Saldos Iniciales'!$A:$A,"Soweto")+SUMIFS(Movimientos!$K$1:$K$1033,Movimientos!$C$1:$C$1033,"Soweto",Movimientos!$B$1:$B$1033,"&lt;="&amp;$B65)</f>
        <v>3349.94</v>
      </c>
      <c r="N65" s="24">
        <f>SUMIFS('Saldos Iniciales'!$D:$D,'Saldos Iniciales'!$A:$A,"Green Stone Trust")+SUMIFS(Movimientos!$K$1:$K$1033,Movimientos!$C$1:$C$1033,"Green Stone Trust",Movimientos!$B$1:$B$1033,"&lt;="&amp;$B65)</f>
        <v>1968.99</v>
      </c>
      <c r="O65" s="24">
        <f>SUMIFS('Saldos Iniciales'!$D:$D,'Saldos Iniciales'!$A:$A,"EC Auto")+SUMIFS(Movimientos!$K$1:$K$1033,Movimientos!$C$1:$C$1033,"EC Auto",Movimientos!$B$1:$B$1033,"&lt;="&amp;$B65)</f>
        <v>382.69000000000005</v>
      </c>
      <c r="P65" s="24">
        <f>SUMIFS('Saldos Iniciales'!$D:$D,'Saldos Iniciales'!$A:$A,"Arbor Capital Properties")+SUMIFS(Movimientos!$K$1:$K$1033,Movimientos!$C$1:$C$1033,"Arbor Capital Properties",Movimientos!$B$1:$B$1033,"&lt;="&amp;$B65)</f>
        <v>1412.08</v>
      </c>
      <c r="Q65" s="24">
        <f>SUMIFS('Saldos Iniciales'!$D:$D,'Saldos Iniciales'!$A:$A,"2515 Overbrook")+SUMIFS(Movimientos!$K$1:$K$1033,Movimientos!$C$1:$C$1033,"2515 Overbrook",Movimientos!$B$1:$B$1033,"&lt;="&amp;$B65)</f>
        <v>22496.639999999959</v>
      </c>
      <c r="R65" s="24">
        <f>SUMIFS('Saldos Iniciales'!$D:$D,'Saldos Iniciales'!$A:$A,"112 Florida Ave")+SUMIFS(Movimientos!$K$1:$K$1033,Movimientos!$C$1:$C$1033,"112 Florida Ave",Movimientos!$B$1:$B$1033,"&lt;="&amp;$B65)</f>
        <v>10522.800000000003</v>
      </c>
      <c r="S65" s="24">
        <f>SUMIFS('Saldos Iniciales'!$D:$D,'Saldos Iniciales'!$A:$A,"3628 Thomas Ave")+SUMIFS(Movimientos!$K$1:$K$1033,Movimientos!$C$1:$C$1033,"3628 Thomas Ave",Movimientos!$B$1:$B$1033,"&lt;="&amp;$B65)</f>
        <v>28485.559999999998</v>
      </c>
      <c r="T65" s="24">
        <f>SUMIFS('Saldos Iniciales'!$D:$D,'Saldos Iniciales'!$A:$A,"Green Harbor Trust")+SUMIFS(Movimientos!$K$1:$K$1033,Movimientos!$C$1:$C$1033,"Green Harbor Trust",Movimientos!$B$1:$B$1033,"&lt;="&amp;$B65)</f>
        <v>345</v>
      </c>
      <c r="U65" s="24">
        <f>SUMIFS('Saldos Iniciales'!$D:$D,'Saldos Iniciales'!$A:$A,"Go Blue")+SUMIFS(Movimientos!$K$1:$K$1033,Movimientos!$C$1:$C$1033,"Go Blue",Movimientos!$B$1:$B$1033,"&lt;="&amp;$B65)</f>
        <v>33119.040000000001</v>
      </c>
      <c r="V65" s="25">
        <f t="shared" si="14"/>
        <v>8125453.910000002</v>
      </c>
    </row>
    <row r="66" spans="1:22" hidden="1" outlineLevel="1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Group")+SUMIFS(Movimientos!$K$1:$K$1033,Movimientos!$C$1:$C$1033,"CFT Group",Movimientos!$B$1:$B$1033,"&lt;="&amp;$B66)</f>
        <v>5673919.080000001</v>
      </c>
      <c r="D66" s="24">
        <f>SUMIFS('Saldos Iniciales'!$D:$D,'Saldos Iniciales'!$A:$A,"M1B")+SUMIFS(Movimientos!$K$1:$K$1033,Movimientos!$C$1:$C$1033,"M1B",Movimientos!$B$1:$B$1033,"&lt;="&amp;$B66)</f>
        <v>79139.680000000168</v>
      </c>
      <c r="E66" s="24">
        <f>SUMIFS('Saldos Iniciales'!$D:$D,'Saldos Iniciales'!$A:$A,"Durand")+SUMIFS(Movimientos!$K$1:$K$1033,Movimientos!$C$1:$C$1033,"Durand",Movimientos!$B$1:$B$1033,"&lt;="&amp;$B66)</f>
        <v>1669.89</v>
      </c>
      <c r="F66" s="24">
        <f>SUMIFS('Saldos Iniciales'!$D:$D,'Saldos Iniciales'!$A:$A,"A&amp;M Imports")+SUMIFS(Movimientos!$K$1:$K$1033,Movimientos!$C$1:$C$1033,"A&amp;M Imports",Movimientos!$B$1:$B$1033,"&lt;="&amp;$B66)</f>
        <v>181515.38999999987</v>
      </c>
      <c r="G66" s="24">
        <f>SUMIFS('Saldos Iniciales'!$D:$D,'Saldos Iniciales'!$A:$A,"SSP Capital")+SUMIFS(Movimientos!$K$1:$K$1033,Movimientos!$C$1:$C$1033,"SSP Capital",Movimientos!$B$1:$B$1033,"&lt;="&amp;$B66)</f>
        <v>1775806.9999999995</v>
      </c>
      <c r="H66" s="24">
        <f>SUMIFS('Saldos Iniciales'!$D:$D,'Saldos Iniciales'!$A:$A,"Cross Family Trust")+SUMIFS(Movimientos!$K$1:$K$1033,Movimientos!$C$1:$C$1033,"Cross Family Trust",Movimientos!$B$1:$B$1033,"&lt;="&amp;$B66)</f>
        <v>220496.38</v>
      </c>
      <c r="I66" s="24">
        <f>SUMIFS('Saldos Iniciales'!$D:$D,'Saldos Iniciales'!$A:$A,"Cross Security Trust")+SUMIFS(Movimientos!$K$1:$K$1033,Movimientos!$C$1:$C$1033,"Cross Security Trust",Movimientos!$B$1:$B$1033,"&lt;="&amp;$B66)</f>
        <v>88090.37</v>
      </c>
      <c r="J66" s="24">
        <f>SUMIFS('Saldos Iniciales'!$D:$D,'Saldos Iniciales'!$A:$A,"Electrama")+SUMIFS(Movimientos!$K$1:$K$1033,Movimientos!$C$1:$C$1033,"Electrama",Movimientos!$B$1:$B$1033,"&lt;="&amp;$B66)</f>
        <v>471.15999999999985</v>
      </c>
      <c r="K66" s="24">
        <f>SUMIFS('Saldos Iniciales'!$D:$D,'Saldos Iniciales'!$A:$A,"Sacred Valley Capital")+SUMIFS(Movimientos!$K$1:$K$1033,Movimientos!$C$1:$C$1033,"Sacred Valley Capital",Movimientos!$B$1:$B$1033,"&lt;="&amp;$B66)</f>
        <v>54.400000000000006</v>
      </c>
      <c r="L66" s="24">
        <f>SUMIFS('Saldos Iniciales'!$D:$D,'Saldos Iniciales'!$A:$A,"YWC Capital")+SUMIFS(Movimientos!$K$1:$K$1033,Movimientos!$C$1:$C$1033,"YWC Capital",Movimientos!$B$1:$B$1033,"&lt;="&amp;$B66)</f>
        <v>2207.8200000000002</v>
      </c>
      <c r="M66" s="24">
        <f>SUMIFS('Saldos Iniciales'!$D:$D,'Saldos Iniciales'!$A:$A,"Soweto")+SUMIFS(Movimientos!$K$1:$K$1033,Movimientos!$C$1:$C$1033,"Soweto",Movimientos!$B$1:$B$1033,"&lt;="&amp;$B66)</f>
        <v>3349.94</v>
      </c>
      <c r="N66" s="24">
        <f>SUMIFS('Saldos Iniciales'!$D:$D,'Saldos Iniciales'!$A:$A,"Green Stone Trust")+SUMIFS(Movimientos!$K$1:$K$1033,Movimientos!$C$1:$C$1033,"Green Stone Trust",Movimientos!$B$1:$B$1033,"&lt;="&amp;$B66)</f>
        <v>1968.99</v>
      </c>
      <c r="O66" s="24">
        <f>SUMIFS('Saldos Iniciales'!$D:$D,'Saldos Iniciales'!$A:$A,"EC Auto")+SUMIFS(Movimientos!$K$1:$K$1033,Movimientos!$C$1:$C$1033,"EC Auto",Movimientos!$B$1:$B$1033,"&lt;="&amp;$B66)</f>
        <v>382.69000000000005</v>
      </c>
      <c r="P66" s="24">
        <f>SUMIFS('Saldos Iniciales'!$D:$D,'Saldos Iniciales'!$A:$A,"Arbor Capital Properties")+SUMIFS(Movimientos!$K$1:$K$1033,Movimientos!$C$1:$C$1033,"Arbor Capital Properties",Movimientos!$B$1:$B$1033,"&lt;="&amp;$B66)</f>
        <v>1412.08</v>
      </c>
      <c r="Q66" s="24">
        <f>SUMIFS('Saldos Iniciales'!$D:$D,'Saldos Iniciales'!$A:$A,"2515 Overbrook")+SUMIFS(Movimientos!$K$1:$K$1033,Movimientos!$C$1:$C$1033,"2515 Overbrook",Movimientos!$B$1:$B$1033,"&lt;="&amp;$B66)</f>
        <v>22496.639999999959</v>
      </c>
      <c r="R66" s="24">
        <f>SUMIFS('Saldos Iniciales'!$D:$D,'Saldos Iniciales'!$A:$A,"112 Florida Ave")+SUMIFS(Movimientos!$K$1:$K$1033,Movimientos!$C$1:$C$1033,"112 Florida Ave",Movimientos!$B$1:$B$1033,"&lt;="&amp;$B66)</f>
        <v>10522.800000000003</v>
      </c>
      <c r="S66" s="24">
        <f>SUMIFS('Saldos Iniciales'!$D:$D,'Saldos Iniciales'!$A:$A,"3628 Thomas Ave")+SUMIFS(Movimientos!$K$1:$K$1033,Movimientos!$C$1:$C$1033,"3628 Thomas Ave",Movimientos!$B$1:$B$1033,"&lt;="&amp;$B66)</f>
        <v>28485.559999999998</v>
      </c>
      <c r="T66" s="24">
        <f>SUMIFS('Saldos Iniciales'!$D:$D,'Saldos Iniciales'!$A:$A,"Green Harbor Trust")+SUMIFS(Movimientos!$K$1:$K$1033,Movimientos!$C$1:$C$1033,"Green Harbor Trust",Movimientos!$B$1:$B$1033,"&lt;="&amp;$B66)</f>
        <v>345</v>
      </c>
      <c r="U66" s="24">
        <f>SUMIFS('Saldos Iniciales'!$D:$D,'Saldos Iniciales'!$A:$A,"Go Blue")+SUMIFS(Movimientos!$K$1:$K$1033,Movimientos!$C$1:$C$1033,"Go Blue",Movimientos!$B$1:$B$1033,"&lt;="&amp;$B66)</f>
        <v>33119.040000000001</v>
      </c>
      <c r="V66" s="25">
        <f t="shared" si="14"/>
        <v>8125453.910000002</v>
      </c>
    </row>
    <row r="67" spans="1:22" hidden="1" outlineLevel="1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Group")+SUMIFS(Movimientos!$K$1:$K$1033,Movimientos!$C$1:$C$1033,"CFT Group",Movimientos!$B$1:$B$1033,"&lt;="&amp;$B67)</f>
        <v>5673919.080000001</v>
      </c>
      <c r="D67" s="24">
        <f>SUMIFS('Saldos Iniciales'!$D:$D,'Saldos Iniciales'!$A:$A,"M1B")+SUMIFS(Movimientos!$K$1:$K$1033,Movimientos!$C$1:$C$1033,"M1B",Movimientos!$B$1:$B$1033,"&lt;="&amp;$B67)</f>
        <v>79139.680000000168</v>
      </c>
      <c r="E67" s="24">
        <f>SUMIFS('Saldos Iniciales'!$D:$D,'Saldos Iniciales'!$A:$A,"Durand")+SUMIFS(Movimientos!$K$1:$K$1033,Movimientos!$C$1:$C$1033,"Durand",Movimientos!$B$1:$B$1033,"&lt;="&amp;$B67)</f>
        <v>1669.89</v>
      </c>
      <c r="F67" s="24">
        <f>SUMIFS('Saldos Iniciales'!$D:$D,'Saldos Iniciales'!$A:$A,"A&amp;M Imports")+SUMIFS(Movimientos!$K$1:$K$1033,Movimientos!$C$1:$C$1033,"A&amp;M Imports",Movimientos!$B$1:$B$1033,"&lt;="&amp;$B67)</f>
        <v>181515.38999999987</v>
      </c>
      <c r="G67" s="24">
        <f>SUMIFS('Saldos Iniciales'!$D:$D,'Saldos Iniciales'!$A:$A,"SSP Capital")+SUMIFS(Movimientos!$K$1:$K$1033,Movimientos!$C$1:$C$1033,"SSP Capital",Movimientos!$B$1:$B$1033,"&lt;="&amp;$B67)</f>
        <v>1775806.9999999995</v>
      </c>
      <c r="H67" s="24">
        <f>SUMIFS('Saldos Iniciales'!$D:$D,'Saldos Iniciales'!$A:$A,"Cross Family Trust")+SUMIFS(Movimientos!$K$1:$K$1033,Movimientos!$C$1:$C$1033,"Cross Family Trust",Movimientos!$B$1:$B$1033,"&lt;="&amp;$B67)</f>
        <v>220496.38</v>
      </c>
      <c r="I67" s="24">
        <f>SUMIFS('Saldos Iniciales'!$D:$D,'Saldos Iniciales'!$A:$A,"Cross Security Trust")+SUMIFS(Movimientos!$K$1:$K$1033,Movimientos!$C$1:$C$1033,"Cross Security Trust",Movimientos!$B$1:$B$1033,"&lt;="&amp;$B67)</f>
        <v>88090.37</v>
      </c>
      <c r="J67" s="24">
        <f>SUMIFS('Saldos Iniciales'!$D:$D,'Saldos Iniciales'!$A:$A,"Electrama")+SUMIFS(Movimientos!$K$1:$K$1033,Movimientos!$C$1:$C$1033,"Electrama",Movimientos!$B$1:$B$1033,"&lt;="&amp;$B67)</f>
        <v>471.15999999999985</v>
      </c>
      <c r="K67" s="24">
        <f>SUMIFS('Saldos Iniciales'!$D:$D,'Saldos Iniciales'!$A:$A,"Sacred Valley Capital")+SUMIFS(Movimientos!$K$1:$K$1033,Movimientos!$C$1:$C$1033,"Sacred Valley Capital",Movimientos!$B$1:$B$1033,"&lt;="&amp;$B67)</f>
        <v>54.400000000000006</v>
      </c>
      <c r="L67" s="24">
        <f>SUMIFS('Saldos Iniciales'!$D:$D,'Saldos Iniciales'!$A:$A,"YWC Capital")+SUMIFS(Movimientos!$K$1:$K$1033,Movimientos!$C$1:$C$1033,"YWC Capital",Movimientos!$B$1:$B$1033,"&lt;="&amp;$B67)</f>
        <v>2207.8200000000002</v>
      </c>
      <c r="M67" s="24">
        <f>SUMIFS('Saldos Iniciales'!$D:$D,'Saldos Iniciales'!$A:$A,"Soweto")+SUMIFS(Movimientos!$K$1:$K$1033,Movimientos!$C$1:$C$1033,"Soweto",Movimientos!$B$1:$B$1033,"&lt;="&amp;$B67)</f>
        <v>3349.94</v>
      </c>
      <c r="N67" s="24">
        <f>SUMIFS('Saldos Iniciales'!$D:$D,'Saldos Iniciales'!$A:$A,"Green Stone Trust")+SUMIFS(Movimientos!$K$1:$K$1033,Movimientos!$C$1:$C$1033,"Green Stone Trust",Movimientos!$B$1:$B$1033,"&lt;="&amp;$B67)</f>
        <v>1968.99</v>
      </c>
      <c r="O67" s="24">
        <f>SUMIFS('Saldos Iniciales'!$D:$D,'Saldos Iniciales'!$A:$A,"EC Auto")+SUMIFS(Movimientos!$K$1:$K$1033,Movimientos!$C$1:$C$1033,"EC Auto",Movimientos!$B$1:$B$1033,"&lt;="&amp;$B67)</f>
        <v>382.69000000000005</v>
      </c>
      <c r="P67" s="24">
        <f>SUMIFS('Saldos Iniciales'!$D:$D,'Saldos Iniciales'!$A:$A,"Arbor Capital Properties")+SUMIFS(Movimientos!$K$1:$K$1033,Movimientos!$C$1:$C$1033,"Arbor Capital Properties",Movimientos!$B$1:$B$1033,"&lt;="&amp;$B67)</f>
        <v>1412.08</v>
      </c>
      <c r="Q67" s="24">
        <f>SUMIFS('Saldos Iniciales'!$D:$D,'Saldos Iniciales'!$A:$A,"2515 Overbrook")+SUMIFS(Movimientos!$K$1:$K$1033,Movimientos!$C$1:$C$1033,"2515 Overbrook",Movimientos!$B$1:$B$1033,"&lt;="&amp;$B67)</f>
        <v>22496.639999999959</v>
      </c>
      <c r="R67" s="24">
        <f>SUMIFS('Saldos Iniciales'!$D:$D,'Saldos Iniciales'!$A:$A,"112 Florida Ave")+SUMIFS(Movimientos!$K$1:$K$1033,Movimientos!$C$1:$C$1033,"112 Florida Ave",Movimientos!$B$1:$B$1033,"&lt;="&amp;$B67)</f>
        <v>10522.800000000003</v>
      </c>
      <c r="S67" s="24">
        <f>SUMIFS('Saldos Iniciales'!$D:$D,'Saldos Iniciales'!$A:$A,"3628 Thomas Ave")+SUMIFS(Movimientos!$K$1:$K$1033,Movimientos!$C$1:$C$1033,"3628 Thomas Ave",Movimientos!$B$1:$B$1033,"&lt;="&amp;$B67)</f>
        <v>28485.559999999998</v>
      </c>
      <c r="T67" s="24">
        <f>SUMIFS('Saldos Iniciales'!$D:$D,'Saldos Iniciales'!$A:$A,"Green Harbor Trust")+SUMIFS(Movimientos!$K$1:$K$1033,Movimientos!$C$1:$C$1033,"Green Harbor Trust",Movimientos!$B$1:$B$1033,"&lt;="&amp;$B67)</f>
        <v>345</v>
      </c>
      <c r="U67" s="24">
        <f>SUMIFS('Saldos Iniciales'!$D:$D,'Saldos Iniciales'!$A:$A,"Go Blue")+SUMIFS(Movimientos!$K$1:$K$1033,Movimientos!$C$1:$C$1033,"Go Blue",Movimientos!$B$1:$B$1033,"&lt;="&amp;$B67)</f>
        <v>33119.040000000001</v>
      </c>
      <c r="V67" s="25">
        <f t="shared" si="14"/>
        <v>8125453.910000002</v>
      </c>
    </row>
    <row r="68" spans="1:22" hidden="1" outlineLevel="1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Group")+SUMIFS(Movimientos!$K$1:$K$1033,Movimientos!$C$1:$C$1033,"CFT Group",Movimientos!$B$1:$B$1033,"&lt;="&amp;$B68)</f>
        <v>5673919.080000001</v>
      </c>
      <c r="D68" s="24">
        <f>SUMIFS('Saldos Iniciales'!$D:$D,'Saldos Iniciales'!$A:$A,"M1B")+SUMIFS(Movimientos!$K$1:$K$1033,Movimientos!$C$1:$C$1033,"M1B",Movimientos!$B$1:$B$1033,"&lt;="&amp;$B68)</f>
        <v>79139.680000000168</v>
      </c>
      <c r="E68" s="24">
        <f>SUMIFS('Saldos Iniciales'!$D:$D,'Saldos Iniciales'!$A:$A,"Durand")+SUMIFS(Movimientos!$K$1:$K$1033,Movimientos!$C$1:$C$1033,"Durand",Movimientos!$B$1:$B$1033,"&lt;="&amp;$B68)</f>
        <v>1669.89</v>
      </c>
      <c r="F68" s="24">
        <f>SUMIFS('Saldos Iniciales'!$D:$D,'Saldos Iniciales'!$A:$A,"A&amp;M Imports")+SUMIFS(Movimientos!$K$1:$K$1033,Movimientos!$C$1:$C$1033,"A&amp;M Imports",Movimientos!$B$1:$B$1033,"&lt;="&amp;$B68)</f>
        <v>181515.38999999987</v>
      </c>
      <c r="G68" s="24">
        <f>SUMIFS('Saldos Iniciales'!$D:$D,'Saldos Iniciales'!$A:$A,"SSP Capital")+SUMIFS(Movimientos!$K$1:$K$1033,Movimientos!$C$1:$C$1033,"SSP Capital",Movimientos!$B$1:$B$1033,"&lt;="&amp;$B68)</f>
        <v>1775268.5799999994</v>
      </c>
      <c r="H68" s="24">
        <f>SUMIFS('Saldos Iniciales'!$D:$D,'Saldos Iniciales'!$A:$A,"Cross Family Trust")+SUMIFS(Movimientos!$K$1:$K$1033,Movimientos!$C$1:$C$1033,"Cross Family Trust",Movimientos!$B$1:$B$1033,"&lt;="&amp;$B68)</f>
        <v>220496.38</v>
      </c>
      <c r="I68" s="24">
        <f>SUMIFS('Saldos Iniciales'!$D:$D,'Saldos Iniciales'!$A:$A,"Cross Security Trust")+SUMIFS(Movimientos!$K$1:$K$1033,Movimientos!$C$1:$C$1033,"Cross Security Trust",Movimientos!$B$1:$B$1033,"&lt;="&amp;$B68)</f>
        <v>88090.37</v>
      </c>
      <c r="J68" s="24">
        <f>SUMIFS('Saldos Iniciales'!$D:$D,'Saldos Iniciales'!$A:$A,"Electrama")+SUMIFS(Movimientos!$K$1:$K$1033,Movimientos!$C$1:$C$1033,"Electrama",Movimientos!$B$1:$B$1033,"&lt;="&amp;$B68)</f>
        <v>471.15999999999985</v>
      </c>
      <c r="K68" s="24">
        <f>SUMIFS('Saldos Iniciales'!$D:$D,'Saldos Iniciales'!$A:$A,"Sacred Valley Capital")+SUMIFS(Movimientos!$K$1:$K$1033,Movimientos!$C$1:$C$1033,"Sacred Valley Capital",Movimientos!$B$1:$B$1033,"&lt;="&amp;$B68)</f>
        <v>54.400000000000006</v>
      </c>
      <c r="L68" s="24">
        <f>SUMIFS('Saldos Iniciales'!$D:$D,'Saldos Iniciales'!$A:$A,"YWC Capital")+SUMIFS(Movimientos!$K$1:$K$1033,Movimientos!$C$1:$C$1033,"YWC Capital",Movimientos!$B$1:$B$1033,"&lt;="&amp;$B68)</f>
        <v>2207.8200000000002</v>
      </c>
      <c r="M68" s="24">
        <f>SUMIFS('Saldos Iniciales'!$D:$D,'Saldos Iniciales'!$A:$A,"Soweto")+SUMIFS(Movimientos!$K$1:$K$1033,Movimientos!$C$1:$C$1033,"Soweto",Movimientos!$B$1:$B$1033,"&lt;="&amp;$B68)</f>
        <v>3349.94</v>
      </c>
      <c r="N68" s="24">
        <f>SUMIFS('Saldos Iniciales'!$D:$D,'Saldos Iniciales'!$A:$A,"Green Stone Trust")+SUMIFS(Movimientos!$K$1:$K$1033,Movimientos!$C$1:$C$1033,"Green Stone Trust",Movimientos!$B$1:$B$1033,"&lt;="&amp;$B68)</f>
        <v>1968.99</v>
      </c>
      <c r="O68" s="24">
        <f>SUMIFS('Saldos Iniciales'!$D:$D,'Saldos Iniciales'!$A:$A,"EC Auto")+SUMIFS(Movimientos!$K$1:$K$1033,Movimientos!$C$1:$C$1033,"EC Auto",Movimientos!$B$1:$B$1033,"&lt;="&amp;$B68)</f>
        <v>382.69000000000005</v>
      </c>
      <c r="P68" s="24">
        <f>SUMIFS('Saldos Iniciales'!$D:$D,'Saldos Iniciales'!$A:$A,"Arbor Capital Properties")+SUMIFS(Movimientos!$K$1:$K$1033,Movimientos!$C$1:$C$1033,"Arbor Capital Properties",Movimientos!$B$1:$B$1033,"&lt;="&amp;$B68)</f>
        <v>1412.08</v>
      </c>
      <c r="Q68" s="24">
        <f>SUMIFS('Saldos Iniciales'!$D:$D,'Saldos Iniciales'!$A:$A,"2515 Overbrook")+SUMIFS(Movimientos!$K$1:$K$1033,Movimientos!$C$1:$C$1033,"2515 Overbrook",Movimientos!$B$1:$B$1033,"&lt;="&amp;$B68)</f>
        <v>22496.639999999959</v>
      </c>
      <c r="R68" s="24">
        <f>SUMIFS('Saldos Iniciales'!$D:$D,'Saldos Iniciales'!$A:$A,"112 Florida Ave")+SUMIFS(Movimientos!$K$1:$K$1033,Movimientos!$C$1:$C$1033,"112 Florida Ave",Movimientos!$B$1:$B$1033,"&lt;="&amp;$B68)</f>
        <v>10522.800000000003</v>
      </c>
      <c r="S68" s="24">
        <f>SUMIFS('Saldos Iniciales'!$D:$D,'Saldos Iniciales'!$A:$A,"3628 Thomas Ave")+SUMIFS(Movimientos!$K$1:$K$1033,Movimientos!$C$1:$C$1033,"3628 Thomas Ave",Movimientos!$B$1:$B$1033,"&lt;="&amp;$B68)</f>
        <v>28485.559999999998</v>
      </c>
      <c r="T68" s="24">
        <f>SUMIFS('Saldos Iniciales'!$D:$D,'Saldos Iniciales'!$A:$A,"Green Harbor Trust")+SUMIFS(Movimientos!$K$1:$K$1033,Movimientos!$C$1:$C$1033,"Green Harbor Trust",Movimientos!$B$1:$B$1033,"&lt;="&amp;$B68)</f>
        <v>345</v>
      </c>
      <c r="U68" s="24">
        <f>SUMIFS('Saldos Iniciales'!$D:$D,'Saldos Iniciales'!$A:$A,"Go Blue")+SUMIFS(Movimientos!$K$1:$K$1033,Movimientos!$C$1:$C$1033,"Go Blue",Movimientos!$B$1:$B$1033,"&lt;="&amp;$B68)</f>
        <v>15165.34</v>
      </c>
      <c r="V68" s="25">
        <f t="shared" ref="V68:V71" si="15">SUM(C68:U68)</f>
        <v>8106961.790000001</v>
      </c>
    </row>
    <row r="69" spans="1:22" hidden="1" outlineLevel="1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Group")+SUMIFS(Movimientos!$K$1:$K$1033,Movimientos!$C$1:$C$1033,"CFT Group",Movimientos!$B$1:$B$1033,"&lt;="&amp;$B69)</f>
        <v>5673919.080000001</v>
      </c>
      <c r="D69" s="24">
        <f>SUMIFS('Saldos Iniciales'!$D:$D,'Saldos Iniciales'!$A:$A,"M1B")+SUMIFS(Movimientos!$K$1:$K$1033,Movimientos!$C$1:$C$1033,"M1B",Movimientos!$B$1:$B$1033,"&lt;="&amp;$B69)</f>
        <v>79139.680000000168</v>
      </c>
      <c r="E69" s="24">
        <f>SUMIFS('Saldos Iniciales'!$D:$D,'Saldos Iniciales'!$A:$A,"Durand")+SUMIFS(Movimientos!$K$1:$K$1033,Movimientos!$C$1:$C$1033,"Durand",Movimientos!$B$1:$B$1033,"&lt;="&amp;$B69)</f>
        <v>1669.89</v>
      </c>
      <c r="F69" s="24">
        <f>SUMIFS('Saldos Iniciales'!$D:$D,'Saldos Iniciales'!$A:$A,"A&amp;M Imports")+SUMIFS(Movimientos!$K$1:$K$1033,Movimientos!$C$1:$C$1033,"A&amp;M Imports",Movimientos!$B$1:$B$1033,"&lt;="&amp;$B69)</f>
        <v>181515.38999999987</v>
      </c>
      <c r="G69" s="24">
        <f>SUMIFS('Saldos Iniciales'!$D:$D,'Saldos Iniciales'!$A:$A,"SSP Capital")+SUMIFS(Movimientos!$K$1:$K$1033,Movimientos!$C$1:$C$1033,"SSP Capital",Movimientos!$B$1:$B$1033,"&lt;="&amp;$B69)</f>
        <v>1775268.5799999994</v>
      </c>
      <c r="H69" s="24">
        <f>SUMIFS('Saldos Iniciales'!$D:$D,'Saldos Iniciales'!$A:$A,"Cross Family Trust")+SUMIFS(Movimientos!$K$1:$K$1033,Movimientos!$C$1:$C$1033,"Cross Family Trust",Movimientos!$B$1:$B$1033,"&lt;="&amp;$B69)</f>
        <v>220496.38</v>
      </c>
      <c r="I69" s="24">
        <f>SUMIFS('Saldos Iniciales'!$D:$D,'Saldos Iniciales'!$A:$A,"Cross Security Trust")+SUMIFS(Movimientos!$K$1:$K$1033,Movimientos!$C$1:$C$1033,"Cross Security Trust",Movimientos!$B$1:$B$1033,"&lt;="&amp;$B69)</f>
        <v>88090.37</v>
      </c>
      <c r="J69" s="24">
        <f>SUMIFS('Saldos Iniciales'!$D:$D,'Saldos Iniciales'!$A:$A,"Electrama")+SUMIFS(Movimientos!$K$1:$K$1033,Movimientos!$C$1:$C$1033,"Electrama",Movimientos!$B$1:$B$1033,"&lt;="&amp;$B69)</f>
        <v>471.15999999999985</v>
      </c>
      <c r="K69" s="24">
        <f>SUMIFS('Saldos Iniciales'!$D:$D,'Saldos Iniciales'!$A:$A,"Sacred Valley Capital")+SUMIFS(Movimientos!$K$1:$K$1033,Movimientos!$C$1:$C$1033,"Sacred Valley Capital",Movimientos!$B$1:$B$1033,"&lt;="&amp;$B69)</f>
        <v>54.400000000000006</v>
      </c>
      <c r="L69" s="24">
        <f>SUMIFS('Saldos Iniciales'!$D:$D,'Saldos Iniciales'!$A:$A,"YWC Capital")+SUMIFS(Movimientos!$K$1:$K$1033,Movimientos!$C$1:$C$1033,"YWC Capital",Movimientos!$B$1:$B$1033,"&lt;="&amp;$B69)</f>
        <v>2207.8200000000002</v>
      </c>
      <c r="M69" s="24">
        <f>SUMIFS('Saldos Iniciales'!$D:$D,'Saldos Iniciales'!$A:$A,"Soweto")+SUMIFS(Movimientos!$K$1:$K$1033,Movimientos!$C$1:$C$1033,"Soweto",Movimientos!$B$1:$B$1033,"&lt;="&amp;$B69)</f>
        <v>3349.94</v>
      </c>
      <c r="N69" s="24">
        <f>SUMIFS('Saldos Iniciales'!$D:$D,'Saldos Iniciales'!$A:$A,"Green Stone Trust")+SUMIFS(Movimientos!$K$1:$K$1033,Movimientos!$C$1:$C$1033,"Green Stone Trust",Movimientos!$B$1:$B$1033,"&lt;="&amp;$B69)</f>
        <v>1968.99</v>
      </c>
      <c r="O69" s="24">
        <f>SUMIFS('Saldos Iniciales'!$D:$D,'Saldos Iniciales'!$A:$A,"EC Auto")+SUMIFS(Movimientos!$K$1:$K$1033,Movimientos!$C$1:$C$1033,"EC Auto",Movimientos!$B$1:$B$1033,"&lt;="&amp;$B69)</f>
        <v>382.69000000000005</v>
      </c>
      <c r="P69" s="24">
        <f>SUMIFS('Saldos Iniciales'!$D:$D,'Saldos Iniciales'!$A:$A,"Arbor Capital Properties")+SUMIFS(Movimientos!$K$1:$K$1033,Movimientos!$C$1:$C$1033,"Arbor Capital Properties",Movimientos!$B$1:$B$1033,"&lt;="&amp;$B69)</f>
        <v>1412.08</v>
      </c>
      <c r="Q69" s="24">
        <f>SUMIFS('Saldos Iniciales'!$D:$D,'Saldos Iniciales'!$A:$A,"2515 Overbrook")+SUMIFS(Movimientos!$K$1:$K$1033,Movimientos!$C$1:$C$1033,"2515 Overbrook",Movimientos!$B$1:$B$1033,"&lt;="&amp;$B69)</f>
        <v>22496.639999999959</v>
      </c>
      <c r="R69" s="24">
        <f>SUMIFS('Saldos Iniciales'!$D:$D,'Saldos Iniciales'!$A:$A,"112 Florida Ave")+SUMIFS(Movimientos!$K$1:$K$1033,Movimientos!$C$1:$C$1033,"112 Florida Ave",Movimientos!$B$1:$B$1033,"&lt;="&amp;$B69)</f>
        <v>10522.800000000003</v>
      </c>
      <c r="S69" s="24">
        <f>SUMIFS('Saldos Iniciales'!$D:$D,'Saldos Iniciales'!$A:$A,"3628 Thomas Ave")+SUMIFS(Movimientos!$K$1:$K$1033,Movimientos!$C$1:$C$1033,"3628 Thomas Ave",Movimientos!$B$1:$B$1033,"&lt;="&amp;$B69)</f>
        <v>28485.559999999998</v>
      </c>
      <c r="T69" s="24">
        <f>SUMIFS('Saldos Iniciales'!$D:$D,'Saldos Iniciales'!$A:$A,"Green Harbor Trust")+SUMIFS(Movimientos!$K$1:$K$1033,Movimientos!$C$1:$C$1033,"Green Harbor Trust",Movimientos!$B$1:$B$1033,"&lt;="&amp;$B69)</f>
        <v>345</v>
      </c>
      <c r="U69" s="24">
        <f>SUMIFS('Saldos Iniciales'!$D:$D,'Saldos Iniciales'!$A:$A,"Go Blue")+SUMIFS(Movimientos!$K$1:$K$1033,Movimientos!$C$1:$C$1033,"Go Blue",Movimientos!$B$1:$B$1033,"&lt;="&amp;$B69)</f>
        <v>14498.59</v>
      </c>
      <c r="V69" s="25">
        <f t="shared" si="15"/>
        <v>8106295.040000001</v>
      </c>
    </row>
    <row r="70" spans="1:22" hidden="1" outlineLevel="1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Group")+SUMIFS(Movimientos!$K$1:$K$1033,Movimientos!$C$1:$C$1033,"CFT Group",Movimientos!$B$1:$B$1033,"&lt;="&amp;$B70)</f>
        <v>5673919.080000001</v>
      </c>
      <c r="D70" s="24">
        <f>SUMIFS('Saldos Iniciales'!$D:$D,'Saldos Iniciales'!$A:$A,"M1B")+SUMIFS(Movimientos!$K$1:$K$1033,Movimientos!$C$1:$C$1033,"M1B",Movimientos!$B$1:$B$1033,"&lt;="&amp;$B70)</f>
        <v>79139.680000000168</v>
      </c>
      <c r="E70" s="24">
        <f>SUMIFS('Saldos Iniciales'!$D:$D,'Saldos Iniciales'!$A:$A,"Durand")+SUMIFS(Movimientos!$K$1:$K$1033,Movimientos!$C$1:$C$1033,"Durand",Movimientos!$B$1:$B$1033,"&lt;="&amp;$B70)</f>
        <v>1669.89</v>
      </c>
      <c r="F70" s="24">
        <f>SUMIFS('Saldos Iniciales'!$D:$D,'Saldos Iniciales'!$A:$A,"A&amp;M Imports")+SUMIFS(Movimientos!$K$1:$K$1033,Movimientos!$C$1:$C$1033,"A&amp;M Imports",Movimientos!$B$1:$B$1033,"&lt;="&amp;$B70)</f>
        <v>181515.38999999987</v>
      </c>
      <c r="G70" s="24">
        <f>SUMIFS('Saldos Iniciales'!$D:$D,'Saldos Iniciales'!$A:$A,"SSP Capital")+SUMIFS(Movimientos!$K$1:$K$1033,Movimientos!$C$1:$C$1033,"SSP Capital",Movimientos!$B$1:$B$1033,"&lt;="&amp;$B70)</f>
        <v>1765937.9599999995</v>
      </c>
      <c r="H70" s="24">
        <f>SUMIFS('Saldos Iniciales'!$D:$D,'Saldos Iniciales'!$A:$A,"Cross Family Trust")+SUMIFS(Movimientos!$K$1:$K$1033,Movimientos!$C$1:$C$1033,"Cross Family Trust",Movimientos!$B$1:$B$1033,"&lt;="&amp;$B70)</f>
        <v>220496.38</v>
      </c>
      <c r="I70" s="24">
        <f>SUMIFS('Saldos Iniciales'!$D:$D,'Saldos Iniciales'!$A:$A,"Cross Security Trust")+SUMIFS(Movimientos!$K$1:$K$1033,Movimientos!$C$1:$C$1033,"Cross Security Trust",Movimientos!$B$1:$B$1033,"&lt;="&amp;$B70)</f>
        <v>88090.37</v>
      </c>
      <c r="J70" s="24">
        <f>SUMIFS('Saldos Iniciales'!$D:$D,'Saldos Iniciales'!$A:$A,"Electrama")+SUMIFS(Movimientos!$K$1:$K$1033,Movimientos!$C$1:$C$1033,"Electrama",Movimientos!$B$1:$B$1033,"&lt;="&amp;$B70)</f>
        <v>471.15999999999985</v>
      </c>
      <c r="K70" s="24">
        <f>SUMIFS('Saldos Iniciales'!$D:$D,'Saldos Iniciales'!$A:$A,"Sacred Valley Capital")+SUMIFS(Movimientos!$K$1:$K$1033,Movimientos!$C$1:$C$1033,"Sacred Valley Capital",Movimientos!$B$1:$B$1033,"&lt;="&amp;$B70)</f>
        <v>54.400000000000006</v>
      </c>
      <c r="L70" s="24">
        <f>SUMIFS('Saldos Iniciales'!$D:$D,'Saldos Iniciales'!$A:$A,"YWC Capital")+SUMIFS(Movimientos!$K$1:$K$1033,Movimientos!$C$1:$C$1033,"YWC Capital",Movimientos!$B$1:$B$1033,"&lt;="&amp;$B70)</f>
        <v>2207.8200000000002</v>
      </c>
      <c r="M70" s="24">
        <f>SUMIFS('Saldos Iniciales'!$D:$D,'Saldos Iniciales'!$A:$A,"Soweto")+SUMIFS(Movimientos!$K$1:$K$1033,Movimientos!$C$1:$C$1033,"Soweto",Movimientos!$B$1:$B$1033,"&lt;="&amp;$B70)</f>
        <v>3334.94</v>
      </c>
      <c r="N70" s="24">
        <f>SUMIFS('Saldos Iniciales'!$D:$D,'Saldos Iniciales'!$A:$A,"Green Stone Trust")+SUMIFS(Movimientos!$K$1:$K$1033,Movimientos!$C$1:$C$1033,"Green Stone Trust",Movimientos!$B$1:$B$1033,"&lt;="&amp;$B70)</f>
        <v>1968.99</v>
      </c>
      <c r="O70" s="24">
        <f>SUMIFS('Saldos Iniciales'!$D:$D,'Saldos Iniciales'!$A:$A,"EC Auto")+SUMIFS(Movimientos!$K$1:$K$1033,Movimientos!$C$1:$C$1033,"EC Auto",Movimientos!$B$1:$B$1033,"&lt;="&amp;$B70)</f>
        <v>382.69000000000005</v>
      </c>
      <c r="P70" s="24">
        <f>SUMIFS('Saldos Iniciales'!$D:$D,'Saldos Iniciales'!$A:$A,"Arbor Capital Properties")+SUMIFS(Movimientos!$K$1:$K$1033,Movimientos!$C$1:$C$1033,"Arbor Capital Properties",Movimientos!$B$1:$B$1033,"&lt;="&amp;$B70)</f>
        <v>1412.08</v>
      </c>
      <c r="Q70" s="24">
        <f>SUMIFS('Saldos Iniciales'!$D:$D,'Saldos Iniciales'!$A:$A,"2515 Overbrook")+SUMIFS(Movimientos!$K$1:$K$1033,Movimientos!$C$1:$C$1033,"2515 Overbrook",Movimientos!$B$1:$B$1033,"&lt;="&amp;$B70)</f>
        <v>22496.639999999959</v>
      </c>
      <c r="R70" s="24">
        <f>SUMIFS('Saldos Iniciales'!$D:$D,'Saldos Iniciales'!$A:$A,"112 Florida Ave")+SUMIFS(Movimientos!$K$1:$K$1033,Movimientos!$C$1:$C$1033,"112 Florida Ave",Movimientos!$B$1:$B$1033,"&lt;="&amp;$B70)</f>
        <v>6522.8000000000029</v>
      </c>
      <c r="S70" s="24">
        <f>SUMIFS('Saldos Iniciales'!$D:$D,'Saldos Iniciales'!$A:$A,"3628 Thomas Ave")+SUMIFS(Movimientos!$K$1:$K$1033,Movimientos!$C$1:$C$1033,"3628 Thomas Ave",Movimientos!$B$1:$B$1033,"&lt;="&amp;$B70)</f>
        <v>28485.559999999998</v>
      </c>
      <c r="T70" s="24">
        <f>SUMIFS('Saldos Iniciales'!$D:$D,'Saldos Iniciales'!$A:$A,"Green Harbor Trust")+SUMIFS(Movimientos!$K$1:$K$1033,Movimientos!$C$1:$C$1033,"Green Harbor Trust",Movimientos!$B$1:$B$1033,"&lt;="&amp;$B70)</f>
        <v>345</v>
      </c>
      <c r="U70" s="24">
        <f>SUMIFS('Saldos Iniciales'!$D:$D,'Saldos Iniciales'!$A:$A,"Go Blue")+SUMIFS(Movimientos!$K$1:$K$1033,Movimientos!$C$1:$C$1033,"Go Blue",Movimientos!$B$1:$B$1033,"&lt;="&amp;$B70)</f>
        <v>14498.59</v>
      </c>
      <c r="V70" s="25">
        <f t="shared" si="15"/>
        <v>8092949.4200000009</v>
      </c>
    </row>
    <row r="71" spans="1:22" hidden="1" outlineLevel="1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Group")+SUMIFS(Movimientos!$K$1:$K$1033,Movimientos!$C$1:$C$1033,"CFT Group",Movimientos!$B$1:$B$1033,"&lt;="&amp;$B71)</f>
        <v>4459277.4100000011</v>
      </c>
      <c r="D71" s="24">
        <f>SUMIFS('Saldos Iniciales'!$D:$D,'Saldos Iniciales'!$A:$A,"M1B")+SUMIFS(Movimientos!$K$1:$K$1033,Movimientos!$C$1:$C$1033,"M1B",Movimientos!$B$1:$B$1033,"&lt;="&amp;$B71)</f>
        <v>73157.680000000168</v>
      </c>
      <c r="E71" s="24">
        <f>SUMIFS('Saldos Iniciales'!$D:$D,'Saldos Iniciales'!$A:$A,"Durand")+SUMIFS(Movimientos!$K$1:$K$1033,Movimientos!$C$1:$C$1033,"Durand",Movimientos!$B$1:$B$1033,"&lt;="&amp;$B71)</f>
        <v>1669.89</v>
      </c>
      <c r="F71" s="24">
        <f>SUMIFS('Saldos Iniciales'!$D:$D,'Saldos Iniciales'!$A:$A,"A&amp;M Imports")+SUMIFS(Movimientos!$K$1:$K$1033,Movimientos!$C$1:$C$1033,"A&amp;M Imports",Movimientos!$B$1:$B$1033,"&lt;="&amp;$B71)</f>
        <v>121515.38999999987</v>
      </c>
      <c r="G71" s="24">
        <f>SUMIFS('Saldos Iniciales'!$D:$D,'Saldos Iniciales'!$A:$A,"SSP Capital")+SUMIFS(Movimientos!$K$1:$K$1033,Movimientos!$C$1:$C$1033,"SSP Capital",Movimientos!$B$1:$B$1033,"&lt;="&amp;$B71)</f>
        <v>2133835.0599999996</v>
      </c>
      <c r="H71" s="24">
        <f>SUMIFS('Saldos Iniciales'!$D:$D,'Saldos Iniciales'!$A:$A,"Cross Family Trust")+SUMIFS(Movimientos!$K$1:$K$1033,Movimientos!$C$1:$C$1033,"Cross Family Trust",Movimientos!$B$1:$B$1033,"&lt;="&amp;$B71)</f>
        <v>200496.38</v>
      </c>
      <c r="I71" s="24">
        <f>SUMIFS('Saldos Iniciales'!$D:$D,'Saldos Iniciales'!$A:$A,"Cross Security Trust")+SUMIFS(Movimientos!$K$1:$K$1033,Movimientos!$C$1:$C$1033,"Cross Security Trust",Movimientos!$B$1:$B$1033,"&lt;="&amp;$B71)</f>
        <v>88090.37</v>
      </c>
      <c r="J71" s="24">
        <f>SUMIFS('Saldos Iniciales'!$D:$D,'Saldos Iniciales'!$A:$A,"Electrama")+SUMIFS(Movimientos!$K$1:$K$1033,Movimientos!$C$1:$C$1033,"Electrama",Movimientos!$B$1:$B$1033,"&lt;="&amp;$B71)</f>
        <v>15130.45</v>
      </c>
      <c r="K71" s="24">
        <f>SUMIFS('Saldos Iniciales'!$D:$D,'Saldos Iniciales'!$A:$A,"Sacred Valley Capital")+SUMIFS(Movimientos!$K$1:$K$1033,Movimientos!$C$1:$C$1033,"Sacred Valley Capital",Movimientos!$B$1:$B$1033,"&lt;="&amp;$B71)</f>
        <v>54.400000000000006</v>
      </c>
      <c r="L71" s="24">
        <f>SUMIFS('Saldos Iniciales'!$D:$D,'Saldos Iniciales'!$A:$A,"YWC Capital")+SUMIFS(Movimientos!$K$1:$K$1033,Movimientos!$C$1:$C$1033,"YWC Capital",Movimientos!$B$1:$B$1033,"&lt;="&amp;$B71)</f>
        <v>2207.8200000000002</v>
      </c>
      <c r="M71" s="24">
        <f>SUMIFS('Saldos Iniciales'!$D:$D,'Saldos Iniciales'!$A:$A,"Soweto")+SUMIFS(Movimientos!$K$1:$K$1033,Movimientos!$C$1:$C$1033,"Soweto",Movimientos!$B$1:$B$1033,"&lt;="&amp;$B71)</f>
        <v>1454604.72</v>
      </c>
      <c r="N71" s="24">
        <f>SUMIFS('Saldos Iniciales'!$D:$D,'Saldos Iniciales'!$A:$A,"Green Stone Trust")+SUMIFS(Movimientos!$K$1:$K$1033,Movimientos!$C$1:$C$1033,"Green Stone Trust",Movimientos!$B$1:$B$1033,"&lt;="&amp;$B71)</f>
        <v>1968.99</v>
      </c>
      <c r="O71" s="24">
        <f>SUMIFS('Saldos Iniciales'!$D:$D,'Saldos Iniciales'!$A:$A,"EC Auto")+SUMIFS(Movimientos!$K$1:$K$1033,Movimientos!$C$1:$C$1033,"EC Auto",Movimientos!$B$1:$B$1033,"&lt;="&amp;$B71)</f>
        <v>382.69000000000005</v>
      </c>
      <c r="P71" s="24">
        <f>SUMIFS('Saldos Iniciales'!$D:$D,'Saldos Iniciales'!$A:$A,"Arbor Capital Properties")+SUMIFS(Movimientos!$K$1:$K$1033,Movimientos!$C$1:$C$1033,"Arbor Capital Properties",Movimientos!$B$1:$B$1033,"&lt;="&amp;$B71)</f>
        <v>1412.08</v>
      </c>
      <c r="Q71" s="24">
        <f>SUMIFS('Saldos Iniciales'!$D:$D,'Saldos Iniciales'!$A:$A,"2515 Overbrook")+SUMIFS(Movimientos!$K$1:$K$1033,Movimientos!$C$1:$C$1033,"2515 Overbrook",Movimientos!$B$1:$B$1033,"&lt;="&amp;$B71)</f>
        <v>22496.639999999959</v>
      </c>
      <c r="R71" s="24">
        <f>SUMIFS('Saldos Iniciales'!$D:$D,'Saldos Iniciales'!$A:$A,"112 Florida Ave")+SUMIFS(Movimientos!$K$1:$K$1033,Movimientos!$C$1:$C$1033,"112 Florida Ave",Movimientos!$B$1:$B$1033,"&lt;="&amp;$B71)</f>
        <v>6522.8000000000029</v>
      </c>
      <c r="S71" s="24">
        <f>SUMIFS('Saldos Iniciales'!$D:$D,'Saldos Iniciales'!$A:$A,"3628 Thomas Ave")+SUMIFS(Movimientos!$K$1:$K$1033,Movimientos!$C$1:$C$1033,"3628 Thomas Ave",Movimientos!$B$1:$B$1033,"&lt;="&amp;$B71)</f>
        <v>28485.559999999998</v>
      </c>
      <c r="T71" s="24">
        <f>SUMIFS('Saldos Iniciales'!$D:$D,'Saldos Iniciales'!$A:$A,"Green Harbor Trust")+SUMIFS(Movimientos!$K$1:$K$1033,Movimientos!$C$1:$C$1033,"Green Harbor Trust",Movimientos!$B$1:$B$1033,"&lt;="&amp;$B71)</f>
        <v>345</v>
      </c>
      <c r="U71" s="24">
        <f>SUMIFS('Saldos Iniciales'!$D:$D,'Saldos Iniciales'!$A:$A,"Go Blue")+SUMIFS(Movimientos!$K$1:$K$1033,Movimientos!$C$1:$C$1033,"Go Blue",Movimientos!$B$1:$B$1033,"&lt;="&amp;$B71)</f>
        <v>31900.120000000003</v>
      </c>
      <c r="V71" s="25">
        <f t="shared" si="15"/>
        <v>8643553.450000003</v>
      </c>
    </row>
    <row r="72" spans="1:22" hidden="1" outlineLevel="1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Group")+SUMIFS(Movimientos!$K$1:$K$1033,Movimientos!$C$1:$C$1033,"CFT Group",Movimientos!$B$1:$B$1033,"&lt;="&amp;$B72)</f>
        <v>4245089.080000001</v>
      </c>
      <c r="D72" s="24">
        <f>SUMIFS('Saldos Iniciales'!$D:$D,'Saldos Iniciales'!$A:$A,"M1B")+SUMIFS(Movimientos!$K$1:$K$1033,Movimientos!$C$1:$C$1033,"M1B",Movimientos!$B$1:$B$1033,"&lt;="&amp;$B72)</f>
        <v>73157.680000000168</v>
      </c>
      <c r="E72" s="24">
        <f>SUMIFS('Saldos Iniciales'!$D:$D,'Saldos Iniciales'!$A:$A,"Durand")+SUMIFS(Movimientos!$K$1:$K$1033,Movimientos!$C$1:$C$1033,"Durand",Movimientos!$B$1:$B$1033,"&lt;="&amp;$B72)</f>
        <v>1669.89</v>
      </c>
      <c r="F72" s="24">
        <f>SUMIFS('Saldos Iniciales'!$D:$D,'Saldos Iniciales'!$A:$A,"A&amp;M Imports")+SUMIFS(Movimientos!$K$1:$K$1033,Movimientos!$C$1:$C$1033,"A&amp;M Imports",Movimientos!$B$1:$B$1033,"&lt;="&amp;$B72)</f>
        <v>121181.38999999987</v>
      </c>
      <c r="G72" s="24">
        <f>SUMIFS('Saldos Iniciales'!$D:$D,'Saldos Iniciales'!$A:$A,"SSP Capital")+SUMIFS(Movimientos!$K$1:$K$1033,Movimientos!$C$1:$C$1033,"SSP Capital",Movimientos!$B$1:$B$1033,"&lt;="&amp;$B72)</f>
        <v>1935994.3899999992</v>
      </c>
      <c r="H72" s="24">
        <f>SUMIFS('Saldos Iniciales'!$D:$D,'Saldos Iniciales'!$A:$A,"Cross Family Trust")+SUMIFS(Movimientos!$K$1:$K$1033,Movimientos!$C$1:$C$1033,"Cross Family Trust",Movimientos!$B$1:$B$1033,"&lt;="&amp;$B72)</f>
        <v>200496.38</v>
      </c>
      <c r="I72" s="24">
        <f>SUMIFS('Saldos Iniciales'!$D:$D,'Saldos Iniciales'!$A:$A,"Cross Security Trust")+SUMIFS(Movimientos!$K$1:$K$1033,Movimientos!$C$1:$C$1033,"Cross Security Trust",Movimientos!$B$1:$B$1033,"&lt;="&amp;$B72)</f>
        <v>88090.37</v>
      </c>
      <c r="J72" s="24">
        <f>SUMIFS('Saldos Iniciales'!$D:$D,'Saldos Iniciales'!$A:$A,"Electrama")+SUMIFS(Movimientos!$K$1:$K$1033,Movimientos!$C$1:$C$1033,"Electrama",Movimientos!$B$1:$B$1033,"&lt;="&amp;$B72)</f>
        <v>14580.45</v>
      </c>
      <c r="K72" s="24">
        <f>SUMIFS('Saldos Iniciales'!$D:$D,'Saldos Iniciales'!$A:$A,"Sacred Valley Capital")+SUMIFS(Movimientos!$K$1:$K$1033,Movimientos!$C$1:$C$1033,"Sacred Valley Capital",Movimientos!$B$1:$B$1033,"&lt;="&amp;$B72)</f>
        <v>54.400000000000006</v>
      </c>
      <c r="L72" s="24">
        <f>SUMIFS('Saldos Iniciales'!$D:$D,'Saldos Iniciales'!$A:$A,"YWC Capital")+SUMIFS(Movimientos!$K$1:$K$1033,Movimientos!$C$1:$C$1033,"YWC Capital",Movimientos!$B$1:$B$1033,"&lt;="&amp;$B72)</f>
        <v>2207.8200000000002</v>
      </c>
      <c r="M72" s="24">
        <f>SUMIFS('Saldos Iniciales'!$D:$D,'Saldos Iniciales'!$A:$A,"Soweto")+SUMIFS(Movimientos!$K$1:$K$1033,Movimientos!$C$1:$C$1033,"Soweto",Movimientos!$B$1:$B$1033,"&lt;="&amp;$B72)</f>
        <v>1454589.72</v>
      </c>
      <c r="N72" s="24">
        <f>SUMIFS('Saldos Iniciales'!$D:$D,'Saldos Iniciales'!$A:$A,"Green Stone Trust")+SUMIFS(Movimientos!$K$1:$K$1033,Movimientos!$C$1:$C$1033,"Green Stone Trust",Movimientos!$B$1:$B$1033,"&lt;="&amp;$B72)</f>
        <v>1968.99</v>
      </c>
      <c r="O72" s="24">
        <f>SUMIFS('Saldos Iniciales'!$D:$D,'Saldos Iniciales'!$A:$A,"EC Auto")+SUMIFS(Movimientos!$K$1:$K$1033,Movimientos!$C$1:$C$1033,"EC Auto",Movimientos!$B$1:$B$1033,"&lt;="&amp;$B72)</f>
        <v>382.69000000000005</v>
      </c>
      <c r="P72" s="24">
        <f>SUMIFS('Saldos Iniciales'!$D:$D,'Saldos Iniciales'!$A:$A,"Arbor Capital Properties")+SUMIFS(Movimientos!$K$1:$K$1033,Movimientos!$C$1:$C$1033,"Arbor Capital Properties",Movimientos!$B$1:$B$1033,"&lt;="&amp;$B72)</f>
        <v>1412.08</v>
      </c>
      <c r="Q72" s="24">
        <f>SUMIFS('Saldos Iniciales'!$D:$D,'Saldos Iniciales'!$A:$A,"2515 Overbrook")+SUMIFS(Movimientos!$K$1:$K$1033,Movimientos!$C$1:$C$1033,"2515 Overbrook",Movimientos!$B$1:$B$1033,"&lt;="&amp;$B72)</f>
        <v>22496.639999999959</v>
      </c>
      <c r="R72" s="24">
        <f>SUMIFS('Saldos Iniciales'!$D:$D,'Saldos Iniciales'!$A:$A,"112 Florida Ave")+SUMIFS(Movimientos!$K$1:$K$1033,Movimientos!$C$1:$C$1033,"112 Florida Ave",Movimientos!$B$1:$B$1033,"&lt;="&amp;$B72)</f>
        <v>6522.8000000000029</v>
      </c>
      <c r="S72" s="24">
        <f>SUMIFS('Saldos Iniciales'!$D:$D,'Saldos Iniciales'!$A:$A,"3628 Thomas Ave")+SUMIFS(Movimientos!$K$1:$K$1033,Movimientos!$C$1:$C$1033,"3628 Thomas Ave",Movimientos!$B$1:$B$1033,"&lt;="&amp;$B72)</f>
        <v>28485.559999999998</v>
      </c>
      <c r="T72" s="24">
        <f>SUMIFS('Saldos Iniciales'!$D:$D,'Saldos Iniciales'!$A:$A,"Green Harbor Trust")+SUMIFS(Movimientos!$K$1:$K$1033,Movimientos!$C$1:$C$1033,"Green Harbor Trust",Movimientos!$B$1:$B$1033,"&lt;="&amp;$B72)</f>
        <v>345</v>
      </c>
      <c r="U72" s="24">
        <f>SUMIFS('Saldos Iniciales'!$D:$D,'Saldos Iniciales'!$A:$A,"Go Blue")+SUMIFS(Movimientos!$K$1:$K$1033,Movimientos!$C$1:$C$1033,"Go Blue",Movimientos!$B$1:$B$1033,"&lt;="&amp;$B72)</f>
        <v>31900.120000000003</v>
      </c>
      <c r="V72" s="25">
        <f t="shared" ref="V72:V74" si="16">SUM(C72:U72)</f>
        <v>8230625.4500000002</v>
      </c>
    </row>
    <row r="73" spans="1:22" hidden="1" outlineLevel="1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Group")+SUMIFS(Movimientos!$K$1:$K$1033,Movimientos!$C$1:$C$1033,"CFT Group",Movimientos!$B$1:$B$1033,"&lt;="&amp;$B73)</f>
        <v>4245089.080000001</v>
      </c>
      <c r="D73" s="24">
        <f>SUMIFS('Saldos Iniciales'!$D:$D,'Saldos Iniciales'!$A:$A,"M1B")+SUMIFS(Movimientos!$K$1:$K$1033,Movimientos!$C$1:$C$1033,"M1B",Movimientos!$B$1:$B$1033,"&lt;="&amp;$B73)</f>
        <v>73157.680000000168</v>
      </c>
      <c r="E73" s="24">
        <f>SUMIFS('Saldos Iniciales'!$D:$D,'Saldos Iniciales'!$A:$A,"Durand")+SUMIFS(Movimientos!$K$1:$K$1033,Movimientos!$C$1:$C$1033,"Durand",Movimientos!$B$1:$B$1033,"&lt;="&amp;$B73)</f>
        <v>1669.89</v>
      </c>
      <c r="F73" s="24">
        <f>SUMIFS('Saldos Iniciales'!$D:$D,'Saldos Iniciales'!$A:$A,"A&amp;M Imports")+SUMIFS(Movimientos!$K$1:$K$1033,Movimientos!$C$1:$C$1033,"A&amp;M Imports",Movimientos!$B$1:$B$1033,"&lt;="&amp;$B73)</f>
        <v>121181.38999999987</v>
      </c>
      <c r="G73" s="24">
        <f>SUMIFS('Saldos Iniciales'!$D:$D,'Saldos Iniciales'!$A:$A,"SSP Capital")+SUMIFS(Movimientos!$K$1:$K$1033,Movimientos!$C$1:$C$1033,"SSP Capital",Movimientos!$B$1:$B$1033,"&lt;="&amp;$B73)</f>
        <v>1935994.3899999992</v>
      </c>
      <c r="H73" s="24">
        <f>SUMIFS('Saldos Iniciales'!$D:$D,'Saldos Iniciales'!$A:$A,"Cross Family Trust")+SUMIFS(Movimientos!$K$1:$K$1033,Movimientos!$C$1:$C$1033,"Cross Family Trust",Movimientos!$B$1:$B$1033,"&lt;="&amp;$B73)</f>
        <v>200496.38</v>
      </c>
      <c r="I73" s="24">
        <f>SUMIFS('Saldos Iniciales'!$D:$D,'Saldos Iniciales'!$A:$A,"Cross Security Trust")+SUMIFS(Movimientos!$K$1:$K$1033,Movimientos!$C$1:$C$1033,"Cross Security Trust",Movimientos!$B$1:$B$1033,"&lt;="&amp;$B73)</f>
        <v>88090.37</v>
      </c>
      <c r="J73" s="24">
        <f>SUMIFS('Saldos Iniciales'!$D:$D,'Saldos Iniciales'!$A:$A,"Electrama")+SUMIFS(Movimientos!$K$1:$K$1033,Movimientos!$C$1:$C$1033,"Electrama",Movimientos!$B$1:$B$1033,"&lt;="&amp;$B73)</f>
        <v>14580.45</v>
      </c>
      <c r="K73" s="24">
        <f>SUMIFS('Saldos Iniciales'!$D:$D,'Saldos Iniciales'!$A:$A,"Sacred Valley Capital")+SUMIFS(Movimientos!$K$1:$K$1033,Movimientos!$C$1:$C$1033,"Sacred Valley Capital",Movimientos!$B$1:$B$1033,"&lt;="&amp;$B73)</f>
        <v>54.400000000000006</v>
      </c>
      <c r="L73" s="24">
        <f>SUMIFS('Saldos Iniciales'!$D:$D,'Saldos Iniciales'!$A:$A,"YWC Capital")+SUMIFS(Movimientos!$K$1:$K$1033,Movimientos!$C$1:$C$1033,"YWC Capital",Movimientos!$B$1:$B$1033,"&lt;="&amp;$B73)</f>
        <v>2207.8200000000002</v>
      </c>
      <c r="M73" s="24">
        <f>SUMIFS('Saldos Iniciales'!$D:$D,'Saldos Iniciales'!$A:$A,"Soweto")+SUMIFS(Movimientos!$K$1:$K$1033,Movimientos!$C$1:$C$1033,"Soweto",Movimientos!$B$1:$B$1033,"&lt;="&amp;$B73)</f>
        <v>1454589.72</v>
      </c>
      <c r="N73" s="24">
        <f>SUMIFS('Saldos Iniciales'!$D:$D,'Saldos Iniciales'!$A:$A,"Green Stone Trust")+SUMIFS(Movimientos!$K$1:$K$1033,Movimientos!$C$1:$C$1033,"Green Stone Trust",Movimientos!$B$1:$B$1033,"&lt;="&amp;$B73)</f>
        <v>1968.99</v>
      </c>
      <c r="O73" s="24">
        <f>SUMIFS('Saldos Iniciales'!$D:$D,'Saldos Iniciales'!$A:$A,"EC Auto")+SUMIFS(Movimientos!$K$1:$K$1033,Movimientos!$C$1:$C$1033,"EC Auto",Movimientos!$B$1:$B$1033,"&lt;="&amp;$B73)</f>
        <v>382.69000000000005</v>
      </c>
      <c r="P73" s="24">
        <f>SUMIFS('Saldos Iniciales'!$D:$D,'Saldos Iniciales'!$A:$A,"Arbor Capital Properties")+SUMIFS(Movimientos!$K$1:$K$1033,Movimientos!$C$1:$C$1033,"Arbor Capital Properties",Movimientos!$B$1:$B$1033,"&lt;="&amp;$B73)</f>
        <v>1412.08</v>
      </c>
      <c r="Q73" s="24">
        <f>SUMIFS('Saldos Iniciales'!$D:$D,'Saldos Iniciales'!$A:$A,"2515 Overbrook")+SUMIFS(Movimientos!$K$1:$K$1033,Movimientos!$C$1:$C$1033,"2515 Overbrook",Movimientos!$B$1:$B$1033,"&lt;="&amp;$B73)</f>
        <v>22496.639999999959</v>
      </c>
      <c r="R73" s="24">
        <f>SUMIFS('Saldos Iniciales'!$D:$D,'Saldos Iniciales'!$A:$A,"112 Florida Ave")+SUMIFS(Movimientos!$K$1:$K$1033,Movimientos!$C$1:$C$1033,"112 Florida Ave",Movimientos!$B$1:$B$1033,"&lt;="&amp;$B73)</f>
        <v>6522.8000000000029</v>
      </c>
      <c r="S73" s="24">
        <f>SUMIFS('Saldos Iniciales'!$D:$D,'Saldos Iniciales'!$A:$A,"3628 Thomas Ave")+SUMIFS(Movimientos!$K$1:$K$1033,Movimientos!$C$1:$C$1033,"3628 Thomas Ave",Movimientos!$B$1:$B$1033,"&lt;="&amp;$B73)</f>
        <v>28485.559999999998</v>
      </c>
      <c r="T73" s="24">
        <f>SUMIFS('Saldos Iniciales'!$D:$D,'Saldos Iniciales'!$A:$A,"Green Harbor Trust")+SUMIFS(Movimientos!$K$1:$K$1033,Movimientos!$C$1:$C$1033,"Green Harbor Trust",Movimientos!$B$1:$B$1033,"&lt;="&amp;$B73)</f>
        <v>345</v>
      </c>
      <c r="U73" s="24">
        <f>SUMIFS('Saldos Iniciales'!$D:$D,'Saldos Iniciales'!$A:$A,"Go Blue")+SUMIFS(Movimientos!$K$1:$K$1033,Movimientos!$C$1:$C$1033,"Go Blue",Movimientos!$B$1:$B$1033,"&lt;="&amp;$B73)</f>
        <v>31900.120000000003</v>
      </c>
      <c r="V73" s="25">
        <f t="shared" si="16"/>
        <v>8230625.4500000002</v>
      </c>
    </row>
    <row r="74" spans="1:22" hidden="1" outlineLevel="1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Group")+SUMIFS(Movimientos!$K$1:$K$1033,Movimientos!$C$1:$C$1033,"CFT Group",Movimientos!$B$1:$B$1033,"&lt;="&amp;$B74)</f>
        <v>4245089.080000001</v>
      </c>
      <c r="D74" s="24">
        <f>SUMIFS('Saldos Iniciales'!$D:$D,'Saldos Iniciales'!$A:$A,"M1B")+SUMIFS(Movimientos!$K$1:$K$1033,Movimientos!$C$1:$C$1033,"M1B",Movimientos!$B$1:$B$1033,"&lt;="&amp;$B74)</f>
        <v>73157.680000000168</v>
      </c>
      <c r="E74" s="24">
        <f>SUMIFS('Saldos Iniciales'!$D:$D,'Saldos Iniciales'!$A:$A,"Durand")+SUMIFS(Movimientos!$K$1:$K$1033,Movimientos!$C$1:$C$1033,"Durand",Movimientos!$B$1:$B$1033,"&lt;="&amp;$B74)</f>
        <v>1669.89</v>
      </c>
      <c r="F74" s="24">
        <f>SUMIFS('Saldos Iniciales'!$D:$D,'Saldos Iniciales'!$A:$A,"A&amp;M Imports")+SUMIFS(Movimientos!$K$1:$K$1033,Movimientos!$C$1:$C$1033,"A&amp;M Imports",Movimientos!$B$1:$B$1033,"&lt;="&amp;$B74)</f>
        <v>121181.38999999987</v>
      </c>
      <c r="G74" s="24">
        <f>SUMIFS('Saldos Iniciales'!$D:$D,'Saldos Iniciales'!$A:$A,"SSP Capital")+SUMIFS(Movimientos!$K$1:$K$1033,Movimientos!$C$1:$C$1033,"SSP Capital",Movimientos!$B$1:$B$1033,"&lt;="&amp;$B74)</f>
        <v>1935994.3899999992</v>
      </c>
      <c r="H74" s="24">
        <f>SUMIFS('Saldos Iniciales'!$D:$D,'Saldos Iniciales'!$A:$A,"Cross Family Trust")+SUMIFS(Movimientos!$K$1:$K$1033,Movimientos!$C$1:$C$1033,"Cross Family Trust",Movimientos!$B$1:$B$1033,"&lt;="&amp;$B74)</f>
        <v>200496.38</v>
      </c>
      <c r="I74" s="24">
        <f>SUMIFS('Saldos Iniciales'!$D:$D,'Saldos Iniciales'!$A:$A,"Cross Security Trust")+SUMIFS(Movimientos!$K$1:$K$1033,Movimientos!$C$1:$C$1033,"Cross Security Trust",Movimientos!$B$1:$B$1033,"&lt;="&amp;$B74)</f>
        <v>88090.37</v>
      </c>
      <c r="J74" s="24">
        <f>SUMIFS('Saldos Iniciales'!$D:$D,'Saldos Iniciales'!$A:$A,"Electrama")+SUMIFS(Movimientos!$K$1:$K$1033,Movimientos!$C$1:$C$1033,"Electrama",Movimientos!$B$1:$B$1033,"&lt;="&amp;$B74)</f>
        <v>14580.45</v>
      </c>
      <c r="K74" s="24">
        <f>SUMIFS('Saldos Iniciales'!$D:$D,'Saldos Iniciales'!$A:$A,"Sacred Valley Capital")+SUMIFS(Movimientos!$K$1:$K$1033,Movimientos!$C$1:$C$1033,"Sacred Valley Capital",Movimientos!$B$1:$B$1033,"&lt;="&amp;$B74)</f>
        <v>54.400000000000006</v>
      </c>
      <c r="L74" s="24">
        <f>SUMIFS('Saldos Iniciales'!$D:$D,'Saldos Iniciales'!$A:$A,"YWC Capital")+SUMIFS(Movimientos!$K$1:$K$1033,Movimientos!$C$1:$C$1033,"YWC Capital",Movimientos!$B$1:$B$1033,"&lt;="&amp;$B74)</f>
        <v>2207.8200000000002</v>
      </c>
      <c r="M74" s="24">
        <f>SUMIFS('Saldos Iniciales'!$D:$D,'Saldos Iniciales'!$A:$A,"Soweto")+SUMIFS(Movimientos!$K$1:$K$1033,Movimientos!$C$1:$C$1033,"Soweto",Movimientos!$B$1:$B$1033,"&lt;="&amp;$B74)</f>
        <v>1454589.72</v>
      </c>
      <c r="N74" s="24">
        <f>SUMIFS('Saldos Iniciales'!$D:$D,'Saldos Iniciales'!$A:$A,"Green Stone Trust")+SUMIFS(Movimientos!$K$1:$K$1033,Movimientos!$C$1:$C$1033,"Green Stone Trust",Movimientos!$B$1:$B$1033,"&lt;="&amp;$B74)</f>
        <v>1968.99</v>
      </c>
      <c r="O74" s="24">
        <f>SUMIFS('Saldos Iniciales'!$D:$D,'Saldos Iniciales'!$A:$A,"EC Auto")+SUMIFS(Movimientos!$K$1:$K$1033,Movimientos!$C$1:$C$1033,"EC Auto",Movimientos!$B$1:$B$1033,"&lt;="&amp;$B74)</f>
        <v>382.69000000000005</v>
      </c>
      <c r="P74" s="24">
        <f>SUMIFS('Saldos Iniciales'!$D:$D,'Saldos Iniciales'!$A:$A,"Arbor Capital Properties")+SUMIFS(Movimientos!$K$1:$K$1033,Movimientos!$C$1:$C$1033,"Arbor Capital Properties",Movimientos!$B$1:$B$1033,"&lt;="&amp;$B74)</f>
        <v>1412.08</v>
      </c>
      <c r="Q74" s="24">
        <f>SUMIFS('Saldos Iniciales'!$D:$D,'Saldos Iniciales'!$A:$A,"2515 Overbrook")+SUMIFS(Movimientos!$K$1:$K$1033,Movimientos!$C$1:$C$1033,"2515 Overbrook",Movimientos!$B$1:$B$1033,"&lt;="&amp;$B74)</f>
        <v>22496.639999999959</v>
      </c>
      <c r="R74" s="24">
        <f>SUMIFS('Saldos Iniciales'!$D:$D,'Saldos Iniciales'!$A:$A,"112 Florida Ave")+SUMIFS(Movimientos!$K$1:$K$1033,Movimientos!$C$1:$C$1033,"112 Florida Ave",Movimientos!$B$1:$B$1033,"&lt;="&amp;$B74)</f>
        <v>6522.8000000000029</v>
      </c>
      <c r="S74" s="24">
        <f>SUMIFS('Saldos Iniciales'!$D:$D,'Saldos Iniciales'!$A:$A,"3628 Thomas Ave")+SUMIFS(Movimientos!$K$1:$K$1033,Movimientos!$C$1:$C$1033,"3628 Thomas Ave",Movimientos!$B$1:$B$1033,"&lt;="&amp;$B74)</f>
        <v>28485.559999999998</v>
      </c>
      <c r="T74" s="24">
        <f>SUMIFS('Saldos Iniciales'!$D:$D,'Saldos Iniciales'!$A:$A,"Green Harbor Trust")+SUMIFS(Movimientos!$K$1:$K$1033,Movimientos!$C$1:$C$1033,"Green Harbor Trust",Movimientos!$B$1:$B$1033,"&lt;="&amp;$B74)</f>
        <v>345</v>
      </c>
      <c r="U74" s="24">
        <f>SUMIFS('Saldos Iniciales'!$D:$D,'Saldos Iniciales'!$A:$A,"Go Blue")+SUMIFS(Movimientos!$K$1:$K$1033,Movimientos!$C$1:$C$1033,"Go Blue",Movimientos!$B$1:$B$1033,"&lt;="&amp;$B74)</f>
        <v>31900.120000000003</v>
      </c>
      <c r="V74" s="25">
        <f t="shared" si="16"/>
        <v>8230625.4500000002</v>
      </c>
    </row>
    <row r="75" spans="1:22" hidden="1" outlineLevel="1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Group")+SUMIFS(Movimientos!$K$1:$K$1033,Movimientos!$C$1:$C$1033,"CFT Group",Movimientos!$B$1:$B$1033,"&lt;="&amp;$B75)</f>
        <v>4245089.080000001</v>
      </c>
      <c r="D75" s="24">
        <f>SUMIFS('Saldos Iniciales'!$D:$D,'Saldos Iniciales'!$A:$A,"M1B")+SUMIFS(Movimientos!$K$1:$K$1033,Movimientos!$C$1:$C$1033,"M1B",Movimientos!$B$1:$B$1033,"&lt;="&amp;$B75)</f>
        <v>73157.680000000168</v>
      </c>
      <c r="E75" s="24">
        <f>SUMIFS('Saldos Iniciales'!$D:$D,'Saldos Iniciales'!$A:$A,"Durand")+SUMIFS(Movimientos!$K$1:$K$1033,Movimientos!$C$1:$C$1033,"Durand",Movimientos!$B$1:$B$1033,"&lt;="&amp;$B75)</f>
        <v>1669.89</v>
      </c>
      <c r="F75" s="24">
        <f>SUMIFS('Saldos Iniciales'!$D:$D,'Saldos Iniciales'!$A:$A,"A&amp;M Imports")+SUMIFS(Movimientos!$K$1:$K$1033,Movimientos!$C$1:$C$1033,"A&amp;M Imports",Movimientos!$B$1:$B$1033,"&lt;="&amp;$B75)</f>
        <v>121181.38999999987</v>
      </c>
      <c r="G75" s="24">
        <f>SUMIFS('Saldos Iniciales'!$D:$D,'Saldos Iniciales'!$A:$A,"SSP Capital")+SUMIFS(Movimientos!$K$1:$K$1033,Movimientos!$C$1:$C$1033,"SSP Capital",Movimientos!$B$1:$B$1033,"&lt;="&amp;$B75)</f>
        <v>1935994.3899999992</v>
      </c>
      <c r="H75" s="24">
        <f>SUMIFS('Saldos Iniciales'!$D:$D,'Saldos Iniciales'!$A:$A,"Cross Family Trust")+SUMIFS(Movimientos!$K$1:$K$1033,Movimientos!$C$1:$C$1033,"Cross Family Trust",Movimientos!$B$1:$B$1033,"&lt;="&amp;$B75)</f>
        <v>200496.38</v>
      </c>
      <c r="I75" s="24">
        <f>SUMIFS('Saldos Iniciales'!$D:$D,'Saldos Iniciales'!$A:$A,"Cross Security Trust")+SUMIFS(Movimientos!$K$1:$K$1033,Movimientos!$C$1:$C$1033,"Cross Security Trust",Movimientos!$B$1:$B$1033,"&lt;="&amp;$B75)</f>
        <v>88090.37</v>
      </c>
      <c r="J75" s="24">
        <f>SUMIFS('Saldos Iniciales'!$D:$D,'Saldos Iniciales'!$A:$A,"Electrama")+SUMIFS(Movimientos!$K$1:$K$1033,Movimientos!$C$1:$C$1033,"Electrama",Movimientos!$B$1:$B$1033,"&lt;="&amp;$B75)</f>
        <v>14580.45</v>
      </c>
      <c r="K75" s="24">
        <f>SUMIFS('Saldos Iniciales'!$D:$D,'Saldos Iniciales'!$A:$A,"Sacred Valley Capital")+SUMIFS(Movimientos!$K$1:$K$1033,Movimientos!$C$1:$C$1033,"Sacred Valley Capital",Movimientos!$B$1:$B$1033,"&lt;="&amp;$B75)</f>
        <v>54.400000000000006</v>
      </c>
      <c r="L75" s="24">
        <f>SUMIFS('Saldos Iniciales'!$D:$D,'Saldos Iniciales'!$A:$A,"YWC Capital")+SUMIFS(Movimientos!$K$1:$K$1033,Movimientos!$C$1:$C$1033,"YWC Capital",Movimientos!$B$1:$B$1033,"&lt;="&amp;$B75)</f>
        <v>2207.8200000000002</v>
      </c>
      <c r="M75" s="24">
        <f>SUMIFS('Saldos Iniciales'!$D:$D,'Saldos Iniciales'!$A:$A,"Soweto")+SUMIFS(Movimientos!$K$1:$K$1033,Movimientos!$C$1:$C$1033,"Soweto",Movimientos!$B$1:$B$1033,"&lt;="&amp;$B75)</f>
        <v>1454589.72</v>
      </c>
      <c r="N75" s="24">
        <f>SUMIFS('Saldos Iniciales'!$D:$D,'Saldos Iniciales'!$A:$A,"Green Stone Trust")+SUMIFS(Movimientos!$K$1:$K$1033,Movimientos!$C$1:$C$1033,"Green Stone Trust",Movimientos!$B$1:$B$1033,"&lt;="&amp;$B75)</f>
        <v>1968.99</v>
      </c>
      <c r="O75" s="24">
        <f>SUMIFS('Saldos Iniciales'!$D:$D,'Saldos Iniciales'!$A:$A,"EC Auto")+SUMIFS(Movimientos!$K$1:$K$1033,Movimientos!$C$1:$C$1033,"EC Auto",Movimientos!$B$1:$B$1033,"&lt;="&amp;$B75)</f>
        <v>901.34</v>
      </c>
      <c r="P75" s="24">
        <f>SUMIFS('Saldos Iniciales'!$D:$D,'Saldos Iniciales'!$A:$A,"Arbor Capital Properties")+SUMIFS(Movimientos!$K$1:$K$1033,Movimientos!$C$1:$C$1033,"Arbor Capital Properties",Movimientos!$B$1:$B$1033,"&lt;="&amp;$B75)</f>
        <v>1412.08</v>
      </c>
      <c r="Q75" s="24">
        <f>SUMIFS('Saldos Iniciales'!$D:$D,'Saldos Iniciales'!$A:$A,"2515 Overbrook")+SUMIFS(Movimientos!$K$1:$K$1033,Movimientos!$C$1:$C$1033,"2515 Overbrook",Movimientos!$B$1:$B$1033,"&lt;="&amp;$B75)</f>
        <v>22496.639999999959</v>
      </c>
      <c r="R75" s="24">
        <f>SUMIFS('Saldos Iniciales'!$D:$D,'Saldos Iniciales'!$A:$A,"112 Florida Ave")+SUMIFS(Movimientos!$K$1:$K$1033,Movimientos!$C$1:$C$1033,"112 Florida Ave",Movimientos!$B$1:$B$1033,"&lt;="&amp;$B75)</f>
        <v>6522.8000000000029</v>
      </c>
      <c r="S75" s="24">
        <f>SUMIFS('Saldos Iniciales'!$D:$D,'Saldos Iniciales'!$A:$A,"3628 Thomas Ave")+SUMIFS(Movimientos!$K$1:$K$1033,Movimientos!$C$1:$C$1033,"3628 Thomas Ave",Movimientos!$B$1:$B$1033,"&lt;="&amp;$B75)</f>
        <v>28485.559999999998</v>
      </c>
      <c r="T75" s="24">
        <f>SUMIFS('Saldos Iniciales'!$D:$D,'Saldos Iniciales'!$A:$A,"Green Harbor Trust")+SUMIFS(Movimientos!$K$1:$K$1033,Movimientos!$C$1:$C$1033,"Green Harbor Trust",Movimientos!$B$1:$B$1033,"&lt;="&amp;$B75)</f>
        <v>345</v>
      </c>
      <c r="U75" s="24">
        <f>SUMIFS('Saldos Iniciales'!$D:$D,'Saldos Iniciales'!$A:$A,"Go Blue")+SUMIFS(Movimientos!$K$1:$K$1033,Movimientos!$C$1:$C$1033,"Go Blue",Movimientos!$B$1:$B$1033,"&lt;="&amp;$B75)</f>
        <v>25198.240000000002</v>
      </c>
      <c r="V75" s="25">
        <f t="shared" ref="V75:V77" si="17">SUM(C75:U75)</f>
        <v>8224442.2199999997</v>
      </c>
    </row>
    <row r="76" spans="1:22" hidden="1" outlineLevel="1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Group")+SUMIFS(Movimientos!$K$1:$K$1033,Movimientos!$C$1:$C$1033,"CFT Group",Movimientos!$B$1:$B$1033,"&lt;="&amp;$B76)</f>
        <v>3445089.0800000005</v>
      </c>
      <c r="D76" s="24">
        <f>SUMIFS('Saldos Iniciales'!$D:$D,'Saldos Iniciales'!$A:$A,"M1B")+SUMIFS(Movimientos!$K$1:$K$1033,Movimientos!$C$1:$C$1033,"M1B",Movimientos!$B$1:$B$1033,"&lt;="&amp;$B76)</f>
        <v>73157.680000000168</v>
      </c>
      <c r="E76" s="24">
        <f>SUMIFS('Saldos Iniciales'!$D:$D,'Saldos Iniciales'!$A:$A,"Durand")+SUMIFS(Movimientos!$K$1:$K$1033,Movimientos!$C$1:$C$1033,"Durand",Movimientos!$B$1:$B$1033,"&lt;="&amp;$B76)</f>
        <v>1669.89</v>
      </c>
      <c r="F76" s="24">
        <f>SUMIFS('Saldos Iniciales'!$D:$D,'Saldos Iniciales'!$A:$A,"A&amp;M Imports")+SUMIFS(Movimientos!$K$1:$K$1033,Movimientos!$C$1:$C$1033,"A&amp;M Imports",Movimientos!$B$1:$B$1033,"&lt;="&amp;$B76)</f>
        <v>921181.38999999978</v>
      </c>
      <c r="G76" s="24">
        <f>SUMIFS('Saldos Iniciales'!$D:$D,'Saldos Iniciales'!$A:$A,"SSP Capital")+SUMIFS(Movimientos!$K$1:$K$1033,Movimientos!$C$1:$C$1033,"SSP Capital",Movimientos!$B$1:$B$1033,"&lt;="&amp;$B76)</f>
        <v>1870785.0099999993</v>
      </c>
      <c r="H76" s="24">
        <f>SUMIFS('Saldos Iniciales'!$D:$D,'Saldos Iniciales'!$A:$A,"Cross Family Trust")+SUMIFS(Movimientos!$K$1:$K$1033,Movimientos!$C$1:$C$1033,"Cross Family Trust",Movimientos!$B$1:$B$1033,"&lt;="&amp;$B76)</f>
        <v>200496.38</v>
      </c>
      <c r="I76" s="24">
        <f>SUMIFS('Saldos Iniciales'!$D:$D,'Saldos Iniciales'!$A:$A,"Cross Security Trust")+SUMIFS(Movimientos!$K$1:$K$1033,Movimientos!$C$1:$C$1033,"Cross Security Trust",Movimientos!$B$1:$B$1033,"&lt;="&amp;$B76)</f>
        <v>88090.37</v>
      </c>
      <c r="J76" s="24">
        <f>SUMIFS('Saldos Iniciales'!$D:$D,'Saldos Iniciales'!$A:$A,"Electrama")+SUMIFS(Movimientos!$K$1:$K$1033,Movimientos!$C$1:$C$1033,"Electrama",Movimientos!$B$1:$B$1033,"&lt;="&amp;$B76)</f>
        <v>14580.45</v>
      </c>
      <c r="K76" s="24">
        <f>SUMIFS('Saldos Iniciales'!$D:$D,'Saldos Iniciales'!$A:$A,"Sacred Valley Capital")+SUMIFS(Movimientos!$K$1:$K$1033,Movimientos!$C$1:$C$1033,"Sacred Valley Capital",Movimientos!$B$1:$B$1033,"&lt;="&amp;$B76)</f>
        <v>54.400000000000006</v>
      </c>
      <c r="L76" s="24">
        <f>SUMIFS('Saldos Iniciales'!$D:$D,'Saldos Iniciales'!$A:$A,"YWC Capital")+SUMIFS(Movimientos!$K$1:$K$1033,Movimientos!$C$1:$C$1033,"YWC Capital",Movimientos!$B$1:$B$1033,"&lt;="&amp;$B76)</f>
        <v>2207.8200000000002</v>
      </c>
      <c r="M76" s="24">
        <f>SUMIFS('Saldos Iniciales'!$D:$D,'Saldos Iniciales'!$A:$A,"Soweto")+SUMIFS(Movimientos!$K$1:$K$1033,Movimientos!$C$1:$C$1033,"Soweto",Movimientos!$B$1:$B$1033,"&lt;="&amp;$B76)</f>
        <v>1454589.72</v>
      </c>
      <c r="N76" s="24">
        <f>SUMIFS('Saldos Iniciales'!$D:$D,'Saldos Iniciales'!$A:$A,"Green Stone Trust")+SUMIFS(Movimientos!$K$1:$K$1033,Movimientos!$C$1:$C$1033,"Green Stone Trust",Movimientos!$B$1:$B$1033,"&lt;="&amp;$B76)</f>
        <v>1968.99</v>
      </c>
      <c r="O76" s="24">
        <f>SUMIFS('Saldos Iniciales'!$D:$D,'Saldos Iniciales'!$A:$A,"EC Auto")+SUMIFS(Movimientos!$K$1:$K$1033,Movimientos!$C$1:$C$1033,"EC Auto",Movimientos!$B$1:$B$1033,"&lt;="&amp;$B76)</f>
        <v>901.34</v>
      </c>
      <c r="P76" s="24">
        <f>SUMIFS('Saldos Iniciales'!$D:$D,'Saldos Iniciales'!$A:$A,"Arbor Capital Properties")+SUMIFS(Movimientos!$K$1:$K$1033,Movimientos!$C$1:$C$1033,"Arbor Capital Properties",Movimientos!$B$1:$B$1033,"&lt;="&amp;$B76)</f>
        <v>1412.08</v>
      </c>
      <c r="Q76" s="24">
        <f>SUMIFS('Saldos Iniciales'!$D:$D,'Saldos Iniciales'!$A:$A,"2515 Overbrook")+SUMIFS(Movimientos!$K$1:$K$1033,Movimientos!$C$1:$C$1033,"2515 Overbrook",Movimientos!$B$1:$B$1033,"&lt;="&amp;$B76)</f>
        <v>22347.56999999996</v>
      </c>
      <c r="R76" s="24">
        <f>SUMIFS('Saldos Iniciales'!$D:$D,'Saldos Iniciales'!$A:$A,"112 Florida Ave")+SUMIFS(Movimientos!$K$1:$K$1033,Movimientos!$C$1:$C$1033,"112 Florida Ave",Movimientos!$B$1:$B$1033,"&lt;="&amp;$B76)</f>
        <v>6522.8000000000029</v>
      </c>
      <c r="S76" s="24">
        <f>SUMIFS('Saldos Iniciales'!$D:$D,'Saldos Iniciales'!$A:$A,"3628 Thomas Ave")+SUMIFS(Movimientos!$K$1:$K$1033,Movimientos!$C$1:$C$1033,"3628 Thomas Ave",Movimientos!$B$1:$B$1033,"&lt;="&amp;$B76)</f>
        <v>28485.559999999998</v>
      </c>
      <c r="T76" s="24">
        <f>SUMIFS('Saldos Iniciales'!$D:$D,'Saldos Iniciales'!$A:$A,"Green Harbor Trust")+SUMIFS(Movimientos!$K$1:$K$1033,Movimientos!$C$1:$C$1033,"Green Harbor Trust",Movimientos!$B$1:$B$1033,"&lt;="&amp;$B76)</f>
        <v>345</v>
      </c>
      <c r="U76" s="24">
        <f>SUMIFS('Saldos Iniciales'!$D:$D,'Saldos Iniciales'!$A:$A,"Go Blue")+SUMIFS(Movimientos!$K$1:$K$1033,Movimientos!$C$1:$C$1033,"Go Blue",Movimientos!$B$1:$B$1033,"&lt;="&amp;$B76)</f>
        <v>25198.240000000002</v>
      </c>
      <c r="V76" s="25">
        <f t="shared" si="17"/>
        <v>8159083.7700000014</v>
      </c>
    </row>
    <row r="77" spans="1:22" hidden="1" outlineLevel="1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Group")+SUMIFS(Movimientos!$K$1:$K$1033,Movimientos!$C$1:$C$1033,"CFT Group",Movimientos!$B$1:$B$1033,"&lt;="&amp;$B77)</f>
        <v>3445089.0800000005</v>
      </c>
      <c r="D77" s="24">
        <f>SUMIFS('Saldos Iniciales'!$D:$D,'Saldos Iniciales'!$A:$A,"M1B")+SUMIFS(Movimientos!$K$1:$K$1033,Movimientos!$C$1:$C$1033,"M1B",Movimientos!$B$1:$B$1033,"&lt;="&amp;$B77)</f>
        <v>73157.680000000168</v>
      </c>
      <c r="E77" s="24">
        <f>SUMIFS('Saldos Iniciales'!$D:$D,'Saldos Iniciales'!$A:$A,"Durand")+SUMIFS(Movimientos!$K$1:$K$1033,Movimientos!$C$1:$C$1033,"Durand",Movimientos!$B$1:$B$1033,"&lt;="&amp;$B77)</f>
        <v>1669.89</v>
      </c>
      <c r="F77" s="24">
        <f>SUMIFS('Saldos Iniciales'!$D:$D,'Saldos Iniciales'!$A:$A,"A&amp;M Imports")+SUMIFS(Movimientos!$K$1:$K$1033,Movimientos!$C$1:$C$1033,"A&amp;M Imports",Movimientos!$B$1:$B$1033,"&lt;="&amp;$B77)</f>
        <v>920844.50999999978</v>
      </c>
      <c r="G77" s="24">
        <f>SUMIFS('Saldos Iniciales'!$D:$D,'Saldos Iniciales'!$A:$A,"SSP Capital")+SUMIFS(Movimientos!$K$1:$K$1033,Movimientos!$C$1:$C$1033,"SSP Capital",Movimientos!$B$1:$B$1033,"&lt;="&amp;$B77)</f>
        <v>1870755.5699999994</v>
      </c>
      <c r="H77" s="24">
        <f>SUMIFS('Saldos Iniciales'!$D:$D,'Saldos Iniciales'!$A:$A,"Cross Family Trust")+SUMIFS(Movimientos!$K$1:$K$1033,Movimientos!$C$1:$C$1033,"Cross Family Trust",Movimientos!$B$1:$B$1033,"&lt;="&amp;$B77)</f>
        <v>200496.38</v>
      </c>
      <c r="I77" s="24">
        <f>SUMIFS('Saldos Iniciales'!$D:$D,'Saldos Iniciales'!$A:$A,"Cross Security Trust")+SUMIFS(Movimientos!$K$1:$K$1033,Movimientos!$C$1:$C$1033,"Cross Security Trust",Movimientos!$B$1:$B$1033,"&lt;="&amp;$B77)</f>
        <v>88090.37</v>
      </c>
      <c r="J77" s="24">
        <f>SUMIFS('Saldos Iniciales'!$D:$D,'Saldos Iniciales'!$A:$A,"Electrama")+SUMIFS(Movimientos!$K$1:$K$1033,Movimientos!$C$1:$C$1033,"Electrama",Movimientos!$B$1:$B$1033,"&lt;="&amp;$B77)</f>
        <v>14580.45</v>
      </c>
      <c r="K77" s="24">
        <f>SUMIFS('Saldos Iniciales'!$D:$D,'Saldos Iniciales'!$A:$A,"Sacred Valley Capital")+SUMIFS(Movimientos!$K$1:$K$1033,Movimientos!$C$1:$C$1033,"Sacred Valley Capital",Movimientos!$B$1:$B$1033,"&lt;="&amp;$B77)</f>
        <v>54.400000000000006</v>
      </c>
      <c r="L77" s="24">
        <f>SUMIFS('Saldos Iniciales'!$D:$D,'Saldos Iniciales'!$A:$A,"YWC Capital")+SUMIFS(Movimientos!$K$1:$K$1033,Movimientos!$C$1:$C$1033,"YWC Capital",Movimientos!$B$1:$B$1033,"&lt;="&amp;$B77)</f>
        <v>2207.8200000000002</v>
      </c>
      <c r="M77" s="24">
        <f>SUMIFS('Saldos Iniciales'!$D:$D,'Saldos Iniciales'!$A:$A,"Soweto")+SUMIFS(Movimientos!$K$1:$K$1033,Movimientos!$C$1:$C$1033,"Soweto",Movimientos!$B$1:$B$1033,"&lt;="&amp;$B77)</f>
        <v>1454589.72</v>
      </c>
      <c r="N77" s="24">
        <f>SUMIFS('Saldos Iniciales'!$D:$D,'Saldos Iniciales'!$A:$A,"Green Stone Trust")+SUMIFS(Movimientos!$K$1:$K$1033,Movimientos!$C$1:$C$1033,"Green Stone Trust",Movimientos!$B$1:$B$1033,"&lt;="&amp;$B77)</f>
        <v>1968.99</v>
      </c>
      <c r="O77" s="24">
        <f>SUMIFS('Saldos Iniciales'!$D:$D,'Saldos Iniciales'!$A:$A,"EC Auto")+SUMIFS(Movimientos!$K$1:$K$1033,Movimientos!$C$1:$C$1033,"EC Auto",Movimientos!$B$1:$B$1033,"&lt;="&amp;$B77)</f>
        <v>901.34</v>
      </c>
      <c r="P77" s="24">
        <f>SUMIFS('Saldos Iniciales'!$D:$D,'Saldos Iniciales'!$A:$A,"Arbor Capital Properties")+SUMIFS(Movimientos!$K$1:$K$1033,Movimientos!$C$1:$C$1033,"Arbor Capital Properties",Movimientos!$B$1:$B$1033,"&lt;="&amp;$B77)</f>
        <v>1412.08</v>
      </c>
      <c r="Q77" s="24">
        <f>SUMIFS('Saldos Iniciales'!$D:$D,'Saldos Iniciales'!$A:$A,"2515 Overbrook")+SUMIFS(Movimientos!$K$1:$K$1033,Movimientos!$C$1:$C$1033,"2515 Overbrook",Movimientos!$B$1:$B$1033,"&lt;="&amp;$B77)</f>
        <v>22347.56999999996</v>
      </c>
      <c r="R77" s="24">
        <f>SUMIFS('Saldos Iniciales'!$D:$D,'Saldos Iniciales'!$A:$A,"112 Florida Ave")+SUMIFS(Movimientos!$K$1:$K$1033,Movimientos!$C$1:$C$1033,"112 Florida Ave",Movimientos!$B$1:$B$1033,"&lt;="&amp;$B77)</f>
        <v>6522.8000000000029</v>
      </c>
      <c r="S77" s="24">
        <f>SUMIFS('Saldos Iniciales'!$D:$D,'Saldos Iniciales'!$A:$A,"3628 Thomas Ave")+SUMIFS(Movimientos!$K$1:$K$1033,Movimientos!$C$1:$C$1033,"3628 Thomas Ave",Movimientos!$B$1:$B$1033,"&lt;="&amp;$B77)</f>
        <v>28485.559999999998</v>
      </c>
      <c r="T77" s="24">
        <f>SUMIFS('Saldos Iniciales'!$D:$D,'Saldos Iniciales'!$A:$A,"Green Harbor Trust")+SUMIFS(Movimientos!$K$1:$K$1033,Movimientos!$C$1:$C$1033,"Green Harbor Trust",Movimientos!$B$1:$B$1033,"&lt;="&amp;$B77)</f>
        <v>345</v>
      </c>
      <c r="U77" s="24">
        <f>SUMIFS('Saldos Iniciales'!$D:$D,'Saldos Iniciales'!$A:$A,"Go Blue")+SUMIFS(Movimientos!$K$1:$K$1033,Movimientos!$C$1:$C$1033,"Go Blue",Movimientos!$B$1:$B$1033,"&lt;="&amp;$B77)</f>
        <v>25023.24</v>
      </c>
      <c r="V77" s="25">
        <f t="shared" si="17"/>
        <v>8158542.4500000002</v>
      </c>
    </row>
    <row r="78" spans="1:22" hidden="1" outlineLevel="1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Group")+SUMIFS(Movimientos!$K$1:$K$1033,Movimientos!$C$1:$C$1033,"CFT Group",Movimientos!$B$1:$B$1033,"&lt;="&amp;$B78)</f>
        <v>3191672.4000000008</v>
      </c>
      <c r="D78" s="24">
        <f>SUMIFS('Saldos Iniciales'!$D:$D,'Saldos Iniciales'!$A:$A,"M1B")+SUMIFS(Movimientos!$K$1:$K$1033,Movimientos!$C$1:$C$1033,"M1B",Movimientos!$B$1:$B$1033,"&lt;="&amp;$B78)</f>
        <v>73157.680000000168</v>
      </c>
      <c r="E78" s="24">
        <f>SUMIFS('Saldos Iniciales'!$D:$D,'Saldos Iniciales'!$A:$A,"Durand")+SUMIFS(Movimientos!$K$1:$K$1033,Movimientos!$C$1:$C$1033,"Durand",Movimientos!$B$1:$B$1033,"&lt;="&amp;$B78)</f>
        <v>1669.89</v>
      </c>
      <c r="F78" s="24">
        <f>SUMIFS('Saldos Iniciales'!$D:$D,'Saldos Iniciales'!$A:$A,"A&amp;M Imports")+SUMIFS(Movimientos!$K$1:$K$1033,Movimientos!$C$1:$C$1033,"A&amp;M Imports",Movimientos!$B$1:$B$1033,"&lt;="&amp;$B78)</f>
        <v>860844.50999999978</v>
      </c>
      <c r="G78" s="24">
        <f>SUMIFS('Saldos Iniciales'!$D:$D,'Saldos Iniciales'!$A:$A,"SSP Capital")+SUMIFS(Movimientos!$K$1:$K$1033,Movimientos!$C$1:$C$1033,"SSP Capital",Movimientos!$B$1:$B$1033,"&lt;="&amp;$B78)</f>
        <v>1692431.8699999994</v>
      </c>
      <c r="H78" s="24">
        <f>SUMIFS('Saldos Iniciales'!$D:$D,'Saldos Iniciales'!$A:$A,"Cross Family Trust")+SUMIFS(Movimientos!$K$1:$K$1033,Movimientos!$C$1:$C$1033,"Cross Family Trust",Movimientos!$B$1:$B$1033,"&lt;="&amp;$B78)</f>
        <v>200496.38</v>
      </c>
      <c r="I78" s="24">
        <f>SUMIFS('Saldos Iniciales'!$D:$D,'Saldos Iniciales'!$A:$A,"Cross Security Trust")+SUMIFS(Movimientos!$K$1:$K$1033,Movimientos!$C$1:$C$1033,"Cross Security Trust",Movimientos!$B$1:$B$1033,"&lt;="&amp;$B78)</f>
        <v>88090.37</v>
      </c>
      <c r="J78" s="24">
        <f>SUMIFS('Saldos Iniciales'!$D:$D,'Saldos Iniciales'!$A:$A,"Electrama")+SUMIFS(Movimientos!$K$1:$K$1033,Movimientos!$C$1:$C$1033,"Electrama",Movimientos!$B$1:$B$1033,"&lt;="&amp;$B78)</f>
        <v>14580.45</v>
      </c>
      <c r="K78" s="24">
        <f>SUMIFS('Saldos Iniciales'!$D:$D,'Saldos Iniciales'!$A:$A,"Sacred Valley Capital")+SUMIFS(Movimientos!$K$1:$K$1033,Movimientos!$C$1:$C$1033,"Sacred Valley Capital",Movimientos!$B$1:$B$1033,"&lt;="&amp;$B78)</f>
        <v>54.400000000000006</v>
      </c>
      <c r="L78" s="24">
        <f>SUMIFS('Saldos Iniciales'!$D:$D,'Saldos Iniciales'!$A:$A,"YWC Capital")+SUMIFS(Movimientos!$K$1:$K$1033,Movimientos!$C$1:$C$1033,"YWC Capital",Movimientos!$B$1:$B$1033,"&lt;="&amp;$B78)</f>
        <v>2207.8200000000002</v>
      </c>
      <c r="M78" s="24">
        <f>SUMIFS('Saldos Iniciales'!$D:$D,'Saldos Iniciales'!$A:$A,"Soweto")+SUMIFS(Movimientos!$K$1:$K$1033,Movimientos!$C$1:$C$1033,"Soweto",Movimientos!$B$1:$B$1033,"&lt;="&amp;$B78)</f>
        <v>1454589.72</v>
      </c>
      <c r="N78" s="24">
        <f>SUMIFS('Saldos Iniciales'!$D:$D,'Saldos Iniciales'!$A:$A,"Green Stone Trust")+SUMIFS(Movimientos!$K$1:$K$1033,Movimientos!$C$1:$C$1033,"Green Stone Trust",Movimientos!$B$1:$B$1033,"&lt;="&amp;$B78)</f>
        <v>1968.99</v>
      </c>
      <c r="O78" s="24">
        <f>SUMIFS('Saldos Iniciales'!$D:$D,'Saldos Iniciales'!$A:$A,"EC Auto")+SUMIFS(Movimientos!$K$1:$K$1033,Movimientos!$C$1:$C$1033,"EC Auto",Movimientos!$B$1:$B$1033,"&lt;="&amp;$B78)</f>
        <v>901.34</v>
      </c>
      <c r="P78" s="24">
        <f>SUMIFS('Saldos Iniciales'!$D:$D,'Saldos Iniciales'!$A:$A,"Arbor Capital Properties")+SUMIFS(Movimientos!$K$1:$K$1033,Movimientos!$C$1:$C$1033,"Arbor Capital Properties",Movimientos!$B$1:$B$1033,"&lt;="&amp;$B78)</f>
        <v>1412.08</v>
      </c>
      <c r="Q78" s="24">
        <f>SUMIFS('Saldos Iniciales'!$D:$D,'Saldos Iniciales'!$A:$A,"2515 Overbrook")+SUMIFS(Movimientos!$K$1:$K$1033,Movimientos!$C$1:$C$1033,"2515 Overbrook",Movimientos!$B$1:$B$1033,"&lt;="&amp;$B78)</f>
        <v>22347.56999999996</v>
      </c>
      <c r="R78" s="24">
        <f>SUMIFS('Saldos Iniciales'!$D:$D,'Saldos Iniciales'!$A:$A,"112 Florida Ave")+SUMIFS(Movimientos!$K$1:$K$1033,Movimientos!$C$1:$C$1033,"112 Florida Ave",Movimientos!$B$1:$B$1033,"&lt;="&amp;$B78)</f>
        <v>3522.8000000000029</v>
      </c>
      <c r="S78" s="24">
        <f>SUMIFS('Saldos Iniciales'!$D:$D,'Saldos Iniciales'!$A:$A,"3628 Thomas Ave")+SUMIFS(Movimientos!$K$1:$K$1033,Movimientos!$C$1:$C$1033,"3628 Thomas Ave",Movimientos!$B$1:$B$1033,"&lt;="&amp;$B78)</f>
        <v>28485.559999999998</v>
      </c>
      <c r="T78" s="24">
        <f>SUMIFS('Saldos Iniciales'!$D:$D,'Saldos Iniciales'!$A:$A,"Green Harbor Trust")+SUMIFS(Movimientos!$K$1:$K$1033,Movimientos!$C$1:$C$1033,"Green Harbor Trust",Movimientos!$B$1:$B$1033,"&lt;="&amp;$B78)</f>
        <v>345</v>
      </c>
      <c r="U78" s="24">
        <f>SUMIFS('Saldos Iniciales'!$D:$D,'Saldos Iniciales'!$A:$A,"Go Blue")+SUMIFS(Movimientos!$K$1:$K$1033,Movimientos!$C$1:$C$1033,"Go Blue",Movimientos!$B$1:$B$1033,"&lt;="&amp;$B78)</f>
        <v>23978.850000000002</v>
      </c>
      <c r="V78" s="25">
        <f t="shared" ref="V78:V79" si="18">SUM(C78:U78)</f>
        <v>7662757.6800000006</v>
      </c>
    </row>
    <row r="79" spans="1:22" hidden="1" outlineLevel="1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Group")+SUMIFS(Movimientos!$K$1:$K$1033,Movimientos!$C$1:$C$1033,"CFT Group",Movimientos!$B$1:$B$1033,"&lt;="&amp;$B79)</f>
        <v>3191672.4000000008</v>
      </c>
      <c r="D79" s="24">
        <f>SUMIFS('Saldos Iniciales'!$D:$D,'Saldos Iniciales'!$A:$A,"M1B")+SUMIFS(Movimientos!$K$1:$K$1033,Movimientos!$C$1:$C$1033,"M1B",Movimientos!$B$1:$B$1033,"&lt;="&amp;$B79)</f>
        <v>73157.680000000168</v>
      </c>
      <c r="E79" s="24">
        <f>SUMIFS('Saldos Iniciales'!$D:$D,'Saldos Iniciales'!$A:$A,"Durand")+SUMIFS(Movimientos!$K$1:$K$1033,Movimientos!$C$1:$C$1033,"Durand",Movimientos!$B$1:$B$1033,"&lt;="&amp;$B79)</f>
        <v>1669.89</v>
      </c>
      <c r="F79" s="24">
        <f>SUMIFS('Saldos Iniciales'!$D:$D,'Saldos Iniciales'!$A:$A,"A&amp;M Imports")+SUMIFS(Movimientos!$K$1:$K$1033,Movimientos!$C$1:$C$1033,"A&amp;M Imports",Movimientos!$B$1:$B$1033,"&lt;="&amp;$B79)</f>
        <v>860844.50999999978</v>
      </c>
      <c r="G79" s="24">
        <f>SUMIFS('Saldos Iniciales'!$D:$D,'Saldos Iniciales'!$A:$A,"SSP Capital")+SUMIFS(Movimientos!$K$1:$K$1033,Movimientos!$C$1:$C$1033,"SSP Capital",Movimientos!$B$1:$B$1033,"&lt;="&amp;$B79)</f>
        <v>1762431.8699999994</v>
      </c>
      <c r="H79" s="24">
        <f>SUMIFS('Saldos Iniciales'!$D:$D,'Saldos Iniciales'!$A:$A,"Cross Family Trust")+SUMIFS(Movimientos!$K$1:$K$1033,Movimientos!$C$1:$C$1033,"Cross Family Trust",Movimientos!$B$1:$B$1033,"&lt;="&amp;$B79)</f>
        <v>200496.38</v>
      </c>
      <c r="I79" s="24">
        <f>SUMIFS('Saldos Iniciales'!$D:$D,'Saldos Iniciales'!$A:$A,"Cross Security Trust")+SUMIFS(Movimientos!$K$1:$K$1033,Movimientos!$C$1:$C$1033,"Cross Security Trust",Movimientos!$B$1:$B$1033,"&lt;="&amp;$B79)</f>
        <v>88090.37</v>
      </c>
      <c r="J79" s="24">
        <f>SUMIFS('Saldos Iniciales'!$D:$D,'Saldos Iniciales'!$A:$A,"Electrama")+SUMIFS(Movimientos!$K$1:$K$1033,Movimientos!$C$1:$C$1033,"Electrama",Movimientos!$B$1:$B$1033,"&lt;="&amp;$B79)</f>
        <v>14580.45</v>
      </c>
      <c r="K79" s="24">
        <f>SUMIFS('Saldos Iniciales'!$D:$D,'Saldos Iniciales'!$A:$A,"Sacred Valley Capital")+SUMIFS(Movimientos!$K$1:$K$1033,Movimientos!$C$1:$C$1033,"Sacred Valley Capital",Movimientos!$B$1:$B$1033,"&lt;="&amp;$B79)</f>
        <v>54.400000000000006</v>
      </c>
      <c r="L79" s="24">
        <f>SUMIFS('Saldos Iniciales'!$D:$D,'Saldos Iniciales'!$A:$A,"YWC Capital")+SUMIFS(Movimientos!$K$1:$K$1033,Movimientos!$C$1:$C$1033,"YWC Capital",Movimientos!$B$1:$B$1033,"&lt;="&amp;$B79)</f>
        <v>2207.8200000000002</v>
      </c>
      <c r="M79" s="24">
        <f>SUMIFS('Saldos Iniciales'!$D:$D,'Saldos Iniciales'!$A:$A,"Soweto")+SUMIFS(Movimientos!$K$1:$K$1033,Movimientos!$C$1:$C$1033,"Soweto",Movimientos!$B$1:$B$1033,"&lt;="&amp;$B79)</f>
        <v>1454589.72</v>
      </c>
      <c r="N79" s="24">
        <f>SUMIFS('Saldos Iniciales'!$D:$D,'Saldos Iniciales'!$A:$A,"Green Stone Trust")+SUMIFS(Movimientos!$K$1:$K$1033,Movimientos!$C$1:$C$1033,"Green Stone Trust",Movimientos!$B$1:$B$1033,"&lt;="&amp;$B79)</f>
        <v>1968.99</v>
      </c>
      <c r="O79" s="24">
        <f>SUMIFS('Saldos Iniciales'!$D:$D,'Saldos Iniciales'!$A:$A,"EC Auto")+SUMIFS(Movimientos!$K$1:$K$1033,Movimientos!$C$1:$C$1033,"EC Auto",Movimientos!$B$1:$B$1033,"&lt;="&amp;$B79)</f>
        <v>901.34</v>
      </c>
      <c r="P79" s="24">
        <f>SUMIFS('Saldos Iniciales'!$D:$D,'Saldos Iniciales'!$A:$A,"Arbor Capital Properties")+SUMIFS(Movimientos!$K$1:$K$1033,Movimientos!$C$1:$C$1033,"Arbor Capital Properties",Movimientos!$B$1:$B$1033,"&lt;="&amp;$B79)</f>
        <v>1412.08</v>
      </c>
      <c r="Q79" s="24">
        <f>SUMIFS('Saldos Iniciales'!$D:$D,'Saldos Iniciales'!$A:$A,"2515 Overbrook")+SUMIFS(Movimientos!$K$1:$K$1033,Movimientos!$C$1:$C$1033,"2515 Overbrook",Movimientos!$B$1:$B$1033,"&lt;="&amp;$B79)</f>
        <v>22347.56999999996</v>
      </c>
      <c r="R79" s="24">
        <f>SUMIFS('Saldos Iniciales'!$D:$D,'Saldos Iniciales'!$A:$A,"112 Florida Ave")+SUMIFS(Movimientos!$K$1:$K$1033,Movimientos!$C$1:$C$1033,"112 Florida Ave",Movimientos!$B$1:$B$1033,"&lt;="&amp;$B79)</f>
        <v>3522.8000000000029</v>
      </c>
      <c r="S79" s="24">
        <f>SUMIFS('Saldos Iniciales'!$D:$D,'Saldos Iniciales'!$A:$A,"3628 Thomas Ave")+SUMIFS(Movimientos!$K$1:$K$1033,Movimientos!$C$1:$C$1033,"3628 Thomas Ave",Movimientos!$B$1:$B$1033,"&lt;="&amp;$B79)</f>
        <v>28485.559999999998</v>
      </c>
      <c r="T79" s="24">
        <f>SUMIFS('Saldos Iniciales'!$D:$D,'Saldos Iniciales'!$A:$A,"Green Harbor Trust")+SUMIFS(Movimientos!$K$1:$K$1033,Movimientos!$C$1:$C$1033,"Green Harbor Trust",Movimientos!$B$1:$B$1033,"&lt;="&amp;$B79)</f>
        <v>345</v>
      </c>
      <c r="U79" s="24">
        <f>SUMIFS('Saldos Iniciales'!$D:$D,'Saldos Iniciales'!$A:$A,"Go Blue")+SUMIFS(Movimientos!$K$1:$K$1033,Movimientos!$C$1:$C$1033,"Go Blue",Movimientos!$B$1:$B$1033,"&lt;="&amp;$B79)</f>
        <v>16230.620000000003</v>
      </c>
      <c r="V79" s="25">
        <f t="shared" si="18"/>
        <v>7725009.4500000011</v>
      </c>
    </row>
    <row r="80" spans="1:22" hidden="1" outlineLevel="1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Group")+SUMIFS(Movimientos!$K$1:$K$1033,Movimientos!$C$1:$C$1033,"CFT Group",Movimientos!$B$1:$B$1033,"&lt;="&amp;$B80)</f>
        <v>3191672.4000000008</v>
      </c>
      <c r="D80" s="24">
        <f>SUMIFS('Saldos Iniciales'!$D:$D,'Saldos Iniciales'!$A:$A,"M1B")+SUMIFS(Movimientos!$K$1:$K$1033,Movimientos!$C$1:$C$1033,"M1B",Movimientos!$B$1:$B$1033,"&lt;="&amp;$B80)</f>
        <v>73157.680000000168</v>
      </c>
      <c r="E80" s="24">
        <f>SUMIFS('Saldos Iniciales'!$D:$D,'Saldos Iniciales'!$A:$A,"Durand")+SUMIFS(Movimientos!$K$1:$K$1033,Movimientos!$C$1:$C$1033,"Durand",Movimientos!$B$1:$B$1033,"&lt;="&amp;$B80)</f>
        <v>1669.89</v>
      </c>
      <c r="F80" s="24">
        <f>SUMIFS('Saldos Iniciales'!$D:$D,'Saldos Iniciales'!$A:$A,"A&amp;M Imports")+SUMIFS(Movimientos!$K$1:$K$1033,Movimientos!$C$1:$C$1033,"A&amp;M Imports",Movimientos!$B$1:$B$1033,"&lt;="&amp;$B80)</f>
        <v>860844.50999999978</v>
      </c>
      <c r="G80" s="24">
        <f>SUMIFS('Saldos Iniciales'!$D:$D,'Saldos Iniciales'!$A:$A,"SSP Capital")+SUMIFS(Movimientos!$K$1:$K$1033,Movimientos!$C$1:$C$1033,"SSP Capital",Movimientos!$B$1:$B$1033,"&lt;="&amp;$B80)</f>
        <v>1762431.8699999994</v>
      </c>
      <c r="H80" s="24">
        <f>SUMIFS('Saldos Iniciales'!$D:$D,'Saldos Iniciales'!$A:$A,"Cross Family Trust")+SUMIFS(Movimientos!$K$1:$K$1033,Movimientos!$C$1:$C$1033,"Cross Family Trust",Movimientos!$B$1:$B$1033,"&lt;="&amp;$B80)</f>
        <v>200496.38</v>
      </c>
      <c r="I80" s="24">
        <f>SUMIFS('Saldos Iniciales'!$D:$D,'Saldos Iniciales'!$A:$A,"Cross Security Trust")+SUMIFS(Movimientos!$K$1:$K$1033,Movimientos!$C$1:$C$1033,"Cross Security Trust",Movimientos!$B$1:$B$1033,"&lt;="&amp;$B80)</f>
        <v>88090.37</v>
      </c>
      <c r="J80" s="24">
        <f>SUMIFS('Saldos Iniciales'!$D:$D,'Saldos Iniciales'!$A:$A,"Electrama")+SUMIFS(Movimientos!$K$1:$K$1033,Movimientos!$C$1:$C$1033,"Electrama",Movimientos!$B$1:$B$1033,"&lt;="&amp;$B80)</f>
        <v>14580.45</v>
      </c>
      <c r="K80" s="24">
        <f>SUMIFS('Saldos Iniciales'!$D:$D,'Saldos Iniciales'!$A:$A,"Sacred Valley Capital")+SUMIFS(Movimientos!$K$1:$K$1033,Movimientos!$C$1:$C$1033,"Sacred Valley Capital",Movimientos!$B$1:$B$1033,"&lt;="&amp;$B80)</f>
        <v>54.400000000000006</v>
      </c>
      <c r="L80" s="24">
        <f>SUMIFS('Saldos Iniciales'!$D:$D,'Saldos Iniciales'!$A:$A,"YWC Capital")+SUMIFS(Movimientos!$K$1:$K$1033,Movimientos!$C$1:$C$1033,"YWC Capital",Movimientos!$B$1:$B$1033,"&lt;="&amp;$B80)</f>
        <v>2207.8200000000002</v>
      </c>
      <c r="M80" s="24">
        <f>SUMIFS('Saldos Iniciales'!$D:$D,'Saldos Iniciales'!$A:$A,"Soweto")+SUMIFS(Movimientos!$K$1:$K$1033,Movimientos!$C$1:$C$1033,"Soweto",Movimientos!$B$1:$B$1033,"&lt;="&amp;$B80)</f>
        <v>1454589.72</v>
      </c>
      <c r="N80" s="24">
        <f>SUMIFS('Saldos Iniciales'!$D:$D,'Saldos Iniciales'!$A:$A,"Green Stone Trust")+SUMIFS(Movimientos!$K$1:$K$1033,Movimientos!$C$1:$C$1033,"Green Stone Trust",Movimientos!$B$1:$B$1033,"&lt;="&amp;$B80)</f>
        <v>1968.99</v>
      </c>
      <c r="O80" s="24">
        <f>SUMIFS('Saldos Iniciales'!$D:$D,'Saldos Iniciales'!$A:$A,"EC Auto")+SUMIFS(Movimientos!$K$1:$K$1033,Movimientos!$C$1:$C$1033,"EC Auto",Movimientos!$B$1:$B$1033,"&lt;="&amp;$B80)</f>
        <v>901.34</v>
      </c>
      <c r="P80" s="24">
        <f>SUMIFS('Saldos Iniciales'!$D:$D,'Saldos Iniciales'!$A:$A,"Arbor Capital Properties")+SUMIFS(Movimientos!$K$1:$K$1033,Movimientos!$C$1:$C$1033,"Arbor Capital Properties",Movimientos!$B$1:$B$1033,"&lt;="&amp;$B80)</f>
        <v>1412.08</v>
      </c>
      <c r="Q80" s="24">
        <f>SUMIFS('Saldos Iniciales'!$D:$D,'Saldos Iniciales'!$A:$A,"2515 Overbrook")+SUMIFS(Movimientos!$K$1:$K$1033,Movimientos!$C$1:$C$1033,"2515 Overbrook",Movimientos!$B$1:$B$1033,"&lt;="&amp;$B80)</f>
        <v>22347.56999999996</v>
      </c>
      <c r="R80" s="24">
        <f>SUMIFS('Saldos Iniciales'!$D:$D,'Saldos Iniciales'!$A:$A,"112 Florida Ave")+SUMIFS(Movimientos!$K$1:$K$1033,Movimientos!$C$1:$C$1033,"112 Florida Ave",Movimientos!$B$1:$B$1033,"&lt;="&amp;$B80)</f>
        <v>3522.8000000000029</v>
      </c>
      <c r="S80" s="24">
        <f>SUMIFS('Saldos Iniciales'!$D:$D,'Saldos Iniciales'!$A:$A,"3628 Thomas Ave")+SUMIFS(Movimientos!$K$1:$K$1033,Movimientos!$C$1:$C$1033,"3628 Thomas Ave",Movimientos!$B$1:$B$1033,"&lt;="&amp;$B80)</f>
        <v>28485.559999999998</v>
      </c>
      <c r="T80" s="24">
        <f>SUMIFS('Saldos Iniciales'!$D:$D,'Saldos Iniciales'!$A:$A,"Green Harbor Trust")+SUMIFS(Movimientos!$K$1:$K$1033,Movimientos!$C$1:$C$1033,"Green Harbor Trust",Movimientos!$B$1:$B$1033,"&lt;="&amp;$B80)</f>
        <v>345</v>
      </c>
      <c r="U80" s="24">
        <f>SUMIFS('Saldos Iniciales'!$D:$D,'Saldos Iniciales'!$A:$A,"Go Blue")+SUMIFS(Movimientos!$K$1:$K$1033,Movimientos!$C$1:$C$1033,"Go Blue",Movimientos!$B$1:$B$1033,"&lt;="&amp;$B80)</f>
        <v>16230.620000000003</v>
      </c>
      <c r="V80" s="25">
        <f t="shared" ref="V80:V81" si="19">SUM(C80:U80)</f>
        <v>7725009.4500000011</v>
      </c>
    </row>
    <row r="81" spans="1:22" hidden="1" outlineLevel="1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Group")+SUMIFS(Movimientos!$K$1:$K$1033,Movimientos!$C$1:$C$1033,"CFT Group",Movimientos!$B$1:$B$1033,"&lt;="&amp;$B81)</f>
        <v>3191672.4000000008</v>
      </c>
      <c r="D81" s="24">
        <f>SUMIFS('Saldos Iniciales'!$D:$D,'Saldos Iniciales'!$A:$A,"M1B")+SUMIFS(Movimientos!$K$1:$K$1033,Movimientos!$C$1:$C$1033,"M1B",Movimientos!$B$1:$B$1033,"&lt;="&amp;$B81)</f>
        <v>73157.680000000168</v>
      </c>
      <c r="E81" s="24">
        <f>SUMIFS('Saldos Iniciales'!$D:$D,'Saldos Iniciales'!$A:$A,"Durand")+SUMIFS(Movimientos!$K$1:$K$1033,Movimientos!$C$1:$C$1033,"Durand",Movimientos!$B$1:$B$1033,"&lt;="&amp;$B81)</f>
        <v>1669.89</v>
      </c>
      <c r="F81" s="24">
        <f>SUMIFS('Saldos Iniciales'!$D:$D,'Saldos Iniciales'!$A:$A,"A&amp;M Imports")+SUMIFS(Movimientos!$K$1:$K$1033,Movimientos!$C$1:$C$1033,"A&amp;M Imports",Movimientos!$B$1:$B$1033,"&lt;="&amp;$B81)</f>
        <v>860844.50999999978</v>
      </c>
      <c r="G81" s="24">
        <f>SUMIFS('Saldos Iniciales'!$D:$D,'Saldos Iniciales'!$A:$A,"SSP Capital")+SUMIFS(Movimientos!$K$1:$K$1033,Movimientos!$C$1:$C$1033,"SSP Capital",Movimientos!$B$1:$B$1033,"&lt;="&amp;$B81)</f>
        <v>1762431.8699999994</v>
      </c>
      <c r="H81" s="24">
        <f>SUMIFS('Saldos Iniciales'!$D:$D,'Saldos Iniciales'!$A:$A,"Cross Family Trust")+SUMIFS(Movimientos!$K$1:$K$1033,Movimientos!$C$1:$C$1033,"Cross Family Trust",Movimientos!$B$1:$B$1033,"&lt;="&amp;$B81)</f>
        <v>200496.38</v>
      </c>
      <c r="I81" s="24">
        <f>SUMIFS('Saldos Iniciales'!$D:$D,'Saldos Iniciales'!$A:$A,"Cross Security Trust")+SUMIFS(Movimientos!$K$1:$K$1033,Movimientos!$C$1:$C$1033,"Cross Security Trust",Movimientos!$B$1:$B$1033,"&lt;="&amp;$B81)</f>
        <v>88090.37</v>
      </c>
      <c r="J81" s="24">
        <f>SUMIFS('Saldos Iniciales'!$D:$D,'Saldos Iniciales'!$A:$A,"Electrama")+SUMIFS(Movimientos!$K$1:$K$1033,Movimientos!$C$1:$C$1033,"Electrama",Movimientos!$B$1:$B$1033,"&lt;="&amp;$B81)</f>
        <v>14580.45</v>
      </c>
      <c r="K81" s="24">
        <f>SUMIFS('Saldos Iniciales'!$D:$D,'Saldos Iniciales'!$A:$A,"Sacred Valley Capital")+SUMIFS(Movimientos!$K$1:$K$1033,Movimientos!$C$1:$C$1033,"Sacred Valley Capital",Movimientos!$B$1:$B$1033,"&lt;="&amp;$B81)</f>
        <v>54.400000000000006</v>
      </c>
      <c r="L81" s="24">
        <f>SUMIFS('Saldos Iniciales'!$D:$D,'Saldos Iniciales'!$A:$A,"YWC Capital")+SUMIFS(Movimientos!$K$1:$K$1033,Movimientos!$C$1:$C$1033,"YWC Capital",Movimientos!$B$1:$B$1033,"&lt;="&amp;$B81)</f>
        <v>2207.8200000000002</v>
      </c>
      <c r="M81" s="24">
        <f>SUMIFS('Saldos Iniciales'!$D:$D,'Saldos Iniciales'!$A:$A,"Soweto")+SUMIFS(Movimientos!$K$1:$K$1033,Movimientos!$C$1:$C$1033,"Soweto",Movimientos!$B$1:$B$1033,"&lt;="&amp;$B81)</f>
        <v>1454589.72</v>
      </c>
      <c r="N81" s="24">
        <f>SUMIFS('Saldos Iniciales'!$D:$D,'Saldos Iniciales'!$A:$A,"Green Stone Trust")+SUMIFS(Movimientos!$K$1:$K$1033,Movimientos!$C$1:$C$1033,"Green Stone Trust",Movimientos!$B$1:$B$1033,"&lt;="&amp;$B81)</f>
        <v>1968.99</v>
      </c>
      <c r="O81" s="24">
        <f>SUMIFS('Saldos Iniciales'!$D:$D,'Saldos Iniciales'!$A:$A,"EC Auto")+SUMIFS(Movimientos!$K$1:$K$1033,Movimientos!$C$1:$C$1033,"EC Auto",Movimientos!$B$1:$B$1033,"&lt;="&amp;$B81)</f>
        <v>901.34</v>
      </c>
      <c r="P81" s="24">
        <f>SUMIFS('Saldos Iniciales'!$D:$D,'Saldos Iniciales'!$A:$A,"Arbor Capital Properties")+SUMIFS(Movimientos!$K$1:$K$1033,Movimientos!$C$1:$C$1033,"Arbor Capital Properties",Movimientos!$B$1:$B$1033,"&lt;="&amp;$B81)</f>
        <v>1412.08</v>
      </c>
      <c r="Q81" s="24">
        <f>SUMIFS('Saldos Iniciales'!$D:$D,'Saldos Iniciales'!$A:$A,"2515 Overbrook")+SUMIFS(Movimientos!$K$1:$K$1033,Movimientos!$C$1:$C$1033,"2515 Overbrook",Movimientos!$B$1:$B$1033,"&lt;="&amp;$B81)</f>
        <v>22347.56999999996</v>
      </c>
      <c r="R81" s="24">
        <f>SUMIFS('Saldos Iniciales'!$D:$D,'Saldos Iniciales'!$A:$A,"112 Florida Ave")+SUMIFS(Movimientos!$K$1:$K$1033,Movimientos!$C$1:$C$1033,"112 Florida Ave",Movimientos!$B$1:$B$1033,"&lt;="&amp;$B81)</f>
        <v>3522.8000000000029</v>
      </c>
      <c r="S81" s="24">
        <f>SUMIFS('Saldos Iniciales'!$D:$D,'Saldos Iniciales'!$A:$A,"3628 Thomas Ave")+SUMIFS(Movimientos!$K$1:$K$1033,Movimientos!$C$1:$C$1033,"3628 Thomas Ave",Movimientos!$B$1:$B$1033,"&lt;="&amp;$B81)</f>
        <v>28485.559999999998</v>
      </c>
      <c r="T81" s="24">
        <f>SUMIFS('Saldos Iniciales'!$D:$D,'Saldos Iniciales'!$A:$A,"Green Harbor Trust")+SUMIFS(Movimientos!$K$1:$K$1033,Movimientos!$C$1:$C$1033,"Green Harbor Trust",Movimientos!$B$1:$B$1033,"&lt;="&amp;$B81)</f>
        <v>345</v>
      </c>
      <c r="U81" s="24">
        <f>SUMIFS('Saldos Iniciales'!$D:$D,'Saldos Iniciales'!$A:$A,"Go Blue")+SUMIFS(Movimientos!$K$1:$K$1033,Movimientos!$C$1:$C$1033,"Go Blue",Movimientos!$B$1:$B$1033,"&lt;="&amp;$B81)</f>
        <v>16230.620000000003</v>
      </c>
      <c r="V81" s="25">
        <f t="shared" si="19"/>
        <v>7725009.4500000011</v>
      </c>
    </row>
    <row r="82" spans="1:22" hidden="1" outlineLevel="1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Group")+SUMIFS(Movimientos!$K$1:$K$1033,Movimientos!$C$1:$C$1033,"CFT Group",Movimientos!$B$1:$B$1033,"&lt;="&amp;$B82)</f>
        <v>3191672.4000000008</v>
      </c>
      <c r="D82" s="24">
        <f>SUMIFS('Saldos Iniciales'!$D:$D,'Saldos Iniciales'!$A:$A,"M1B")+SUMIFS(Movimientos!$K$1:$K$1033,Movimientos!$C$1:$C$1033,"M1B",Movimientos!$B$1:$B$1033,"&lt;="&amp;$B82)</f>
        <v>73157.680000000168</v>
      </c>
      <c r="E82" s="24">
        <f>SUMIFS('Saldos Iniciales'!$D:$D,'Saldos Iniciales'!$A:$A,"Durand")+SUMIFS(Movimientos!$K$1:$K$1033,Movimientos!$C$1:$C$1033,"Durand",Movimientos!$B$1:$B$1033,"&lt;="&amp;$B82)</f>
        <v>1669.89</v>
      </c>
      <c r="F82" s="24">
        <f>SUMIFS('Saldos Iniciales'!$D:$D,'Saldos Iniciales'!$A:$A,"A&amp;M Imports")+SUMIFS(Movimientos!$K$1:$K$1033,Movimientos!$C$1:$C$1033,"A&amp;M Imports",Movimientos!$B$1:$B$1033,"&lt;="&amp;$B82)</f>
        <v>860844.50999999978</v>
      </c>
      <c r="G82" s="24">
        <f>SUMIFS('Saldos Iniciales'!$D:$D,'Saldos Iniciales'!$A:$A,"SSP Capital")+SUMIFS(Movimientos!$K$1:$K$1033,Movimientos!$C$1:$C$1033,"SSP Capital",Movimientos!$B$1:$B$1033,"&lt;="&amp;$B82)</f>
        <v>1758499.9899999993</v>
      </c>
      <c r="H82" s="24">
        <f>SUMIFS('Saldos Iniciales'!$D:$D,'Saldos Iniciales'!$A:$A,"Cross Family Trust")+SUMIFS(Movimientos!$K$1:$K$1033,Movimientos!$C$1:$C$1033,"Cross Family Trust",Movimientos!$B$1:$B$1033,"&lt;="&amp;$B82)</f>
        <v>200496.38</v>
      </c>
      <c r="I82" s="24">
        <f>SUMIFS('Saldos Iniciales'!$D:$D,'Saldos Iniciales'!$A:$A,"Cross Security Trust")+SUMIFS(Movimientos!$K$1:$K$1033,Movimientos!$C$1:$C$1033,"Cross Security Trust",Movimientos!$B$1:$B$1033,"&lt;="&amp;$B82)</f>
        <v>88090.37</v>
      </c>
      <c r="J82" s="24">
        <f>SUMIFS('Saldos Iniciales'!$D:$D,'Saldos Iniciales'!$A:$A,"Electrama")+SUMIFS(Movimientos!$K$1:$K$1033,Movimientos!$C$1:$C$1033,"Electrama",Movimientos!$B$1:$B$1033,"&lt;="&amp;$B82)</f>
        <v>14580.45</v>
      </c>
      <c r="K82" s="24">
        <f>SUMIFS('Saldos Iniciales'!$D:$D,'Saldos Iniciales'!$A:$A,"Sacred Valley Capital")+SUMIFS(Movimientos!$K$1:$K$1033,Movimientos!$C$1:$C$1033,"Sacred Valley Capital",Movimientos!$B$1:$B$1033,"&lt;="&amp;$B82)</f>
        <v>54.400000000000006</v>
      </c>
      <c r="L82" s="24">
        <f>SUMIFS('Saldos Iniciales'!$D:$D,'Saldos Iniciales'!$A:$A,"YWC Capital")+SUMIFS(Movimientos!$K$1:$K$1033,Movimientos!$C$1:$C$1033,"YWC Capital",Movimientos!$B$1:$B$1033,"&lt;="&amp;$B82)</f>
        <v>2207.8200000000002</v>
      </c>
      <c r="M82" s="24">
        <f>SUMIFS('Saldos Iniciales'!$D:$D,'Saldos Iniciales'!$A:$A,"Soweto")+SUMIFS(Movimientos!$K$1:$K$1033,Movimientos!$C$1:$C$1033,"Soweto",Movimientos!$B$1:$B$1033,"&lt;="&amp;$B82)</f>
        <v>1454589.72</v>
      </c>
      <c r="N82" s="24">
        <f>SUMIFS('Saldos Iniciales'!$D:$D,'Saldos Iniciales'!$A:$A,"Green Stone Trust")+SUMIFS(Movimientos!$K$1:$K$1033,Movimientos!$C$1:$C$1033,"Green Stone Trust",Movimientos!$B$1:$B$1033,"&lt;="&amp;$B82)</f>
        <v>1968.99</v>
      </c>
      <c r="O82" s="24">
        <f>SUMIFS('Saldos Iniciales'!$D:$D,'Saldos Iniciales'!$A:$A,"EC Auto")+SUMIFS(Movimientos!$K$1:$K$1033,Movimientos!$C$1:$C$1033,"EC Auto",Movimientos!$B$1:$B$1033,"&lt;="&amp;$B82)</f>
        <v>901.34</v>
      </c>
      <c r="P82" s="24">
        <f>SUMIFS('Saldos Iniciales'!$D:$D,'Saldos Iniciales'!$A:$A,"Arbor Capital Properties")+SUMIFS(Movimientos!$K$1:$K$1033,Movimientos!$C$1:$C$1033,"Arbor Capital Properties",Movimientos!$B$1:$B$1033,"&lt;="&amp;$B82)</f>
        <v>1412.08</v>
      </c>
      <c r="Q82" s="24">
        <f>SUMIFS('Saldos Iniciales'!$D:$D,'Saldos Iniciales'!$A:$A,"2515 Overbrook")+SUMIFS(Movimientos!$K$1:$K$1033,Movimientos!$C$1:$C$1033,"2515 Overbrook",Movimientos!$B$1:$B$1033,"&lt;="&amp;$B82)</f>
        <v>22347.56999999996</v>
      </c>
      <c r="R82" s="24">
        <f>SUMIFS('Saldos Iniciales'!$D:$D,'Saldos Iniciales'!$A:$A,"112 Florida Ave")+SUMIFS(Movimientos!$K$1:$K$1033,Movimientos!$C$1:$C$1033,"112 Florida Ave",Movimientos!$B$1:$B$1033,"&lt;="&amp;$B82)</f>
        <v>3522.8000000000029</v>
      </c>
      <c r="S82" s="24">
        <f>SUMIFS('Saldos Iniciales'!$D:$D,'Saldos Iniciales'!$A:$A,"3628 Thomas Ave")+SUMIFS(Movimientos!$K$1:$K$1033,Movimientos!$C$1:$C$1033,"3628 Thomas Ave",Movimientos!$B$1:$B$1033,"&lt;="&amp;$B82)</f>
        <v>28485.559999999998</v>
      </c>
      <c r="T82" s="24">
        <f>SUMIFS('Saldos Iniciales'!$D:$D,'Saldos Iniciales'!$A:$A,"Green Harbor Trust")+SUMIFS(Movimientos!$K$1:$K$1033,Movimientos!$C$1:$C$1033,"Green Harbor Trust",Movimientos!$B$1:$B$1033,"&lt;="&amp;$B82)</f>
        <v>345</v>
      </c>
      <c r="U82" s="24">
        <f>SUMIFS('Saldos Iniciales'!$D:$D,'Saldos Iniciales'!$A:$A,"Go Blue")+SUMIFS(Movimientos!$K$1:$K$1033,Movimientos!$C$1:$C$1033,"Go Blue",Movimientos!$B$1:$B$1033,"&lt;="&amp;$B82)</f>
        <v>14097.480000000003</v>
      </c>
      <c r="V82" s="25">
        <f t="shared" ref="V82:V87" si="20">SUM(C82:U82)</f>
        <v>7718944.4300000016</v>
      </c>
    </row>
    <row r="83" spans="1:22" hidden="1" outlineLevel="1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Group")+SUMIFS(Movimientos!$K$1:$K$1033,Movimientos!$C$1:$C$1033,"CFT Group",Movimientos!$B$1:$B$1033,"&lt;="&amp;$B83)</f>
        <v>3191672.4000000008</v>
      </c>
      <c r="D83" s="24">
        <f>SUMIFS('Saldos Iniciales'!$D:$D,'Saldos Iniciales'!$A:$A,"M1B")+SUMIFS(Movimientos!$K$1:$K$1033,Movimientos!$C$1:$C$1033,"M1B",Movimientos!$B$1:$B$1033,"&lt;="&amp;$B83)</f>
        <v>73157.680000000168</v>
      </c>
      <c r="E83" s="24">
        <f>SUMIFS('Saldos Iniciales'!$D:$D,'Saldos Iniciales'!$A:$A,"Durand")+SUMIFS(Movimientos!$K$1:$K$1033,Movimientos!$C$1:$C$1033,"Durand",Movimientos!$B$1:$B$1033,"&lt;="&amp;$B83)</f>
        <v>1669.89</v>
      </c>
      <c r="F83" s="24">
        <f>SUMIFS('Saldos Iniciales'!$D:$D,'Saldos Iniciales'!$A:$A,"A&amp;M Imports")+SUMIFS(Movimientos!$K$1:$K$1033,Movimientos!$C$1:$C$1033,"A&amp;M Imports",Movimientos!$B$1:$B$1033,"&lt;="&amp;$B83)</f>
        <v>860844.50999999978</v>
      </c>
      <c r="G83" s="24">
        <f>SUMIFS('Saldos Iniciales'!$D:$D,'Saldos Iniciales'!$A:$A,"SSP Capital")+SUMIFS(Movimientos!$K$1:$K$1033,Movimientos!$C$1:$C$1033,"SSP Capital",Movimientos!$B$1:$B$1033,"&lt;="&amp;$B83)</f>
        <v>1758499.9899999993</v>
      </c>
      <c r="H83" s="24">
        <f>SUMIFS('Saldos Iniciales'!$D:$D,'Saldos Iniciales'!$A:$A,"Cross Family Trust")+SUMIFS(Movimientos!$K$1:$K$1033,Movimientos!$C$1:$C$1033,"Cross Family Trust",Movimientos!$B$1:$B$1033,"&lt;="&amp;$B83)</f>
        <v>200496.38</v>
      </c>
      <c r="I83" s="24">
        <f>SUMIFS('Saldos Iniciales'!$D:$D,'Saldos Iniciales'!$A:$A,"Cross Security Trust")+SUMIFS(Movimientos!$K$1:$K$1033,Movimientos!$C$1:$C$1033,"Cross Security Trust",Movimientos!$B$1:$B$1033,"&lt;="&amp;$B83)</f>
        <v>88090.37</v>
      </c>
      <c r="J83" s="24">
        <f>SUMIFS('Saldos Iniciales'!$D:$D,'Saldos Iniciales'!$A:$A,"Electrama")+SUMIFS(Movimientos!$K$1:$K$1033,Movimientos!$C$1:$C$1033,"Electrama",Movimientos!$B$1:$B$1033,"&lt;="&amp;$B83)</f>
        <v>14580.45</v>
      </c>
      <c r="K83" s="24">
        <f>SUMIFS('Saldos Iniciales'!$D:$D,'Saldos Iniciales'!$A:$A,"Sacred Valley Capital")+SUMIFS(Movimientos!$K$1:$K$1033,Movimientos!$C$1:$C$1033,"Sacred Valley Capital",Movimientos!$B$1:$B$1033,"&lt;="&amp;$B83)</f>
        <v>54.400000000000006</v>
      </c>
      <c r="L83" s="24">
        <f>SUMIFS('Saldos Iniciales'!$D:$D,'Saldos Iniciales'!$A:$A,"YWC Capital")+SUMIFS(Movimientos!$K$1:$K$1033,Movimientos!$C$1:$C$1033,"YWC Capital",Movimientos!$B$1:$B$1033,"&lt;="&amp;$B83)</f>
        <v>2207.8200000000002</v>
      </c>
      <c r="M83" s="24">
        <f>SUMIFS('Saldos Iniciales'!$D:$D,'Saldos Iniciales'!$A:$A,"Soweto")+SUMIFS(Movimientos!$K$1:$K$1033,Movimientos!$C$1:$C$1033,"Soweto",Movimientos!$B$1:$B$1033,"&lt;="&amp;$B83)</f>
        <v>1454589.72</v>
      </c>
      <c r="N83" s="24">
        <f>SUMIFS('Saldos Iniciales'!$D:$D,'Saldos Iniciales'!$A:$A,"Green Stone Trust")+SUMIFS(Movimientos!$K$1:$K$1033,Movimientos!$C$1:$C$1033,"Green Stone Trust",Movimientos!$B$1:$B$1033,"&lt;="&amp;$B83)</f>
        <v>1968.99</v>
      </c>
      <c r="O83" s="24">
        <f>SUMIFS('Saldos Iniciales'!$D:$D,'Saldos Iniciales'!$A:$A,"EC Auto")+SUMIFS(Movimientos!$K$1:$K$1033,Movimientos!$C$1:$C$1033,"EC Auto",Movimientos!$B$1:$B$1033,"&lt;="&amp;$B83)</f>
        <v>901.34</v>
      </c>
      <c r="P83" s="24">
        <f>SUMIFS('Saldos Iniciales'!$D:$D,'Saldos Iniciales'!$A:$A,"Arbor Capital Properties")+SUMIFS(Movimientos!$K$1:$K$1033,Movimientos!$C$1:$C$1033,"Arbor Capital Properties",Movimientos!$B$1:$B$1033,"&lt;="&amp;$B83)</f>
        <v>1412.08</v>
      </c>
      <c r="Q83" s="24">
        <f>SUMIFS('Saldos Iniciales'!$D:$D,'Saldos Iniciales'!$A:$A,"2515 Overbrook")+SUMIFS(Movimientos!$K$1:$K$1033,Movimientos!$C$1:$C$1033,"2515 Overbrook",Movimientos!$B$1:$B$1033,"&lt;="&amp;$B83)</f>
        <v>22347.56999999996</v>
      </c>
      <c r="R83" s="24">
        <f>SUMIFS('Saldos Iniciales'!$D:$D,'Saldos Iniciales'!$A:$A,"112 Florida Ave")+SUMIFS(Movimientos!$K$1:$K$1033,Movimientos!$C$1:$C$1033,"112 Florida Ave",Movimientos!$B$1:$B$1033,"&lt;="&amp;$B83)</f>
        <v>3522.8000000000029</v>
      </c>
      <c r="S83" s="24">
        <f>SUMIFS('Saldos Iniciales'!$D:$D,'Saldos Iniciales'!$A:$A,"3628 Thomas Ave")+SUMIFS(Movimientos!$K$1:$K$1033,Movimientos!$C$1:$C$1033,"3628 Thomas Ave",Movimientos!$B$1:$B$1033,"&lt;="&amp;$B83)</f>
        <v>28485.559999999998</v>
      </c>
      <c r="T83" s="24">
        <f>SUMIFS('Saldos Iniciales'!$D:$D,'Saldos Iniciales'!$A:$A,"Green Harbor Trust")+SUMIFS(Movimientos!$K$1:$K$1033,Movimientos!$C$1:$C$1033,"Green Harbor Trust",Movimientos!$B$1:$B$1033,"&lt;="&amp;$B83)</f>
        <v>345</v>
      </c>
      <c r="U83" s="24">
        <f>SUMIFS('Saldos Iniciales'!$D:$D,'Saldos Iniciales'!$A:$A,"Go Blue")+SUMIFS(Movimientos!$K$1:$K$1033,Movimientos!$C$1:$C$1033,"Go Blue",Movimientos!$B$1:$B$1033,"&lt;="&amp;$B83)</f>
        <v>13745.850000000002</v>
      </c>
      <c r="V83" s="25">
        <f t="shared" si="20"/>
        <v>7718592.8000000007</v>
      </c>
    </row>
    <row r="84" spans="1:22" hidden="1" outlineLevel="1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Group")+SUMIFS(Movimientos!$K$1:$K$1033,Movimientos!$C$1:$C$1033,"CFT Group",Movimientos!$B$1:$B$1033,"&lt;="&amp;$B84)</f>
        <v>2337089.0700000008</v>
      </c>
      <c r="D84" s="24">
        <f>SUMIFS('Saldos Iniciales'!$D:$D,'Saldos Iniciales'!$A:$A,"M1B")+SUMIFS(Movimientos!$K$1:$K$1033,Movimientos!$C$1:$C$1033,"M1B",Movimientos!$B$1:$B$1033,"&lt;="&amp;$B84)</f>
        <v>73157.680000000168</v>
      </c>
      <c r="E84" s="24">
        <f>SUMIFS('Saldos Iniciales'!$D:$D,'Saldos Iniciales'!$A:$A,"Durand")+SUMIFS(Movimientos!$K$1:$K$1033,Movimientos!$C$1:$C$1033,"Durand",Movimientos!$B$1:$B$1033,"&lt;="&amp;$B84)</f>
        <v>1669.89</v>
      </c>
      <c r="F84" s="24">
        <f>SUMIFS('Saldos Iniciales'!$D:$D,'Saldos Iniciales'!$A:$A,"A&amp;M Imports")+SUMIFS(Movimientos!$K$1:$K$1033,Movimientos!$C$1:$C$1033,"A&amp;M Imports",Movimientos!$B$1:$B$1033,"&lt;="&amp;$B84)</f>
        <v>833794.74999999977</v>
      </c>
      <c r="G84" s="24">
        <f>SUMIFS('Saldos Iniciales'!$D:$D,'Saldos Iniciales'!$A:$A,"SSP Capital")+SUMIFS(Movimientos!$K$1:$K$1033,Movimientos!$C$1:$C$1033,"SSP Capital",Movimientos!$B$1:$B$1033,"&lt;="&amp;$B84)</f>
        <v>2037119.9899999995</v>
      </c>
      <c r="H84" s="24">
        <f>SUMIFS('Saldos Iniciales'!$D:$D,'Saldos Iniciales'!$A:$A,"Cross Family Trust")+SUMIFS(Movimientos!$K$1:$K$1033,Movimientos!$C$1:$C$1033,"Cross Family Trust",Movimientos!$B$1:$B$1033,"&lt;="&amp;$B84)</f>
        <v>200496.38</v>
      </c>
      <c r="I84" s="24">
        <f>SUMIFS('Saldos Iniciales'!$D:$D,'Saldos Iniciales'!$A:$A,"Cross Security Trust")+SUMIFS(Movimientos!$K$1:$K$1033,Movimientos!$C$1:$C$1033,"Cross Security Trust",Movimientos!$B$1:$B$1033,"&lt;="&amp;$B84)</f>
        <v>88090.37</v>
      </c>
      <c r="J84" s="24">
        <f>SUMIFS('Saldos Iniciales'!$D:$D,'Saldos Iniciales'!$A:$A,"Electrama")+SUMIFS(Movimientos!$K$1:$K$1033,Movimientos!$C$1:$C$1033,"Electrama",Movimientos!$B$1:$B$1033,"&lt;="&amp;$B84)</f>
        <v>14580.45</v>
      </c>
      <c r="K84" s="24">
        <f>SUMIFS('Saldos Iniciales'!$D:$D,'Saldos Iniciales'!$A:$A,"Sacred Valley Capital")+SUMIFS(Movimientos!$K$1:$K$1033,Movimientos!$C$1:$C$1033,"Sacred Valley Capital",Movimientos!$B$1:$B$1033,"&lt;="&amp;$B84)</f>
        <v>54.400000000000006</v>
      </c>
      <c r="L84" s="24">
        <f>SUMIFS('Saldos Iniciales'!$D:$D,'Saldos Iniciales'!$A:$A,"YWC Capital")+SUMIFS(Movimientos!$K$1:$K$1033,Movimientos!$C$1:$C$1033,"YWC Capital",Movimientos!$B$1:$B$1033,"&lt;="&amp;$B84)</f>
        <v>2207.8200000000002</v>
      </c>
      <c r="M84" s="24">
        <f>SUMIFS('Saldos Iniciales'!$D:$D,'Saldos Iniciales'!$A:$A,"Soweto")+SUMIFS(Movimientos!$K$1:$K$1033,Movimientos!$C$1:$C$1033,"Soweto",Movimientos!$B$1:$B$1033,"&lt;="&amp;$B84)</f>
        <v>1454589.72</v>
      </c>
      <c r="N84" s="24">
        <f>SUMIFS('Saldos Iniciales'!$D:$D,'Saldos Iniciales'!$A:$A,"Green Stone Trust")+SUMIFS(Movimientos!$K$1:$K$1033,Movimientos!$C$1:$C$1033,"Green Stone Trust",Movimientos!$B$1:$B$1033,"&lt;="&amp;$B84)</f>
        <v>1968.99</v>
      </c>
      <c r="O84" s="24">
        <f>SUMIFS('Saldos Iniciales'!$D:$D,'Saldos Iniciales'!$A:$A,"EC Auto")+SUMIFS(Movimientos!$K$1:$K$1033,Movimientos!$C$1:$C$1033,"EC Auto",Movimientos!$B$1:$B$1033,"&lt;="&amp;$B84)</f>
        <v>901.34</v>
      </c>
      <c r="P84" s="24">
        <f>SUMIFS('Saldos Iniciales'!$D:$D,'Saldos Iniciales'!$A:$A,"Arbor Capital Properties")+SUMIFS(Movimientos!$K$1:$K$1033,Movimientos!$C$1:$C$1033,"Arbor Capital Properties",Movimientos!$B$1:$B$1033,"&lt;="&amp;$B84)</f>
        <v>1412.08</v>
      </c>
      <c r="Q84" s="24">
        <f>SUMIFS('Saldos Iniciales'!$D:$D,'Saldos Iniciales'!$A:$A,"2515 Overbrook")+SUMIFS(Movimientos!$K$1:$K$1033,Movimientos!$C$1:$C$1033,"2515 Overbrook",Movimientos!$B$1:$B$1033,"&lt;="&amp;$B84)</f>
        <v>22347.56999999996</v>
      </c>
      <c r="R84" s="24">
        <f>SUMIFS('Saldos Iniciales'!$D:$D,'Saldos Iniciales'!$A:$A,"112 Florida Ave")+SUMIFS(Movimientos!$K$1:$K$1033,Movimientos!$C$1:$C$1033,"112 Florida Ave",Movimientos!$B$1:$B$1033,"&lt;="&amp;$B84)</f>
        <v>3522.8000000000029</v>
      </c>
      <c r="S84" s="24">
        <f>SUMIFS('Saldos Iniciales'!$D:$D,'Saldos Iniciales'!$A:$A,"3628 Thomas Ave")+SUMIFS(Movimientos!$K$1:$K$1033,Movimientos!$C$1:$C$1033,"3628 Thomas Ave",Movimientos!$B$1:$B$1033,"&lt;="&amp;$B84)</f>
        <v>28485.559999999998</v>
      </c>
      <c r="T84" s="24">
        <f>SUMIFS('Saldos Iniciales'!$D:$D,'Saldos Iniciales'!$A:$A,"Green Harbor Trust")+SUMIFS(Movimientos!$K$1:$K$1033,Movimientos!$C$1:$C$1033,"Green Harbor Trust",Movimientos!$B$1:$B$1033,"&lt;="&amp;$B84)</f>
        <v>345</v>
      </c>
      <c r="U84" s="24">
        <f>SUMIFS('Saldos Iniciales'!$D:$D,'Saldos Iniciales'!$A:$A,"Go Blue")+SUMIFS(Movimientos!$K$1:$K$1033,Movimientos!$C$1:$C$1033,"Go Blue",Movimientos!$B$1:$B$1033,"&lt;="&amp;$B84)</f>
        <v>10252.290000000003</v>
      </c>
      <c r="V84" s="25">
        <f t="shared" si="20"/>
        <v>7112086.1500000004</v>
      </c>
    </row>
    <row r="85" spans="1:22" hidden="1" outlineLevel="1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Group")+SUMIFS(Movimientos!$K$1:$K$1033,Movimientos!$C$1:$C$1033,"CFT Group",Movimientos!$B$1:$B$1033,"&lt;="&amp;$B85)</f>
        <v>2337084.0700000008</v>
      </c>
      <c r="D85" s="24">
        <f>SUMIFS('Saldos Iniciales'!$D:$D,'Saldos Iniciales'!$A:$A,"M1B")+SUMIFS(Movimientos!$K$1:$K$1033,Movimientos!$C$1:$C$1033,"M1B",Movimientos!$B$1:$B$1033,"&lt;="&amp;$B85)</f>
        <v>73157.680000000168</v>
      </c>
      <c r="E85" s="24">
        <f>SUMIFS('Saldos Iniciales'!$D:$D,'Saldos Iniciales'!$A:$A,"Durand")+SUMIFS(Movimientos!$K$1:$K$1033,Movimientos!$C$1:$C$1033,"Durand",Movimientos!$B$1:$B$1033,"&lt;="&amp;$B85)</f>
        <v>1669.89</v>
      </c>
      <c r="F85" s="24">
        <f>SUMIFS('Saldos Iniciales'!$D:$D,'Saldos Iniciales'!$A:$A,"A&amp;M Imports")+SUMIFS(Movimientos!$K$1:$K$1033,Movimientos!$C$1:$C$1033,"A&amp;M Imports",Movimientos!$B$1:$B$1033,"&lt;="&amp;$B85)</f>
        <v>873784.44999999972</v>
      </c>
      <c r="G85" s="24">
        <f>SUMIFS('Saldos Iniciales'!$D:$D,'Saldos Iniciales'!$A:$A,"SSP Capital")+SUMIFS(Movimientos!$K$1:$K$1033,Movimientos!$C$1:$C$1033,"SSP Capital",Movimientos!$B$1:$B$1033,"&lt;="&amp;$B85)</f>
        <v>2037119.9899999995</v>
      </c>
      <c r="H85" s="24">
        <f>SUMIFS('Saldos Iniciales'!$D:$D,'Saldos Iniciales'!$A:$A,"Cross Family Trust")+SUMIFS(Movimientos!$K$1:$K$1033,Movimientos!$C$1:$C$1033,"Cross Family Trust",Movimientos!$B$1:$B$1033,"&lt;="&amp;$B85)</f>
        <v>200496.38</v>
      </c>
      <c r="I85" s="24">
        <f>SUMIFS('Saldos Iniciales'!$D:$D,'Saldos Iniciales'!$A:$A,"Cross Security Trust")+SUMIFS(Movimientos!$K$1:$K$1033,Movimientos!$C$1:$C$1033,"Cross Security Trust",Movimientos!$B$1:$B$1033,"&lt;="&amp;$B85)</f>
        <v>88090.37</v>
      </c>
      <c r="J85" s="24">
        <f>SUMIFS('Saldos Iniciales'!$D:$D,'Saldos Iniciales'!$A:$A,"Electrama")+SUMIFS(Movimientos!$K$1:$K$1033,Movimientos!$C$1:$C$1033,"Electrama",Movimientos!$B$1:$B$1033,"&lt;="&amp;$B85)</f>
        <v>14580.45</v>
      </c>
      <c r="K85" s="24">
        <f>SUMIFS('Saldos Iniciales'!$D:$D,'Saldos Iniciales'!$A:$A,"Sacred Valley Capital")+SUMIFS(Movimientos!$K$1:$K$1033,Movimientos!$C$1:$C$1033,"Sacred Valley Capital",Movimientos!$B$1:$B$1033,"&lt;="&amp;$B85)</f>
        <v>54.400000000000006</v>
      </c>
      <c r="L85" s="24">
        <f>SUMIFS('Saldos Iniciales'!$D:$D,'Saldos Iniciales'!$A:$A,"YWC Capital")+SUMIFS(Movimientos!$K$1:$K$1033,Movimientos!$C$1:$C$1033,"YWC Capital",Movimientos!$B$1:$B$1033,"&lt;="&amp;$B85)</f>
        <v>2207.8200000000002</v>
      </c>
      <c r="M85" s="24">
        <f>SUMIFS('Saldos Iniciales'!$D:$D,'Saldos Iniciales'!$A:$A,"Soweto")+SUMIFS(Movimientos!$K$1:$K$1033,Movimientos!$C$1:$C$1033,"Soweto",Movimientos!$B$1:$B$1033,"&lt;="&amp;$B85)</f>
        <v>1454589.72</v>
      </c>
      <c r="N85" s="24">
        <f>SUMIFS('Saldos Iniciales'!$D:$D,'Saldos Iniciales'!$A:$A,"Green Stone Trust")+SUMIFS(Movimientos!$K$1:$K$1033,Movimientos!$C$1:$C$1033,"Green Stone Trust",Movimientos!$B$1:$B$1033,"&lt;="&amp;$B85)</f>
        <v>1968.99</v>
      </c>
      <c r="O85" s="24">
        <f>SUMIFS('Saldos Iniciales'!$D:$D,'Saldos Iniciales'!$A:$A,"EC Auto")+SUMIFS(Movimientos!$K$1:$K$1033,Movimientos!$C$1:$C$1033,"EC Auto",Movimientos!$B$1:$B$1033,"&lt;="&amp;$B85)</f>
        <v>901.34</v>
      </c>
      <c r="P85" s="24">
        <f>SUMIFS('Saldos Iniciales'!$D:$D,'Saldos Iniciales'!$A:$A,"Arbor Capital Properties")+SUMIFS(Movimientos!$K$1:$K$1033,Movimientos!$C$1:$C$1033,"Arbor Capital Properties",Movimientos!$B$1:$B$1033,"&lt;="&amp;$B85)</f>
        <v>1412.08</v>
      </c>
      <c r="Q85" s="24">
        <f>SUMIFS('Saldos Iniciales'!$D:$D,'Saldos Iniciales'!$A:$A,"2515 Overbrook")+SUMIFS(Movimientos!$K$1:$K$1033,Movimientos!$C$1:$C$1033,"2515 Overbrook",Movimientos!$B$1:$B$1033,"&lt;="&amp;$B85)</f>
        <v>22347.56999999996</v>
      </c>
      <c r="R85" s="24">
        <f>SUMIFS('Saldos Iniciales'!$D:$D,'Saldos Iniciales'!$A:$A,"112 Florida Ave")+SUMIFS(Movimientos!$K$1:$K$1033,Movimientos!$C$1:$C$1033,"112 Florida Ave",Movimientos!$B$1:$B$1033,"&lt;="&amp;$B85)</f>
        <v>18522.800000000003</v>
      </c>
      <c r="S85" s="24">
        <f>SUMIFS('Saldos Iniciales'!$D:$D,'Saldos Iniciales'!$A:$A,"3628 Thomas Ave")+SUMIFS(Movimientos!$K$1:$K$1033,Movimientos!$C$1:$C$1033,"3628 Thomas Ave",Movimientos!$B$1:$B$1033,"&lt;="&amp;$B85)</f>
        <v>28485.559999999998</v>
      </c>
      <c r="T85" s="24">
        <f>SUMIFS('Saldos Iniciales'!$D:$D,'Saldos Iniciales'!$A:$A,"Green Harbor Trust")+SUMIFS(Movimientos!$K$1:$K$1033,Movimientos!$C$1:$C$1033,"Green Harbor Trust",Movimientos!$B$1:$B$1033,"&lt;="&amp;$B85)</f>
        <v>345</v>
      </c>
      <c r="U85" s="24">
        <f>SUMIFS('Saldos Iniciales'!$D:$D,'Saldos Iniciales'!$A:$A,"Go Blue")+SUMIFS(Movimientos!$K$1:$K$1033,Movimientos!$C$1:$C$1033,"Go Blue",Movimientos!$B$1:$B$1033,"&lt;="&amp;$B85)</f>
        <v>9958.7100000000028</v>
      </c>
      <c r="V85" s="25">
        <f t="shared" si="20"/>
        <v>7166777.2700000005</v>
      </c>
    </row>
    <row r="86" spans="1:22" hidden="1" outlineLevel="1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Group")+SUMIFS(Movimientos!$K$1:$K$1033,Movimientos!$C$1:$C$1033,"CFT Group",Movimientos!$B$1:$B$1033,"&lt;="&amp;$B86)</f>
        <v>2337084.0700000008</v>
      </c>
      <c r="D86" s="24">
        <f>SUMIFS('Saldos Iniciales'!$D:$D,'Saldos Iniciales'!$A:$A,"M1B")+SUMIFS(Movimientos!$K$1:$K$1033,Movimientos!$C$1:$C$1033,"M1B",Movimientos!$B$1:$B$1033,"&lt;="&amp;$B86)</f>
        <v>73157.680000000168</v>
      </c>
      <c r="E86" s="24">
        <f>SUMIFS('Saldos Iniciales'!$D:$D,'Saldos Iniciales'!$A:$A,"Durand")+SUMIFS(Movimientos!$K$1:$K$1033,Movimientos!$C$1:$C$1033,"Durand",Movimientos!$B$1:$B$1033,"&lt;="&amp;$B86)</f>
        <v>1669.89</v>
      </c>
      <c r="F86" s="24">
        <f>SUMIFS('Saldos Iniciales'!$D:$D,'Saldos Iniciales'!$A:$A,"A&amp;M Imports")+SUMIFS(Movimientos!$K$1:$K$1033,Movimientos!$C$1:$C$1033,"A&amp;M Imports",Movimientos!$B$1:$B$1033,"&lt;="&amp;$B86)</f>
        <v>873784.44999999972</v>
      </c>
      <c r="G86" s="24">
        <f>SUMIFS('Saldos Iniciales'!$D:$D,'Saldos Iniciales'!$A:$A,"SSP Capital")+SUMIFS(Movimientos!$K$1:$K$1033,Movimientos!$C$1:$C$1033,"SSP Capital",Movimientos!$B$1:$B$1033,"&lt;="&amp;$B86)</f>
        <v>2037119.9899999995</v>
      </c>
      <c r="H86" s="24">
        <f>SUMIFS('Saldos Iniciales'!$D:$D,'Saldos Iniciales'!$A:$A,"Cross Family Trust")+SUMIFS(Movimientos!$K$1:$K$1033,Movimientos!$C$1:$C$1033,"Cross Family Trust",Movimientos!$B$1:$B$1033,"&lt;="&amp;$B86)</f>
        <v>200496.38</v>
      </c>
      <c r="I86" s="24">
        <f>SUMIFS('Saldos Iniciales'!$D:$D,'Saldos Iniciales'!$A:$A,"Cross Security Trust")+SUMIFS(Movimientos!$K$1:$K$1033,Movimientos!$C$1:$C$1033,"Cross Security Trust",Movimientos!$B$1:$B$1033,"&lt;="&amp;$B86)</f>
        <v>88090.37</v>
      </c>
      <c r="J86" s="24">
        <f>SUMIFS('Saldos Iniciales'!$D:$D,'Saldos Iniciales'!$A:$A,"Electrama")+SUMIFS(Movimientos!$K$1:$K$1033,Movimientos!$C$1:$C$1033,"Electrama",Movimientos!$B$1:$B$1033,"&lt;="&amp;$B86)</f>
        <v>14580.45</v>
      </c>
      <c r="K86" s="24">
        <f>SUMIFS('Saldos Iniciales'!$D:$D,'Saldos Iniciales'!$A:$A,"Sacred Valley Capital")+SUMIFS(Movimientos!$K$1:$K$1033,Movimientos!$C$1:$C$1033,"Sacred Valley Capital",Movimientos!$B$1:$B$1033,"&lt;="&amp;$B86)</f>
        <v>54.400000000000006</v>
      </c>
      <c r="L86" s="24">
        <f>SUMIFS('Saldos Iniciales'!$D:$D,'Saldos Iniciales'!$A:$A,"YWC Capital")+SUMIFS(Movimientos!$K$1:$K$1033,Movimientos!$C$1:$C$1033,"YWC Capital",Movimientos!$B$1:$B$1033,"&lt;="&amp;$B86)</f>
        <v>2207.8200000000002</v>
      </c>
      <c r="M86" s="24">
        <f>SUMIFS('Saldos Iniciales'!$D:$D,'Saldos Iniciales'!$A:$A,"Soweto")+SUMIFS(Movimientos!$K$1:$K$1033,Movimientos!$C$1:$C$1033,"Soweto",Movimientos!$B$1:$B$1033,"&lt;="&amp;$B86)</f>
        <v>1454589.72</v>
      </c>
      <c r="N86" s="24">
        <f>SUMIFS('Saldos Iniciales'!$D:$D,'Saldos Iniciales'!$A:$A,"Green Stone Trust")+SUMIFS(Movimientos!$K$1:$K$1033,Movimientos!$C$1:$C$1033,"Green Stone Trust",Movimientos!$B$1:$B$1033,"&lt;="&amp;$B86)</f>
        <v>1968.99</v>
      </c>
      <c r="O86" s="24">
        <f>SUMIFS('Saldos Iniciales'!$D:$D,'Saldos Iniciales'!$A:$A,"EC Auto")+SUMIFS(Movimientos!$K$1:$K$1033,Movimientos!$C$1:$C$1033,"EC Auto",Movimientos!$B$1:$B$1033,"&lt;="&amp;$B86)</f>
        <v>901.34</v>
      </c>
      <c r="P86" s="24">
        <f>SUMIFS('Saldos Iniciales'!$D:$D,'Saldos Iniciales'!$A:$A,"Arbor Capital Properties")+SUMIFS(Movimientos!$K$1:$K$1033,Movimientos!$C$1:$C$1033,"Arbor Capital Properties",Movimientos!$B$1:$B$1033,"&lt;="&amp;$B86)</f>
        <v>1412.08</v>
      </c>
      <c r="Q86" s="24">
        <f>SUMIFS('Saldos Iniciales'!$D:$D,'Saldos Iniciales'!$A:$A,"2515 Overbrook")+SUMIFS(Movimientos!$K$1:$K$1033,Movimientos!$C$1:$C$1033,"2515 Overbrook",Movimientos!$B$1:$B$1033,"&lt;="&amp;$B86)</f>
        <v>22347.56999999996</v>
      </c>
      <c r="R86" s="24">
        <f>SUMIFS('Saldos Iniciales'!$D:$D,'Saldos Iniciales'!$A:$A,"112 Florida Ave")+SUMIFS(Movimientos!$K$1:$K$1033,Movimientos!$C$1:$C$1033,"112 Florida Ave",Movimientos!$B$1:$B$1033,"&lt;="&amp;$B86)</f>
        <v>18522.800000000003</v>
      </c>
      <c r="S86" s="24">
        <f>SUMIFS('Saldos Iniciales'!$D:$D,'Saldos Iniciales'!$A:$A,"3628 Thomas Ave")+SUMIFS(Movimientos!$K$1:$K$1033,Movimientos!$C$1:$C$1033,"3628 Thomas Ave",Movimientos!$B$1:$B$1033,"&lt;="&amp;$B86)</f>
        <v>28485.559999999998</v>
      </c>
      <c r="T86" s="24">
        <f>SUMIFS('Saldos Iniciales'!$D:$D,'Saldos Iniciales'!$A:$A,"Green Harbor Trust")+SUMIFS(Movimientos!$K$1:$K$1033,Movimientos!$C$1:$C$1033,"Green Harbor Trust",Movimientos!$B$1:$B$1033,"&lt;="&amp;$B86)</f>
        <v>345</v>
      </c>
      <c r="U86" s="24">
        <f>SUMIFS('Saldos Iniciales'!$D:$D,'Saldos Iniciales'!$A:$A,"Go Blue")+SUMIFS(Movimientos!$K$1:$K$1033,Movimientos!$C$1:$C$1033,"Go Blue",Movimientos!$B$1:$B$1033,"&lt;="&amp;$B86)</f>
        <v>9557.6300000000028</v>
      </c>
      <c r="V86" s="25">
        <f t="shared" si="20"/>
        <v>7166376.1900000004</v>
      </c>
    </row>
    <row r="87" spans="1:22" hidden="1" outlineLevel="1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Group")+SUMIFS(Movimientos!$K$1:$K$1033,Movimientos!$C$1:$C$1033,"CFT Group",Movimientos!$B$1:$B$1033,"&lt;="&amp;$B87)</f>
        <v>2337084.0700000008</v>
      </c>
      <c r="D87" s="24">
        <f>SUMIFS('Saldos Iniciales'!$D:$D,'Saldos Iniciales'!$A:$A,"M1B")+SUMIFS(Movimientos!$K$1:$K$1033,Movimientos!$C$1:$C$1033,"M1B",Movimientos!$B$1:$B$1033,"&lt;="&amp;$B87)</f>
        <v>73157.680000000168</v>
      </c>
      <c r="E87" s="24">
        <f>SUMIFS('Saldos Iniciales'!$D:$D,'Saldos Iniciales'!$A:$A,"Durand")+SUMIFS(Movimientos!$K$1:$K$1033,Movimientos!$C$1:$C$1033,"Durand",Movimientos!$B$1:$B$1033,"&lt;="&amp;$B87)</f>
        <v>1669.89</v>
      </c>
      <c r="F87" s="24">
        <f>SUMIFS('Saldos Iniciales'!$D:$D,'Saldos Iniciales'!$A:$A,"A&amp;M Imports")+SUMIFS(Movimientos!$K$1:$K$1033,Movimientos!$C$1:$C$1033,"A&amp;M Imports",Movimientos!$B$1:$B$1033,"&lt;="&amp;$B87)</f>
        <v>873784.44999999972</v>
      </c>
      <c r="G87" s="24">
        <f>SUMIFS('Saldos Iniciales'!$D:$D,'Saldos Iniciales'!$A:$A,"SSP Capital")+SUMIFS(Movimientos!$K$1:$K$1033,Movimientos!$C$1:$C$1033,"SSP Capital",Movimientos!$B$1:$B$1033,"&lt;="&amp;$B87)</f>
        <v>2037119.9899999995</v>
      </c>
      <c r="H87" s="24">
        <f>SUMIFS('Saldos Iniciales'!$D:$D,'Saldos Iniciales'!$A:$A,"Cross Family Trust")+SUMIFS(Movimientos!$K$1:$K$1033,Movimientos!$C$1:$C$1033,"Cross Family Trust",Movimientos!$B$1:$B$1033,"&lt;="&amp;$B87)</f>
        <v>200496.38</v>
      </c>
      <c r="I87" s="24">
        <f>SUMIFS('Saldos Iniciales'!$D:$D,'Saldos Iniciales'!$A:$A,"Cross Security Trust")+SUMIFS(Movimientos!$K$1:$K$1033,Movimientos!$C$1:$C$1033,"Cross Security Trust",Movimientos!$B$1:$B$1033,"&lt;="&amp;$B87)</f>
        <v>88090.37</v>
      </c>
      <c r="J87" s="24">
        <f>SUMIFS('Saldos Iniciales'!$D:$D,'Saldos Iniciales'!$A:$A,"Electrama")+SUMIFS(Movimientos!$K$1:$K$1033,Movimientos!$C$1:$C$1033,"Electrama",Movimientos!$B$1:$B$1033,"&lt;="&amp;$B87)</f>
        <v>14580.45</v>
      </c>
      <c r="K87" s="24">
        <f>SUMIFS('Saldos Iniciales'!$D:$D,'Saldos Iniciales'!$A:$A,"Sacred Valley Capital")+SUMIFS(Movimientos!$K$1:$K$1033,Movimientos!$C$1:$C$1033,"Sacred Valley Capital",Movimientos!$B$1:$B$1033,"&lt;="&amp;$B87)</f>
        <v>54.400000000000006</v>
      </c>
      <c r="L87" s="24">
        <f>SUMIFS('Saldos Iniciales'!$D:$D,'Saldos Iniciales'!$A:$A,"YWC Capital")+SUMIFS(Movimientos!$K$1:$K$1033,Movimientos!$C$1:$C$1033,"YWC Capital",Movimientos!$B$1:$B$1033,"&lt;="&amp;$B87)</f>
        <v>2207.8200000000002</v>
      </c>
      <c r="M87" s="24">
        <f>SUMIFS('Saldos Iniciales'!$D:$D,'Saldos Iniciales'!$A:$A,"Soweto")+SUMIFS(Movimientos!$K$1:$K$1033,Movimientos!$C$1:$C$1033,"Soweto",Movimientos!$B$1:$B$1033,"&lt;="&amp;$B87)</f>
        <v>1454589.72</v>
      </c>
      <c r="N87" s="24">
        <f>SUMIFS('Saldos Iniciales'!$D:$D,'Saldos Iniciales'!$A:$A,"Green Stone Trust")+SUMIFS(Movimientos!$K$1:$K$1033,Movimientos!$C$1:$C$1033,"Green Stone Trust",Movimientos!$B$1:$B$1033,"&lt;="&amp;$B87)</f>
        <v>1968.99</v>
      </c>
      <c r="O87" s="24">
        <f>SUMIFS('Saldos Iniciales'!$D:$D,'Saldos Iniciales'!$A:$A,"EC Auto")+SUMIFS(Movimientos!$K$1:$K$1033,Movimientos!$C$1:$C$1033,"EC Auto",Movimientos!$B$1:$B$1033,"&lt;="&amp;$B87)</f>
        <v>901.34</v>
      </c>
      <c r="P87" s="24">
        <f>SUMIFS('Saldos Iniciales'!$D:$D,'Saldos Iniciales'!$A:$A,"Arbor Capital Properties")+SUMIFS(Movimientos!$K$1:$K$1033,Movimientos!$C$1:$C$1033,"Arbor Capital Properties",Movimientos!$B$1:$B$1033,"&lt;="&amp;$B87)</f>
        <v>1412.08</v>
      </c>
      <c r="Q87" s="24">
        <f>SUMIFS('Saldos Iniciales'!$D:$D,'Saldos Iniciales'!$A:$A,"2515 Overbrook")+SUMIFS(Movimientos!$K$1:$K$1033,Movimientos!$C$1:$C$1033,"2515 Overbrook",Movimientos!$B$1:$B$1033,"&lt;="&amp;$B87)</f>
        <v>22347.56999999996</v>
      </c>
      <c r="R87" s="24">
        <f>SUMIFS('Saldos Iniciales'!$D:$D,'Saldos Iniciales'!$A:$A,"112 Florida Ave")+SUMIFS(Movimientos!$K$1:$K$1033,Movimientos!$C$1:$C$1033,"112 Florida Ave",Movimientos!$B$1:$B$1033,"&lt;="&amp;$B87)</f>
        <v>18522.800000000003</v>
      </c>
      <c r="S87" s="24">
        <f>SUMIFS('Saldos Iniciales'!$D:$D,'Saldos Iniciales'!$A:$A,"3628 Thomas Ave")+SUMIFS(Movimientos!$K$1:$K$1033,Movimientos!$C$1:$C$1033,"3628 Thomas Ave",Movimientos!$B$1:$B$1033,"&lt;="&amp;$B87)</f>
        <v>28485.559999999998</v>
      </c>
      <c r="T87" s="24">
        <f>SUMIFS('Saldos Iniciales'!$D:$D,'Saldos Iniciales'!$A:$A,"Green Harbor Trust")+SUMIFS(Movimientos!$K$1:$K$1033,Movimientos!$C$1:$C$1033,"Green Harbor Trust",Movimientos!$B$1:$B$1033,"&lt;="&amp;$B87)</f>
        <v>345</v>
      </c>
      <c r="U87" s="24">
        <f>SUMIFS('Saldos Iniciales'!$D:$D,'Saldos Iniciales'!$A:$A,"Go Blue")+SUMIFS(Movimientos!$K$1:$K$1033,Movimientos!$C$1:$C$1033,"Go Blue",Movimientos!$B$1:$B$1033,"&lt;="&amp;$B87)</f>
        <v>9557.6300000000028</v>
      </c>
      <c r="V87" s="25">
        <f t="shared" si="20"/>
        <v>7166376.1900000004</v>
      </c>
    </row>
    <row r="88" spans="1:22" hidden="1" outlineLevel="1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Group")+SUMIFS(Movimientos!$K$1:$K$1033,Movimientos!$C$1:$C$1033,"CFT Group",Movimientos!$B$1:$B$1033,"&lt;="&amp;$B88)</f>
        <v>2337084.0700000008</v>
      </c>
      <c r="D88" s="24">
        <f>SUMIFS('Saldos Iniciales'!$D:$D,'Saldos Iniciales'!$A:$A,"M1B")+SUMIFS(Movimientos!$K$1:$K$1033,Movimientos!$C$1:$C$1033,"M1B",Movimientos!$B$1:$B$1033,"&lt;="&amp;$B88)</f>
        <v>73157.680000000168</v>
      </c>
      <c r="E88" s="24">
        <f>SUMIFS('Saldos Iniciales'!$D:$D,'Saldos Iniciales'!$A:$A,"Durand")+SUMIFS(Movimientos!$K$1:$K$1033,Movimientos!$C$1:$C$1033,"Durand",Movimientos!$B$1:$B$1033,"&lt;="&amp;$B88)</f>
        <v>1669.89</v>
      </c>
      <c r="F88" s="24">
        <f>SUMIFS('Saldos Iniciales'!$D:$D,'Saldos Iniciales'!$A:$A,"A&amp;M Imports")+SUMIFS(Movimientos!$K$1:$K$1033,Movimientos!$C$1:$C$1033,"A&amp;M Imports",Movimientos!$B$1:$B$1033,"&lt;="&amp;$B88)</f>
        <v>873784.44999999972</v>
      </c>
      <c r="G88" s="24">
        <f>SUMIFS('Saldos Iniciales'!$D:$D,'Saldos Iniciales'!$A:$A,"SSP Capital")+SUMIFS(Movimientos!$K$1:$K$1033,Movimientos!$C$1:$C$1033,"SSP Capital",Movimientos!$B$1:$B$1033,"&lt;="&amp;$B88)</f>
        <v>2037119.9899999995</v>
      </c>
      <c r="H88" s="24">
        <f>SUMIFS('Saldos Iniciales'!$D:$D,'Saldos Iniciales'!$A:$A,"Cross Family Trust")+SUMIFS(Movimientos!$K$1:$K$1033,Movimientos!$C$1:$C$1033,"Cross Family Trust",Movimientos!$B$1:$B$1033,"&lt;="&amp;$B88)</f>
        <v>200496.38</v>
      </c>
      <c r="I88" s="24">
        <f>SUMIFS('Saldos Iniciales'!$D:$D,'Saldos Iniciales'!$A:$A,"Cross Security Trust")+SUMIFS(Movimientos!$K$1:$K$1033,Movimientos!$C$1:$C$1033,"Cross Security Trust",Movimientos!$B$1:$B$1033,"&lt;="&amp;$B88)</f>
        <v>88090.37</v>
      </c>
      <c r="J88" s="24">
        <f>SUMIFS('Saldos Iniciales'!$D:$D,'Saldos Iniciales'!$A:$A,"Electrama")+SUMIFS(Movimientos!$K$1:$K$1033,Movimientos!$C$1:$C$1033,"Electrama",Movimientos!$B$1:$B$1033,"&lt;="&amp;$B88)</f>
        <v>14580.45</v>
      </c>
      <c r="K88" s="24">
        <f>SUMIFS('Saldos Iniciales'!$D:$D,'Saldos Iniciales'!$A:$A,"Sacred Valley Capital")+SUMIFS(Movimientos!$K$1:$K$1033,Movimientos!$C$1:$C$1033,"Sacred Valley Capital",Movimientos!$B$1:$B$1033,"&lt;="&amp;$B88)</f>
        <v>54.400000000000006</v>
      </c>
      <c r="L88" s="24">
        <f>SUMIFS('Saldos Iniciales'!$D:$D,'Saldos Iniciales'!$A:$A,"YWC Capital")+SUMIFS(Movimientos!$K$1:$K$1033,Movimientos!$C$1:$C$1033,"YWC Capital",Movimientos!$B$1:$B$1033,"&lt;="&amp;$B88)</f>
        <v>2207.8200000000002</v>
      </c>
      <c r="M88" s="24">
        <f>SUMIFS('Saldos Iniciales'!$D:$D,'Saldos Iniciales'!$A:$A,"Soweto")+SUMIFS(Movimientos!$K$1:$K$1033,Movimientos!$C$1:$C$1033,"Soweto",Movimientos!$B$1:$B$1033,"&lt;="&amp;$B88)</f>
        <v>1454589.72</v>
      </c>
      <c r="N88" s="24">
        <f>SUMIFS('Saldos Iniciales'!$D:$D,'Saldos Iniciales'!$A:$A,"Green Stone Trust")+SUMIFS(Movimientos!$K$1:$K$1033,Movimientos!$C$1:$C$1033,"Green Stone Trust",Movimientos!$B$1:$B$1033,"&lt;="&amp;$B88)</f>
        <v>1968.99</v>
      </c>
      <c r="O88" s="24">
        <f>SUMIFS('Saldos Iniciales'!$D:$D,'Saldos Iniciales'!$A:$A,"EC Auto")+SUMIFS(Movimientos!$K$1:$K$1033,Movimientos!$C$1:$C$1033,"EC Auto",Movimientos!$B$1:$B$1033,"&lt;="&amp;$B88)</f>
        <v>901.34</v>
      </c>
      <c r="P88" s="24">
        <f>SUMIFS('Saldos Iniciales'!$D:$D,'Saldos Iniciales'!$A:$A,"Arbor Capital Properties")+SUMIFS(Movimientos!$K$1:$K$1033,Movimientos!$C$1:$C$1033,"Arbor Capital Properties",Movimientos!$B$1:$B$1033,"&lt;="&amp;$B88)</f>
        <v>1412.08</v>
      </c>
      <c r="Q88" s="24">
        <f>SUMIFS('Saldos Iniciales'!$D:$D,'Saldos Iniciales'!$A:$A,"2515 Overbrook")+SUMIFS(Movimientos!$K$1:$K$1033,Movimientos!$C$1:$C$1033,"2515 Overbrook",Movimientos!$B$1:$B$1033,"&lt;="&amp;$B88)</f>
        <v>22347.56999999996</v>
      </c>
      <c r="R88" s="24">
        <f>SUMIFS('Saldos Iniciales'!$D:$D,'Saldos Iniciales'!$A:$A,"112 Florida Ave")+SUMIFS(Movimientos!$K$1:$K$1033,Movimientos!$C$1:$C$1033,"112 Florida Ave",Movimientos!$B$1:$B$1033,"&lt;="&amp;$B88)</f>
        <v>18522.800000000003</v>
      </c>
      <c r="S88" s="24">
        <f>SUMIFS('Saldos Iniciales'!$D:$D,'Saldos Iniciales'!$A:$A,"3628 Thomas Ave")+SUMIFS(Movimientos!$K$1:$K$1033,Movimientos!$C$1:$C$1033,"3628 Thomas Ave",Movimientos!$B$1:$B$1033,"&lt;="&amp;$B88)</f>
        <v>28485.559999999998</v>
      </c>
      <c r="T88" s="24">
        <f>SUMIFS('Saldos Iniciales'!$D:$D,'Saldos Iniciales'!$A:$A,"Green Harbor Trust")+SUMIFS(Movimientos!$K$1:$K$1033,Movimientos!$C$1:$C$1033,"Green Harbor Trust",Movimientos!$B$1:$B$1033,"&lt;="&amp;$B88)</f>
        <v>345</v>
      </c>
      <c r="U88" s="24">
        <f>SUMIFS('Saldos Iniciales'!$D:$D,'Saldos Iniciales'!$A:$A,"Go Blue")+SUMIFS(Movimientos!$K$1:$K$1033,Movimientos!$C$1:$C$1033,"Go Blue",Movimientos!$B$1:$B$1033,"&lt;="&amp;$B88)</f>
        <v>9557.6300000000028</v>
      </c>
      <c r="V88" s="25">
        <f t="shared" ref="V88:V96" si="21">SUM(C88:U88)</f>
        <v>7166376.1900000004</v>
      </c>
    </row>
    <row r="89" spans="1:22" hidden="1" outlineLevel="1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Group")+SUMIFS(Movimientos!$K$1:$K$1033,Movimientos!$C$1:$C$1033,"CFT Group",Movimientos!$B$1:$B$1033,"&lt;="&amp;$B89)</f>
        <v>2337084.0700000008</v>
      </c>
      <c r="D89" s="24">
        <f>SUMIFS('Saldos Iniciales'!$D:$D,'Saldos Iniciales'!$A:$A,"M1B")+SUMIFS(Movimientos!$K$1:$K$1033,Movimientos!$C$1:$C$1033,"M1B",Movimientos!$B$1:$B$1033,"&lt;="&amp;$B89)</f>
        <v>73157.680000000168</v>
      </c>
      <c r="E89" s="24">
        <f>SUMIFS('Saldos Iniciales'!$D:$D,'Saldos Iniciales'!$A:$A,"Durand")+SUMIFS(Movimientos!$K$1:$K$1033,Movimientos!$C$1:$C$1033,"Durand",Movimientos!$B$1:$B$1033,"&lt;="&amp;$B89)</f>
        <v>1669.89</v>
      </c>
      <c r="F89" s="24">
        <f>SUMIFS('Saldos Iniciales'!$D:$D,'Saldos Iniciales'!$A:$A,"A&amp;M Imports")+SUMIFS(Movimientos!$K$1:$K$1033,Movimientos!$C$1:$C$1033,"A&amp;M Imports",Movimientos!$B$1:$B$1033,"&lt;="&amp;$B89)</f>
        <v>1223784.4499999997</v>
      </c>
      <c r="G89" s="24">
        <f>SUMIFS('Saldos Iniciales'!$D:$D,'Saldos Iniciales'!$A:$A,"SSP Capital")+SUMIFS(Movimientos!$K$1:$K$1033,Movimientos!$C$1:$C$1033,"SSP Capital",Movimientos!$B$1:$B$1033,"&lt;="&amp;$B89)</f>
        <v>2037119.9899999995</v>
      </c>
      <c r="H89" s="24">
        <f>SUMIFS('Saldos Iniciales'!$D:$D,'Saldos Iniciales'!$A:$A,"Cross Family Trust")+SUMIFS(Movimientos!$K$1:$K$1033,Movimientos!$C$1:$C$1033,"Cross Family Trust",Movimientos!$B$1:$B$1033,"&lt;="&amp;$B89)</f>
        <v>190496.38</v>
      </c>
      <c r="I89" s="24">
        <f>SUMIFS('Saldos Iniciales'!$D:$D,'Saldos Iniciales'!$A:$A,"Cross Security Trust")+SUMIFS(Movimientos!$K$1:$K$1033,Movimientos!$C$1:$C$1033,"Cross Security Trust",Movimientos!$B$1:$B$1033,"&lt;="&amp;$B89)</f>
        <v>88090.37</v>
      </c>
      <c r="J89" s="24">
        <f>SUMIFS('Saldos Iniciales'!$D:$D,'Saldos Iniciales'!$A:$A,"Electrama")+SUMIFS(Movimientos!$K$1:$K$1033,Movimientos!$C$1:$C$1033,"Electrama",Movimientos!$B$1:$B$1033,"&lt;="&amp;$B89)</f>
        <v>14580.45</v>
      </c>
      <c r="K89" s="24">
        <f>SUMIFS('Saldos Iniciales'!$D:$D,'Saldos Iniciales'!$A:$A,"Sacred Valley Capital")+SUMIFS(Movimientos!$K$1:$K$1033,Movimientos!$C$1:$C$1033,"Sacred Valley Capital",Movimientos!$B$1:$B$1033,"&lt;="&amp;$B89)</f>
        <v>54.400000000000006</v>
      </c>
      <c r="L89" s="24">
        <f>SUMIFS('Saldos Iniciales'!$D:$D,'Saldos Iniciales'!$A:$A,"YWC Capital")+SUMIFS(Movimientos!$K$1:$K$1033,Movimientos!$C$1:$C$1033,"YWC Capital",Movimientos!$B$1:$B$1033,"&lt;="&amp;$B89)</f>
        <v>2207.8200000000002</v>
      </c>
      <c r="M89" s="24">
        <f>SUMIFS('Saldos Iniciales'!$D:$D,'Saldos Iniciales'!$A:$A,"Soweto")+SUMIFS(Movimientos!$K$1:$K$1033,Movimientos!$C$1:$C$1033,"Soweto",Movimientos!$B$1:$B$1033,"&lt;="&amp;$B89)</f>
        <v>1454589.72</v>
      </c>
      <c r="N89" s="24">
        <f>SUMIFS('Saldos Iniciales'!$D:$D,'Saldos Iniciales'!$A:$A,"Green Stone Trust")+SUMIFS(Movimientos!$K$1:$K$1033,Movimientos!$C$1:$C$1033,"Green Stone Trust",Movimientos!$B$1:$B$1033,"&lt;="&amp;$B89)</f>
        <v>1968.99</v>
      </c>
      <c r="O89" s="24">
        <f>SUMIFS('Saldos Iniciales'!$D:$D,'Saldos Iniciales'!$A:$A,"EC Auto")+SUMIFS(Movimientos!$K$1:$K$1033,Movimientos!$C$1:$C$1033,"EC Auto",Movimientos!$B$1:$B$1033,"&lt;="&amp;$B89)</f>
        <v>901.34</v>
      </c>
      <c r="P89" s="24">
        <f>SUMIFS('Saldos Iniciales'!$D:$D,'Saldos Iniciales'!$A:$A,"Arbor Capital Properties")+SUMIFS(Movimientos!$K$1:$K$1033,Movimientos!$C$1:$C$1033,"Arbor Capital Properties",Movimientos!$B$1:$B$1033,"&lt;="&amp;$B89)</f>
        <v>1412.08</v>
      </c>
      <c r="Q89" s="24">
        <f>SUMIFS('Saldos Iniciales'!$D:$D,'Saldos Iniciales'!$A:$A,"2515 Overbrook")+SUMIFS(Movimientos!$K$1:$K$1033,Movimientos!$C$1:$C$1033,"2515 Overbrook",Movimientos!$B$1:$B$1033,"&lt;="&amp;$B89)</f>
        <v>22347.56999999996</v>
      </c>
      <c r="R89" s="24">
        <f>SUMIFS('Saldos Iniciales'!$D:$D,'Saldos Iniciales'!$A:$A,"112 Florida Ave")+SUMIFS(Movimientos!$K$1:$K$1033,Movimientos!$C$1:$C$1033,"112 Florida Ave",Movimientos!$B$1:$B$1033,"&lt;="&amp;$B89)</f>
        <v>18522.800000000003</v>
      </c>
      <c r="S89" s="24">
        <f>SUMIFS('Saldos Iniciales'!$D:$D,'Saldos Iniciales'!$A:$A,"3628 Thomas Ave")+SUMIFS(Movimientos!$K$1:$K$1033,Movimientos!$C$1:$C$1033,"3628 Thomas Ave",Movimientos!$B$1:$B$1033,"&lt;="&amp;$B89)</f>
        <v>28485.559999999998</v>
      </c>
      <c r="T89" s="24">
        <f>SUMIFS('Saldos Iniciales'!$D:$D,'Saldos Iniciales'!$A:$A,"Green Harbor Trust")+SUMIFS(Movimientos!$K$1:$K$1033,Movimientos!$C$1:$C$1033,"Green Harbor Trust",Movimientos!$B$1:$B$1033,"&lt;="&amp;$B89)</f>
        <v>345</v>
      </c>
      <c r="U89" s="24">
        <f>SUMIFS('Saldos Iniciales'!$D:$D,'Saldos Iniciales'!$A:$A,"Go Blue")+SUMIFS(Movimientos!$K$1:$K$1033,Movimientos!$C$1:$C$1033,"Go Blue",Movimientos!$B$1:$B$1033,"&lt;="&amp;$B89)</f>
        <v>15418.180000000004</v>
      </c>
      <c r="V89" s="25">
        <f t="shared" si="21"/>
        <v>7512236.7400000002</v>
      </c>
    </row>
    <row r="90" spans="1:22" hidden="1" outlineLevel="1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Group")+SUMIFS(Movimientos!$K$1:$K$1033,Movimientos!$C$1:$C$1033,"CFT Group",Movimientos!$B$1:$B$1033,"&lt;="&amp;$B90)</f>
        <v>2337084.0700000008</v>
      </c>
      <c r="D90" s="24">
        <f>SUMIFS('Saldos Iniciales'!$D:$D,'Saldos Iniciales'!$A:$A,"M1B")+SUMIFS(Movimientos!$K$1:$K$1033,Movimientos!$C$1:$C$1033,"M1B",Movimientos!$B$1:$B$1033,"&lt;="&amp;$B90)</f>
        <v>80574.12000000017</v>
      </c>
      <c r="E90" s="24">
        <f>SUMIFS('Saldos Iniciales'!$D:$D,'Saldos Iniciales'!$A:$A,"Durand")+SUMIFS(Movimientos!$K$1:$K$1033,Movimientos!$C$1:$C$1033,"Durand",Movimientos!$B$1:$B$1033,"&lt;="&amp;$B90)</f>
        <v>1669.89</v>
      </c>
      <c r="F90" s="24">
        <f>SUMIFS('Saldos Iniciales'!$D:$D,'Saldos Iniciales'!$A:$A,"A&amp;M Imports")+SUMIFS(Movimientos!$K$1:$K$1033,Movimientos!$C$1:$C$1033,"A&amp;M Imports",Movimientos!$B$1:$B$1033,"&lt;="&amp;$B90)</f>
        <v>1246676.4999999998</v>
      </c>
      <c r="G90" s="24">
        <f>SUMIFS('Saldos Iniciales'!$D:$D,'Saldos Iniciales'!$A:$A,"SSP Capital")+SUMIFS(Movimientos!$K$1:$K$1033,Movimientos!$C$1:$C$1033,"SSP Capital",Movimientos!$B$1:$B$1033,"&lt;="&amp;$B90)</f>
        <v>1872239.2199999997</v>
      </c>
      <c r="H90" s="24">
        <f>SUMIFS('Saldos Iniciales'!$D:$D,'Saldos Iniciales'!$A:$A,"Cross Family Trust")+SUMIFS(Movimientos!$K$1:$K$1033,Movimientos!$C$1:$C$1033,"Cross Family Trust",Movimientos!$B$1:$B$1033,"&lt;="&amp;$B90)</f>
        <v>190496.38</v>
      </c>
      <c r="I90" s="24">
        <f>SUMIFS('Saldos Iniciales'!$D:$D,'Saldos Iniciales'!$A:$A,"Cross Security Trust")+SUMIFS(Movimientos!$K$1:$K$1033,Movimientos!$C$1:$C$1033,"Cross Security Trust",Movimientos!$B$1:$B$1033,"&lt;="&amp;$B90)</f>
        <v>88090.37</v>
      </c>
      <c r="J90" s="24">
        <f>SUMIFS('Saldos Iniciales'!$D:$D,'Saldos Iniciales'!$A:$A,"Electrama")+SUMIFS(Movimientos!$K$1:$K$1033,Movimientos!$C$1:$C$1033,"Electrama",Movimientos!$B$1:$B$1033,"&lt;="&amp;$B90)</f>
        <v>14580.45</v>
      </c>
      <c r="K90" s="24">
        <f>SUMIFS('Saldos Iniciales'!$D:$D,'Saldos Iniciales'!$A:$A,"Sacred Valley Capital")+SUMIFS(Movimientos!$K$1:$K$1033,Movimientos!$C$1:$C$1033,"Sacred Valley Capital",Movimientos!$B$1:$B$1033,"&lt;="&amp;$B90)</f>
        <v>54.400000000000006</v>
      </c>
      <c r="L90" s="24">
        <f>SUMIFS('Saldos Iniciales'!$D:$D,'Saldos Iniciales'!$A:$A,"YWC Capital")+SUMIFS(Movimientos!$K$1:$K$1033,Movimientos!$C$1:$C$1033,"YWC Capital",Movimientos!$B$1:$B$1033,"&lt;="&amp;$B90)</f>
        <v>2207.8200000000002</v>
      </c>
      <c r="M90" s="24">
        <f>SUMIFS('Saldos Iniciales'!$D:$D,'Saldos Iniciales'!$A:$A,"Soweto")+SUMIFS(Movimientos!$K$1:$K$1033,Movimientos!$C$1:$C$1033,"Soweto",Movimientos!$B$1:$B$1033,"&lt;="&amp;$B90)</f>
        <v>1454589.72</v>
      </c>
      <c r="N90" s="24">
        <f>SUMIFS('Saldos Iniciales'!$D:$D,'Saldos Iniciales'!$A:$A,"Green Stone Trust")+SUMIFS(Movimientos!$K$1:$K$1033,Movimientos!$C$1:$C$1033,"Green Stone Trust",Movimientos!$B$1:$B$1033,"&lt;="&amp;$B90)</f>
        <v>1968.99</v>
      </c>
      <c r="O90" s="24">
        <f>SUMIFS('Saldos Iniciales'!$D:$D,'Saldos Iniciales'!$A:$A,"EC Auto")+SUMIFS(Movimientos!$K$1:$K$1033,Movimientos!$C$1:$C$1033,"EC Auto",Movimientos!$B$1:$B$1033,"&lt;="&amp;$B90)</f>
        <v>901.34</v>
      </c>
      <c r="P90" s="24">
        <f>SUMIFS('Saldos Iniciales'!$D:$D,'Saldos Iniciales'!$A:$A,"Arbor Capital Properties")+SUMIFS(Movimientos!$K$1:$K$1033,Movimientos!$C$1:$C$1033,"Arbor Capital Properties",Movimientos!$B$1:$B$1033,"&lt;="&amp;$B90)</f>
        <v>1412.08</v>
      </c>
      <c r="Q90" s="24">
        <f>SUMIFS('Saldos Iniciales'!$D:$D,'Saldos Iniciales'!$A:$A,"2515 Overbrook")+SUMIFS(Movimientos!$K$1:$K$1033,Movimientos!$C$1:$C$1033,"2515 Overbrook",Movimientos!$B$1:$B$1033,"&lt;="&amp;$B90)</f>
        <v>22347.56999999996</v>
      </c>
      <c r="R90" s="24">
        <f>SUMIFS('Saldos Iniciales'!$D:$D,'Saldos Iniciales'!$A:$A,"112 Florida Ave")+SUMIFS(Movimientos!$K$1:$K$1033,Movimientos!$C$1:$C$1033,"112 Florida Ave",Movimientos!$B$1:$B$1033,"&lt;="&amp;$B90)</f>
        <v>18522.800000000003</v>
      </c>
      <c r="S90" s="24">
        <f>SUMIFS('Saldos Iniciales'!$D:$D,'Saldos Iniciales'!$A:$A,"3628 Thomas Ave")+SUMIFS(Movimientos!$K$1:$K$1033,Movimientos!$C$1:$C$1033,"3628 Thomas Ave",Movimientos!$B$1:$B$1033,"&lt;="&amp;$B90)</f>
        <v>28485.559999999998</v>
      </c>
      <c r="T90" s="24">
        <f>SUMIFS('Saldos Iniciales'!$D:$D,'Saldos Iniciales'!$A:$A,"Green Harbor Trust")+SUMIFS(Movimientos!$K$1:$K$1033,Movimientos!$C$1:$C$1033,"Green Harbor Trust",Movimientos!$B$1:$B$1033,"&lt;="&amp;$B90)</f>
        <v>345</v>
      </c>
      <c r="U90" s="24">
        <f>SUMIFS('Saldos Iniciales'!$D:$D,'Saldos Iniciales'!$A:$A,"Go Blue")+SUMIFS(Movimientos!$K$1:$K$1033,Movimientos!$C$1:$C$1033,"Go Blue",Movimientos!$B$1:$B$1033,"&lt;="&amp;$B90)</f>
        <v>15094.090000000004</v>
      </c>
      <c r="V90" s="25">
        <f t="shared" si="21"/>
        <v>7377340.370000001</v>
      </c>
    </row>
    <row r="91" spans="1:22" hidden="1" outlineLevel="1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Group")+SUMIFS(Movimientos!$K$1:$K$1033,Movimientos!$C$1:$C$1033,"CFT Group",Movimientos!$B$1:$B$1033,"&lt;="&amp;$B91)</f>
        <v>2351872.4600000004</v>
      </c>
      <c r="D91" s="24">
        <f>SUMIFS('Saldos Iniciales'!$D:$D,'Saldos Iniciales'!$A:$A,"M1B")+SUMIFS(Movimientos!$K$1:$K$1033,Movimientos!$C$1:$C$1033,"M1B",Movimientos!$B$1:$B$1033,"&lt;="&amp;$B91)</f>
        <v>83211.250000000175</v>
      </c>
      <c r="E91" s="24">
        <f>SUMIFS('Saldos Iniciales'!$D:$D,'Saldos Iniciales'!$A:$A,"Durand")+SUMIFS(Movimientos!$K$1:$K$1033,Movimientos!$C$1:$C$1033,"Durand",Movimientos!$B$1:$B$1033,"&lt;="&amp;$B91)</f>
        <v>1669.89</v>
      </c>
      <c r="F91" s="24">
        <f>SUMIFS('Saldos Iniciales'!$D:$D,'Saldos Iniciales'!$A:$A,"A&amp;M Imports")+SUMIFS(Movimientos!$K$1:$K$1033,Movimientos!$C$1:$C$1033,"A&amp;M Imports",Movimientos!$B$1:$B$1033,"&lt;="&amp;$B91)</f>
        <v>1265674.3599999999</v>
      </c>
      <c r="G91" s="24">
        <f>SUMIFS('Saldos Iniciales'!$D:$D,'Saldos Iniciales'!$A:$A,"SSP Capital")+SUMIFS(Movimientos!$K$1:$K$1033,Movimientos!$C$1:$C$1033,"SSP Capital",Movimientos!$B$1:$B$1033,"&lt;="&amp;$B91)</f>
        <v>1872239.2199999997</v>
      </c>
      <c r="H91" s="24">
        <f>SUMIFS('Saldos Iniciales'!$D:$D,'Saldos Iniciales'!$A:$A,"Cross Family Trust")+SUMIFS(Movimientos!$K$1:$K$1033,Movimientos!$C$1:$C$1033,"Cross Family Trust",Movimientos!$B$1:$B$1033,"&lt;="&amp;$B91)</f>
        <v>190496.38</v>
      </c>
      <c r="I91" s="24">
        <f>SUMIFS('Saldos Iniciales'!$D:$D,'Saldos Iniciales'!$A:$A,"Cross Security Trust")+SUMIFS(Movimientos!$K$1:$K$1033,Movimientos!$C$1:$C$1033,"Cross Security Trust",Movimientos!$B$1:$B$1033,"&lt;="&amp;$B91)</f>
        <v>88090.37</v>
      </c>
      <c r="J91" s="24">
        <f>SUMIFS('Saldos Iniciales'!$D:$D,'Saldos Iniciales'!$A:$A,"Electrama")+SUMIFS(Movimientos!$K$1:$K$1033,Movimientos!$C$1:$C$1033,"Electrama",Movimientos!$B$1:$B$1033,"&lt;="&amp;$B91)</f>
        <v>14580.45</v>
      </c>
      <c r="K91" s="24">
        <f>SUMIFS('Saldos Iniciales'!$D:$D,'Saldos Iniciales'!$A:$A,"Sacred Valley Capital")+SUMIFS(Movimientos!$K$1:$K$1033,Movimientos!$C$1:$C$1033,"Sacred Valley Capital",Movimientos!$B$1:$B$1033,"&lt;="&amp;$B91)</f>
        <v>54.400000000000006</v>
      </c>
      <c r="L91" s="24">
        <f>SUMIFS('Saldos Iniciales'!$D:$D,'Saldos Iniciales'!$A:$A,"YWC Capital")+SUMIFS(Movimientos!$K$1:$K$1033,Movimientos!$C$1:$C$1033,"YWC Capital",Movimientos!$B$1:$B$1033,"&lt;="&amp;$B91)</f>
        <v>2207.8200000000002</v>
      </c>
      <c r="M91" s="24">
        <f>SUMIFS('Saldos Iniciales'!$D:$D,'Saldos Iniciales'!$A:$A,"Soweto")+SUMIFS(Movimientos!$K$1:$K$1033,Movimientos!$C$1:$C$1033,"Soweto",Movimientos!$B$1:$B$1033,"&lt;="&amp;$B91)</f>
        <v>1454589.72</v>
      </c>
      <c r="N91" s="24">
        <f>SUMIFS('Saldos Iniciales'!$D:$D,'Saldos Iniciales'!$A:$A,"Green Stone Trust")+SUMIFS(Movimientos!$K$1:$K$1033,Movimientos!$C$1:$C$1033,"Green Stone Trust",Movimientos!$B$1:$B$1033,"&lt;="&amp;$B91)</f>
        <v>1968.99</v>
      </c>
      <c r="O91" s="24">
        <f>SUMIFS('Saldos Iniciales'!$D:$D,'Saldos Iniciales'!$A:$A,"EC Auto")+SUMIFS(Movimientos!$K$1:$K$1033,Movimientos!$C$1:$C$1033,"EC Auto",Movimientos!$B$1:$B$1033,"&lt;="&amp;$B91)</f>
        <v>901.34</v>
      </c>
      <c r="P91" s="24">
        <f>SUMIFS('Saldos Iniciales'!$D:$D,'Saldos Iniciales'!$A:$A,"Arbor Capital Properties")+SUMIFS(Movimientos!$K$1:$K$1033,Movimientos!$C$1:$C$1033,"Arbor Capital Properties",Movimientos!$B$1:$B$1033,"&lt;="&amp;$B91)</f>
        <v>1412.08</v>
      </c>
      <c r="Q91" s="24">
        <f>SUMIFS('Saldos Iniciales'!$D:$D,'Saldos Iniciales'!$A:$A,"2515 Overbrook")+SUMIFS(Movimientos!$K$1:$K$1033,Movimientos!$C$1:$C$1033,"2515 Overbrook",Movimientos!$B$1:$B$1033,"&lt;="&amp;$B91)</f>
        <v>22347.56999999996</v>
      </c>
      <c r="R91" s="24">
        <f>SUMIFS('Saldos Iniciales'!$D:$D,'Saldos Iniciales'!$A:$A,"112 Florida Ave")+SUMIFS(Movimientos!$K$1:$K$1033,Movimientos!$C$1:$C$1033,"112 Florida Ave",Movimientos!$B$1:$B$1033,"&lt;="&amp;$B91)</f>
        <v>18522.800000000003</v>
      </c>
      <c r="S91" s="24">
        <f>SUMIFS('Saldos Iniciales'!$D:$D,'Saldos Iniciales'!$A:$A,"3628 Thomas Ave")+SUMIFS(Movimientos!$K$1:$K$1033,Movimientos!$C$1:$C$1033,"3628 Thomas Ave",Movimientos!$B$1:$B$1033,"&lt;="&amp;$B91)</f>
        <v>28485.559999999998</v>
      </c>
      <c r="T91" s="24">
        <f>SUMIFS('Saldos Iniciales'!$D:$D,'Saldos Iniciales'!$A:$A,"Green Harbor Trust")+SUMIFS(Movimientos!$K$1:$K$1033,Movimientos!$C$1:$C$1033,"Green Harbor Trust",Movimientos!$B$1:$B$1033,"&lt;="&amp;$B91)</f>
        <v>345</v>
      </c>
      <c r="U91" s="24">
        <f>SUMIFS('Saldos Iniciales'!$D:$D,'Saldos Iniciales'!$A:$A,"Go Blue")+SUMIFS(Movimientos!$K$1:$K$1033,Movimientos!$C$1:$C$1033,"Go Blue",Movimientos!$B$1:$B$1033,"&lt;="&amp;$B91)</f>
        <v>13469.780000000002</v>
      </c>
      <c r="V91" s="25">
        <f t="shared" si="21"/>
        <v>7412139.4400000004</v>
      </c>
    </row>
    <row r="92" spans="1:22" hidden="1" outlineLevel="1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Group")+SUMIFS(Movimientos!$K$1:$K$1033,Movimientos!$C$1:$C$1033,"CFT Group",Movimientos!$B$1:$B$1033,"&lt;="&amp;$B92)</f>
        <v>2551684.0300000003</v>
      </c>
      <c r="D92" s="24">
        <f>SUMIFS('Saldos Iniciales'!$D:$D,'Saldos Iniciales'!$A:$A,"M1B")+SUMIFS(Movimientos!$K$1:$K$1033,Movimientos!$C$1:$C$1033,"M1B",Movimientos!$B$1:$B$1033,"&lt;="&amp;$B92)</f>
        <v>83211.250000000175</v>
      </c>
      <c r="E92" s="24">
        <f>SUMIFS('Saldos Iniciales'!$D:$D,'Saldos Iniciales'!$A:$A,"Durand")+SUMIFS(Movimientos!$K$1:$K$1033,Movimientos!$C$1:$C$1033,"Durand",Movimientos!$B$1:$B$1033,"&lt;="&amp;$B92)</f>
        <v>1669.89</v>
      </c>
      <c r="F92" s="24">
        <f>SUMIFS('Saldos Iniciales'!$D:$D,'Saldos Iniciales'!$A:$A,"A&amp;M Imports")+SUMIFS(Movimientos!$K$1:$K$1033,Movimientos!$C$1:$C$1033,"A&amp;M Imports",Movimientos!$B$1:$B$1033,"&lt;="&amp;$B92)</f>
        <v>1289465.7999999998</v>
      </c>
      <c r="G92" s="24">
        <f>SUMIFS('Saldos Iniciales'!$D:$D,'Saldos Iniciales'!$A:$A,"SSP Capital")+SUMIFS(Movimientos!$K$1:$K$1033,Movimientos!$C$1:$C$1033,"SSP Capital",Movimientos!$B$1:$B$1033,"&lt;="&amp;$B92)</f>
        <v>1872235.9699999997</v>
      </c>
      <c r="H92" s="24">
        <f>SUMIFS('Saldos Iniciales'!$D:$D,'Saldos Iniciales'!$A:$A,"Cross Family Trust")+SUMIFS(Movimientos!$K$1:$K$1033,Movimientos!$C$1:$C$1033,"Cross Family Trust",Movimientos!$B$1:$B$1033,"&lt;="&amp;$B92)</f>
        <v>190496.38</v>
      </c>
      <c r="I92" s="24">
        <f>SUMIFS('Saldos Iniciales'!$D:$D,'Saldos Iniciales'!$A:$A,"Cross Security Trust")+SUMIFS(Movimientos!$K$1:$K$1033,Movimientos!$C$1:$C$1033,"Cross Security Trust",Movimientos!$B$1:$B$1033,"&lt;="&amp;$B92)</f>
        <v>88090.37</v>
      </c>
      <c r="J92" s="24">
        <f>SUMIFS('Saldos Iniciales'!$D:$D,'Saldos Iniciales'!$A:$A,"Electrama")+SUMIFS(Movimientos!$K$1:$K$1033,Movimientos!$C$1:$C$1033,"Electrama",Movimientos!$B$1:$B$1033,"&lt;="&amp;$B92)</f>
        <v>14580.45</v>
      </c>
      <c r="K92" s="24">
        <f>SUMIFS('Saldos Iniciales'!$D:$D,'Saldos Iniciales'!$A:$A,"Sacred Valley Capital")+SUMIFS(Movimientos!$K$1:$K$1033,Movimientos!$C$1:$C$1033,"Sacred Valley Capital",Movimientos!$B$1:$B$1033,"&lt;="&amp;$B92)</f>
        <v>54.400000000000006</v>
      </c>
      <c r="L92" s="24">
        <f>SUMIFS('Saldos Iniciales'!$D:$D,'Saldos Iniciales'!$A:$A,"YWC Capital")+SUMIFS(Movimientos!$K$1:$K$1033,Movimientos!$C$1:$C$1033,"YWC Capital",Movimientos!$B$1:$B$1033,"&lt;="&amp;$B92)</f>
        <v>2207.8200000000002</v>
      </c>
      <c r="M92" s="24">
        <f>SUMIFS('Saldos Iniciales'!$D:$D,'Saldos Iniciales'!$A:$A,"Soweto")+SUMIFS(Movimientos!$K$1:$K$1033,Movimientos!$C$1:$C$1033,"Soweto",Movimientos!$B$1:$B$1033,"&lt;="&amp;$B92)</f>
        <v>1454589.72</v>
      </c>
      <c r="N92" s="24">
        <f>SUMIFS('Saldos Iniciales'!$D:$D,'Saldos Iniciales'!$A:$A,"Green Stone Trust")+SUMIFS(Movimientos!$K$1:$K$1033,Movimientos!$C$1:$C$1033,"Green Stone Trust",Movimientos!$B$1:$B$1033,"&lt;="&amp;$B92)</f>
        <v>1968.99</v>
      </c>
      <c r="O92" s="24">
        <f>SUMIFS('Saldos Iniciales'!$D:$D,'Saldos Iniciales'!$A:$A,"EC Auto")+SUMIFS(Movimientos!$K$1:$K$1033,Movimientos!$C$1:$C$1033,"EC Auto",Movimientos!$B$1:$B$1033,"&lt;="&amp;$B92)</f>
        <v>901.34</v>
      </c>
      <c r="P92" s="24">
        <f>SUMIFS('Saldos Iniciales'!$D:$D,'Saldos Iniciales'!$A:$A,"Arbor Capital Properties")+SUMIFS(Movimientos!$K$1:$K$1033,Movimientos!$C$1:$C$1033,"Arbor Capital Properties",Movimientos!$B$1:$B$1033,"&lt;="&amp;$B92)</f>
        <v>1412.08</v>
      </c>
      <c r="Q92" s="24">
        <f>SUMIFS('Saldos Iniciales'!$D:$D,'Saldos Iniciales'!$A:$A,"2515 Overbrook")+SUMIFS(Movimientos!$K$1:$K$1033,Movimientos!$C$1:$C$1033,"2515 Overbrook",Movimientos!$B$1:$B$1033,"&lt;="&amp;$B92)</f>
        <v>22347.56999999996</v>
      </c>
      <c r="R92" s="24">
        <f>SUMIFS('Saldos Iniciales'!$D:$D,'Saldos Iniciales'!$A:$A,"112 Florida Ave")+SUMIFS(Movimientos!$K$1:$K$1033,Movimientos!$C$1:$C$1033,"112 Florida Ave",Movimientos!$B$1:$B$1033,"&lt;="&amp;$B92)</f>
        <v>18522.800000000003</v>
      </c>
      <c r="S92" s="24">
        <f>SUMIFS('Saldos Iniciales'!$D:$D,'Saldos Iniciales'!$A:$A,"3628 Thomas Ave")+SUMIFS(Movimientos!$K$1:$K$1033,Movimientos!$C$1:$C$1033,"3628 Thomas Ave",Movimientos!$B$1:$B$1033,"&lt;="&amp;$B92)</f>
        <v>28485.559999999998</v>
      </c>
      <c r="T92" s="24">
        <f>SUMIFS('Saldos Iniciales'!$D:$D,'Saldos Iniciales'!$A:$A,"Green Harbor Trust")+SUMIFS(Movimientos!$K$1:$K$1033,Movimientos!$C$1:$C$1033,"Green Harbor Trust",Movimientos!$B$1:$B$1033,"&lt;="&amp;$B92)</f>
        <v>345</v>
      </c>
      <c r="U92" s="24">
        <f>SUMIFS('Saldos Iniciales'!$D:$D,'Saldos Iniciales'!$A:$A,"Go Blue")+SUMIFS(Movimientos!$K$1:$K$1033,Movimientos!$C$1:$C$1033,"Go Blue",Movimientos!$B$1:$B$1033,"&lt;="&amp;$B92)</f>
        <v>11634.930000000004</v>
      </c>
      <c r="V92" s="25">
        <f t="shared" si="21"/>
        <v>7633904.3499999996</v>
      </c>
    </row>
    <row r="93" spans="1:22" hidden="1" outlineLevel="1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Group")+SUMIFS(Movimientos!$K$1:$K$1033,Movimientos!$C$1:$C$1033,"CFT Group",Movimientos!$B$1:$B$1033,"&lt;="&amp;$B93)</f>
        <v>2549365.41</v>
      </c>
      <c r="D93" s="24">
        <f>SUMIFS('Saldos Iniciales'!$D:$D,'Saldos Iniciales'!$A:$A,"M1B")+SUMIFS(Movimientos!$K$1:$K$1033,Movimientos!$C$1:$C$1033,"M1B",Movimientos!$B$1:$B$1033,"&lt;="&amp;$B93)</f>
        <v>83211.250000000175</v>
      </c>
      <c r="E93" s="24">
        <f>SUMIFS('Saldos Iniciales'!$D:$D,'Saldos Iniciales'!$A:$A,"Durand")+SUMIFS(Movimientos!$K$1:$K$1033,Movimientos!$C$1:$C$1033,"Durand",Movimientos!$B$1:$B$1033,"&lt;="&amp;$B93)</f>
        <v>1669.89</v>
      </c>
      <c r="F93" s="24">
        <f>SUMIFS('Saldos Iniciales'!$D:$D,'Saldos Iniciales'!$A:$A,"A&amp;M Imports")+SUMIFS(Movimientos!$K$1:$K$1033,Movimientos!$C$1:$C$1033,"A&amp;M Imports",Movimientos!$B$1:$B$1033,"&lt;="&amp;$B93)</f>
        <v>1289465.7999999998</v>
      </c>
      <c r="G93" s="24">
        <f>SUMIFS('Saldos Iniciales'!$D:$D,'Saldos Iniciales'!$A:$A,"SSP Capital")+SUMIFS(Movimientos!$K$1:$K$1033,Movimientos!$C$1:$C$1033,"SSP Capital",Movimientos!$B$1:$B$1033,"&lt;="&amp;$B93)</f>
        <v>1528719.2399999995</v>
      </c>
      <c r="H93" s="24">
        <f>SUMIFS('Saldos Iniciales'!$D:$D,'Saldos Iniciales'!$A:$A,"Cross Family Trust")+SUMIFS(Movimientos!$K$1:$K$1033,Movimientos!$C$1:$C$1033,"Cross Family Trust",Movimientos!$B$1:$B$1033,"&lt;="&amp;$B93)</f>
        <v>190496.38</v>
      </c>
      <c r="I93" s="24">
        <f>SUMIFS('Saldos Iniciales'!$D:$D,'Saldos Iniciales'!$A:$A,"Cross Security Trust")+SUMIFS(Movimientos!$K$1:$K$1033,Movimientos!$C$1:$C$1033,"Cross Security Trust",Movimientos!$B$1:$B$1033,"&lt;="&amp;$B93)</f>
        <v>88090.37</v>
      </c>
      <c r="J93" s="24">
        <f>SUMIFS('Saldos Iniciales'!$D:$D,'Saldos Iniciales'!$A:$A,"Electrama")+SUMIFS(Movimientos!$K$1:$K$1033,Movimientos!$C$1:$C$1033,"Electrama",Movimientos!$B$1:$B$1033,"&lt;="&amp;$B93)</f>
        <v>14580.45</v>
      </c>
      <c r="K93" s="24">
        <f>SUMIFS('Saldos Iniciales'!$D:$D,'Saldos Iniciales'!$A:$A,"Sacred Valley Capital")+SUMIFS(Movimientos!$K$1:$K$1033,Movimientos!$C$1:$C$1033,"Sacred Valley Capital",Movimientos!$B$1:$B$1033,"&lt;="&amp;$B93)</f>
        <v>54.400000000000006</v>
      </c>
      <c r="L93" s="24">
        <f>SUMIFS('Saldos Iniciales'!$D:$D,'Saldos Iniciales'!$A:$A,"YWC Capital")+SUMIFS(Movimientos!$K$1:$K$1033,Movimientos!$C$1:$C$1033,"YWC Capital",Movimientos!$B$1:$B$1033,"&lt;="&amp;$B93)</f>
        <v>2207.8200000000002</v>
      </c>
      <c r="M93" s="24">
        <f>SUMIFS('Saldos Iniciales'!$D:$D,'Saldos Iniciales'!$A:$A,"Soweto")+SUMIFS(Movimientos!$K$1:$K$1033,Movimientos!$C$1:$C$1033,"Soweto",Movimientos!$B$1:$B$1033,"&lt;="&amp;$B93)</f>
        <v>1454589.72</v>
      </c>
      <c r="N93" s="24">
        <f>SUMIFS('Saldos Iniciales'!$D:$D,'Saldos Iniciales'!$A:$A,"Green Stone Trust")+SUMIFS(Movimientos!$K$1:$K$1033,Movimientos!$C$1:$C$1033,"Green Stone Trust",Movimientos!$B$1:$B$1033,"&lt;="&amp;$B93)</f>
        <v>1968.99</v>
      </c>
      <c r="O93" s="24">
        <f>SUMIFS('Saldos Iniciales'!$D:$D,'Saldos Iniciales'!$A:$A,"EC Auto")+SUMIFS(Movimientos!$K$1:$K$1033,Movimientos!$C$1:$C$1033,"EC Auto",Movimientos!$B$1:$B$1033,"&lt;="&amp;$B93)</f>
        <v>901.34</v>
      </c>
      <c r="P93" s="24">
        <f>SUMIFS('Saldos Iniciales'!$D:$D,'Saldos Iniciales'!$A:$A,"Arbor Capital Properties")+SUMIFS(Movimientos!$K$1:$K$1033,Movimientos!$C$1:$C$1033,"Arbor Capital Properties",Movimientos!$B$1:$B$1033,"&lt;="&amp;$B93)</f>
        <v>1412.08</v>
      </c>
      <c r="Q93" s="24">
        <f>SUMIFS('Saldos Iniciales'!$D:$D,'Saldos Iniciales'!$A:$A,"2515 Overbrook")+SUMIFS(Movimientos!$K$1:$K$1033,Movimientos!$C$1:$C$1033,"2515 Overbrook",Movimientos!$B$1:$B$1033,"&lt;="&amp;$B93)</f>
        <v>22347.56999999996</v>
      </c>
      <c r="R93" s="24">
        <f>SUMIFS('Saldos Iniciales'!$D:$D,'Saldos Iniciales'!$A:$A,"112 Florida Ave")+SUMIFS(Movimientos!$K$1:$K$1033,Movimientos!$C$1:$C$1033,"112 Florida Ave",Movimientos!$B$1:$B$1033,"&lt;="&amp;$B93)</f>
        <v>18522.800000000003</v>
      </c>
      <c r="S93" s="24">
        <f>SUMIFS('Saldos Iniciales'!$D:$D,'Saldos Iniciales'!$A:$A,"3628 Thomas Ave")+SUMIFS(Movimientos!$K$1:$K$1033,Movimientos!$C$1:$C$1033,"3628 Thomas Ave",Movimientos!$B$1:$B$1033,"&lt;="&amp;$B93)</f>
        <v>28485.559999999998</v>
      </c>
      <c r="T93" s="24">
        <f>SUMIFS('Saldos Iniciales'!$D:$D,'Saldos Iniciales'!$A:$A,"Green Harbor Trust")+SUMIFS(Movimientos!$K$1:$K$1033,Movimientos!$C$1:$C$1033,"Green Harbor Trust",Movimientos!$B$1:$B$1033,"&lt;="&amp;$B93)</f>
        <v>345</v>
      </c>
      <c r="U93" s="24">
        <f>SUMIFS('Saldos Iniciales'!$D:$D,'Saldos Iniciales'!$A:$A,"Go Blue")+SUMIFS(Movimientos!$K$1:$K$1033,Movimientos!$C$1:$C$1033,"Go Blue",Movimientos!$B$1:$B$1033,"&lt;="&amp;$B93)</f>
        <v>11634.930000000004</v>
      </c>
      <c r="V93" s="25">
        <f t="shared" si="21"/>
        <v>7288069</v>
      </c>
    </row>
    <row r="94" spans="1:22" hidden="1" outlineLevel="1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Group")+SUMIFS(Movimientos!$K$1:$K$1033,Movimientos!$C$1:$C$1033,"CFT Group",Movimientos!$B$1:$B$1033,"&lt;="&amp;$B94)</f>
        <v>2549365.41</v>
      </c>
      <c r="D94" s="24">
        <f>SUMIFS('Saldos Iniciales'!$D:$D,'Saldos Iniciales'!$A:$A,"M1B")+SUMIFS(Movimientos!$K$1:$K$1033,Movimientos!$C$1:$C$1033,"M1B",Movimientos!$B$1:$B$1033,"&lt;="&amp;$B94)</f>
        <v>83211.250000000175</v>
      </c>
      <c r="E94" s="24">
        <f>SUMIFS('Saldos Iniciales'!$D:$D,'Saldos Iniciales'!$A:$A,"Durand")+SUMIFS(Movimientos!$K$1:$K$1033,Movimientos!$C$1:$C$1033,"Durand",Movimientos!$B$1:$B$1033,"&lt;="&amp;$B94)</f>
        <v>1669.89</v>
      </c>
      <c r="F94" s="24">
        <f>SUMIFS('Saldos Iniciales'!$D:$D,'Saldos Iniciales'!$A:$A,"A&amp;M Imports")+SUMIFS(Movimientos!$K$1:$K$1033,Movimientos!$C$1:$C$1033,"A&amp;M Imports",Movimientos!$B$1:$B$1033,"&lt;="&amp;$B94)</f>
        <v>1289465.7999999998</v>
      </c>
      <c r="G94" s="24">
        <f>SUMIFS('Saldos Iniciales'!$D:$D,'Saldos Iniciales'!$A:$A,"SSP Capital")+SUMIFS(Movimientos!$K$1:$K$1033,Movimientos!$C$1:$C$1033,"SSP Capital",Movimientos!$B$1:$B$1033,"&lt;="&amp;$B94)</f>
        <v>1528719.2399999995</v>
      </c>
      <c r="H94" s="24">
        <f>SUMIFS('Saldos Iniciales'!$D:$D,'Saldos Iniciales'!$A:$A,"Cross Family Trust")+SUMIFS(Movimientos!$K$1:$K$1033,Movimientos!$C$1:$C$1033,"Cross Family Trust",Movimientos!$B$1:$B$1033,"&lt;="&amp;$B94)</f>
        <v>190496.38</v>
      </c>
      <c r="I94" s="24">
        <f>SUMIFS('Saldos Iniciales'!$D:$D,'Saldos Iniciales'!$A:$A,"Cross Security Trust")+SUMIFS(Movimientos!$K$1:$K$1033,Movimientos!$C$1:$C$1033,"Cross Security Trust",Movimientos!$B$1:$B$1033,"&lt;="&amp;$B94)</f>
        <v>88090.37</v>
      </c>
      <c r="J94" s="24">
        <f>SUMIFS('Saldos Iniciales'!$D:$D,'Saldos Iniciales'!$A:$A,"Electrama")+SUMIFS(Movimientos!$K$1:$K$1033,Movimientos!$C$1:$C$1033,"Electrama",Movimientos!$B$1:$B$1033,"&lt;="&amp;$B94)</f>
        <v>14580.45</v>
      </c>
      <c r="K94" s="24">
        <f>SUMIFS('Saldos Iniciales'!$D:$D,'Saldos Iniciales'!$A:$A,"Sacred Valley Capital")+SUMIFS(Movimientos!$K$1:$K$1033,Movimientos!$C$1:$C$1033,"Sacred Valley Capital",Movimientos!$B$1:$B$1033,"&lt;="&amp;$B94)</f>
        <v>54.400000000000006</v>
      </c>
      <c r="L94" s="24">
        <f>SUMIFS('Saldos Iniciales'!$D:$D,'Saldos Iniciales'!$A:$A,"YWC Capital")+SUMIFS(Movimientos!$K$1:$K$1033,Movimientos!$C$1:$C$1033,"YWC Capital",Movimientos!$B$1:$B$1033,"&lt;="&amp;$B94)</f>
        <v>2207.8200000000002</v>
      </c>
      <c r="M94" s="24">
        <f>SUMIFS('Saldos Iniciales'!$D:$D,'Saldos Iniciales'!$A:$A,"Soweto")+SUMIFS(Movimientos!$K$1:$K$1033,Movimientos!$C$1:$C$1033,"Soweto",Movimientos!$B$1:$B$1033,"&lt;="&amp;$B94)</f>
        <v>1454589.72</v>
      </c>
      <c r="N94" s="24">
        <f>SUMIFS('Saldos Iniciales'!$D:$D,'Saldos Iniciales'!$A:$A,"Green Stone Trust")+SUMIFS(Movimientos!$K$1:$K$1033,Movimientos!$C$1:$C$1033,"Green Stone Trust",Movimientos!$B$1:$B$1033,"&lt;="&amp;$B94)</f>
        <v>1968.99</v>
      </c>
      <c r="O94" s="24">
        <f>SUMIFS('Saldos Iniciales'!$D:$D,'Saldos Iniciales'!$A:$A,"EC Auto")+SUMIFS(Movimientos!$K$1:$K$1033,Movimientos!$C$1:$C$1033,"EC Auto",Movimientos!$B$1:$B$1033,"&lt;="&amp;$B94)</f>
        <v>901.34</v>
      </c>
      <c r="P94" s="24">
        <f>SUMIFS('Saldos Iniciales'!$D:$D,'Saldos Iniciales'!$A:$A,"Arbor Capital Properties")+SUMIFS(Movimientos!$K$1:$K$1033,Movimientos!$C$1:$C$1033,"Arbor Capital Properties",Movimientos!$B$1:$B$1033,"&lt;="&amp;$B94)</f>
        <v>1412.08</v>
      </c>
      <c r="Q94" s="24">
        <f>SUMIFS('Saldos Iniciales'!$D:$D,'Saldos Iniciales'!$A:$A,"2515 Overbrook")+SUMIFS(Movimientos!$K$1:$K$1033,Movimientos!$C$1:$C$1033,"2515 Overbrook",Movimientos!$B$1:$B$1033,"&lt;="&amp;$B94)</f>
        <v>22347.56999999996</v>
      </c>
      <c r="R94" s="24">
        <f>SUMIFS('Saldos Iniciales'!$D:$D,'Saldos Iniciales'!$A:$A,"112 Florida Ave")+SUMIFS(Movimientos!$K$1:$K$1033,Movimientos!$C$1:$C$1033,"112 Florida Ave",Movimientos!$B$1:$B$1033,"&lt;="&amp;$B94)</f>
        <v>18522.800000000003</v>
      </c>
      <c r="S94" s="24">
        <f>SUMIFS('Saldos Iniciales'!$D:$D,'Saldos Iniciales'!$A:$A,"3628 Thomas Ave")+SUMIFS(Movimientos!$K$1:$K$1033,Movimientos!$C$1:$C$1033,"3628 Thomas Ave",Movimientos!$B$1:$B$1033,"&lt;="&amp;$B94)</f>
        <v>28485.559999999998</v>
      </c>
      <c r="T94" s="24">
        <f>SUMIFS('Saldos Iniciales'!$D:$D,'Saldos Iniciales'!$A:$A,"Green Harbor Trust")+SUMIFS(Movimientos!$K$1:$K$1033,Movimientos!$C$1:$C$1033,"Green Harbor Trust",Movimientos!$B$1:$B$1033,"&lt;="&amp;$B94)</f>
        <v>345</v>
      </c>
      <c r="U94" s="24">
        <f>SUMIFS('Saldos Iniciales'!$D:$D,'Saldos Iniciales'!$A:$A,"Go Blue")+SUMIFS(Movimientos!$K$1:$K$1033,Movimientos!$C$1:$C$1033,"Go Blue",Movimientos!$B$1:$B$1033,"&lt;="&amp;$B94)</f>
        <v>11634.930000000004</v>
      </c>
      <c r="V94" s="25">
        <f t="shared" si="21"/>
        <v>7288069</v>
      </c>
    </row>
    <row r="95" spans="1:22" hidden="1" outlineLevel="1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Group")+SUMIFS(Movimientos!$K$1:$K$1033,Movimientos!$C$1:$C$1033,"CFT Group",Movimientos!$B$1:$B$1033,"&lt;="&amp;$B95)</f>
        <v>2549365.41</v>
      </c>
      <c r="D95" s="24">
        <f>SUMIFS('Saldos Iniciales'!$D:$D,'Saldos Iniciales'!$A:$A,"M1B")+SUMIFS(Movimientos!$K$1:$K$1033,Movimientos!$C$1:$C$1033,"M1B",Movimientos!$B$1:$B$1033,"&lt;="&amp;$B95)</f>
        <v>83211.250000000175</v>
      </c>
      <c r="E95" s="24">
        <f>SUMIFS('Saldos Iniciales'!$D:$D,'Saldos Iniciales'!$A:$A,"Durand")+SUMIFS(Movimientos!$K$1:$K$1033,Movimientos!$C$1:$C$1033,"Durand",Movimientos!$B$1:$B$1033,"&lt;="&amp;$B95)</f>
        <v>1669.89</v>
      </c>
      <c r="F95" s="24">
        <f>SUMIFS('Saldos Iniciales'!$D:$D,'Saldos Iniciales'!$A:$A,"A&amp;M Imports")+SUMIFS(Movimientos!$K$1:$K$1033,Movimientos!$C$1:$C$1033,"A&amp;M Imports",Movimientos!$B$1:$B$1033,"&lt;="&amp;$B95)</f>
        <v>1289465.7999999998</v>
      </c>
      <c r="G95" s="24">
        <f>SUMIFS('Saldos Iniciales'!$D:$D,'Saldos Iniciales'!$A:$A,"SSP Capital")+SUMIFS(Movimientos!$K$1:$K$1033,Movimientos!$C$1:$C$1033,"SSP Capital",Movimientos!$B$1:$B$1033,"&lt;="&amp;$B95)</f>
        <v>1528719.2399999995</v>
      </c>
      <c r="H95" s="24">
        <f>SUMIFS('Saldos Iniciales'!$D:$D,'Saldos Iniciales'!$A:$A,"Cross Family Trust")+SUMIFS(Movimientos!$K$1:$K$1033,Movimientos!$C$1:$C$1033,"Cross Family Trust",Movimientos!$B$1:$B$1033,"&lt;="&amp;$B95)</f>
        <v>190496.38</v>
      </c>
      <c r="I95" s="24">
        <f>SUMIFS('Saldos Iniciales'!$D:$D,'Saldos Iniciales'!$A:$A,"Cross Security Trust")+SUMIFS(Movimientos!$K$1:$K$1033,Movimientos!$C$1:$C$1033,"Cross Security Trust",Movimientos!$B$1:$B$1033,"&lt;="&amp;$B95)</f>
        <v>88090.37</v>
      </c>
      <c r="J95" s="24">
        <f>SUMIFS('Saldos Iniciales'!$D:$D,'Saldos Iniciales'!$A:$A,"Electrama")+SUMIFS(Movimientos!$K$1:$K$1033,Movimientos!$C$1:$C$1033,"Electrama",Movimientos!$B$1:$B$1033,"&lt;="&amp;$B95)</f>
        <v>14580.45</v>
      </c>
      <c r="K95" s="24">
        <f>SUMIFS('Saldos Iniciales'!$D:$D,'Saldos Iniciales'!$A:$A,"Sacred Valley Capital")+SUMIFS(Movimientos!$K$1:$K$1033,Movimientos!$C$1:$C$1033,"Sacred Valley Capital",Movimientos!$B$1:$B$1033,"&lt;="&amp;$B95)</f>
        <v>54.400000000000006</v>
      </c>
      <c r="L95" s="24">
        <f>SUMIFS('Saldos Iniciales'!$D:$D,'Saldos Iniciales'!$A:$A,"YWC Capital")+SUMIFS(Movimientos!$K$1:$K$1033,Movimientos!$C$1:$C$1033,"YWC Capital",Movimientos!$B$1:$B$1033,"&lt;="&amp;$B95)</f>
        <v>2207.8200000000002</v>
      </c>
      <c r="M95" s="24">
        <f>SUMIFS('Saldos Iniciales'!$D:$D,'Saldos Iniciales'!$A:$A,"Soweto")+SUMIFS(Movimientos!$K$1:$K$1033,Movimientos!$C$1:$C$1033,"Soweto",Movimientos!$B$1:$B$1033,"&lt;="&amp;$B95)</f>
        <v>1454589.72</v>
      </c>
      <c r="N95" s="24">
        <f>SUMIFS('Saldos Iniciales'!$D:$D,'Saldos Iniciales'!$A:$A,"Green Stone Trust")+SUMIFS(Movimientos!$K$1:$K$1033,Movimientos!$C$1:$C$1033,"Green Stone Trust",Movimientos!$B$1:$B$1033,"&lt;="&amp;$B95)</f>
        <v>1968.99</v>
      </c>
      <c r="O95" s="24">
        <f>SUMIFS('Saldos Iniciales'!$D:$D,'Saldos Iniciales'!$A:$A,"EC Auto")+SUMIFS(Movimientos!$K$1:$K$1033,Movimientos!$C$1:$C$1033,"EC Auto",Movimientos!$B$1:$B$1033,"&lt;="&amp;$B95)</f>
        <v>901.34</v>
      </c>
      <c r="P95" s="24">
        <f>SUMIFS('Saldos Iniciales'!$D:$D,'Saldos Iniciales'!$A:$A,"Arbor Capital Properties")+SUMIFS(Movimientos!$K$1:$K$1033,Movimientos!$C$1:$C$1033,"Arbor Capital Properties",Movimientos!$B$1:$B$1033,"&lt;="&amp;$B95)</f>
        <v>1412.08</v>
      </c>
      <c r="Q95" s="24">
        <f>SUMIFS('Saldos Iniciales'!$D:$D,'Saldos Iniciales'!$A:$A,"2515 Overbrook")+SUMIFS(Movimientos!$K$1:$K$1033,Movimientos!$C$1:$C$1033,"2515 Overbrook",Movimientos!$B$1:$B$1033,"&lt;="&amp;$B95)</f>
        <v>22347.56999999996</v>
      </c>
      <c r="R95" s="24">
        <f>SUMIFS('Saldos Iniciales'!$D:$D,'Saldos Iniciales'!$A:$A,"112 Florida Ave")+SUMIFS(Movimientos!$K$1:$K$1033,Movimientos!$C$1:$C$1033,"112 Florida Ave",Movimientos!$B$1:$B$1033,"&lt;="&amp;$B95)</f>
        <v>18522.800000000003</v>
      </c>
      <c r="S95" s="24">
        <f>SUMIFS('Saldos Iniciales'!$D:$D,'Saldos Iniciales'!$A:$A,"3628 Thomas Ave")+SUMIFS(Movimientos!$K$1:$K$1033,Movimientos!$C$1:$C$1033,"3628 Thomas Ave",Movimientos!$B$1:$B$1033,"&lt;="&amp;$B95)</f>
        <v>28485.559999999998</v>
      </c>
      <c r="T95" s="24">
        <f>SUMIFS('Saldos Iniciales'!$D:$D,'Saldos Iniciales'!$A:$A,"Green Harbor Trust")+SUMIFS(Movimientos!$K$1:$K$1033,Movimientos!$C$1:$C$1033,"Green Harbor Trust",Movimientos!$B$1:$B$1033,"&lt;="&amp;$B95)</f>
        <v>345</v>
      </c>
      <c r="U95" s="24">
        <f>SUMIFS('Saldos Iniciales'!$D:$D,'Saldos Iniciales'!$A:$A,"Go Blue")+SUMIFS(Movimientos!$K$1:$K$1033,Movimientos!$C$1:$C$1033,"Go Blue",Movimientos!$B$1:$B$1033,"&lt;="&amp;$B95)</f>
        <v>11634.930000000004</v>
      </c>
      <c r="V95" s="25">
        <f t="shared" si="21"/>
        <v>7288069</v>
      </c>
    </row>
    <row r="96" spans="1:22" hidden="1" outlineLevel="1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Group")+SUMIFS(Movimientos!$K$1:$K$1033,Movimientos!$C$1:$C$1033,"CFT Group",Movimientos!$B$1:$B$1033,"&lt;="&amp;$B96)</f>
        <v>2549365.41</v>
      </c>
      <c r="D96" s="24">
        <f>SUMIFS('Saldos Iniciales'!$D:$D,'Saldos Iniciales'!$A:$A,"M1B")+SUMIFS(Movimientos!$K$1:$K$1033,Movimientos!$C$1:$C$1033,"M1B",Movimientos!$B$1:$B$1033,"&lt;="&amp;$B96)</f>
        <v>83211.250000000175</v>
      </c>
      <c r="E96" s="24">
        <f>SUMIFS('Saldos Iniciales'!$D:$D,'Saldos Iniciales'!$A:$A,"Durand")+SUMIFS(Movimientos!$K$1:$K$1033,Movimientos!$C$1:$C$1033,"Durand",Movimientos!$B$1:$B$1033,"&lt;="&amp;$B96)</f>
        <v>1669.89</v>
      </c>
      <c r="F96" s="24">
        <f>SUMIFS('Saldos Iniciales'!$D:$D,'Saldos Iniciales'!$A:$A,"A&amp;M Imports")+SUMIFS(Movimientos!$K$1:$K$1033,Movimientos!$C$1:$C$1033,"A&amp;M Imports",Movimientos!$B$1:$B$1033,"&lt;="&amp;$B96)</f>
        <v>1289465.7999999998</v>
      </c>
      <c r="G96" s="24">
        <f>SUMIFS('Saldos Iniciales'!$D:$D,'Saldos Iniciales'!$A:$A,"SSP Capital")+SUMIFS(Movimientos!$K$1:$K$1033,Movimientos!$C$1:$C$1033,"SSP Capital",Movimientos!$B$1:$B$1033,"&lt;="&amp;$B96)</f>
        <v>1528719.2399999995</v>
      </c>
      <c r="H96" s="24">
        <f>SUMIFS('Saldos Iniciales'!$D:$D,'Saldos Iniciales'!$A:$A,"Cross Family Trust")+SUMIFS(Movimientos!$K$1:$K$1033,Movimientos!$C$1:$C$1033,"Cross Family Trust",Movimientos!$B$1:$B$1033,"&lt;="&amp;$B96)</f>
        <v>190496.38</v>
      </c>
      <c r="I96" s="24">
        <f>SUMIFS('Saldos Iniciales'!$D:$D,'Saldos Iniciales'!$A:$A,"Cross Security Trust")+SUMIFS(Movimientos!$K$1:$K$1033,Movimientos!$C$1:$C$1033,"Cross Security Trust",Movimientos!$B$1:$B$1033,"&lt;="&amp;$B96)</f>
        <v>88090.37</v>
      </c>
      <c r="J96" s="24">
        <f>SUMIFS('Saldos Iniciales'!$D:$D,'Saldos Iniciales'!$A:$A,"Electrama")+SUMIFS(Movimientos!$K$1:$K$1033,Movimientos!$C$1:$C$1033,"Electrama",Movimientos!$B$1:$B$1033,"&lt;="&amp;$B96)</f>
        <v>14580.45</v>
      </c>
      <c r="K96" s="24">
        <f>SUMIFS('Saldos Iniciales'!$D:$D,'Saldos Iniciales'!$A:$A,"Sacred Valley Capital")+SUMIFS(Movimientos!$K$1:$K$1033,Movimientos!$C$1:$C$1033,"Sacred Valley Capital",Movimientos!$B$1:$B$1033,"&lt;="&amp;$B96)</f>
        <v>24.450000000000003</v>
      </c>
      <c r="L96" s="24">
        <f>SUMIFS('Saldos Iniciales'!$D:$D,'Saldos Iniciales'!$A:$A,"YWC Capital")+SUMIFS(Movimientos!$K$1:$K$1033,Movimientos!$C$1:$C$1033,"YWC Capital",Movimientos!$B$1:$B$1033,"&lt;="&amp;$B96)</f>
        <v>2177.87</v>
      </c>
      <c r="M96" s="24">
        <f>SUMIFS('Saldos Iniciales'!$D:$D,'Saldos Iniciales'!$A:$A,"Soweto")+SUMIFS(Movimientos!$K$1:$K$1033,Movimientos!$C$1:$C$1033,"Soweto",Movimientos!$B$1:$B$1033,"&lt;="&amp;$B96)</f>
        <v>1454589.72</v>
      </c>
      <c r="N96" s="24">
        <f>SUMIFS('Saldos Iniciales'!$D:$D,'Saldos Iniciales'!$A:$A,"Green Stone Trust")+SUMIFS(Movimientos!$K$1:$K$1033,Movimientos!$C$1:$C$1033,"Green Stone Trust",Movimientos!$B$1:$B$1033,"&lt;="&amp;$B96)</f>
        <v>1968.99</v>
      </c>
      <c r="O96" s="24">
        <f>SUMIFS('Saldos Iniciales'!$D:$D,'Saldos Iniciales'!$A:$A,"EC Auto")+SUMIFS(Movimientos!$K$1:$K$1033,Movimientos!$C$1:$C$1033,"EC Auto",Movimientos!$B$1:$B$1033,"&lt;="&amp;$B96)</f>
        <v>901.34</v>
      </c>
      <c r="P96" s="24">
        <f>SUMIFS('Saldos Iniciales'!$D:$D,'Saldos Iniciales'!$A:$A,"Arbor Capital Properties")+SUMIFS(Movimientos!$K$1:$K$1033,Movimientos!$C$1:$C$1033,"Arbor Capital Properties",Movimientos!$B$1:$B$1033,"&lt;="&amp;$B96)</f>
        <v>1396.08</v>
      </c>
      <c r="Q96" s="24">
        <f>SUMIFS('Saldos Iniciales'!$D:$D,'Saldos Iniciales'!$A:$A,"2515 Overbrook")+SUMIFS(Movimientos!$K$1:$K$1033,Movimientos!$C$1:$C$1033,"2515 Overbrook",Movimientos!$B$1:$B$1033,"&lt;="&amp;$B96)</f>
        <v>13804.239999999962</v>
      </c>
      <c r="R96" s="24">
        <f>SUMIFS('Saldos Iniciales'!$D:$D,'Saldos Iniciales'!$A:$A,"112 Florida Ave")+SUMIFS(Movimientos!$K$1:$K$1033,Movimientos!$C$1:$C$1033,"112 Florida Ave",Movimientos!$B$1:$B$1033,"&lt;="&amp;$B96)</f>
        <v>8724.1700000000037</v>
      </c>
      <c r="S96" s="24">
        <f>SUMIFS('Saldos Iniciales'!$D:$D,'Saldos Iniciales'!$A:$A,"3628 Thomas Ave")+SUMIFS(Movimientos!$K$1:$K$1033,Movimientos!$C$1:$C$1033,"3628 Thomas Ave",Movimientos!$B$1:$B$1033,"&lt;="&amp;$B96)</f>
        <v>15106.099999999997</v>
      </c>
      <c r="T96" s="24">
        <f>SUMIFS('Saldos Iniciales'!$D:$D,'Saldos Iniciales'!$A:$A,"Green Harbor Trust")+SUMIFS(Movimientos!$K$1:$K$1033,Movimientos!$C$1:$C$1033,"Green Harbor Trust",Movimientos!$B$1:$B$1033,"&lt;="&amp;$B96)</f>
        <v>345</v>
      </c>
      <c r="U96" s="24">
        <f>SUMIFS('Saldos Iniciales'!$D:$D,'Saldos Iniciales'!$A:$A,"Go Blue")+SUMIFS(Movimientos!$K$1:$K$1033,Movimientos!$C$1:$C$1033,"Go Blue",Movimientos!$B$1:$B$1033,"&lt;="&amp;$B96)</f>
        <v>8270.3500000000022</v>
      </c>
      <c r="V96" s="25">
        <f t="shared" si="21"/>
        <v>7252907.0999999996</v>
      </c>
    </row>
    <row r="97" spans="1:22" hidden="1" outlineLevel="1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Group")+SUMIFS(Movimientos!$K$1:$K$1033,Movimientos!$C$1:$C$1033,"CFT Group",Movimientos!$B$1:$B$1033,"&lt;="&amp;$B97)</f>
        <v>2549365.41</v>
      </c>
      <c r="D97" s="24">
        <f>SUMIFS('Saldos Iniciales'!$D:$D,'Saldos Iniciales'!$A:$A,"M1B")+SUMIFS(Movimientos!$K$1:$K$1033,Movimientos!$C$1:$C$1033,"M1B",Movimientos!$B$1:$B$1033,"&lt;="&amp;$B97)</f>
        <v>83211.250000000175</v>
      </c>
      <c r="E97" s="24">
        <f>SUMIFS('Saldos Iniciales'!$D:$D,'Saldos Iniciales'!$A:$A,"Durand")+SUMIFS(Movimientos!$K$1:$K$1033,Movimientos!$C$1:$C$1033,"Durand",Movimientos!$B$1:$B$1033,"&lt;="&amp;$B97)</f>
        <v>1669.89</v>
      </c>
      <c r="F97" s="24">
        <f>SUMIFS('Saldos Iniciales'!$D:$D,'Saldos Iniciales'!$A:$A,"A&amp;M Imports")+SUMIFS(Movimientos!$K$1:$K$1033,Movimientos!$C$1:$C$1033,"A&amp;M Imports",Movimientos!$B$1:$B$1033,"&lt;="&amp;$B97)</f>
        <v>1289465.7999999998</v>
      </c>
      <c r="G97" s="24">
        <f>SUMIFS('Saldos Iniciales'!$D:$D,'Saldos Iniciales'!$A:$A,"SSP Capital")+SUMIFS(Movimientos!$K$1:$K$1033,Movimientos!$C$1:$C$1033,"SSP Capital",Movimientos!$B$1:$B$1033,"&lt;="&amp;$B97)</f>
        <v>1528109.5399999996</v>
      </c>
      <c r="H97" s="24">
        <f>SUMIFS('Saldos Iniciales'!$D:$D,'Saldos Iniciales'!$A:$A,"Cross Family Trust")+SUMIFS(Movimientos!$K$1:$K$1033,Movimientos!$C$1:$C$1033,"Cross Family Trust",Movimientos!$B$1:$B$1033,"&lt;="&amp;$B97)</f>
        <v>184496.38</v>
      </c>
      <c r="I97" s="24">
        <f>SUMIFS('Saldos Iniciales'!$D:$D,'Saldos Iniciales'!$A:$A,"Cross Security Trust")+SUMIFS(Movimientos!$K$1:$K$1033,Movimientos!$C$1:$C$1033,"Cross Security Trust",Movimientos!$B$1:$B$1033,"&lt;="&amp;$B97)</f>
        <v>88090.37</v>
      </c>
      <c r="J97" s="24">
        <f>SUMIFS('Saldos Iniciales'!$D:$D,'Saldos Iniciales'!$A:$A,"Electrama")+SUMIFS(Movimientos!$K$1:$K$1033,Movimientos!$C$1:$C$1033,"Electrama",Movimientos!$B$1:$B$1033,"&lt;="&amp;$B97)</f>
        <v>14580.45</v>
      </c>
      <c r="K97" s="24">
        <f>SUMIFS('Saldos Iniciales'!$D:$D,'Saldos Iniciales'!$A:$A,"Sacred Valley Capital")+SUMIFS(Movimientos!$K$1:$K$1033,Movimientos!$C$1:$C$1033,"Sacred Valley Capital",Movimientos!$B$1:$B$1033,"&lt;="&amp;$B97)</f>
        <v>24.450000000000003</v>
      </c>
      <c r="L97" s="24">
        <f>SUMIFS('Saldos Iniciales'!$D:$D,'Saldos Iniciales'!$A:$A,"YWC Capital")+SUMIFS(Movimientos!$K$1:$K$1033,Movimientos!$C$1:$C$1033,"YWC Capital",Movimientos!$B$1:$B$1033,"&lt;="&amp;$B97)</f>
        <v>2177.87</v>
      </c>
      <c r="M97" s="24">
        <f>SUMIFS('Saldos Iniciales'!$D:$D,'Saldos Iniciales'!$A:$A,"Soweto")+SUMIFS(Movimientos!$K$1:$K$1033,Movimientos!$C$1:$C$1033,"Soweto",Movimientos!$B$1:$B$1033,"&lt;="&amp;$B97)</f>
        <v>1454589.72</v>
      </c>
      <c r="N97" s="24">
        <f>SUMIFS('Saldos Iniciales'!$D:$D,'Saldos Iniciales'!$A:$A,"Green Stone Trust")+SUMIFS(Movimientos!$K$1:$K$1033,Movimientos!$C$1:$C$1033,"Green Stone Trust",Movimientos!$B$1:$B$1033,"&lt;="&amp;$B97)</f>
        <v>1968.99</v>
      </c>
      <c r="O97" s="24">
        <f>SUMIFS('Saldos Iniciales'!$D:$D,'Saldos Iniciales'!$A:$A,"EC Auto")+SUMIFS(Movimientos!$K$1:$K$1033,Movimientos!$C$1:$C$1033,"EC Auto",Movimientos!$B$1:$B$1033,"&lt;="&amp;$B97)</f>
        <v>901.34</v>
      </c>
      <c r="P97" s="24">
        <f>SUMIFS('Saldos Iniciales'!$D:$D,'Saldos Iniciales'!$A:$A,"Arbor Capital Properties")+SUMIFS(Movimientos!$K$1:$K$1033,Movimientos!$C$1:$C$1033,"Arbor Capital Properties",Movimientos!$B$1:$B$1033,"&lt;="&amp;$B97)</f>
        <v>1396.08</v>
      </c>
      <c r="Q97" s="24">
        <f>SUMIFS('Saldos Iniciales'!$D:$D,'Saldos Iniciales'!$A:$A,"2515 Overbrook")+SUMIFS(Movimientos!$K$1:$K$1033,Movimientos!$C$1:$C$1033,"2515 Overbrook",Movimientos!$B$1:$B$1033,"&lt;="&amp;$B97)</f>
        <v>13804.239999999962</v>
      </c>
      <c r="R97" s="24">
        <f>SUMIFS('Saldos Iniciales'!$D:$D,'Saldos Iniciales'!$A:$A,"112 Florida Ave")+SUMIFS(Movimientos!$K$1:$K$1033,Movimientos!$C$1:$C$1033,"112 Florida Ave",Movimientos!$B$1:$B$1033,"&lt;="&amp;$B97)</f>
        <v>8724.1700000000037</v>
      </c>
      <c r="S97" s="24">
        <f>SUMIFS('Saldos Iniciales'!$D:$D,'Saldos Iniciales'!$A:$A,"3628 Thomas Ave")+SUMIFS(Movimientos!$K$1:$K$1033,Movimientos!$C$1:$C$1033,"3628 Thomas Ave",Movimientos!$B$1:$B$1033,"&lt;="&amp;$B97)</f>
        <v>15106.099999999997</v>
      </c>
      <c r="T97" s="24">
        <f>SUMIFS('Saldos Iniciales'!$D:$D,'Saldos Iniciales'!$A:$A,"Green Harbor Trust")+SUMIFS(Movimientos!$K$1:$K$1033,Movimientos!$C$1:$C$1033,"Green Harbor Trust",Movimientos!$B$1:$B$1033,"&lt;="&amp;$B97)</f>
        <v>345</v>
      </c>
      <c r="U97" s="24">
        <f>SUMIFS('Saldos Iniciales'!$D:$D,'Saldos Iniciales'!$A:$A,"Go Blue")+SUMIFS(Movimientos!$K$1:$K$1033,Movimientos!$C$1:$C$1033,"Go Blue",Movimientos!$B$1:$B$1033,"&lt;="&amp;$B97)</f>
        <v>7879.4200000000019</v>
      </c>
      <c r="V97" s="25">
        <f t="shared" ref="V97:V102" si="22">SUM(C97:U97)</f>
        <v>7245906.4699999997</v>
      </c>
    </row>
    <row r="98" spans="1:22" hidden="1" outlineLevel="1" x14ac:dyDescent="0.3">
      <c r="A98" s="22">
        <f t="shared" si="12"/>
        <v>97</v>
      </c>
      <c r="B98" s="23">
        <v>46239</v>
      </c>
      <c r="C98" s="24">
        <f>SUMIFS('Saldos Iniciales'!$D:$D,'Saldos Iniciales'!$A:$A,"CFT Group")+SUMIFS(Movimientos!$K$1:$K$1033,Movimientos!$C$1:$C$1033,"CFT Group",Movimientos!$B$1:$B$1033,"&lt;="&amp;$B98)</f>
        <v>2549365.41</v>
      </c>
      <c r="D98" s="24">
        <f>SUMIFS('Saldos Iniciales'!$D:$D,'Saldos Iniciales'!$A:$A,"M1B")+SUMIFS(Movimientos!$K$1:$K$1033,Movimientos!$C$1:$C$1033,"M1B",Movimientos!$B$1:$B$1033,"&lt;="&amp;$B98)</f>
        <v>83211.250000000175</v>
      </c>
      <c r="E98" s="24">
        <f>SUMIFS('Saldos Iniciales'!$D:$D,'Saldos Iniciales'!$A:$A,"Durand")+SUMIFS(Movimientos!$K$1:$K$1033,Movimientos!$C$1:$C$1033,"Durand",Movimientos!$B$1:$B$1033,"&lt;="&amp;$B98)</f>
        <v>1669.89</v>
      </c>
      <c r="F98" s="24">
        <f>SUMIFS('Saldos Iniciales'!$D:$D,'Saldos Iniciales'!$A:$A,"A&amp;M Imports")+SUMIFS(Movimientos!$K$1:$K$1033,Movimientos!$C$1:$C$1033,"A&amp;M Imports",Movimientos!$B$1:$B$1033,"&lt;="&amp;$B98)</f>
        <v>1283465.7999999998</v>
      </c>
      <c r="G98" s="24">
        <f>SUMIFS('Saldos Iniciales'!$D:$D,'Saldos Iniciales'!$A:$A,"SSP Capital")+SUMIFS(Movimientos!$K$1:$K$1033,Movimientos!$C$1:$C$1033,"SSP Capital",Movimientos!$B$1:$B$1033,"&lt;="&amp;$B98)</f>
        <v>1526429.7599999995</v>
      </c>
      <c r="H98" s="24">
        <f>SUMIFS('Saldos Iniciales'!$D:$D,'Saldos Iniciales'!$A:$A,"Cross Family Trust")+SUMIFS(Movimientos!$K$1:$K$1033,Movimientos!$C$1:$C$1033,"Cross Family Trust",Movimientos!$B$1:$B$1033,"&lt;="&amp;$B98)</f>
        <v>184496.38</v>
      </c>
      <c r="I98" s="24">
        <f>SUMIFS('Saldos Iniciales'!$D:$D,'Saldos Iniciales'!$A:$A,"Cross Security Trust")+SUMIFS(Movimientos!$K$1:$K$1033,Movimientos!$C$1:$C$1033,"Cross Security Trust",Movimientos!$B$1:$B$1033,"&lt;="&amp;$B98)</f>
        <v>88090.37</v>
      </c>
      <c r="J98" s="24">
        <f>SUMIFS('Saldos Iniciales'!$D:$D,'Saldos Iniciales'!$A:$A,"Electrama")+SUMIFS(Movimientos!$K$1:$K$1033,Movimientos!$C$1:$C$1033,"Electrama",Movimientos!$B$1:$B$1033,"&lt;="&amp;$B98)</f>
        <v>14540.45</v>
      </c>
      <c r="K98" s="24">
        <f>SUMIFS('Saldos Iniciales'!$D:$D,'Saldos Iniciales'!$A:$A,"Sacred Valley Capital")+SUMIFS(Movimientos!$K$1:$K$1033,Movimientos!$C$1:$C$1033,"Sacred Valley Capital",Movimientos!$B$1:$B$1033,"&lt;="&amp;$B98)</f>
        <v>24.450000000000003</v>
      </c>
      <c r="L98" s="24">
        <f>SUMIFS('Saldos Iniciales'!$D:$D,'Saldos Iniciales'!$A:$A,"YWC Capital")+SUMIFS(Movimientos!$K$1:$K$1033,Movimientos!$C$1:$C$1033,"YWC Capital",Movimientos!$B$1:$B$1033,"&lt;="&amp;$B98)</f>
        <v>2177.87</v>
      </c>
      <c r="M98" s="24">
        <f>SUMIFS('Saldos Iniciales'!$D:$D,'Saldos Iniciales'!$A:$A,"Soweto")+SUMIFS(Movimientos!$K$1:$K$1033,Movimientos!$C$1:$C$1033,"Soweto",Movimientos!$B$1:$B$1033,"&lt;="&amp;$B98)</f>
        <v>1454589.72</v>
      </c>
      <c r="N98" s="24">
        <f>SUMIFS('Saldos Iniciales'!$D:$D,'Saldos Iniciales'!$A:$A,"Green Stone Trust")+SUMIFS(Movimientos!$K$1:$K$1033,Movimientos!$C$1:$C$1033,"Green Stone Trust",Movimientos!$B$1:$B$1033,"&lt;="&amp;$B98)</f>
        <v>1968.99</v>
      </c>
      <c r="O98" s="24">
        <f>SUMIFS('Saldos Iniciales'!$D:$D,'Saldos Iniciales'!$A:$A,"EC Auto")+SUMIFS(Movimientos!$K$1:$K$1033,Movimientos!$C$1:$C$1033,"EC Auto",Movimientos!$B$1:$B$1033,"&lt;="&amp;$B98)</f>
        <v>901.34</v>
      </c>
      <c r="P98" s="24">
        <f>SUMIFS('Saldos Iniciales'!$D:$D,'Saldos Iniciales'!$A:$A,"Arbor Capital Properties")+SUMIFS(Movimientos!$K$1:$K$1033,Movimientos!$C$1:$C$1033,"Arbor Capital Properties",Movimientos!$B$1:$B$1033,"&lt;="&amp;$B98)</f>
        <v>1396.08</v>
      </c>
      <c r="Q98" s="24">
        <f>SUMIFS('Saldos Iniciales'!$D:$D,'Saldos Iniciales'!$A:$A,"2515 Overbrook")+SUMIFS(Movimientos!$K$1:$K$1033,Movimientos!$C$1:$C$1033,"2515 Overbrook",Movimientos!$B$1:$B$1033,"&lt;="&amp;$B98)</f>
        <v>13804.239999999962</v>
      </c>
      <c r="R98" s="24">
        <f>SUMIFS('Saldos Iniciales'!$D:$D,'Saldos Iniciales'!$A:$A,"112 Florida Ave")+SUMIFS(Movimientos!$K$1:$K$1033,Movimientos!$C$1:$C$1033,"112 Florida Ave",Movimientos!$B$1:$B$1033,"&lt;="&amp;$B98)</f>
        <v>8724.1700000000037</v>
      </c>
      <c r="S98" s="24">
        <f>SUMIFS('Saldos Iniciales'!$D:$D,'Saldos Iniciales'!$A:$A,"3628 Thomas Ave")+SUMIFS(Movimientos!$K$1:$K$1033,Movimientos!$C$1:$C$1033,"3628 Thomas Ave",Movimientos!$B$1:$B$1033,"&lt;="&amp;$B98)</f>
        <v>15106.099999999997</v>
      </c>
      <c r="T98" s="24">
        <f>SUMIFS('Saldos Iniciales'!$D:$D,'Saldos Iniciales'!$A:$A,"Green Harbor Trust")+SUMIFS(Movimientos!$K$1:$K$1033,Movimientos!$C$1:$C$1033,"Green Harbor Trust",Movimientos!$B$1:$B$1033,"&lt;="&amp;$B98)</f>
        <v>345</v>
      </c>
      <c r="U98" s="24">
        <f>SUMIFS('Saldos Iniciales'!$D:$D,'Saldos Iniciales'!$A:$A,"Go Blue")+SUMIFS(Movimientos!$K$1:$K$1033,Movimientos!$C$1:$C$1033,"Go Blue",Movimientos!$B$1:$B$1033,"&lt;="&amp;$B98)</f>
        <v>7879.4200000000019</v>
      </c>
      <c r="V98" s="25">
        <f t="shared" si="22"/>
        <v>7238186.6899999995</v>
      </c>
    </row>
    <row r="99" spans="1:22" hidden="1" outlineLevel="1" x14ac:dyDescent="0.3">
      <c r="A99" s="22">
        <f t="shared" si="12"/>
        <v>98</v>
      </c>
      <c r="B99" s="23">
        <v>46240</v>
      </c>
      <c r="C99" s="24">
        <f>SUMIFS('Saldos Iniciales'!$D:$D,'Saldos Iniciales'!$A:$A,"CFT Group")+SUMIFS(Movimientos!$K$1:$K$1033,Movimientos!$C$1:$C$1033,"CFT Group",Movimientos!$B$1:$B$1033,"&lt;="&amp;$B99)</f>
        <v>1234723.7400000002</v>
      </c>
      <c r="D99" s="24">
        <f>SUMIFS('Saldos Iniciales'!$D:$D,'Saldos Iniciales'!$A:$A,"M1B")+SUMIFS(Movimientos!$K$1:$K$1033,Movimientos!$C$1:$C$1033,"M1B",Movimientos!$B$1:$B$1033,"&lt;="&amp;$B99)</f>
        <v>83211.250000000175</v>
      </c>
      <c r="E99" s="24">
        <f>SUMIFS('Saldos Iniciales'!$D:$D,'Saldos Iniciales'!$A:$A,"Durand")+SUMIFS(Movimientos!$K$1:$K$1033,Movimientos!$C$1:$C$1033,"Durand",Movimientos!$B$1:$B$1033,"&lt;="&amp;$B99)</f>
        <v>1669.89</v>
      </c>
      <c r="F99" s="24">
        <f>SUMIFS('Saldos Iniciales'!$D:$D,'Saldos Iniciales'!$A:$A,"A&amp;M Imports")+SUMIFS(Movimientos!$K$1:$K$1033,Movimientos!$C$1:$C$1033,"A&amp;M Imports",Movimientos!$B$1:$B$1033,"&lt;="&amp;$B99)</f>
        <v>1180491.7</v>
      </c>
      <c r="G99" s="24">
        <f>SUMIFS('Saldos Iniciales'!$D:$D,'Saldos Iniciales'!$A:$A,"SSP Capital")+SUMIFS(Movimientos!$K$1:$K$1033,Movimientos!$C$1:$C$1033,"SSP Capital",Movimientos!$B$1:$B$1033,"&lt;="&amp;$B99)</f>
        <v>2116315.9099999997</v>
      </c>
      <c r="H99" s="24">
        <f>SUMIFS('Saldos Iniciales'!$D:$D,'Saldos Iniciales'!$A:$A,"Cross Family Trust")+SUMIFS(Movimientos!$K$1:$K$1033,Movimientos!$C$1:$C$1033,"Cross Family Trust",Movimientos!$B$1:$B$1033,"&lt;="&amp;$B99)</f>
        <v>171496.38</v>
      </c>
      <c r="I99" s="24">
        <f>SUMIFS('Saldos Iniciales'!$D:$D,'Saldos Iniciales'!$A:$A,"Cross Security Trust")+SUMIFS(Movimientos!$K$1:$K$1033,Movimientos!$C$1:$C$1033,"Cross Security Trust",Movimientos!$B$1:$B$1033,"&lt;="&amp;$B99)</f>
        <v>88067.39</v>
      </c>
      <c r="J99" s="24">
        <f>SUMIFS('Saldos Iniciales'!$D:$D,'Saldos Iniciales'!$A:$A,"Electrama")+SUMIFS(Movimientos!$K$1:$K$1033,Movimientos!$C$1:$C$1033,"Electrama",Movimientos!$B$1:$B$1033,"&lt;="&amp;$B99)</f>
        <v>13270.02</v>
      </c>
      <c r="K99" s="24">
        <f>SUMIFS('Saldos Iniciales'!$D:$D,'Saldos Iniciales'!$A:$A,"Sacred Valley Capital")+SUMIFS(Movimientos!$K$1:$K$1033,Movimientos!$C$1:$C$1033,"Sacred Valley Capital",Movimientos!$B$1:$B$1033,"&lt;="&amp;$B99)</f>
        <v>24.450000000000003</v>
      </c>
      <c r="L99" s="24">
        <f>SUMIFS('Saldos Iniciales'!$D:$D,'Saldos Iniciales'!$A:$A,"YWC Capital")+SUMIFS(Movimientos!$K$1:$K$1033,Movimientos!$C$1:$C$1033,"YWC Capital",Movimientos!$B$1:$B$1033,"&lt;="&amp;$B99)</f>
        <v>2177.87</v>
      </c>
      <c r="M99" s="24">
        <f>SUMIFS('Saldos Iniciales'!$D:$D,'Saldos Iniciales'!$A:$A,"Soweto")+SUMIFS(Movimientos!$K$1:$K$1033,Movimientos!$C$1:$C$1033,"Soweto",Movimientos!$B$1:$B$1033,"&lt;="&amp;$B99)</f>
        <v>1454589.72</v>
      </c>
      <c r="N99" s="24">
        <f>SUMIFS('Saldos Iniciales'!$D:$D,'Saldos Iniciales'!$A:$A,"Green Stone Trust")+SUMIFS(Movimientos!$K$1:$K$1033,Movimientos!$C$1:$C$1033,"Green Stone Trust",Movimientos!$B$1:$B$1033,"&lt;="&amp;$B99)</f>
        <v>1968.99</v>
      </c>
      <c r="O99" s="24">
        <f>SUMIFS('Saldos Iniciales'!$D:$D,'Saldos Iniciales'!$A:$A,"EC Auto")+SUMIFS(Movimientos!$K$1:$K$1033,Movimientos!$C$1:$C$1033,"EC Auto",Movimientos!$B$1:$B$1033,"&lt;="&amp;$B99)</f>
        <v>901.34</v>
      </c>
      <c r="P99" s="24">
        <f>SUMIFS('Saldos Iniciales'!$D:$D,'Saldos Iniciales'!$A:$A,"Arbor Capital Properties")+SUMIFS(Movimientos!$K$1:$K$1033,Movimientos!$C$1:$C$1033,"Arbor Capital Properties",Movimientos!$B$1:$B$1033,"&lt;="&amp;$B99)</f>
        <v>1396.08</v>
      </c>
      <c r="Q99" s="24">
        <f>SUMIFS('Saldos Iniciales'!$D:$D,'Saldos Iniciales'!$A:$A,"2515 Overbrook")+SUMIFS(Movimientos!$K$1:$K$1033,Movimientos!$C$1:$C$1033,"2515 Overbrook",Movimientos!$B$1:$B$1033,"&lt;="&amp;$B99)</f>
        <v>13804.239999999962</v>
      </c>
      <c r="R99" s="24">
        <f>SUMIFS('Saldos Iniciales'!$D:$D,'Saldos Iniciales'!$A:$A,"112 Florida Ave")+SUMIFS(Movimientos!$K$1:$K$1033,Movimientos!$C$1:$C$1033,"112 Florida Ave",Movimientos!$B$1:$B$1033,"&lt;="&amp;$B99)</f>
        <v>8724.1700000000037</v>
      </c>
      <c r="S99" s="24">
        <f>SUMIFS('Saldos Iniciales'!$D:$D,'Saldos Iniciales'!$A:$A,"3628 Thomas Ave")+SUMIFS(Movimientos!$K$1:$K$1033,Movimientos!$C$1:$C$1033,"3628 Thomas Ave",Movimientos!$B$1:$B$1033,"&lt;="&amp;$B99)</f>
        <v>15106.099999999997</v>
      </c>
      <c r="T99" s="24">
        <f>SUMIFS('Saldos Iniciales'!$D:$D,'Saldos Iniciales'!$A:$A,"Green Harbor Trust")+SUMIFS(Movimientos!$K$1:$K$1033,Movimientos!$C$1:$C$1033,"Green Harbor Trust",Movimientos!$B$1:$B$1033,"&lt;="&amp;$B99)</f>
        <v>345</v>
      </c>
      <c r="U99" s="24">
        <f>SUMIFS('Saldos Iniciales'!$D:$D,'Saldos Iniciales'!$A:$A,"Go Blue")+SUMIFS(Movimientos!$K$1:$K$1033,Movimientos!$C$1:$C$1033,"Go Blue",Movimientos!$B$1:$B$1033,"&lt;="&amp;$B99)</f>
        <v>12470.040000000003</v>
      </c>
      <c r="V99" s="25">
        <f t="shared" si="22"/>
        <v>6400754.2799999993</v>
      </c>
    </row>
    <row r="100" spans="1:22" hidden="1" outlineLevel="1" x14ac:dyDescent="0.3">
      <c r="A100" s="22">
        <f t="shared" si="12"/>
        <v>99</v>
      </c>
      <c r="B100" s="23">
        <v>46241</v>
      </c>
      <c r="C100" s="24">
        <f>SUMIFS('Saldos Iniciales'!$D:$D,'Saldos Iniciales'!$A:$A,"CFT Group")+SUMIFS(Movimientos!$K$1:$K$1033,Movimientos!$C$1:$C$1033,"CFT Group",Movimientos!$B$1:$B$1033,"&lt;="&amp;$B100)</f>
        <v>1234723.7400000002</v>
      </c>
      <c r="D100" s="24">
        <f>SUMIFS('Saldos Iniciales'!$D:$D,'Saldos Iniciales'!$A:$A,"M1B")+SUMIFS(Movimientos!$K$1:$K$1033,Movimientos!$C$1:$C$1033,"M1B",Movimientos!$B$1:$B$1033,"&lt;="&amp;$B100)</f>
        <v>83211.250000000175</v>
      </c>
      <c r="E100" s="24">
        <f>SUMIFS('Saldos Iniciales'!$D:$D,'Saldos Iniciales'!$A:$A,"Durand")+SUMIFS(Movimientos!$K$1:$K$1033,Movimientos!$C$1:$C$1033,"Durand",Movimientos!$B$1:$B$1033,"&lt;="&amp;$B100)</f>
        <v>1669.89</v>
      </c>
      <c r="F100" s="24">
        <f>SUMIFS('Saldos Iniciales'!$D:$D,'Saldos Iniciales'!$A:$A,"A&amp;M Imports")+SUMIFS(Movimientos!$K$1:$K$1033,Movimientos!$C$1:$C$1033,"A&amp;M Imports",Movimientos!$B$1:$B$1033,"&lt;="&amp;$B100)</f>
        <v>1180491.7</v>
      </c>
      <c r="G100" s="24">
        <f>SUMIFS('Saldos Iniciales'!$D:$D,'Saldos Iniciales'!$A:$A,"SSP Capital")+SUMIFS(Movimientos!$K$1:$K$1033,Movimientos!$C$1:$C$1033,"SSP Capital",Movimientos!$B$1:$B$1033,"&lt;="&amp;$B100)</f>
        <v>2116315.9099999997</v>
      </c>
      <c r="H100" s="24">
        <f>SUMIFS('Saldos Iniciales'!$D:$D,'Saldos Iniciales'!$A:$A,"Cross Family Trust")+SUMIFS(Movimientos!$K$1:$K$1033,Movimientos!$C$1:$C$1033,"Cross Family Trust",Movimientos!$B$1:$B$1033,"&lt;="&amp;$B100)</f>
        <v>171496.38</v>
      </c>
      <c r="I100" s="24">
        <f>SUMIFS('Saldos Iniciales'!$D:$D,'Saldos Iniciales'!$A:$A,"Cross Security Trust")+SUMIFS(Movimientos!$K$1:$K$1033,Movimientos!$C$1:$C$1033,"Cross Security Trust",Movimientos!$B$1:$B$1033,"&lt;="&amp;$B100)</f>
        <v>88067.39</v>
      </c>
      <c r="J100" s="24">
        <f>SUMIFS('Saldos Iniciales'!$D:$D,'Saldos Iniciales'!$A:$A,"Electrama")+SUMIFS(Movimientos!$K$1:$K$1033,Movimientos!$C$1:$C$1033,"Electrama",Movimientos!$B$1:$B$1033,"&lt;="&amp;$B100)</f>
        <v>13270.02</v>
      </c>
      <c r="K100" s="24">
        <f>SUMIFS('Saldos Iniciales'!$D:$D,'Saldos Iniciales'!$A:$A,"Sacred Valley Capital")+SUMIFS(Movimientos!$K$1:$K$1033,Movimientos!$C$1:$C$1033,"Sacred Valley Capital",Movimientos!$B$1:$B$1033,"&lt;="&amp;$B100)</f>
        <v>24.450000000000003</v>
      </c>
      <c r="L100" s="24">
        <f>SUMIFS('Saldos Iniciales'!$D:$D,'Saldos Iniciales'!$A:$A,"YWC Capital")+SUMIFS(Movimientos!$K$1:$K$1033,Movimientos!$C$1:$C$1033,"YWC Capital",Movimientos!$B$1:$B$1033,"&lt;="&amp;$B100)</f>
        <v>2177.87</v>
      </c>
      <c r="M100" s="24">
        <f>SUMIFS('Saldos Iniciales'!$D:$D,'Saldos Iniciales'!$A:$A,"Soweto")+SUMIFS(Movimientos!$K$1:$K$1033,Movimientos!$C$1:$C$1033,"Soweto",Movimientos!$B$1:$B$1033,"&lt;="&amp;$B100)</f>
        <v>1454589.72</v>
      </c>
      <c r="N100" s="24">
        <f>SUMIFS('Saldos Iniciales'!$D:$D,'Saldos Iniciales'!$A:$A,"Green Stone Trust")+SUMIFS(Movimientos!$K$1:$K$1033,Movimientos!$C$1:$C$1033,"Green Stone Trust",Movimientos!$B$1:$B$1033,"&lt;="&amp;$B100)</f>
        <v>1968.99</v>
      </c>
      <c r="O100" s="24">
        <f>SUMIFS('Saldos Iniciales'!$D:$D,'Saldos Iniciales'!$A:$A,"EC Auto")+SUMIFS(Movimientos!$K$1:$K$1033,Movimientos!$C$1:$C$1033,"EC Auto",Movimientos!$B$1:$B$1033,"&lt;="&amp;$B100)</f>
        <v>901.34</v>
      </c>
      <c r="P100" s="24">
        <f>SUMIFS('Saldos Iniciales'!$D:$D,'Saldos Iniciales'!$A:$A,"Arbor Capital Properties")+SUMIFS(Movimientos!$K$1:$K$1033,Movimientos!$C$1:$C$1033,"Arbor Capital Properties",Movimientos!$B$1:$B$1033,"&lt;="&amp;$B100)</f>
        <v>1396.08</v>
      </c>
      <c r="Q100" s="24">
        <f>SUMIFS('Saldos Iniciales'!$D:$D,'Saldos Iniciales'!$A:$A,"2515 Overbrook")+SUMIFS(Movimientos!$K$1:$K$1033,Movimientos!$C$1:$C$1033,"2515 Overbrook",Movimientos!$B$1:$B$1033,"&lt;="&amp;$B100)</f>
        <v>11259.639999999961</v>
      </c>
      <c r="R100" s="24">
        <f>SUMIFS('Saldos Iniciales'!$D:$D,'Saldos Iniciales'!$A:$A,"112 Florida Ave")+SUMIFS(Movimientos!$K$1:$K$1033,Movimientos!$C$1:$C$1033,"112 Florida Ave",Movimientos!$B$1:$B$1033,"&lt;="&amp;$B100)</f>
        <v>8724.1700000000037</v>
      </c>
      <c r="S100" s="24">
        <f>SUMIFS('Saldos Iniciales'!$D:$D,'Saldos Iniciales'!$A:$A,"3628 Thomas Ave")+SUMIFS(Movimientos!$K$1:$K$1033,Movimientos!$C$1:$C$1033,"3628 Thomas Ave",Movimientos!$B$1:$B$1033,"&lt;="&amp;$B100)</f>
        <v>20106.099999999999</v>
      </c>
      <c r="T100" s="24">
        <f>SUMIFS('Saldos Iniciales'!$D:$D,'Saldos Iniciales'!$A:$A,"Green Harbor Trust")+SUMIFS(Movimientos!$K$1:$K$1033,Movimientos!$C$1:$C$1033,"Green Harbor Trust",Movimientos!$B$1:$B$1033,"&lt;="&amp;$B100)</f>
        <v>345</v>
      </c>
      <c r="U100" s="24">
        <f>SUMIFS('Saldos Iniciales'!$D:$D,'Saldos Iniciales'!$A:$A,"Go Blue")+SUMIFS(Movimientos!$K$1:$K$1033,Movimientos!$C$1:$C$1033,"Go Blue",Movimientos!$B$1:$B$1033,"&lt;="&amp;$B100)</f>
        <v>12470.040000000003</v>
      </c>
      <c r="V100" s="25">
        <f t="shared" si="22"/>
        <v>6403209.6799999988</v>
      </c>
    </row>
    <row r="101" spans="1:22" hidden="1" outlineLevel="1" x14ac:dyDescent="0.3">
      <c r="A101" s="22">
        <f t="shared" si="12"/>
        <v>100</v>
      </c>
      <c r="B101" s="23">
        <v>46242</v>
      </c>
      <c r="C101" s="24">
        <f>SUMIFS('Saldos Iniciales'!$D:$D,'Saldos Iniciales'!$A:$A,"CFT Group")+SUMIFS(Movimientos!$K$1:$K$1033,Movimientos!$C$1:$C$1033,"CFT Group",Movimientos!$B$1:$B$1033,"&lt;="&amp;$B101)</f>
        <v>1234723.7400000002</v>
      </c>
      <c r="D101" s="24">
        <f>SUMIFS('Saldos Iniciales'!$D:$D,'Saldos Iniciales'!$A:$A,"M1B")+SUMIFS(Movimientos!$K$1:$K$1033,Movimientos!$C$1:$C$1033,"M1B",Movimientos!$B$1:$B$1033,"&lt;="&amp;$B101)</f>
        <v>83211.250000000175</v>
      </c>
      <c r="E101" s="24">
        <f>SUMIFS('Saldos Iniciales'!$D:$D,'Saldos Iniciales'!$A:$A,"Durand")+SUMIFS(Movimientos!$K$1:$K$1033,Movimientos!$C$1:$C$1033,"Durand",Movimientos!$B$1:$B$1033,"&lt;="&amp;$B101)</f>
        <v>1669.89</v>
      </c>
      <c r="F101" s="24">
        <f>SUMIFS('Saldos Iniciales'!$D:$D,'Saldos Iniciales'!$A:$A,"A&amp;M Imports")+SUMIFS(Movimientos!$K$1:$K$1033,Movimientos!$C$1:$C$1033,"A&amp;M Imports",Movimientos!$B$1:$B$1033,"&lt;="&amp;$B101)</f>
        <v>1180491.7</v>
      </c>
      <c r="G101" s="24">
        <f>SUMIFS('Saldos Iniciales'!$D:$D,'Saldos Iniciales'!$A:$A,"SSP Capital")+SUMIFS(Movimientos!$K$1:$K$1033,Movimientos!$C$1:$C$1033,"SSP Capital",Movimientos!$B$1:$B$1033,"&lt;="&amp;$B101)</f>
        <v>2116315.9099999997</v>
      </c>
      <c r="H101" s="24">
        <f>SUMIFS('Saldos Iniciales'!$D:$D,'Saldos Iniciales'!$A:$A,"Cross Family Trust")+SUMIFS(Movimientos!$K$1:$K$1033,Movimientos!$C$1:$C$1033,"Cross Family Trust",Movimientos!$B$1:$B$1033,"&lt;="&amp;$B101)</f>
        <v>171496.38</v>
      </c>
      <c r="I101" s="24">
        <f>SUMIFS('Saldos Iniciales'!$D:$D,'Saldos Iniciales'!$A:$A,"Cross Security Trust")+SUMIFS(Movimientos!$K$1:$K$1033,Movimientos!$C$1:$C$1033,"Cross Security Trust",Movimientos!$B$1:$B$1033,"&lt;="&amp;$B101)</f>
        <v>88067.39</v>
      </c>
      <c r="J101" s="24">
        <f>SUMIFS('Saldos Iniciales'!$D:$D,'Saldos Iniciales'!$A:$A,"Electrama")+SUMIFS(Movimientos!$K$1:$K$1033,Movimientos!$C$1:$C$1033,"Electrama",Movimientos!$B$1:$B$1033,"&lt;="&amp;$B101)</f>
        <v>13270.02</v>
      </c>
      <c r="K101" s="24">
        <f>SUMIFS('Saldos Iniciales'!$D:$D,'Saldos Iniciales'!$A:$A,"Sacred Valley Capital")+SUMIFS(Movimientos!$K$1:$K$1033,Movimientos!$C$1:$C$1033,"Sacred Valley Capital",Movimientos!$B$1:$B$1033,"&lt;="&amp;$B101)</f>
        <v>24.450000000000003</v>
      </c>
      <c r="L101" s="24">
        <f>SUMIFS('Saldos Iniciales'!$D:$D,'Saldos Iniciales'!$A:$A,"YWC Capital")+SUMIFS(Movimientos!$K$1:$K$1033,Movimientos!$C$1:$C$1033,"YWC Capital",Movimientos!$B$1:$B$1033,"&lt;="&amp;$B101)</f>
        <v>2177.87</v>
      </c>
      <c r="M101" s="24">
        <f>SUMIFS('Saldos Iniciales'!$D:$D,'Saldos Iniciales'!$A:$A,"Soweto")+SUMIFS(Movimientos!$K$1:$K$1033,Movimientos!$C$1:$C$1033,"Soweto",Movimientos!$B$1:$B$1033,"&lt;="&amp;$B101)</f>
        <v>1454589.72</v>
      </c>
      <c r="N101" s="24">
        <f>SUMIFS('Saldos Iniciales'!$D:$D,'Saldos Iniciales'!$A:$A,"Green Stone Trust")+SUMIFS(Movimientos!$K$1:$K$1033,Movimientos!$C$1:$C$1033,"Green Stone Trust",Movimientos!$B$1:$B$1033,"&lt;="&amp;$B101)</f>
        <v>1968.99</v>
      </c>
      <c r="O101" s="24">
        <f>SUMIFS('Saldos Iniciales'!$D:$D,'Saldos Iniciales'!$A:$A,"EC Auto")+SUMIFS(Movimientos!$K$1:$K$1033,Movimientos!$C$1:$C$1033,"EC Auto",Movimientos!$B$1:$B$1033,"&lt;="&amp;$B101)</f>
        <v>901.34</v>
      </c>
      <c r="P101" s="24">
        <f>SUMIFS('Saldos Iniciales'!$D:$D,'Saldos Iniciales'!$A:$A,"Arbor Capital Properties")+SUMIFS(Movimientos!$K$1:$K$1033,Movimientos!$C$1:$C$1033,"Arbor Capital Properties",Movimientos!$B$1:$B$1033,"&lt;="&amp;$B101)</f>
        <v>1396.08</v>
      </c>
      <c r="Q101" s="24">
        <f>SUMIFS('Saldos Iniciales'!$D:$D,'Saldos Iniciales'!$A:$A,"2515 Overbrook")+SUMIFS(Movimientos!$K$1:$K$1033,Movimientos!$C$1:$C$1033,"2515 Overbrook",Movimientos!$B$1:$B$1033,"&lt;="&amp;$B101)</f>
        <v>11259.639999999961</v>
      </c>
      <c r="R101" s="24">
        <f>SUMIFS('Saldos Iniciales'!$D:$D,'Saldos Iniciales'!$A:$A,"112 Florida Ave")+SUMIFS(Movimientos!$K$1:$K$1033,Movimientos!$C$1:$C$1033,"112 Florida Ave",Movimientos!$B$1:$B$1033,"&lt;="&amp;$B101)</f>
        <v>8724.1700000000037</v>
      </c>
      <c r="S101" s="24">
        <f>SUMIFS('Saldos Iniciales'!$D:$D,'Saldos Iniciales'!$A:$A,"3628 Thomas Ave")+SUMIFS(Movimientos!$K$1:$K$1033,Movimientos!$C$1:$C$1033,"3628 Thomas Ave",Movimientos!$B$1:$B$1033,"&lt;="&amp;$B101)</f>
        <v>20106.099999999999</v>
      </c>
      <c r="T101" s="24">
        <f>SUMIFS('Saldos Iniciales'!$D:$D,'Saldos Iniciales'!$A:$A,"Green Harbor Trust")+SUMIFS(Movimientos!$K$1:$K$1033,Movimientos!$C$1:$C$1033,"Green Harbor Trust",Movimientos!$B$1:$B$1033,"&lt;="&amp;$B101)</f>
        <v>345</v>
      </c>
      <c r="U101" s="24">
        <f>SUMIFS('Saldos Iniciales'!$D:$D,'Saldos Iniciales'!$A:$A,"Go Blue")+SUMIFS(Movimientos!$K$1:$K$1033,Movimientos!$C$1:$C$1033,"Go Blue",Movimientos!$B$1:$B$1033,"&lt;="&amp;$B101)</f>
        <v>12470.040000000003</v>
      </c>
      <c r="V101" s="25">
        <f t="shared" si="22"/>
        <v>6403209.6799999988</v>
      </c>
    </row>
    <row r="102" spans="1:22" hidden="1" outlineLevel="1" x14ac:dyDescent="0.3">
      <c r="A102" s="22">
        <f t="shared" si="12"/>
        <v>101</v>
      </c>
      <c r="B102" s="23">
        <v>46243</v>
      </c>
      <c r="C102" s="24">
        <f>SUMIFS('Saldos Iniciales'!$D:$D,'Saldos Iniciales'!$A:$A,"CFT Group")+SUMIFS(Movimientos!$K$1:$K$1033,Movimientos!$C$1:$C$1033,"CFT Group",Movimientos!$B$1:$B$1033,"&lt;="&amp;$B102)</f>
        <v>1234723.7400000002</v>
      </c>
      <c r="D102" s="24">
        <f>SUMIFS('Saldos Iniciales'!$D:$D,'Saldos Iniciales'!$A:$A,"M1B")+SUMIFS(Movimientos!$K$1:$K$1033,Movimientos!$C$1:$C$1033,"M1B",Movimientos!$B$1:$B$1033,"&lt;="&amp;$B102)</f>
        <v>83211.250000000175</v>
      </c>
      <c r="E102" s="24">
        <f>SUMIFS('Saldos Iniciales'!$D:$D,'Saldos Iniciales'!$A:$A,"Durand")+SUMIFS(Movimientos!$K$1:$K$1033,Movimientos!$C$1:$C$1033,"Durand",Movimientos!$B$1:$B$1033,"&lt;="&amp;$B102)</f>
        <v>1669.89</v>
      </c>
      <c r="F102" s="24">
        <f>SUMIFS('Saldos Iniciales'!$D:$D,'Saldos Iniciales'!$A:$A,"A&amp;M Imports")+SUMIFS(Movimientos!$K$1:$K$1033,Movimientos!$C$1:$C$1033,"A&amp;M Imports",Movimientos!$B$1:$B$1033,"&lt;="&amp;$B102)</f>
        <v>1180491.7</v>
      </c>
      <c r="G102" s="24">
        <f>SUMIFS('Saldos Iniciales'!$D:$D,'Saldos Iniciales'!$A:$A,"SSP Capital")+SUMIFS(Movimientos!$K$1:$K$1033,Movimientos!$C$1:$C$1033,"SSP Capital",Movimientos!$B$1:$B$1033,"&lt;="&amp;$B102)</f>
        <v>2116315.9099999997</v>
      </c>
      <c r="H102" s="24">
        <f>SUMIFS('Saldos Iniciales'!$D:$D,'Saldos Iniciales'!$A:$A,"Cross Family Trust")+SUMIFS(Movimientos!$K$1:$K$1033,Movimientos!$C$1:$C$1033,"Cross Family Trust",Movimientos!$B$1:$B$1033,"&lt;="&amp;$B102)</f>
        <v>171496.38</v>
      </c>
      <c r="I102" s="24">
        <f>SUMIFS('Saldos Iniciales'!$D:$D,'Saldos Iniciales'!$A:$A,"Cross Security Trust")+SUMIFS(Movimientos!$K$1:$K$1033,Movimientos!$C$1:$C$1033,"Cross Security Trust",Movimientos!$B$1:$B$1033,"&lt;="&amp;$B102)</f>
        <v>88067.39</v>
      </c>
      <c r="J102" s="24">
        <f>SUMIFS('Saldos Iniciales'!$D:$D,'Saldos Iniciales'!$A:$A,"Electrama")+SUMIFS(Movimientos!$K$1:$K$1033,Movimientos!$C$1:$C$1033,"Electrama",Movimientos!$B$1:$B$1033,"&lt;="&amp;$B102)</f>
        <v>13270.02</v>
      </c>
      <c r="K102" s="24">
        <f>SUMIFS('Saldos Iniciales'!$D:$D,'Saldos Iniciales'!$A:$A,"Sacred Valley Capital")+SUMIFS(Movimientos!$K$1:$K$1033,Movimientos!$C$1:$C$1033,"Sacred Valley Capital",Movimientos!$B$1:$B$1033,"&lt;="&amp;$B102)</f>
        <v>24.450000000000003</v>
      </c>
      <c r="L102" s="24">
        <f>SUMIFS('Saldos Iniciales'!$D:$D,'Saldos Iniciales'!$A:$A,"YWC Capital")+SUMIFS(Movimientos!$K$1:$K$1033,Movimientos!$C$1:$C$1033,"YWC Capital",Movimientos!$B$1:$B$1033,"&lt;="&amp;$B102)</f>
        <v>2177.87</v>
      </c>
      <c r="M102" s="24">
        <f>SUMIFS('Saldos Iniciales'!$D:$D,'Saldos Iniciales'!$A:$A,"Soweto")+SUMIFS(Movimientos!$K$1:$K$1033,Movimientos!$C$1:$C$1033,"Soweto",Movimientos!$B$1:$B$1033,"&lt;="&amp;$B102)</f>
        <v>1454589.72</v>
      </c>
      <c r="N102" s="24">
        <f>SUMIFS('Saldos Iniciales'!$D:$D,'Saldos Iniciales'!$A:$A,"Green Stone Trust")+SUMIFS(Movimientos!$K$1:$K$1033,Movimientos!$C$1:$C$1033,"Green Stone Trust",Movimientos!$B$1:$B$1033,"&lt;="&amp;$B102)</f>
        <v>1968.99</v>
      </c>
      <c r="O102" s="24">
        <f>SUMIFS('Saldos Iniciales'!$D:$D,'Saldos Iniciales'!$A:$A,"EC Auto")+SUMIFS(Movimientos!$K$1:$K$1033,Movimientos!$C$1:$C$1033,"EC Auto",Movimientos!$B$1:$B$1033,"&lt;="&amp;$B102)</f>
        <v>901.34</v>
      </c>
      <c r="P102" s="24">
        <f>SUMIFS('Saldos Iniciales'!$D:$D,'Saldos Iniciales'!$A:$A,"Arbor Capital Properties")+SUMIFS(Movimientos!$K$1:$K$1033,Movimientos!$C$1:$C$1033,"Arbor Capital Properties",Movimientos!$B$1:$B$1033,"&lt;="&amp;$B102)</f>
        <v>1396.08</v>
      </c>
      <c r="Q102" s="24">
        <f>SUMIFS('Saldos Iniciales'!$D:$D,'Saldos Iniciales'!$A:$A,"2515 Overbrook")+SUMIFS(Movimientos!$K$1:$K$1033,Movimientos!$C$1:$C$1033,"2515 Overbrook",Movimientos!$B$1:$B$1033,"&lt;="&amp;$B102)</f>
        <v>11259.639999999961</v>
      </c>
      <c r="R102" s="24">
        <f>SUMIFS('Saldos Iniciales'!$D:$D,'Saldos Iniciales'!$A:$A,"112 Florida Ave")+SUMIFS(Movimientos!$K$1:$K$1033,Movimientos!$C$1:$C$1033,"112 Florida Ave",Movimientos!$B$1:$B$1033,"&lt;="&amp;$B102)</f>
        <v>8724.1700000000037</v>
      </c>
      <c r="S102" s="24">
        <f>SUMIFS('Saldos Iniciales'!$D:$D,'Saldos Iniciales'!$A:$A,"3628 Thomas Ave")+SUMIFS(Movimientos!$K$1:$K$1033,Movimientos!$C$1:$C$1033,"3628 Thomas Ave",Movimientos!$B$1:$B$1033,"&lt;="&amp;$B102)</f>
        <v>20106.099999999999</v>
      </c>
      <c r="T102" s="24">
        <f>SUMIFS('Saldos Iniciales'!$D:$D,'Saldos Iniciales'!$A:$A,"Green Harbor Trust")+SUMIFS(Movimientos!$K$1:$K$1033,Movimientos!$C$1:$C$1033,"Green Harbor Trust",Movimientos!$B$1:$B$1033,"&lt;="&amp;$B102)</f>
        <v>345</v>
      </c>
      <c r="U102" s="24">
        <f>SUMIFS('Saldos Iniciales'!$D:$D,'Saldos Iniciales'!$A:$A,"Go Blue")+SUMIFS(Movimientos!$K$1:$K$1033,Movimientos!$C$1:$C$1033,"Go Blue",Movimientos!$B$1:$B$1033,"&lt;="&amp;$B102)</f>
        <v>12470.040000000003</v>
      </c>
      <c r="V102" s="25">
        <f t="shared" si="22"/>
        <v>6403209.6799999988</v>
      </c>
    </row>
    <row r="103" spans="1:22" hidden="1" outlineLevel="1" x14ac:dyDescent="0.3">
      <c r="A103" s="22">
        <f t="shared" si="12"/>
        <v>102</v>
      </c>
      <c r="B103" s="23">
        <v>46244</v>
      </c>
      <c r="C103" s="24">
        <f>SUMIFS('Saldos Iniciales'!$D:$D,'Saldos Iniciales'!$A:$A,"CFT Group")+SUMIFS(Movimientos!$K$1:$K$1033,Movimientos!$C$1:$C$1033,"CFT Group",Movimientos!$B$1:$B$1033,"&lt;="&amp;$B103)</f>
        <v>1341410.31</v>
      </c>
      <c r="D103" s="24">
        <f>SUMIFS('Saldos Iniciales'!$D:$D,'Saldos Iniciales'!$A:$A,"M1B")+SUMIFS(Movimientos!$K$1:$K$1033,Movimientos!$C$1:$C$1033,"M1B",Movimientos!$B$1:$B$1033,"&lt;="&amp;$B103)</f>
        <v>83211.250000000175</v>
      </c>
      <c r="E103" s="24">
        <f>SUMIFS('Saldos Iniciales'!$D:$D,'Saldos Iniciales'!$A:$A,"Durand")+SUMIFS(Movimientos!$K$1:$K$1033,Movimientos!$C$1:$C$1033,"Durand",Movimientos!$B$1:$B$1033,"&lt;="&amp;$B103)</f>
        <v>1669.89</v>
      </c>
      <c r="F103" s="24">
        <f>SUMIFS('Saldos Iniciales'!$D:$D,'Saldos Iniciales'!$A:$A,"A&amp;M Imports")+SUMIFS(Movimientos!$K$1:$K$1033,Movimientos!$C$1:$C$1033,"A&amp;M Imports",Movimientos!$B$1:$B$1033,"&lt;="&amp;$B103)</f>
        <v>1180491.7</v>
      </c>
      <c r="G103" s="24">
        <f>SUMIFS('Saldos Iniciales'!$D:$D,'Saldos Iniciales'!$A:$A,"SSP Capital")+SUMIFS(Movimientos!$K$1:$K$1033,Movimientos!$C$1:$C$1033,"SSP Capital",Movimientos!$B$1:$B$1033,"&lt;="&amp;$B103)</f>
        <v>2113044.0199999996</v>
      </c>
      <c r="H103" s="24">
        <f>SUMIFS('Saldos Iniciales'!$D:$D,'Saldos Iniciales'!$A:$A,"Cross Family Trust")+SUMIFS(Movimientos!$K$1:$K$1033,Movimientos!$C$1:$C$1033,"Cross Family Trust",Movimientos!$B$1:$B$1033,"&lt;="&amp;$B103)</f>
        <v>171496.38</v>
      </c>
      <c r="I103" s="24">
        <f>SUMIFS('Saldos Iniciales'!$D:$D,'Saldos Iniciales'!$A:$A,"Cross Security Trust")+SUMIFS(Movimientos!$K$1:$K$1033,Movimientos!$C$1:$C$1033,"Cross Security Trust",Movimientos!$B$1:$B$1033,"&lt;="&amp;$B103)</f>
        <v>88067.39</v>
      </c>
      <c r="J103" s="24">
        <f>SUMIFS('Saldos Iniciales'!$D:$D,'Saldos Iniciales'!$A:$A,"Electrama")+SUMIFS(Movimientos!$K$1:$K$1033,Movimientos!$C$1:$C$1033,"Electrama",Movimientos!$B$1:$B$1033,"&lt;="&amp;$B103)</f>
        <v>13270.02</v>
      </c>
      <c r="K103" s="24">
        <f>SUMIFS('Saldos Iniciales'!$D:$D,'Saldos Iniciales'!$A:$A,"Sacred Valley Capital")+SUMIFS(Movimientos!$K$1:$K$1033,Movimientos!$C$1:$C$1033,"Sacred Valley Capital",Movimientos!$B$1:$B$1033,"&lt;="&amp;$B103)</f>
        <v>24.450000000000003</v>
      </c>
      <c r="L103" s="24">
        <f>SUMIFS('Saldos Iniciales'!$D:$D,'Saldos Iniciales'!$A:$A,"YWC Capital")+SUMIFS(Movimientos!$K$1:$K$1033,Movimientos!$C$1:$C$1033,"YWC Capital",Movimientos!$B$1:$B$1033,"&lt;="&amp;$B103)</f>
        <v>2177.87</v>
      </c>
      <c r="M103" s="24">
        <f>SUMIFS('Saldos Iniciales'!$D:$D,'Saldos Iniciales'!$A:$A,"Soweto")+SUMIFS(Movimientos!$K$1:$K$1033,Movimientos!$C$1:$C$1033,"Soweto",Movimientos!$B$1:$B$1033,"&lt;="&amp;$B103)</f>
        <v>1454589.72</v>
      </c>
      <c r="N103" s="24">
        <f>SUMIFS('Saldos Iniciales'!$D:$D,'Saldos Iniciales'!$A:$A,"Green Stone Trust")+SUMIFS(Movimientos!$K$1:$K$1033,Movimientos!$C$1:$C$1033,"Green Stone Trust",Movimientos!$B$1:$B$1033,"&lt;="&amp;$B103)</f>
        <v>1968.99</v>
      </c>
      <c r="O103" s="24">
        <f>SUMIFS('Saldos Iniciales'!$D:$D,'Saldos Iniciales'!$A:$A,"EC Auto")+SUMIFS(Movimientos!$K$1:$K$1033,Movimientos!$C$1:$C$1033,"EC Auto",Movimientos!$B$1:$B$1033,"&lt;="&amp;$B103)</f>
        <v>901.34</v>
      </c>
      <c r="P103" s="24">
        <f>SUMIFS('Saldos Iniciales'!$D:$D,'Saldos Iniciales'!$A:$A,"Arbor Capital Properties")+SUMIFS(Movimientos!$K$1:$K$1033,Movimientos!$C$1:$C$1033,"Arbor Capital Properties",Movimientos!$B$1:$B$1033,"&lt;="&amp;$B103)</f>
        <v>1396.08</v>
      </c>
      <c r="Q103" s="24">
        <f>SUMIFS('Saldos Iniciales'!$D:$D,'Saldos Iniciales'!$A:$A,"2515 Overbrook")+SUMIFS(Movimientos!$K$1:$K$1033,Movimientos!$C$1:$C$1033,"2515 Overbrook",Movimientos!$B$1:$B$1033,"&lt;="&amp;$B103)</f>
        <v>3700.7099999999591</v>
      </c>
      <c r="R103" s="24">
        <f>SUMIFS('Saldos Iniciales'!$D:$D,'Saldos Iniciales'!$A:$A,"112 Florida Ave")+SUMIFS(Movimientos!$K$1:$K$1033,Movimientos!$C$1:$C$1033,"112 Florida Ave",Movimientos!$B$1:$B$1033,"&lt;="&amp;$B103)</f>
        <v>8724.1700000000037</v>
      </c>
      <c r="S103" s="24">
        <f>SUMIFS('Saldos Iniciales'!$D:$D,'Saldos Iniciales'!$A:$A,"3628 Thomas Ave")+SUMIFS(Movimientos!$K$1:$K$1033,Movimientos!$C$1:$C$1033,"3628 Thomas Ave",Movimientos!$B$1:$B$1033,"&lt;="&amp;$B103)</f>
        <v>20106.099999999999</v>
      </c>
      <c r="T103" s="24">
        <f>SUMIFS('Saldos Iniciales'!$D:$D,'Saldos Iniciales'!$A:$A,"Green Harbor Trust")+SUMIFS(Movimientos!$K$1:$K$1033,Movimientos!$C$1:$C$1033,"Green Harbor Trust",Movimientos!$B$1:$B$1033,"&lt;="&amp;$B103)</f>
        <v>345</v>
      </c>
      <c r="U103" s="24">
        <f>SUMIFS('Saldos Iniciales'!$D:$D,'Saldos Iniciales'!$A:$A,"Go Blue")+SUMIFS(Movimientos!$K$1:$K$1033,Movimientos!$C$1:$C$1033,"Go Blue",Movimientos!$B$1:$B$1033,"&lt;="&amp;$B103)</f>
        <v>12470.040000000003</v>
      </c>
      <c r="V103" s="25">
        <f t="shared" ref="V103" si="23">SUM(C103:U103)</f>
        <v>6499065.4299999988</v>
      </c>
    </row>
    <row r="104" spans="1:22" hidden="1" outlineLevel="1" x14ac:dyDescent="0.3">
      <c r="A104" s="22">
        <f t="shared" si="12"/>
        <v>103</v>
      </c>
      <c r="B104" s="23">
        <v>46245</v>
      </c>
      <c r="C104" s="24">
        <f>SUMIFS('Saldos Iniciales'!$D:$D,'Saldos Iniciales'!$A:$A,"CFT Group")+SUMIFS(Movimientos!$K$1:$K$1033,Movimientos!$C$1:$C$1033,"CFT Group",Movimientos!$B$1:$B$1033,"&lt;="&amp;$B104)</f>
        <v>1341410.31</v>
      </c>
      <c r="D104" s="24">
        <f>SUMIFS('Saldos Iniciales'!$D:$D,'Saldos Iniciales'!$A:$A,"M1B")+SUMIFS(Movimientos!$K$1:$K$1033,Movimientos!$C$1:$C$1033,"M1B",Movimientos!$B$1:$B$1033,"&lt;="&amp;$B104)</f>
        <v>83211.250000000175</v>
      </c>
      <c r="E104" s="24">
        <f>SUMIFS('Saldos Iniciales'!$D:$D,'Saldos Iniciales'!$A:$A,"Durand")+SUMIFS(Movimientos!$K$1:$K$1033,Movimientos!$C$1:$C$1033,"Durand",Movimientos!$B$1:$B$1033,"&lt;="&amp;$B104)</f>
        <v>1669.89</v>
      </c>
      <c r="F104" s="24">
        <f>SUMIFS('Saldos Iniciales'!$D:$D,'Saldos Iniciales'!$A:$A,"A&amp;M Imports")+SUMIFS(Movimientos!$K$1:$K$1033,Movimientos!$C$1:$C$1033,"A&amp;M Imports",Movimientos!$B$1:$B$1033,"&lt;="&amp;$B104)</f>
        <v>1180491.7</v>
      </c>
      <c r="G104" s="24">
        <f>SUMIFS('Saldos Iniciales'!$D:$D,'Saldos Iniciales'!$A:$A,"SSP Capital")+SUMIFS(Movimientos!$K$1:$K$1033,Movimientos!$C$1:$C$1033,"SSP Capital",Movimientos!$B$1:$B$1033,"&lt;="&amp;$B104)</f>
        <v>1637162.9399999995</v>
      </c>
      <c r="H104" s="24">
        <f>SUMIFS('Saldos Iniciales'!$D:$D,'Saldos Iniciales'!$A:$A,"Cross Family Trust")+SUMIFS(Movimientos!$K$1:$K$1033,Movimientos!$C$1:$C$1033,"Cross Family Trust",Movimientos!$B$1:$B$1033,"&lt;="&amp;$B104)</f>
        <v>171496.38</v>
      </c>
      <c r="I104" s="24">
        <f>SUMIFS('Saldos Iniciales'!$D:$D,'Saldos Iniciales'!$A:$A,"Cross Security Trust")+SUMIFS(Movimientos!$K$1:$K$1033,Movimientos!$C$1:$C$1033,"Cross Security Trust",Movimientos!$B$1:$B$1033,"&lt;="&amp;$B104)</f>
        <v>88067.39</v>
      </c>
      <c r="J104" s="24">
        <f>SUMIFS('Saldos Iniciales'!$D:$D,'Saldos Iniciales'!$A:$A,"Electrama")+SUMIFS(Movimientos!$K$1:$K$1033,Movimientos!$C$1:$C$1033,"Electrama",Movimientos!$B$1:$B$1033,"&lt;="&amp;$B104)</f>
        <v>13270.02</v>
      </c>
      <c r="K104" s="24">
        <f>SUMIFS('Saldos Iniciales'!$D:$D,'Saldos Iniciales'!$A:$A,"Sacred Valley Capital")+SUMIFS(Movimientos!$K$1:$K$1033,Movimientos!$C$1:$C$1033,"Sacred Valley Capital",Movimientos!$B$1:$B$1033,"&lt;="&amp;$B104)</f>
        <v>24.450000000000003</v>
      </c>
      <c r="L104" s="24">
        <f>SUMIFS('Saldos Iniciales'!$D:$D,'Saldos Iniciales'!$A:$A,"YWC Capital")+SUMIFS(Movimientos!$K$1:$K$1033,Movimientos!$C$1:$C$1033,"YWC Capital",Movimientos!$B$1:$B$1033,"&lt;="&amp;$B104)</f>
        <v>2177.87</v>
      </c>
      <c r="M104" s="24">
        <f>SUMIFS('Saldos Iniciales'!$D:$D,'Saldos Iniciales'!$A:$A,"Soweto")+SUMIFS(Movimientos!$K$1:$K$1033,Movimientos!$C$1:$C$1033,"Soweto",Movimientos!$B$1:$B$1033,"&lt;="&amp;$B104)</f>
        <v>1454589.72</v>
      </c>
      <c r="N104" s="24">
        <f>SUMIFS('Saldos Iniciales'!$D:$D,'Saldos Iniciales'!$A:$A,"Green Stone Trust")+SUMIFS(Movimientos!$K$1:$K$1033,Movimientos!$C$1:$C$1033,"Green Stone Trust",Movimientos!$B$1:$B$1033,"&lt;="&amp;$B104)</f>
        <v>1968.99</v>
      </c>
      <c r="O104" s="24">
        <f>SUMIFS('Saldos Iniciales'!$D:$D,'Saldos Iniciales'!$A:$A,"EC Auto")+SUMIFS(Movimientos!$K$1:$K$1033,Movimientos!$C$1:$C$1033,"EC Auto",Movimientos!$B$1:$B$1033,"&lt;="&amp;$B104)</f>
        <v>901.34</v>
      </c>
      <c r="P104" s="24">
        <f>SUMIFS('Saldos Iniciales'!$D:$D,'Saldos Iniciales'!$A:$A,"Arbor Capital Properties")+SUMIFS(Movimientos!$K$1:$K$1033,Movimientos!$C$1:$C$1033,"Arbor Capital Properties",Movimientos!$B$1:$B$1033,"&lt;="&amp;$B104)</f>
        <v>1396.08</v>
      </c>
      <c r="Q104" s="24">
        <f>SUMIFS('Saldos Iniciales'!$D:$D,'Saldos Iniciales'!$A:$A,"2515 Overbrook")+SUMIFS(Movimientos!$K$1:$K$1033,Movimientos!$C$1:$C$1033,"2515 Overbrook",Movimientos!$B$1:$B$1033,"&lt;="&amp;$B104)</f>
        <v>3700.7099999999591</v>
      </c>
      <c r="R104" s="24">
        <f>SUMIFS('Saldos Iniciales'!$D:$D,'Saldos Iniciales'!$A:$A,"112 Florida Ave")+SUMIFS(Movimientos!$K$1:$K$1033,Movimientos!$C$1:$C$1033,"112 Florida Ave",Movimientos!$B$1:$B$1033,"&lt;="&amp;$B104)</f>
        <v>8724.1700000000037</v>
      </c>
      <c r="S104" s="24">
        <f>SUMIFS('Saldos Iniciales'!$D:$D,'Saldos Iniciales'!$A:$A,"3628 Thomas Ave")+SUMIFS(Movimientos!$K$1:$K$1033,Movimientos!$C$1:$C$1033,"3628 Thomas Ave",Movimientos!$B$1:$B$1033,"&lt;="&amp;$B104)</f>
        <v>19442.439999999995</v>
      </c>
      <c r="T104" s="24">
        <f>SUMIFS('Saldos Iniciales'!$D:$D,'Saldos Iniciales'!$A:$A,"Green Harbor Trust")+SUMIFS(Movimientos!$K$1:$K$1033,Movimientos!$C$1:$C$1033,"Green Harbor Trust",Movimientos!$B$1:$B$1033,"&lt;="&amp;$B104)</f>
        <v>345</v>
      </c>
      <c r="U104" s="24">
        <f>SUMIFS('Saldos Iniciales'!$D:$D,'Saldos Iniciales'!$A:$A,"Go Blue")+SUMIFS(Movimientos!$K$1:$K$1033,Movimientos!$C$1:$C$1033,"Go Blue",Movimientos!$B$1:$B$1033,"&lt;="&amp;$B104)</f>
        <v>12470.040000000003</v>
      </c>
      <c r="V104" s="25">
        <f t="shared" ref="V104:V105" si="24">SUM(C104:U104)</f>
        <v>6022520.6899999995</v>
      </c>
    </row>
    <row r="105" spans="1:22" hidden="1" outlineLevel="1" x14ac:dyDescent="0.3">
      <c r="A105" s="22">
        <f t="shared" si="12"/>
        <v>104</v>
      </c>
      <c r="B105" s="23">
        <v>46246</v>
      </c>
      <c r="C105" s="24">
        <f>SUMIFS('Saldos Iniciales'!$D:$D,'Saldos Iniciales'!$A:$A,"CFT Group")+SUMIFS(Movimientos!$K$1:$K$1033,Movimientos!$C$1:$C$1033,"CFT Group",Movimientos!$B$1:$B$1033,"&lt;="&amp;$B105)</f>
        <v>1341410.31</v>
      </c>
      <c r="D105" s="24">
        <f>SUMIFS('Saldos Iniciales'!$D:$D,'Saldos Iniciales'!$A:$A,"M1B")+SUMIFS(Movimientos!$K$1:$K$1033,Movimientos!$C$1:$C$1033,"M1B",Movimientos!$B$1:$B$1033,"&lt;="&amp;$B105)</f>
        <v>83211.250000000175</v>
      </c>
      <c r="E105" s="24">
        <f>SUMIFS('Saldos Iniciales'!$D:$D,'Saldos Iniciales'!$A:$A,"Durand")+SUMIFS(Movimientos!$K$1:$K$1033,Movimientos!$C$1:$C$1033,"Durand",Movimientos!$B$1:$B$1033,"&lt;="&amp;$B105)</f>
        <v>1669.89</v>
      </c>
      <c r="F105" s="24">
        <f>SUMIFS('Saldos Iniciales'!$D:$D,'Saldos Iniciales'!$A:$A,"A&amp;M Imports")+SUMIFS(Movimientos!$K$1:$K$1033,Movimientos!$C$1:$C$1033,"A&amp;M Imports",Movimientos!$B$1:$B$1033,"&lt;="&amp;$B105)</f>
        <v>1180491.7</v>
      </c>
      <c r="G105" s="24">
        <f>SUMIFS('Saldos Iniciales'!$D:$D,'Saldos Iniciales'!$A:$A,"SSP Capital")+SUMIFS(Movimientos!$K$1:$K$1033,Movimientos!$C$1:$C$1033,"SSP Capital",Movimientos!$B$1:$B$1033,"&lt;="&amp;$B105)</f>
        <v>1637156.9399999995</v>
      </c>
      <c r="H105" s="24">
        <f>SUMIFS('Saldos Iniciales'!$D:$D,'Saldos Iniciales'!$A:$A,"Cross Family Trust")+SUMIFS(Movimientos!$K$1:$K$1033,Movimientos!$C$1:$C$1033,"Cross Family Trust",Movimientos!$B$1:$B$1033,"&lt;="&amp;$B105)</f>
        <v>731496.38</v>
      </c>
      <c r="I105" s="24">
        <f>SUMIFS('Saldos Iniciales'!$D:$D,'Saldos Iniciales'!$A:$A,"Cross Security Trust")+SUMIFS(Movimientos!$K$1:$K$1033,Movimientos!$C$1:$C$1033,"Cross Security Trust",Movimientos!$B$1:$B$1033,"&lt;="&amp;$B105)</f>
        <v>158067.38999999998</v>
      </c>
      <c r="J105" s="24">
        <f>SUMIFS('Saldos Iniciales'!$D:$D,'Saldos Iniciales'!$A:$A,"Electrama")+SUMIFS(Movimientos!$K$1:$K$1033,Movimientos!$C$1:$C$1033,"Electrama",Movimientos!$B$1:$B$1033,"&lt;="&amp;$B105)</f>
        <v>13270.02</v>
      </c>
      <c r="K105" s="24">
        <f>SUMIFS('Saldos Iniciales'!$D:$D,'Saldos Iniciales'!$A:$A,"Sacred Valley Capital")+SUMIFS(Movimientos!$K$1:$K$1033,Movimientos!$C$1:$C$1033,"Sacred Valley Capital",Movimientos!$B$1:$B$1033,"&lt;="&amp;$B105)</f>
        <v>24.450000000000003</v>
      </c>
      <c r="L105" s="24">
        <f>SUMIFS('Saldos Iniciales'!$D:$D,'Saldos Iniciales'!$A:$A,"YWC Capital")+SUMIFS(Movimientos!$K$1:$K$1033,Movimientos!$C$1:$C$1033,"YWC Capital",Movimientos!$B$1:$B$1033,"&lt;="&amp;$B105)</f>
        <v>2177.87</v>
      </c>
      <c r="M105" s="24">
        <f>SUMIFS('Saldos Iniciales'!$D:$D,'Saldos Iniciales'!$A:$A,"Soweto")+SUMIFS(Movimientos!$K$1:$K$1033,Movimientos!$C$1:$C$1033,"Soweto",Movimientos!$B$1:$B$1033,"&lt;="&amp;$B105)</f>
        <v>754424.72</v>
      </c>
      <c r="N105" s="24">
        <f>SUMIFS('Saldos Iniciales'!$D:$D,'Saldos Iniciales'!$A:$A,"Green Stone Trust")+SUMIFS(Movimientos!$K$1:$K$1033,Movimientos!$C$1:$C$1033,"Green Stone Trust",Movimientos!$B$1:$B$1033,"&lt;="&amp;$B105)</f>
        <v>1968.99</v>
      </c>
      <c r="O105" s="24">
        <f>SUMIFS('Saldos Iniciales'!$D:$D,'Saldos Iniciales'!$A:$A,"EC Auto")+SUMIFS(Movimientos!$K$1:$K$1033,Movimientos!$C$1:$C$1033,"EC Auto",Movimientos!$B$1:$B$1033,"&lt;="&amp;$B105)</f>
        <v>901.34</v>
      </c>
      <c r="P105" s="24">
        <f>SUMIFS('Saldos Iniciales'!$D:$D,'Saldos Iniciales'!$A:$A,"Arbor Capital Properties")+SUMIFS(Movimientos!$K$1:$K$1033,Movimientos!$C$1:$C$1033,"Arbor Capital Properties",Movimientos!$B$1:$B$1033,"&lt;="&amp;$B105)</f>
        <v>1396.08</v>
      </c>
      <c r="Q105" s="24">
        <f>SUMIFS('Saldos Iniciales'!$D:$D,'Saldos Iniciales'!$A:$A,"2515 Overbrook")+SUMIFS(Movimientos!$K$1:$K$1033,Movimientos!$C$1:$C$1033,"2515 Overbrook",Movimientos!$B$1:$B$1033,"&lt;="&amp;$B105)</f>
        <v>3700.7099999999591</v>
      </c>
      <c r="R105" s="24">
        <f>SUMIFS('Saldos Iniciales'!$D:$D,'Saldos Iniciales'!$A:$A,"112 Florida Ave")+SUMIFS(Movimientos!$K$1:$K$1033,Movimientos!$C$1:$C$1033,"112 Florida Ave",Movimientos!$B$1:$B$1033,"&lt;="&amp;$B105)</f>
        <v>8724.1700000000037</v>
      </c>
      <c r="S105" s="24">
        <f>SUMIFS('Saldos Iniciales'!$D:$D,'Saldos Iniciales'!$A:$A,"3628 Thomas Ave")+SUMIFS(Movimientos!$K$1:$K$1033,Movimientos!$C$1:$C$1033,"3628 Thomas Ave",Movimientos!$B$1:$B$1033,"&lt;="&amp;$B105)</f>
        <v>19336.039999999997</v>
      </c>
      <c r="T105" s="24">
        <f>SUMIFS('Saldos Iniciales'!$D:$D,'Saldos Iniciales'!$A:$A,"Green Harbor Trust")+SUMIFS(Movimientos!$K$1:$K$1033,Movimientos!$C$1:$C$1033,"Green Harbor Trust",Movimientos!$B$1:$B$1033,"&lt;="&amp;$B105)</f>
        <v>345</v>
      </c>
      <c r="U105" s="24">
        <f>SUMIFS('Saldos Iniciales'!$D:$D,'Saldos Iniciales'!$A:$A,"Go Blue")+SUMIFS(Movimientos!$K$1:$K$1033,Movimientos!$C$1:$C$1033,"Go Blue",Movimientos!$B$1:$B$1033,"&lt;="&amp;$B105)</f>
        <v>12470.040000000003</v>
      </c>
      <c r="V105" s="25">
        <f t="shared" si="24"/>
        <v>5952243.2899999991</v>
      </c>
    </row>
    <row r="106" spans="1:22" hidden="1" outlineLevel="1" x14ac:dyDescent="0.3">
      <c r="A106" s="22">
        <f t="shared" si="12"/>
        <v>105</v>
      </c>
      <c r="B106" s="23">
        <v>46247</v>
      </c>
      <c r="C106" s="24">
        <f>SUMIFS('Saldos Iniciales'!$D:$D,'Saldos Iniciales'!$A:$A,"CFT Group")+SUMIFS(Movimientos!$K$1:$K$1033,Movimientos!$C$1:$C$1033,"CFT Group",Movimientos!$B$1:$B$1033,"&lt;="&amp;$B106)</f>
        <v>1122556.9100000004</v>
      </c>
      <c r="D106" s="24">
        <f>SUMIFS('Saldos Iniciales'!$D:$D,'Saldos Iniciales'!$A:$A,"M1B")+SUMIFS(Movimientos!$K$1:$K$1033,Movimientos!$C$1:$C$1033,"M1B",Movimientos!$B$1:$B$1033,"&lt;="&amp;$B106)</f>
        <v>83211.250000000175</v>
      </c>
      <c r="E106" s="24">
        <f>SUMIFS('Saldos Iniciales'!$D:$D,'Saldos Iniciales'!$A:$A,"Durand")+SUMIFS(Movimientos!$K$1:$K$1033,Movimientos!$C$1:$C$1033,"Durand",Movimientos!$B$1:$B$1033,"&lt;="&amp;$B106)</f>
        <v>1669.89</v>
      </c>
      <c r="F106" s="24">
        <f>SUMIFS('Saldos Iniciales'!$D:$D,'Saldos Iniciales'!$A:$A,"A&amp;M Imports")+SUMIFS(Movimientos!$K$1:$K$1033,Movimientos!$C$1:$C$1033,"A&amp;M Imports",Movimientos!$B$1:$B$1033,"&lt;="&amp;$B106)</f>
        <v>1120491.7</v>
      </c>
      <c r="G106" s="24">
        <f>SUMIFS('Saldos Iniciales'!$D:$D,'Saldos Iniciales'!$A:$A,"SSP Capital")+SUMIFS(Movimientos!$K$1:$K$1033,Movimientos!$C$1:$C$1033,"SSP Capital",Movimientos!$B$1:$B$1033,"&lt;="&amp;$B106)</f>
        <v>1433050.7599999995</v>
      </c>
      <c r="H106" s="24">
        <f>SUMIFS('Saldos Iniciales'!$D:$D,'Saldos Iniciales'!$A:$A,"Cross Family Trust")+SUMIFS(Movimientos!$K$1:$K$1033,Movimientos!$C$1:$C$1033,"Cross Family Trust",Movimientos!$B$1:$B$1033,"&lt;="&amp;$B106)</f>
        <v>221496.38</v>
      </c>
      <c r="I106" s="24">
        <f>SUMIFS('Saldos Iniciales'!$D:$D,'Saldos Iniciales'!$A:$A,"Cross Security Trust")+SUMIFS(Movimientos!$K$1:$K$1033,Movimientos!$C$1:$C$1033,"Cross Security Trust",Movimientos!$B$1:$B$1033,"&lt;="&amp;$B106)</f>
        <v>158067.38999999998</v>
      </c>
      <c r="J106" s="24">
        <f>SUMIFS('Saldos Iniciales'!$D:$D,'Saldos Iniciales'!$A:$A,"Electrama")+SUMIFS(Movimientos!$K$1:$K$1033,Movimientos!$C$1:$C$1033,"Electrama",Movimientos!$B$1:$B$1033,"&lt;="&amp;$B106)</f>
        <v>13270.02</v>
      </c>
      <c r="K106" s="24">
        <f>SUMIFS('Saldos Iniciales'!$D:$D,'Saldos Iniciales'!$A:$A,"Sacred Valley Capital")+SUMIFS(Movimientos!$K$1:$K$1033,Movimientos!$C$1:$C$1033,"Sacred Valley Capital",Movimientos!$B$1:$B$1033,"&lt;="&amp;$B106)</f>
        <v>24.450000000000003</v>
      </c>
      <c r="L106" s="24">
        <f>SUMIFS('Saldos Iniciales'!$D:$D,'Saldos Iniciales'!$A:$A,"YWC Capital")+SUMIFS(Movimientos!$K$1:$K$1033,Movimientos!$C$1:$C$1033,"YWC Capital",Movimientos!$B$1:$B$1033,"&lt;="&amp;$B106)</f>
        <v>2177.87</v>
      </c>
      <c r="M106" s="24">
        <f>SUMIFS('Saldos Iniciales'!$D:$D,'Saldos Iniciales'!$A:$A,"Soweto")+SUMIFS(Movimientos!$K$1:$K$1033,Movimientos!$C$1:$C$1033,"Soweto",Movimientos!$B$1:$B$1033,"&lt;="&amp;$B106)</f>
        <v>754424.72</v>
      </c>
      <c r="N106" s="24">
        <f>SUMIFS('Saldos Iniciales'!$D:$D,'Saldos Iniciales'!$A:$A,"Green Stone Trust")+SUMIFS(Movimientos!$K$1:$K$1033,Movimientos!$C$1:$C$1033,"Green Stone Trust",Movimientos!$B$1:$B$1033,"&lt;="&amp;$B106)</f>
        <v>1968.99</v>
      </c>
      <c r="O106" s="24">
        <f>SUMIFS('Saldos Iniciales'!$D:$D,'Saldos Iniciales'!$A:$A,"EC Auto")+SUMIFS(Movimientos!$K$1:$K$1033,Movimientos!$C$1:$C$1033,"EC Auto",Movimientos!$B$1:$B$1033,"&lt;="&amp;$B106)</f>
        <v>901.34</v>
      </c>
      <c r="P106" s="24">
        <f>SUMIFS('Saldos Iniciales'!$D:$D,'Saldos Iniciales'!$A:$A,"Arbor Capital Properties")+SUMIFS(Movimientos!$K$1:$K$1033,Movimientos!$C$1:$C$1033,"Arbor Capital Properties",Movimientos!$B$1:$B$1033,"&lt;="&amp;$B106)</f>
        <v>1396.08</v>
      </c>
      <c r="Q106" s="24">
        <f>SUMIFS('Saldos Iniciales'!$D:$D,'Saldos Iniciales'!$A:$A,"2515 Overbrook")+SUMIFS(Movimientos!$K$1:$K$1033,Movimientos!$C$1:$C$1033,"2515 Overbrook",Movimientos!$B$1:$B$1033,"&lt;="&amp;$B106)</f>
        <v>13700.709999999959</v>
      </c>
      <c r="R106" s="24">
        <f>SUMIFS('Saldos Iniciales'!$D:$D,'Saldos Iniciales'!$A:$A,"112 Florida Ave")+SUMIFS(Movimientos!$K$1:$K$1033,Movimientos!$C$1:$C$1033,"112 Florida Ave",Movimientos!$B$1:$B$1033,"&lt;="&amp;$B106)</f>
        <v>8724.1700000000037</v>
      </c>
      <c r="S106" s="24">
        <f>SUMIFS('Saldos Iniciales'!$D:$D,'Saldos Iniciales'!$A:$A,"3628 Thomas Ave")+SUMIFS(Movimientos!$K$1:$K$1033,Movimientos!$C$1:$C$1033,"3628 Thomas Ave",Movimientos!$B$1:$B$1033,"&lt;="&amp;$B106)</f>
        <v>19336.039999999997</v>
      </c>
      <c r="T106" s="24">
        <f>SUMIFS('Saldos Iniciales'!$D:$D,'Saldos Iniciales'!$A:$A,"Green Harbor Trust")+SUMIFS(Movimientos!$K$1:$K$1033,Movimientos!$C$1:$C$1033,"Green Harbor Trust",Movimientos!$B$1:$B$1033,"&lt;="&amp;$B106)</f>
        <v>345</v>
      </c>
      <c r="U106" s="24">
        <f>SUMIFS('Saldos Iniciales'!$D:$D,'Saldos Iniciales'!$A:$A,"Go Blue")+SUMIFS(Movimientos!$K$1:$K$1033,Movimientos!$C$1:$C$1033,"Go Blue",Movimientos!$B$1:$B$1033,"&lt;="&amp;$B106)</f>
        <v>14740.900000000001</v>
      </c>
      <c r="V106" s="25">
        <f t="shared" ref="V106:V107" si="25">SUM(C106:U106)</f>
        <v>4971554.57</v>
      </c>
    </row>
    <row r="107" spans="1:22" hidden="1" outlineLevel="1" x14ac:dyDescent="0.3">
      <c r="A107" s="22">
        <f t="shared" si="12"/>
        <v>106</v>
      </c>
      <c r="B107" s="23">
        <v>46248</v>
      </c>
      <c r="C107" s="24">
        <f>SUMIFS('Saldos Iniciales'!$D:$D,'Saldos Iniciales'!$A:$A,"CFT Group")+SUMIFS(Movimientos!$K$1:$K$1033,Movimientos!$C$1:$C$1033,"CFT Group",Movimientos!$B$1:$B$1033,"&lt;="&amp;$B107)</f>
        <v>1022556.9100000004</v>
      </c>
      <c r="D107" s="24">
        <f>SUMIFS('Saldos Iniciales'!$D:$D,'Saldos Iniciales'!$A:$A,"M1B")+SUMIFS(Movimientos!$K$1:$K$1033,Movimientos!$C$1:$C$1033,"M1B",Movimientos!$B$1:$B$1033,"&lt;="&amp;$B107)</f>
        <v>83211.250000000175</v>
      </c>
      <c r="E107" s="24">
        <f>SUMIFS('Saldos Iniciales'!$D:$D,'Saldos Iniciales'!$A:$A,"Durand")+SUMIFS(Movimientos!$K$1:$K$1033,Movimientos!$C$1:$C$1033,"Durand",Movimientos!$B$1:$B$1033,"&lt;="&amp;$B107)</f>
        <v>1669.89</v>
      </c>
      <c r="F107" s="24">
        <f>SUMIFS('Saldos Iniciales'!$D:$D,'Saldos Iniciales'!$A:$A,"A&amp;M Imports")+SUMIFS(Movimientos!$K$1:$K$1033,Movimientos!$C$1:$C$1033,"A&amp;M Imports",Movimientos!$B$1:$B$1033,"&lt;="&amp;$B107)</f>
        <v>1120491.7</v>
      </c>
      <c r="G107" s="24">
        <f>SUMIFS('Saldos Iniciales'!$D:$D,'Saldos Iniciales'!$A:$A,"SSP Capital")+SUMIFS(Movimientos!$K$1:$K$1033,Movimientos!$C$1:$C$1033,"SSP Capital",Movimientos!$B$1:$B$1033,"&lt;="&amp;$B107)</f>
        <v>1433050.7599999995</v>
      </c>
      <c r="H107" s="24">
        <f>SUMIFS('Saldos Iniciales'!$D:$D,'Saldos Iniciales'!$A:$A,"Cross Family Trust")+SUMIFS(Movimientos!$K$1:$K$1033,Movimientos!$C$1:$C$1033,"Cross Family Trust",Movimientos!$B$1:$B$1033,"&lt;="&amp;$B107)</f>
        <v>221496.38</v>
      </c>
      <c r="I107" s="24">
        <f>SUMIFS('Saldos Iniciales'!$D:$D,'Saldos Iniciales'!$A:$A,"Cross Security Trust")+SUMIFS(Movimientos!$K$1:$K$1033,Movimientos!$C$1:$C$1033,"Cross Security Trust",Movimientos!$B$1:$B$1033,"&lt;="&amp;$B107)</f>
        <v>158071.25999999998</v>
      </c>
      <c r="J107" s="24">
        <f>SUMIFS('Saldos Iniciales'!$D:$D,'Saldos Iniciales'!$A:$A,"Electrama")+SUMIFS(Movimientos!$K$1:$K$1033,Movimientos!$C$1:$C$1033,"Electrama",Movimientos!$B$1:$B$1033,"&lt;="&amp;$B107)</f>
        <v>13270.02</v>
      </c>
      <c r="K107" s="24">
        <f>SUMIFS('Saldos Iniciales'!$D:$D,'Saldos Iniciales'!$A:$A,"Sacred Valley Capital")+SUMIFS(Movimientos!$K$1:$K$1033,Movimientos!$C$1:$C$1033,"Sacred Valley Capital",Movimientos!$B$1:$B$1033,"&lt;="&amp;$B107)</f>
        <v>24.450000000000003</v>
      </c>
      <c r="L107" s="24">
        <f>SUMIFS('Saldos Iniciales'!$D:$D,'Saldos Iniciales'!$A:$A,"YWC Capital")+SUMIFS(Movimientos!$K$1:$K$1033,Movimientos!$C$1:$C$1033,"YWC Capital",Movimientos!$B$1:$B$1033,"&lt;="&amp;$B107)</f>
        <v>2177.87</v>
      </c>
      <c r="M107" s="24">
        <f>SUMIFS('Saldos Iniciales'!$D:$D,'Saldos Iniciales'!$A:$A,"Soweto")+SUMIFS(Movimientos!$K$1:$K$1033,Movimientos!$C$1:$C$1033,"Soweto",Movimientos!$B$1:$B$1033,"&lt;="&amp;$B107)</f>
        <v>754424.72</v>
      </c>
      <c r="N107" s="24">
        <f>SUMIFS('Saldos Iniciales'!$D:$D,'Saldos Iniciales'!$A:$A,"Green Stone Trust")+SUMIFS(Movimientos!$K$1:$K$1033,Movimientos!$C$1:$C$1033,"Green Stone Trust",Movimientos!$B$1:$B$1033,"&lt;="&amp;$B107)</f>
        <v>1968.99</v>
      </c>
      <c r="O107" s="24">
        <f>SUMIFS('Saldos Iniciales'!$D:$D,'Saldos Iniciales'!$A:$A,"EC Auto")+SUMIFS(Movimientos!$K$1:$K$1033,Movimientos!$C$1:$C$1033,"EC Auto",Movimientos!$B$1:$B$1033,"&lt;="&amp;$B107)</f>
        <v>901.34</v>
      </c>
      <c r="P107" s="24">
        <f>SUMIFS('Saldos Iniciales'!$D:$D,'Saldos Iniciales'!$A:$A,"Arbor Capital Properties")+SUMIFS(Movimientos!$K$1:$K$1033,Movimientos!$C$1:$C$1033,"Arbor Capital Properties",Movimientos!$B$1:$B$1033,"&lt;="&amp;$B107)</f>
        <v>1396.08</v>
      </c>
      <c r="Q107" s="24">
        <f>SUMIFS('Saldos Iniciales'!$D:$D,'Saldos Iniciales'!$A:$A,"2515 Overbrook")+SUMIFS(Movimientos!$K$1:$K$1033,Movimientos!$C$1:$C$1033,"2515 Overbrook",Movimientos!$B$1:$B$1033,"&lt;="&amp;$B107)</f>
        <v>13685.709999999959</v>
      </c>
      <c r="R107" s="24">
        <f>SUMIFS('Saldos Iniciales'!$D:$D,'Saldos Iniciales'!$A:$A,"112 Florida Ave")+SUMIFS(Movimientos!$K$1:$K$1033,Movimientos!$C$1:$C$1033,"112 Florida Ave",Movimientos!$B$1:$B$1033,"&lt;="&amp;$B107)</f>
        <v>8724.1700000000037</v>
      </c>
      <c r="S107" s="24">
        <f>SUMIFS('Saldos Iniciales'!$D:$D,'Saldos Iniciales'!$A:$A,"3628 Thomas Ave")+SUMIFS(Movimientos!$K$1:$K$1033,Movimientos!$C$1:$C$1033,"3628 Thomas Ave",Movimientos!$B$1:$B$1033,"&lt;="&amp;$B107)</f>
        <v>19336.039999999997</v>
      </c>
      <c r="T107" s="24">
        <f>SUMIFS('Saldos Iniciales'!$D:$D,'Saldos Iniciales'!$A:$A,"Green Harbor Trust")+SUMIFS(Movimientos!$K$1:$K$1033,Movimientos!$C$1:$C$1033,"Green Harbor Trust",Movimientos!$B$1:$B$1033,"&lt;="&amp;$B107)</f>
        <v>345</v>
      </c>
      <c r="U107" s="24">
        <f>SUMIFS('Saldos Iniciales'!$D:$D,'Saldos Iniciales'!$A:$A,"Go Blue")+SUMIFS(Movimientos!$K$1:$K$1033,Movimientos!$C$1:$C$1033,"Go Blue",Movimientos!$B$1:$B$1033,"&lt;="&amp;$B107)</f>
        <v>14740.900000000001</v>
      </c>
      <c r="V107" s="25">
        <f t="shared" si="25"/>
        <v>4871543.4400000004</v>
      </c>
    </row>
    <row r="108" spans="1:22" hidden="1" outlineLevel="1" x14ac:dyDescent="0.3">
      <c r="A108" s="22">
        <f t="shared" si="12"/>
        <v>107</v>
      </c>
      <c r="B108" s="23">
        <v>46249</v>
      </c>
      <c r="C108" s="24">
        <f>SUMIFS('Saldos Iniciales'!$D:$D,'Saldos Iniciales'!$A:$A,"CFT Group")+SUMIFS(Movimientos!$K$1:$K$1033,Movimientos!$C$1:$C$1033,"CFT Group",Movimientos!$B$1:$B$1033,"&lt;="&amp;$B108)</f>
        <v>1022556.9100000004</v>
      </c>
      <c r="D108" s="24">
        <f>SUMIFS('Saldos Iniciales'!$D:$D,'Saldos Iniciales'!$A:$A,"M1B")+SUMIFS(Movimientos!$K$1:$K$1033,Movimientos!$C$1:$C$1033,"M1B",Movimientos!$B$1:$B$1033,"&lt;="&amp;$B108)</f>
        <v>83211.250000000175</v>
      </c>
      <c r="E108" s="24">
        <f>SUMIFS('Saldos Iniciales'!$D:$D,'Saldos Iniciales'!$A:$A,"Durand")+SUMIFS(Movimientos!$K$1:$K$1033,Movimientos!$C$1:$C$1033,"Durand",Movimientos!$B$1:$B$1033,"&lt;="&amp;$B108)</f>
        <v>1669.89</v>
      </c>
      <c r="F108" s="24">
        <f>SUMIFS('Saldos Iniciales'!$D:$D,'Saldos Iniciales'!$A:$A,"A&amp;M Imports")+SUMIFS(Movimientos!$K$1:$K$1033,Movimientos!$C$1:$C$1033,"A&amp;M Imports",Movimientos!$B$1:$B$1033,"&lt;="&amp;$B108)</f>
        <v>1120491.7</v>
      </c>
      <c r="G108" s="24">
        <f>SUMIFS('Saldos Iniciales'!$D:$D,'Saldos Iniciales'!$A:$A,"SSP Capital")+SUMIFS(Movimientos!$K$1:$K$1033,Movimientos!$C$1:$C$1033,"SSP Capital",Movimientos!$B$1:$B$1033,"&lt;="&amp;$B108)</f>
        <v>1433050.7599999995</v>
      </c>
      <c r="H108" s="24">
        <f>SUMIFS('Saldos Iniciales'!$D:$D,'Saldos Iniciales'!$A:$A,"Cross Family Trust")+SUMIFS(Movimientos!$K$1:$K$1033,Movimientos!$C$1:$C$1033,"Cross Family Trust",Movimientos!$B$1:$B$1033,"&lt;="&amp;$B108)</f>
        <v>221496.38</v>
      </c>
      <c r="I108" s="24">
        <f>SUMIFS('Saldos Iniciales'!$D:$D,'Saldos Iniciales'!$A:$A,"Cross Security Trust")+SUMIFS(Movimientos!$K$1:$K$1033,Movimientos!$C$1:$C$1033,"Cross Security Trust",Movimientos!$B$1:$B$1033,"&lt;="&amp;$B108)</f>
        <v>158071.25999999998</v>
      </c>
      <c r="J108" s="24">
        <f>SUMIFS('Saldos Iniciales'!$D:$D,'Saldos Iniciales'!$A:$A,"Electrama")+SUMIFS(Movimientos!$K$1:$K$1033,Movimientos!$C$1:$C$1033,"Electrama",Movimientos!$B$1:$B$1033,"&lt;="&amp;$B108)</f>
        <v>13270.02</v>
      </c>
      <c r="K108" s="24">
        <f>SUMIFS('Saldos Iniciales'!$D:$D,'Saldos Iniciales'!$A:$A,"Sacred Valley Capital")+SUMIFS(Movimientos!$K$1:$K$1033,Movimientos!$C$1:$C$1033,"Sacred Valley Capital",Movimientos!$B$1:$B$1033,"&lt;="&amp;$B108)</f>
        <v>24.450000000000003</v>
      </c>
      <c r="L108" s="24">
        <f>SUMIFS('Saldos Iniciales'!$D:$D,'Saldos Iniciales'!$A:$A,"YWC Capital")+SUMIFS(Movimientos!$K$1:$K$1033,Movimientos!$C$1:$C$1033,"YWC Capital",Movimientos!$B$1:$B$1033,"&lt;="&amp;$B108)</f>
        <v>2177.87</v>
      </c>
      <c r="M108" s="24">
        <f>SUMIFS('Saldos Iniciales'!$D:$D,'Saldos Iniciales'!$A:$A,"Soweto")+SUMIFS(Movimientos!$K$1:$K$1033,Movimientos!$C$1:$C$1033,"Soweto",Movimientos!$B$1:$B$1033,"&lt;="&amp;$B108)</f>
        <v>754424.72</v>
      </c>
      <c r="N108" s="24">
        <f>SUMIFS('Saldos Iniciales'!$D:$D,'Saldos Iniciales'!$A:$A,"Green Stone Trust")+SUMIFS(Movimientos!$K$1:$K$1033,Movimientos!$C$1:$C$1033,"Green Stone Trust",Movimientos!$B$1:$B$1033,"&lt;="&amp;$B108)</f>
        <v>1968.99</v>
      </c>
      <c r="O108" s="24">
        <f>SUMIFS('Saldos Iniciales'!$D:$D,'Saldos Iniciales'!$A:$A,"EC Auto")+SUMIFS(Movimientos!$K$1:$K$1033,Movimientos!$C$1:$C$1033,"EC Auto",Movimientos!$B$1:$B$1033,"&lt;="&amp;$B108)</f>
        <v>901.34</v>
      </c>
      <c r="P108" s="24">
        <f>SUMIFS('Saldos Iniciales'!$D:$D,'Saldos Iniciales'!$A:$A,"Arbor Capital Properties")+SUMIFS(Movimientos!$K$1:$K$1033,Movimientos!$C$1:$C$1033,"Arbor Capital Properties",Movimientos!$B$1:$B$1033,"&lt;="&amp;$B108)</f>
        <v>1396.08</v>
      </c>
      <c r="Q108" s="24">
        <f>SUMIFS('Saldos Iniciales'!$D:$D,'Saldos Iniciales'!$A:$A,"2515 Overbrook")+SUMIFS(Movimientos!$K$1:$K$1033,Movimientos!$C$1:$C$1033,"2515 Overbrook",Movimientos!$B$1:$B$1033,"&lt;="&amp;$B108)</f>
        <v>13685.709999999959</v>
      </c>
      <c r="R108" s="24">
        <f>SUMIFS('Saldos Iniciales'!$D:$D,'Saldos Iniciales'!$A:$A,"112 Florida Ave")+SUMIFS(Movimientos!$K$1:$K$1033,Movimientos!$C$1:$C$1033,"112 Florida Ave",Movimientos!$B$1:$B$1033,"&lt;="&amp;$B108)</f>
        <v>8724.1700000000037</v>
      </c>
      <c r="S108" s="24">
        <f>SUMIFS('Saldos Iniciales'!$D:$D,'Saldos Iniciales'!$A:$A,"3628 Thomas Ave")+SUMIFS(Movimientos!$K$1:$K$1033,Movimientos!$C$1:$C$1033,"3628 Thomas Ave",Movimientos!$B$1:$B$1033,"&lt;="&amp;$B108)</f>
        <v>19336.039999999997</v>
      </c>
      <c r="T108" s="24">
        <f>SUMIFS('Saldos Iniciales'!$D:$D,'Saldos Iniciales'!$A:$A,"Green Harbor Trust")+SUMIFS(Movimientos!$K$1:$K$1033,Movimientos!$C$1:$C$1033,"Green Harbor Trust",Movimientos!$B$1:$B$1033,"&lt;="&amp;$B108)</f>
        <v>345</v>
      </c>
      <c r="U108" s="24">
        <f>SUMIFS('Saldos Iniciales'!$D:$D,'Saldos Iniciales'!$A:$A,"Go Blue")+SUMIFS(Movimientos!$K$1:$K$1033,Movimientos!$C$1:$C$1033,"Go Blue",Movimientos!$B$1:$B$1033,"&lt;="&amp;$B108)</f>
        <v>14740.900000000001</v>
      </c>
      <c r="V108" s="25">
        <f t="shared" ref="V108:V113" si="26">SUM(C108:U108)</f>
        <v>4871543.4400000004</v>
      </c>
    </row>
    <row r="109" spans="1:22" hidden="1" outlineLevel="1" x14ac:dyDescent="0.3">
      <c r="A109" s="22">
        <f t="shared" si="12"/>
        <v>108</v>
      </c>
      <c r="B109" s="23">
        <v>46250</v>
      </c>
      <c r="C109" s="24">
        <f>SUMIFS('Saldos Iniciales'!$D:$D,'Saldos Iniciales'!$A:$A,"CFT Group")+SUMIFS(Movimientos!$K$1:$K$1033,Movimientos!$C$1:$C$1033,"CFT Group",Movimientos!$B$1:$B$1033,"&lt;="&amp;$B109)</f>
        <v>1022556.9100000004</v>
      </c>
      <c r="D109" s="24">
        <f>SUMIFS('Saldos Iniciales'!$D:$D,'Saldos Iniciales'!$A:$A,"M1B")+SUMIFS(Movimientos!$K$1:$K$1033,Movimientos!$C$1:$C$1033,"M1B",Movimientos!$B$1:$B$1033,"&lt;="&amp;$B109)</f>
        <v>83211.250000000175</v>
      </c>
      <c r="E109" s="24">
        <f>SUMIFS('Saldos Iniciales'!$D:$D,'Saldos Iniciales'!$A:$A,"Durand")+SUMIFS(Movimientos!$K$1:$K$1033,Movimientos!$C$1:$C$1033,"Durand",Movimientos!$B$1:$B$1033,"&lt;="&amp;$B109)</f>
        <v>1669.89</v>
      </c>
      <c r="F109" s="24">
        <f>SUMIFS('Saldos Iniciales'!$D:$D,'Saldos Iniciales'!$A:$A,"A&amp;M Imports")+SUMIFS(Movimientos!$K$1:$K$1033,Movimientos!$C$1:$C$1033,"A&amp;M Imports",Movimientos!$B$1:$B$1033,"&lt;="&amp;$B109)</f>
        <v>1120491.7</v>
      </c>
      <c r="G109" s="24">
        <f>SUMIFS('Saldos Iniciales'!$D:$D,'Saldos Iniciales'!$A:$A,"SSP Capital")+SUMIFS(Movimientos!$K$1:$K$1033,Movimientos!$C$1:$C$1033,"SSP Capital",Movimientos!$B$1:$B$1033,"&lt;="&amp;$B109)</f>
        <v>1433050.7599999995</v>
      </c>
      <c r="H109" s="24">
        <f>SUMIFS('Saldos Iniciales'!$D:$D,'Saldos Iniciales'!$A:$A,"Cross Family Trust")+SUMIFS(Movimientos!$K$1:$K$1033,Movimientos!$C$1:$C$1033,"Cross Family Trust",Movimientos!$B$1:$B$1033,"&lt;="&amp;$B109)</f>
        <v>221496.38</v>
      </c>
      <c r="I109" s="24">
        <f>SUMIFS('Saldos Iniciales'!$D:$D,'Saldos Iniciales'!$A:$A,"Cross Security Trust")+SUMIFS(Movimientos!$K$1:$K$1033,Movimientos!$C$1:$C$1033,"Cross Security Trust",Movimientos!$B$1:$B$1033,"&lt;="&amp;$B109)</f>
        <v>158071.25999999998</v>
      </c>
      <c r="J109" s="24">
        <f>SUMIFS('Saldos Iniciales'!$D:$D,'Saldos Iniciales'!$A:$A,"Electrama")+SUMIFS(Movimientos!$K$1:$K$1033,Movimientos!$C$1:$C$1033,"Electrama",Movimientos!$B$1:$B$1033,"&lt;="&amp;$B109)</f>
        <v>13270.02</v>
      </c>
      <c r="K109" s="24">
        <f>SUMIFS('Saldos Iniciales'!$D:$D,'Saldos Iniciales'!$A:$A,"Sacred Valley Capital")+SUMIFS(Movimientos!$K$1:$K$1033,Movimientos!$C$1:$C$1033,"Sacred Valley Capital",Movimientos!$B$1:$B$1033,"&lt;="&amp;$B109)</f>
        <v>24.450000000000003</v>
      </c>
      <c r="L109" s="24">
        <f>SUMIFS('Saldos Iniciales'!$D:$D,'Saldos Iniciales'!$A:$A,"YWC Capital")+SUMIFS(Movimientos!$K$1:$K$1033,Movimientos!$C$1:$C$1033,"YWC Capital",Movimientos!$B$1:$B$1033,"&lt;="&amp;$B109)</f>
        <v>2177.87</v>
      </c>
      <c r="M109" s="24">
        <f>SUMIFS('Saldos Iniciales'!$D:$D,'Saldos Iniciales'!$A:$A,"Soweto")+SUMIFS(Movimientos!$K$1:$K$1033,Movimientos!$C$1:$C$1033,"Soweto",Movimientos!$B$1:$B$1033,"&lt;="&amp;$B109)</f>
        <v>754424.72</v>
      </c>
      <c r="N109" s="24">
        <f>SUMIFS('Saldos Iniciales'!$D:$D,'Saldos Iniciales'!$A:$A,"Green Stone Trust")+SUMIFS(Movimientos!$K$1:$K$1033,Movimientos!$C$1:$C$1033,"Green Stone Trust",Movimientos!$B$1:$B$1033,"&lt;="&amp;$B109)</f>
        <v>1968.99</v>
      </c>
      <c r="O109" s="24">
        <f>SUMIFS('Saldos Iniciales'!$D:$D,'Saldos Iniciales'!$A:$A,"EC Auto")+SUMIFS(Movimientos!$K$1:$K$1033,Movimientos!$C$1:$C$1033,"EC Auto",Movimientos!$B$1:$B$1033,"&lt;="&amp;$B109)</f>
        <v>901.34</v>
      </c>
      <c r="P109" s="24">
        <f>SUMIFS('Saldos Iniciales'!$D:$D,'Saldos Iniciales'!$A:$A,"Arbor Capital Properties")+SUMIFS(Movimientos!$K$1:$K$1033,Movimientos!$C$1:$C$1033,"Arbor Capital Properties",Movimientos!$B$1:$B$1033,"&lt;="&amp;$B109)</f>
        <v>1396.08</v>
      </c>
      <c r="Q109" s="24">
        <f>SUMIFS('Saldos Iniciales'!$D:$D,'Saldos Iniciales'!$A:$A,"2515 Overbrook")+SUMIFS(Movimientos!$K$1:$K$1033,Movimientos!$C$1:$C$1033,"2515 Overbrook",Movimientos!$B$1:$B$1033,"&lt;="&amp;$B109)</f>
        <v>13685.709999999959</v>
      </c>
      <c r="R109" s="24">
        <f>SUMIFS('Saldos Iniciales'!$D:$D,'Saldos Iniciales'!$A:$A,"112 Florida Ave")+SUMIFS(Movimientos!$K$1:$K$1033,Movimientos!$C$1:$C$1033,"112 Florida Ave",Movimientos!$B$1:$B$1033,"&lt;="&amp;$B109)</f>
        <v>8724.1700000000037</v>
      </c>
      <c r="S109" s="24">
        <f>SUMIFS('Saldos Iniciales'!$D:$D,'Saldos Iniciales'!$A:$A,"3628 Thomas Ave")+SUMIFS(Movimientos!$K$1:$K$1033,Movimientos!$C$1:$C$1033,"3628 Thomas Ave",Movimientos!$B$1:$B$1033,"&lt;="&amp;$B109)</f>
        <v>19336.039999999997</v>
      </c>
      <c r="T109" s="24">
        <f>SUMIFS('Saldos Iniciales'!$D:$D,'Saldos Iniciales'!$A:$A,"Green Harbor Trust")+SUMIFS(Movimientos!$K$1:$K$1033,Movimientos!$C$1:$C$1033,"Green Harbor Trust",Movimientos!$B$1:$B$1033,"&lt;="&amp;$B109)</f>
        <v>345</v>
      </c>
      <c r="U109" s="24">
        <f>SUMIFS('Saldos Iniciales'!$D:$D,'Saldos Iniciales'!$A:$A,"Go Blue")+SUMIFS(Movimientos!$K$1:$K$1033,Movimientos!$C$1:$C$1033,"Go Blue",Movimientos!$B$1:$B$1033,"&lt;="&amp;$B109)</f>
        <v>14740.900000000001</v>
      </c>
      <c r="V109" s="25">
        <f t="shared" si="26"/>
        <v>4871543.4400000004</v>
      </c>
    </row>
    <row r="110" spans="1:22" hidden="1" outlineLevel="1" x14ac:dyDescent="0.3">
      <c r="A110" s="22">
        <f t="shared" si="12"/>
        <v>109</v>
      </c>
      <c r="B110" s="23">
        <v>46251</v>
      </c>
      <c r="C110" s="24">
        <f>SUMIFS('Saldos Iniciales'!$D:$D,'Saldos Iniciales'!$A:$A,"CFT Group")+SUMIFS(Movimientos!$K$1:$K$1033,Movimientos!$C$1:$C$1033,"CFT Group",Movimientos!$B$1:$B$1033,"&lt;="&amp;$B110)</f>
        <v>1022556.9100000004</v>
      </c>
      <c r="D110" s="24">
        <f>SUMIFS('Saldos Iniciales'!$D:$D,'Saldos Iniciales'!$A:$A,"M1B")+SUMIFS(Movimientos!$K$1:$K$1033,Movimientos!$C$1:$C$1033,"M1B",Movimientos!$B$1:$B$1033,"&lt;="&amp;$B110)</f>
        <v>83211.250000000175</v>
      </c>
      <c r="E110" s="24">
        <f>SUMIFS('Saldos Iniciales'!$D:$D,'Saldos Iniciales'!$A:$A,"Durand")+SUMIFS(Movimientos!$K$1:$K$1033,Movimientos!$C$1:$C$1033,"Durand",Movimientos!$B$1:$B$1033,"&lt;="&amp;$B110)</f>
        <v>1669.89</v>
      </c>
      <c r="F110" s="24">
        <f>SUMIFS('Saldos Iniciales'!$D:$D,'Saldos Iniciales'!$A:$A,"A&amp;M Imports")+SUMIFS(Movimientos!$K$1:$K$1033,Movimientos!$C$1:$C$1033,"A&amp;M Imports",Movimientos!$B$1:$B$1033,"&lt;="&amp;$B110)</f>
        <v>1120071.0999999999</v>
      </c>
      <c r="G110" s="24">
        <f>SUMIFS('Saldos Iniciales'!$D:$D,'Saldos Iniciales'!$A:$A,"SSP Capital")+SUMIFS(Movimientos!$K$1:$K$1033,Movimientos!$C$1:$C$1033,"SSP Capital",Movimientos!$B$1:$B$1033,"&lt;="&amp;$B110)</f>
        <v>1398219.6699999995</v>
      </c>
      <c r="H110" s="24">
        <f>SUMIFS('Saldos Iniciales'!$D:$D,'Saldos Iniciales'!$A:$A,"Cross Family Trust")+SUMIFS(Movimientos!$K$1:$K$1033,Movimientos!$C$1:$C$1033,"Cross Family Trust",Movimientos!$B$1:$B$1033,"&lt;="&amp;$B110)</f>
        <v>221496.38</v>
      </c>
      <c r="I110" s="24">
        <f>SUMIFS('Saldos Iniciales'!$D:$D,'Saldos Iniciales'!$A:$A,"Cross Security Trust")+SUMIFS(Movimientos!$K$1:$K$1033,Movimientos!$C$1:$C$1033,"Cross Security Trust",Movimientos!$B$1:$B$1033,"&lt;="&amp;$B110)</f>
        <v>158071.25999999998</v>
      </c>
      <c r="J110" s="24">
        <f>SUMIFS('Saldos Iniciales'!$D:$D,'Saldos Iniciales'!$A:$A,"Electrama")+SUMIFS(Movimientos!$K$1:$K$1033,Movimientos!$C$1:$C$1033,"Electrama",Movimientos!$B$1:$B$1033,"&lt;="&amp;$B110)</f>
        <v>13270.02</v>
      </c>
      <c r="K110" s="24">
        <f>SUMIFS('Saldos Iniciales'!$D:$D,'Saldos Iniciales'!$A:$A,"Sacred Valley Capital")+SUMIFS(Movimientos!$K$1:$K$1033,Movimientos!$C$1:$C$1033,"Sacred Valley Capital",Movimientos!$B$1:$B$1033,"&lt;="&amp;$B110)</f>
        <v>24.450000000000003</v>
      </c>
      <c r="L110" s="24">
        <f>SUMIFS('Saldos Iniciales'!$D:$D,'Saldos Iniciales'!$A:$A,"YWC Capital")+SUMIFS(Movimientos!$K$1:$K$1033,Movimientos!$C$1:$C$1033,"YWC Capital",Movimientos!$B$1:$B$1033,"&lt;="&amp;$B110)</f>
        <v>2177.87</v>
      </c>
      <c r="M110" s="24">
        <f>SUMIFS('Saldos Iniciales'!$D:$D,'Saldos Iniciales'!$A:$A,"Soweto")+SUMIFS(Movimientos!$K$1:$K$1033,Movimientos!$C$1:$C$1033,"Soweto",Movimientos!$B$1:$B$1033,"&lt;="&amp;$B110)</f>
        <v>754424.72</v>
      </c>
      <c r="N110" s="24">
        <f>SUMIFS('Saldos Iniciales'!$D:$D,'Saldos Iniciales'!$A:$A,"Green Stone Trust")+SUMIFS(Movimientos!$K$1:$K$1033,Movimientos!$C$1:$C$1033,"Green Stone Trust",Movimientos!$B$1:$B$1033,"&lt;="&amp;$B110)</f>
        <v>1968.99</v>
      </c>
      <c r="O110" s="24">
        <f>SUMIFS('Saldos Iniciales'!$D:$D,'Saldos Iniciales'!$A:$A,"EC Auto")+SUMIFS(Movimientos!$K$1:$K$1033,Movimientos!$C$1:$C$1033,"EC Auto",Movimientos!$B$1:$B$1033,"&lt;="&amp;$B110)</f>
        <v>901.34</v>
      </c>
      <c r="P110" s="24">
        <f>SUMIFS('Saldos Iniciales'!$D:$D,'Saldos Iniciales'!$A:$A,"Arbor Capital Properties")+SUMIFS(Movimientos!$K$1:$K$1033,Movimientos!$C$1:$C$1033,"Arbor Capital Properties",Movimientos!$B$1:$B$1033,"&lt;="&amp;$B110)</f>
        <v>1396.08</v>
      </c>
      <c r="Q110" s="24">
        <f>SUMIFS('Saldos Iniciales'!$D:$D,'Saldos Iniciales'!$A:$A,"2515 Overbrook")+SUMIFS(Movimientos!$K$1:$K$1033,Movimientos!$C$1:$C$1033,"2515 Overbrook",Movimientos!$B$1:$B$1033,"&lt;="&amp;$B110)</f>
        <v>13685.709999999959</v>
      </c>
      <c r="R110" s="24">
        <f>SUMIFS('Saldos Iniciales'!$D:$D,'Saldos Iniciales'!$A:$A,"112 Florida Ave")+SUMIFS(Movimientos!$K$1:$K$1033,Movimientos!$C$1:$C$1033,"112 Florida Ave",Movimientos!$B$1:$B$1033,"&lt;="&amp;$B110)</f>
        <v>8724.1700000000037</v>
      </c>
      <c r="S110" s="24">
        <f>SUMIFS('Saldos Iniciales'!$D:$D,'Saldos Iniciales'!$A:$A,"3628 Thomas Ave")+SUMIFS(Movimientos!$K$1:$K$1033,Movimientos!$C$1:$C$1033,"3628 Thomas Ave",Movimientos!$B$1:$B$1033,"&lt;="&amp;$B110)</f>
        <v>19336.039999999997</v>
      </c>
      <c r="T110" s="24">
        <f>SUMIFS('Saldos Iniciales'!$D:$D,'Saldos Iniciales'!$A:$A,"Green Harbor Trust")+SUMIFS(Movimientos!$K$1:$K$1033,Movimientos!$C$1:$C$1033,"Green Harbor Trust",Movimientos!$B$1:$B$1033,"&lt;="&amp;$B110)</f>
        <v>345</v>
      </c>
      <c r="U110" s="24">
        <f>SUMIFS('Saldos Iniciales'!$D:$D,'Saldos Iniciales'!$A:$A,"Go Blue")+SUMIFS(Movimientos!$K$1:$K$1033,Movimientos!$C$1:$C$1033,"Go Blue",Movimientos!$B$1:$B$1033,"&lt;="&amp;$B110)</f>
        <v>14565.900000000001</v>
      </c>
      <c r="V110" s="25">
        <f t="shared" si="26"/>
        <v>4836116.75</v>
      </c>
    </row>
    <row r="111" spans="1:22" hidden="1" outlineLevel="1" x14ac:dyDescent="0.3">
      <c r="A111" s="22">
        <f t="shared" si="12"/>
        <v>110</v>
      </c>
      <c r="B111" s="23">
        <v>46252</v>
      </c>
      <c r="C111" s="24">
        <f>SUMIFS('Saldos Iniciales'!$D:$D,'Saldos Iniciales'!$A:$A,"CFT Group")+SUMIFS(Movimientos!$K$1:$K$1033,Movimientos!$C$1:$C$1033,"CFT Group",Movimientos!$B$1:$B$1033,"&lt;="&amp;$B111)</f>
        <v>1128418.6900000004</v>
      </c>
      <c r="D111" s="24">
        <f>SUMIFS('Saldos Iniciales'!$D:$D,'Saldos Iniciales'!$A:$A,"M1B")+SUMIFS(Movimientos!$K$1:$K$1033,Movimientos!$C$1:$C$1033,"M1B",Movimientos!$B$1:$B$1033,"&lt;="&amp;$B111)</f>
        <v>83211.250000000175</v>
      </c>
      <c r="E111" s="24">
        <f>SUMIFS('Saldos Iniciales'!$D:$D,'Saldos Iniciales'!$A:$A,"Durand")+SUMIFS(Movimientos!$K$1:$K$1033,Movimientos!$C$1:$C$1033,"Durand",Movimientos!$B$1:$B$1033,"&lt;="&amp;$B111)</f>
        <v>1669.89</v>
      </c>
      <c r="F111" s="24">
        <f>SUMIFS('Saldos Iniciales'!$D:$D,'Saldos Iniciales'!$A:$A,"A&amp;M Imports")+SUMIFS(Movimientos!$K$1:$K$1033,Movimientos!$C$1:$C$1033,"A&amp;M Imports",Movimientos!$B$1:$B$1033,"&lt;="&amp;$B111)</f>
        <v>1120071.0999999999</v>
      </c>
      <c r="G111" s="24">
        <f>SUMIFS('Saldos Iniciales'!$D:$D,'Saldos Iniciales'!$A:$A,"SSP Capital")+SUMIFS(Movimientos!$K$1:$K$1033,Movimientos!$C$1:$C$1033,"SSP Capital",Movimientos!$B$1:$B$1033,"&lt;="&amp;$B111)</f>
        <v>1395729.3099999996</v>
      </c>
      <c r="H111" s="24">
        <f>SUMIFS('Saldos Iniciales'!$D:$D,'Saldos Iniciales'!$A:$A,"Cross Family Trust")+SUMIFS(Movimientos!$K$1:$K$1033,Movimientos!$C$1:$C$1033,"Cross Family Trust",Movimientos!$B$1:$B$1033,"&lt;="&amp;$B111)</f>
        <v>221496.38</v>
      </c>
      <c r="I111" s="24">
        <f>SUMIFS('Saldos Iniciales'!$D:$D,'Saldos Iniciales'!$A:$A,"Cross Security Trust")+SUMIFS(Movimientos!$K$1:$K$1033,Movimientos!$C$1:$C$1033,"Cross Security Trust",Movimientos!$B$1:$B$1033,"&lt;="&amp;$B111)</f>
        <v>158071.25999999998</v>
      </c>
      <c r="J111" s="24">
        <f>SUMIFS('Saldos Iniciales'!$D:$D,'Saldos Iniciales'!$A:$A,"Electrama")+SUMIFS(Movimientos!$K$1:$K$1033,Movimientos!$C$1:$C$1033,"Electrama",Movimientos!$B$1:$B$1033,"&lt;="&amp;$B111)</f>
        <v>13270.02</v>
      </c>
      <c r="K111" s="24">
        <f>SUMIFS('Saldos Iniciales'!$D:$D,'Saldos Iniciales'!$A:$A,"Sacred Valley Capital")+SUMIFS(Movimientos!$K$1:$K$1033,Movimientos!$C$1:$C$1033,"Sacred Valley Capital",Movimientos!$B$1:$B$1033,"&lt;="&amp;$B111)</f>
        <v>24.450000000000003</v>
      </c>
      <c r="L111" s="24">
        <f>SUMIFS('Saldos Iniciales'!$D:$D,'Saldos Iniciales'!$A:$A,"YWC Capital")+SUMIFS(Movimientos!$K$1:$K$1033,Movimientos!$C$1:$C$1033,"YWC Capital",Movimientos!$B$1:$B$1033,"&lt;="&amp;$B111)</f>
        <v>2177.87</v>
      </c>
      <c r="M111" s="24">
        <f>SUMIFS('Saldos Iniciales'!$D:$D,'Saldos Iniciales'!$A:$A,"Soweto")+SUMIFS(Movimientos!$K$1:$K$1033,Movimientos!$C$1:$C$1033,"Soweto",Movimientos!$B$1:$B$1033,"&lt;="&amp;$B111)</f>
        <v>754424.72</v>
      </c>
      <c r="N111" s="24">
        <f>SUMIFS('Saldos Iniciales'!$D:$D,'Saldos Iniciales'!$A:$A,"Green Stone Trust")+SUMIFS(Movimientos!$K$1:$K$1033,Movimientos!$C$1:$C$1033,"Green Stone Trust",Movimientos!$B$1:$B$1033,"&lt;="&amp;$B111)</f>
        <v>1968.99</v>
      </c>
      <c r="O111" s="24">
        <f>SUMIFS('Saldos Iniciales'!$D:$D,'Saldos Iniciales'!$A:$A,"EC Auto")+SUMIFS(Movimientos!$K$1:$K$1033,Movimientos!$C$1:$C$1033,"EC Auto",Movimientos!$B$1:$B$1033,"&lt;="&amp;$B111)</f>
        <v>901.34</v>
      </c>
      <c r="P111" s="24">
        <f>SUMIFS('Saldos Iniciales'!$D:$D,'Saldos Iniciales'!$A:$A,"Arbor Capital Properties")+SUMIFS(Movimientos!$K$1:$K$1033,Movimientos!$C$1:$C$1033,"Arbor Capital Properties",Movimientos!$B$1:$B$1033,"&lt;="&amp;$B111)</f>
        <v>1396.08</v>
      </c>
      <c r="Q111" s="24">
        <f>SUMIFS('Saldos Iniciales'!$D:$D,'Saldos Iniciales'!$A:$A,"2515 Overbrook")+SUMIFS(Movimientos!$K$1:$K$1033,Movimientos!$C$1:$C$1033,"2515 Overbrook",Movimientos!$B$1:$B$1033,"&lt;="&amp;$B111)</f>
        <v>13685.709999999959</v>
      </c>
      <c r="R111" s="24">
        <f>SUMIFS('Saldos Iniciales'!$D:$D,'Saldos Iniciales'!$A:$A,"112 Florida Ave")+SUMIFS(Movimientos!$K$1:$K$1033,Movimientos!$C$1:$C$1033,"112 Florida Ave",Movimientos!$B$1:$B$1033,"&lt;="&amp;$B111)</f>
        <v>8724.1700000000037</v>
      </c>
      <c r="S111" s="24">
        <f>SUMIFS('Saldos Iniciales'!$D:$D,'Saldos Iniciales'!$A:$A,"3628 Thomas Ave")+SUMIFS(Movimientos!$K$1:$K$1033,Movimientos!$C$1:$C$1033,"3628 Thomas Ave",Movimientos!$B$1:$B$1033,"&lt;="&amp;$B111)</f>
        <v>19336.039999999997</v>
      </c>
      <c r="T111" s="24">
        <f>SUMIFS('Saldos Iniciales'!$D:$D,'Saldos Iniciales'!$A:$A,"Green Harbor Trust")+SUMIFS(Movimientos!$K$1:$K$1033,Movimientos!$C$1:$C$1033,"Green Harbor Trust",Movimientos!$B$1:$B$1033,"&lt;="&amp;$B111)</f>
        <v>345</v>
      </c>
      <c r="U111" s="24">
        <f>SUMIFS('Saldos Iniciales'!$D:$D,'Saldos Iniciales'!$A:$A,"Go Blue")+SUMIFS(Movimientos!$K$1:$K$1033,Movimientos!$C$1:$C$1033,"Go Blue",Movimientos!$B$1:$B$1033,"&lt;="&amp;$B111)</f>
        <v>14565.900000000001</v>
      </c>
      <c r="V111" s="25">
        <f t="shared" si="26"/>
        <v>4939488.1700000009</v>
      </c>
    </row>
    <row r="112" spans="1:22" hidden="1" outlineLevel="1" x14ac:dyDescent="0.3">
      <c r="A112" s="22">
        <f t="shared" si="12"/>
        <v>111</v>
      </c>
      <c r="B112" s="23">
        <v>46253</v>
      </c>
      <c r="C112" s="24">
        <f>SUMIFS('Saldos Iniciales'!$D:$D,'Saldos Iniciales'!$A:$A,"CFT Group")+SUMIFS(Movimientos!$K$1:$K$1033,Movimientos!$C$1:$C$1033,"CFT Group",Movimientos!$B$1:$B$1033,"&lt;="&amp;$B112)</f>
        <v>1128418.6900000004</v>
      </c>
      <c r="D112" s="24">
        <f>SUMIFS('Saldos Iniciales'!$D:$D,'Saldos Iniciales'!$A:$A,"M1B")+SUMIFS(Movimientos!$K$1:$K$1033,Movimientos!$C$1:$C$1033,"M1B",Movimientos!$B$1:$B$1033,"&lt;="&amp;$B112)</f>
        <v>83211.250000000175</v>
      </c>
      <c r="E112" s="24">
        <f>SUMIFS('Saldos Iniciales'!$D:$D,'Saldos Iniciales'!$A:$A,"Durand")+SUMIFS(Movimientos!$K$1:$K$1033,Movimientos!$C$1:$C$1033,"Durand",Movimientos!$B$1:$B$1033,"&lt;="&amp;$B112)</f>
        <v>1669.89</v>
      </c>
      <c r="F112" s="24">
        <f>SUMIFS('Saldos Iniciales'!$D:$D,'Saldos Iniciales'!$A:$A,"A&amp;M Imports")+SUMIFS(Movimientos!$K$1:$K$1033,Movimientos!$C$1:$C$1033,"A&amp;M Imports",Movimientos!$B$1:$B$1033,"&lt;="&amp;$B112)</f>
        <v>1120071.0999999999</v>
      </c>
      <c r="G112" s="24">
        <f>SUMIFS('Saldos Iniciales'!$D:$D,'Saldos Iniciales'!$A:$A,"SSP Capital")+SUMIFS(Movimientos!$K$1:$K$1033,Movimientos!$C$1:$C$1033,"SSP Capital",Movimientos!$B$1:$B$1033,"&lt;="&amp;$B112)</f>
        <v>1894825.6099999996</v>
      </c>
      <c r="H112" s="24">
        <f>SUMIFS('Saldos Iniciales'!$D:$D,'Saldos Iniciales'!$A:$A,"Cross Family Trust")+SUMIFS(Movimientos!$K$1:$K$1033,Movimientos!$C$1:$C$1033,"Cross Family Trust",Movimientos!$B$1:$B$1033,"&lt;="&amp;$B112)</f>
        <v>221496.38</v>
      </c>
      <c r="I112" s="24">
        <f>SUMIFS('Saldos Iniciales'!$D:$D,'Saldos Iniciales'!$A:$A,"Cross Security Trust")+SUMIFS(Movimientos!$K$1:$K$1033,Movimientos!$C$1:$C$1033,"Cross Security Trust",Movimientos!$B$1:$B$1033,"&lt;="&amp;$B112)</f>
        <v>158071.25999999998</v>
      </c>
      <c r="J112" s="24">
        <f>SUMIFS('Saldos Iniciales'!$D:$D,'Saldos Iniciales'!$A:$A,"Electrama")+SUMIFS(Movimientos!$K$1:$K$1033,Movimientos!$C$1:$C$1033,"Electrama",Movimientos!$B$1:$B$1033,"&lt;="&amp;$B112)</f>
        <v>13270.02</v>
      </c>
      <c r="K112" s="24">
        <f>SUMIFS('Saldos Iniciales'!$D:$D,'Saldos Iniciales'!$A:$A,"Sacred Valley Capital")+SUMIFS(Movimientos!$K$1:$K$1033,Movimientos!$C$1:$C$1033,"Sacred Valley Capital",Movimientos!$B$1:$B$1033,"&lt;="&amp;$B112)</f>
        <v>24.450000000000003</v>
      </c>
      <c r="L112" s="24">
        <f>SUMIFS('Saldos Iniciales'!$D:$D,'Saldos Iniciales'!$A:$A,"YWC Capital")+SUMIFS(Movimientos!$K$1:$K$1033,Movimientos!$C$1:$C$1033,"YWC Capital",Movimientos!$B$1:$B$1033,"&lt;="&amp;$B112)</f>
        <v>2177.87</v>
      </c>
      <c r="M112" s="24">
        <f>SUMIFS('Saldos Iniciales'!$D:$D,'Saldos Iniciales'!$A:$A,"Soweto")+SUMIFS(Movimientos!$K$1:$K$1033,Movimientos!$C$1:$C$1033,"Soweto",Movimientos!$B$1:$B$1033,"&lt;="&amp;$B112)</f>
        <v>754424.72</v>
      </c>
      <c r="N112" s="24">
        <f>SUMIFS('Saldos Iniciales'!$D:$D,'Saldos Iniciales'!$A:$A,"Green Stone Trust")+SUMIFS(Movimientos!$K$1:$K$1033,Movimientos!$C$1:$C$1033,"Green Stone Trust",Movimientos!$B$1:$B$1033,"&lt;="&amp;$B112)</f>
        <v>1968.99</v>
      </c>
      <c r="O112" s="24">
        <f>SUMIFS('Saldos Iniciales'!$D:$D,'Saldos Iniciales'!$A:$A,"EC Auto")+SUMIFS(Movimientos!$K$1:$K$1033,Movimientos!$C$1:$C$1033,"EC Auto",Movimientos!$B$1:$B$1033,"&lt;="&amp;$B112)</f>
        <v>901.34</v>
      </c>
      <c r="P112" s="24">
        <f>SUMIFS('Saldos Iniciales'!$D:$D,'Saldos Iniciales'!$A:$A,"Arbor Capital Properties")+SUMIFS(Movimientos!$K$1:$K$1033,Movimientos!$C$1:$C$1033,"Arbor Capital Properties",Movimientos!$B$1:$B$1033,"&lt;="&amp;$B112)</f>
        <v>1396.08</v>
      </c>
      <c r="Q112" s="24">
        <f>SUMIFS('Saldos Iniciales'!$D:$D,'Saldos Iniciales'!$A:$A,"2515 Overbrook")+SUMIFS(Movimientos!$K$1:$K$1033,Movimientos!$C$1:$C$1033,"2515 Overbrook",Movimientos!$B$1:$B$1033,"&lt;="&amp;$B112)</f>
        <v>13685.709999999959</v>
      </c>
      <c r="R112" s="24">
        <f>SUMIFS('Saldos Iniciales'!$D:$D,'Saldos Iniciales'!$A:$A,"112 Florida Ave")+SUMIFS(Movimientos!$K$1:$K$1033,Movimientos!$C$1:$C$1033,"112 Florida Ave",Movimientos!$B$1:$B$1033,"&lt;="&amp;$B112)</f>
        <v>8724.1700000000037</v>
      </c>
      <c r="S112" s="24">
        <f>SUMIFS('Saldos Iniciales'!$D:$D,'Saldos Iniciales'!$A:$A,"3628 Thomas Ave")+SUMIFS(Movimientos!$K$1:$K$1033,Movimientos!$C$1:$C$1033,"3628 Thomas Ave",Movimientos!$B$1:$B$1033,"&lt;="&amp;$B112)</f>
        <v>19336.039999999997</v>
      </c>
      <c r="T112" s="24">
        <f>SUMIFS('Saldos Iniciales'!$D:$D,'Saldos Iniciales'!$A:$A,"Green Harbor Trust")+SUMIFS(Movimientos!$K$1:$K$1033,Movimientos!$C$1:$C$1033,"Green Harbor Trust",Movimientos!$B$1:$B$1033,"&lt;="&amp;$B112)</f>
        <v>345</v>
      </c>
      <c r="U112" s="24">
        <f>SUMIFS('Saldos Iniciales'!$D:$D,'Saldos Iniciales'!$A:$A,"Go Blue")+SUMIFS(Movimientos!$K$1:$K$1033,Movimientos!$C$1:$C$1033,"Go Blue",Movimientos!$B$1:$B$1033,"&lt;="&amp;$B112)</f>
        <v>14565.900000000001</v>
      </c>
      <c r="V112" s="25">
        <f t="shared" si="26"/>
        <v>5438584.4699999997</v>
      </c>
    </row>
    <row r="113" spans="1:22" hidden="1" outlineLevel="1" x14ac:dyDescent="0.3">
      <c r="A113" s="22">
        <f t="shared" si="12"/>
        <v>112</v>
      </c>
      <c r="B113" s="23">
        <v>46254</v>
      </c>
      <c r="C113" s="24">
        <f>SUMIFS('Saldos Iniciales'!$D:$D,'Saldos Iniciales'!$A:$A,"CFT Group")+SUMIFS(Movimientos!$K$1:$K$1033,Movimientos!$C$1:$C$1033,"CFT Group",Movimientos!$B$1:$B$1033,"&lt;="&amp;$B113)</f>
        <v>783543.69000000053</v>
      </c>
      <c r="D113" s="24">
        <f>SUMIFS('Saldos Iniciales'!$D:$D,'Saldos Iniciales'!$A:$A,"M1B")+SUMIFS(Movimientos!$K$1:$K$1033,Movimientos!$C$1:$C$1033,"M1B",Movimientos!$B$1:$B$1033,"&lt;="&amp;$B113)</f>
        <v>83211.250000000175</v>
      </c>
      <c r="E113" s="24">
        <f>SUMIFS('Saldos Iniciales'!$D:$D,'Saldos Iniciales'!$A:$A,"Durand")+SUMIFS(Movimientos!$K$1:$K$1033,Movimientos!$C$1:$C$1033,"Durand",Movimientos!$B$1:$B$1033,"&lt;="&amp;$B113)</f>
        <v>1669.89</v>
      </c>
      <c r="F113" s="24">
        <f>SUMIFS('Saldos Iniciales'!$D:$D,'Saldos Iniciales'!$A:$A,"A&amp;M Imports")+SUMIFS(Movimientos!$K$1:$K$1033,Movimientos!$C$1:$C$1033,"A&amp;M Imports",Movimientos!$B$1:$B$1033,"&lt;="&amp;$B113)</f>
        <v>1060071.0999999999</v>
      </c>
      <c r="G113" s="24">
        <f>SUMIFS('Saldos Iniciales'!$D:$D,'Saldos Iniciales'!$A:$A,"SSP Capital")+SUMIFS(Movimientos!$K$1:$K$1033,Movimientos!$C$1:$C$1033,"SSP Capital",Movimientos!$B$1:$B$1033,"&lt;="&amp;$B113)</f>
        <v>1758294.6999999997</v>
      </c>
      <c r="H113" s="24">
        <f>SUMIFS('Saldos Iniciales'!$D:$D,'Saldos Iniciales'!$A:$A,"Cross Family Trust")+SUMIFS(Movimientos!$K$1:$K$1033,Movimientos!$C$1:$C$1033,"Cross Family Trust",Movimientos!$B$1:$B$1033,"&lt;="&amp;$B113)</f>
        <v>221496.38</v>
      </c>
      <c r="I113" s="24">
        <f>SUMIFS('Saldos Iniciales'!$D:$D,'Saldos Iniciales'!$A:$A,"Cross Security Trust")+SUMIFS(Movimientos!$K$1:$K$1033,Movimientos!$C$1:$C$1033,"Cross Security Trust",Movimientos!$B$1:$B$1033,"&lt;="&amp;$B113)</f>
        <v>158071.25999999998</v>
      </c>
      <c r="J113" s="24">
        <f>SUMIFS('Saldos Iniciales'!$D:$D,'Saldos Iniciales'!$A:$A,"Electrama")+SUMIFS(Movimientos!$K$1:$K$1033,Movimientos!$C$1:$C$1033,"Electrama",Movimientos!$B$1:$B$1033,"&lt;="&amp;$B113)</f>
        <v>13270.02</v>
      </c>
      <c r="K113" s="24">
        <f>SUMIFS('Saldos Iniciales'!$D:$D,'Saldos Iniciales'!$A:$A,"Sacred Valley Capital")+SUMIFS(Movimientos!$K$1:$K$1033,Movimientos!$C$1:$C$1033,"Sacred Valley Capital",Movimientos!$B$1:$B$1033,"&lt;="&amp;$B113)</f>
        <v>24.450000000000003</v>
      </c>
      <c r="L113" s="24">
        <f>SUMIFS('Saldos Iniciales'!$D:$D,'Saldos Iniciales'!$A:$A,"YWC Capital")+SUMIFS(Movimientos!$K$1:$K$1033,Movimientos!$C$1:$C$1033,"YWC Capital",Movimientos!$B$1:$B$1033,"&lt;="&amp;$B113)</f>
        <v>2177.87</v>
      </c>
      <c r="M113" s="24">
        <f>SUMIFS('Saldos Iniciales'!$D:$D,'Saldos Iniciales'!$A:$A,"Soweto")+SUMIFS(Movimientos!$K$1:$K$1033,Movimientos!$C$1:$C$1033,"Soweto",Movimientos!$B$1:$B$1033,"&lt;="&amp;$B113)</f>
        <v>754424.72</v>
      </c>
      <c r="N113" s="24">
        <f>SUMIFS('Saldos Iniciales'!$D:$D,'Saldos Iniciales'!$A:$A,"Green Stone Trust")+SUMIFS(Movimientos!$K$1:$K$1033,Movimientos!$C$1:$C$1033,"Green Stone Trust",Movimientos!$B$1:$B$1033,"&lt;="&amp;$B113)</f>
        <v>1968.99</v>
      </c>
      <c r="O113" s="24">
        <f>SUMIFS('Saldos Iniciales'!$D:$D,'Saldos Iniciales'!$A:$A,"EC Auto")+SUMIFS(Movimientos!$K$1:$K$1033,Movimientos!$C$1:$C$1033,"EC Auto",Movimientos!$B$1:$B$1033,"&lt;="&amp;$B113)</f>
        <v>901.34</v>
      </c>
      <c r="P113" s="24">
        <f>SUMIFS('Saldos Iniciales'!$D:$D,'Saldos Iniciales'!$A:$A,"Arbor Capital Properties")+SUMIFS(Movimientos!$K$1:$K$1033,Movimientos!$C$1:$C$1033,"Arbor Capital Properties",Movimientos!$B$1:$B$1033,"&lt;="&amp;$B113)</f>
        <v>1396.08</v>
      </c>
      <c r="Q113" s="24">
        <f>SUMIFS('Saldos Iniciales'!$D:$D,'Saldos Iniciales'!$A:$A,"2515 Overbrook")+SUMIFS(Movimientos!$K$1:$K$1033,Movimientos!$C$1:$C$1033,"2515 Overbrook",Movimientos!$B$1:$B$1033,"&lt;="&amp;$B113)</f>
        <v>13685.709999999959</v>
      </c>
      <c r="R113" s="24">
        <f>SUMIFS('Saldos Iniciales'!$D:$D,'Saldos Iniciales'!$A:$A,"112 Florida Ave")+SUMIFS(Movimientos!$K$1:$K$1033,Movimientos!$C$1:$C$1033,"112 Florida Ave",Movimientos!$B$1:$B$1033,"&lt;="&amp;$B113)</f>
        <v>8724.1700000000037</v>
      </c>
      <c r="S113" s="24">
        <f>SUMIFS('Saldos Iniciales'!$D:$D,'Saldos Iniciales'!$A:$A,"3628 Thomas Ave")+SUMIFS(Movimientos!$K$1:$K$1033,Movimientos!$C$1:$C$1033,"3628 Thomas Ave",Movimientos!$B$1:$B$1033,"&lt;="&amp;$B113)</f>
        <v>19336.039999999997</v>
      </c>
      <c r="T113" s="24">
        <f>SUMIFS('Saldos Iniciales'!$D:$D,'Saldos Iniciales'!$A:$A,"Green Harbor Trust")+SUMIFS(Movimientos!$K$1:$K$1033,Movimientos!$C$1:$C$1033,"Green Harbor Trust",Movimientos!$B$1:$B$1033,"&lt;="&amp;$B113)</f>
        <v>345</v>
      </c>
      <c r="U113" s="24">
        <f>SUMIFS('Saldos Iniciales'!$D:$D,'Saldos Iniciales'!$A:$A,"Go Blue")+SUMIFS(Movimientos!$K$1:$K$1033,Movimientos!$C$1:$C$1033,"Go Blue",Movimientos!$B$1:$B$1033,"&lt;="&amp;$B113)</f>
        <v>12741.780000000002</v>
      </c>
      <c r="V113" s="25">
        <f t="shared" si="26"/>
        <v>4895354.4400000004</v>
      </c>
    </row>
    <row r="114" spans="1:22" hidden="1" outlineLevel="1" x14ac:dyDescent="0.3">
      <c r="A114" s="22">
        <f t="shared" si="12"/>
        <v>113</v>
      </c>
      <c r="B114" s="23">
        <v>46255</v>
      </c>
      <c r="C114" s="24">
        <f>SUMIFS('Saldos Iniciales'!$D:$D,'Saldos Iniciales'!$A:$A,"CFT Group")+SUMIFS(Movimientos!$K$1:$K$1033,Movimientos!$C$1:$C$1033,"CFT Group",Movimientos!$B$1:$B$1033,"&lt;="&amp;$B114)</f>
        <v>783543.69000000053</v>
      </c>
      <c r="D114" s="24">
        <f>SUMIFS('Saldos Iniciales'!$D:$D,'Saldos Iniciales'!$A:$A,"M1B")+SUMIFS(Movimientos!$K$1:$K$1033,Movimientos!$C$1:$C$1033,"M1B",Movimientos!$B$1:$B$1033,"&lt;="&amp;$B114)</f>
        <v>83211.250000000175</v>
      </c>
      <c r="E114" s="24">
        <f>SUMIFS('Saldos Iniciales'!$D:$D,'Saldos Iniciales'!$A:$A,"Durand")+SUMIFS(Movimientos!$K$1:$K$1033,Movimientos!$C$1:$C$1033,"Durand",Movimientos!$B$1:$B$1033,"&lt;="&amp;$B114)</f>
        <v>1669.89</v>
      </c>
      <c r="F114" s="24">
        <f>SUMIFS('Saldos Iniciales'!$D:$D,'Saldos Iniciales'!$A:$A,"A&amp;M Imports")+SUMIFS(Movimientos!$K$1:$K$1033,Movimientos!$C$1:$C$1033,"A&amp;M Imports",Movimientos!$B$1:$B$1033,"&lt;="&amp;$B114)</f>
        <v>1060071.0999999999</v>
      </c>
      <c r="G114" s="24">
        <f>SUMIFS('Saldos Iniciales'!$D:$D,'Saldos Iniciales'!$A:$A,"SSP Capital")+SUMIFS(Movimientos!$K$1:$K$1033,Movimientos!$C$1:$C$1033,"SSP Capital",Movimientos!$B$1:$B$1033,"&lt;="&amp;$B114)</f>
        <v>1758294.6999999997</v>
      </c>
      <c r="H114" s="24">
        <f>SUMIFS('Saldos Iniciales'!$D:$D,'Saldos Iniciales'!$A:$A,"Cross Family Trust")+SUMIFS(Movimientos!$K$1:$K$1033,Movimientos!$C$1:$C$1033,"Cross Family Trust",Movimientos!$B$1:$B$1033,"&lt;="&amp;$B114)</f>
        <v>221496.38</v>
      </c>
      <c r="I114" s="24">
        <f>SUMIFS('Saldos Iniciales'!$D:$D,'Saldos Iniciales'!$A:$A,"Cross Security Trust")+SUMIFS(Movimientos!$K$1:$K$1033,Movimientos!$C$1:$C$1033,"Cross Security Trust",Movimientos!$B$1:$B$1033,"&lt;="&amp;$B114)</f>
        <v>158071.25999999998</v>
      </c>
      <c r="J114" s="24">
        <f>SUMIFS('Saldos Iniciales'!$D:$D,'Saldos Iniciales'!$A:$A,"Electrama")+SUMIFS(Movimientos!$K$1:$K$1033,Movimientos!$C$1:$C$1033,"Electrama",Movimientos!$B$1:$B$1033,"&lt;="&amp;$B114)</f>
        <v>13270.02</v>
      </c>
      <c r="K114" s="24">
        <f>SUMIFS('Saldos Iniciales'!$D:$D,'Saldos Iniciales'!$A:$A,"Sacred Valley Capital")+SUMIFS(Movimientos!$K$1:$K$1033,Movimientos!$C$1:$C$1033,"Sacred Valley Capital",Movimientos!$B$1:$B$1033,"&lt;="&amp;$B114)</f>
        <v>24.450000000000003</v>
      </c>
      <c r="L114" s="24">
        <f>SUMIFS('Saldos Iniciales'!$D:$D,'Saldos Iniciales'!$A:$A,"YWC Capital")+SUMIFS(Movimientos!$K$1:$K$1033,Movimientos!$C$1:$C$1033,"YWC Capital",Movimientos!$B$1:$B$1033,"&lt;="&amp;$B114)</f>
        <v>2177.87</v>
      </c>
      <c r="M114" s="24">
        <f>SUMIFS('Saldos Iniciales'!$D:$D,'Saldos Iniciales'!$A:$A,"Soweto")+SUMIFS(Movimientos!$K$1:$K$1033,Movimientos!$C$1:$C$1033,"Soweto",Movimientos!$B$1:$B$1033,"&lt;="&amp;$B114)</f>
        <v>754424.72</v>
      </c>
      <c r="N114" s="24">
        <f>SUMIFS('Saldos Iniciales'!$D:$D,'Saldos Iniciales'!$A:$A,"Green Stone Trust")+SUMIFS(Movimientos!$K$1:$K$1033,Movimientos!$C$1:$C$1033,"Green Stone Trust",Movimientos!$B$1:$B$1033,"&lt;="&amp;$B114)</f>
        <v>1968.99</v>
      </c>
      <c r="O114" s="24">
        <f>SUMIFS('Saldos Iniciales'!$D:$D,'Saldos Iniciales'!$A:$A,"EC Auto")+SUMIFS(Movimientos!$K$1:$K$1033,Movimientos!$C$1:$C$1033,"EC Auto",Movimientos!$B$1:$B$1033,"&lt;="&amp;$B114)</f>
        <v>901.34</v>
      </c>
      <c r="P114" s="24">
        <f>SUMIFS('Saldos Iniciales'!$D:$D,'Saldos Iniciales'!$A:$A,"Arbor Capital Properties")+SUMIFS(Movimientos!$K$1:$K$1033,Movimientos!$C$1:$C$1033,"Arbor Capital Properties",Movimientos!$B$1:$B$1033,"&lt;="&amp;$B114)</f>
        <v>1396.08</v>
      </c>
      <c r="Q114" s="24">
        <f>SUMIFS('Saldos Iniciales'!$D:$D,'Saldos Iniciales'!$A:$A,"2515 Overbrook")+SUMIFS(Movimientos!$K$1:$K$1033,Movimientos!$C$1:$C$1033,"2515 Overbrook",Movimientos!$B$1:$B$1033,"&lt;="&amp;$B114)</f>
        <v>13685.709999999959</v>
      </c>
      <c r="R114" s="24">
        <f>SUMIFS('Saldos Iniciales'!$D:$D,'Saldos Iniciales'!$A:$A,"112 Florida Ave")+SUMIFS(Movimientos!$K$1:$K$1033,Movimientos!$C$1:$C$1033,"112 Florida Ave",Movimientos!$B$1:$B$1033,"&lt;="&amp;$B114)</f>
        <v>8724.1700000000037</v>
      </c>
      <c r="S114" s="24">
        <f>SUMIFS('Saldos Iniciales'!$D:$D,'Saldos Iniciales'!$A:$A,"3628 Thomas Ave")+SUMIFS(Movimientos!$K$1:$K$1033,Movimientos!$C$1:$C$1033,"3628 Thomas Ave",Movimientos!$B$1:$B$1033,"&lt;="&amp;$B114)</f>
        <v>19336.039999999997</v>
      </c>
      <c r="T114" s="24">
        <f>SUMIFS('Saldos Iniciales'!$D:$D,'Saldos Iniciales'!$A:$A,"Green Harbor Trust")+SUMIFS(Movimientos!$K$1:$K$1033,Movimientos!$C$1:$C$1033,"Green Harbor Trust",Movimientos!$B$1:$B$1033,"&lt;="&amp;$B114)</f>
        <v>345</v>
      </c>
      <c r="U114" s="24">
        <f>SUMIFS('Saldos Iniciales'!$D:$D,'Saldos Iniciales'!$A:$A,"Go Blue")+SUMIFS(Movimientos!$K$1:$K$1033,Movimientos!$C$1:$C$1033,"Go Blue",Movimientos!$B$1:$B$1033,"&lt;="&amp;$B114)</f>
        <v>12541.790000000003</v>
      </c>
      <c r="V114" s="25">
        <f t="shared" ref="V114:V121" si="27">SUM(C114:U114)</f>
        <v>4895154.45</v>
      </c>
    </row>
    <row r="115" spans="1:22" hidden="1" outlineLevel="1" x14ac:dyDescent="0.3">
      <c r="A115" s="22">
        <f t="shared" si="12"/>
        <v>114</v>
      </c>
      <c r="B115" s="23">
        <v>46256</v>
      </c>
      <c r="C115" s="24">
        <f>SUMIFS('Saldos Iniciales'!$D:$D,'Saldos Iniciales'!$A:$A,"CFT Group")+SUMIFS(Movimientos!$K$1:$K$1033,Movimientos!$C$1:$C$1033,"CFT Group",Movimientos!$B$1:$B$1033,"&lt;="&amp;$B115)</f>
        <v>783543.69000000053</v>
      </c>
      <c r="D115" s="24">
        <f>SUMIFS('Saldos Iniciales'!$D:$D,'Saldos Iniciales'!$A:$A,"M1B")+SUMIFS(Movimientos!$K$1:$K$1033,Movimientos!$C$1:$C$1033,"M1B",Movimientos!$B$1:$B$1033,"&lt;="&amp;$B115)</f>
        <v>83211.250000000175</v>
      </c>
      <c r="E115" s="24">
        <f>SUMIFS('Saldos Iniciales'!$D:$D,'Saldos Iniciales'!$A:$A,"Durand")+SUMIFS(Movimientos!$K$1:$K$1033,Movimientos!$C$1:$C$1033,"Durand",Movimientos!$B$1:$B$1033,"&lt;="&amp;$B115)</f>
        <v>1669.89</v>
      </c>
      <c r="F115" s="24">
        <f>SUMIFS('Saldos Iniciales'!$D:$D,'Saldos Iniciales'!$A:$A,"A&amp;M Imports")+SUMIFS(Movimientos!$K$1:$K$1033,Movimientos!$C$1:$C$1033,"A&amp;M Imports",Movimientos!$B$1:$B$1033,"&lt;="&amp;$B115)</f>
        <v>1060071.0999999999</v>
      </c>
      <c r="G115" s="24">
        <f>SUMIFS('Saldos Iniciales'!$D:$D,'Saldos Iniciales'!$A:$A,"SSP Capital")+SUMIFS(Movimientos!$K$1:$K$1033,Movimientos!$C$1:$C$1033,"SSP Capital",Movimientos!$B$1:$B$1033,"&lt;="&amp;$B115)</f>
        <v>1758294.6999999997</v>
      </c>
      <c r="H115" s="24">
        <f>SUMIFS('Saldos Iniciales'!$D:$D,'Saldos Iniciales'!$A:$A,"Cross Family Trust")+SUMIFS(Movimientos!$K$1:$K$1033,Movimientos!$C$1:$C$1033,"Cross Family Trust",Movimientos!$B$1:$B$1033,"&lt;="&amp;$B115)</f>
        <v>221496.38</v>
      </c>
      <c r="I115" s="24">
        <f>SUMIFS('Saldos Iniciales'!$D:$D,'Saldos Iniciales'!$A:$A,"Cross Security Trust")+SUMIFS(Movimientos!$K$1:$K$1033,Movimientos!$C$1:$C$1033,"Cross Security Trust",Movimientos!$B$1:$B$1033,"&lt;="&amp;$B115)</f>
        <v>158071.25999999998</v>
      </c>
      <c r="J115" s="24">
        <f>SUMIFS('Saldos Iniciales'!$D:$D,'Saldos Iniciales'!$A:$A,"Electrama")+SUMIFS(Movimientos!$K$1:$K$1033,Movimientos!$C$1:$C$1033,"Electrama",Movimientos!$B$1:$B$1033,"&lt;="&amp;$B115)</f>
        <v>13270.02</v>
      </c>
      <c r="K115" s="24">
        <f>SUMIFS('Saldos Iniciales'!$D:$D,'Saldos Iniciales'!$A:$A,"Sacred Valley Capital")+SUMIFS(Movimientos!$K$1:$K$1033,Movimientos!$C$1:$C$1033,"Sacred Valley Capital",Movimientos!$B$1:$B$1033,"&lt;="&amp;$B115)</f>
        <v>24.450000000000003</v>
      </c>
      <c r="L115" s="24">
        <f>SUMIFS('Saldos Iniciales'!$D:$D,'Saldos Iniciales'!$A:$A,"YWC Capital")+SUMIFS(Movimientos!$K$1:$K$1033,Movimientos!$C$1:$C$1033,"YWC Capital",Movimientos!$B$1:$B$1033,"&lt;="&amp;$B115)</f>
        <v>2177.87</v>
      </c>
      <c r="M115" s="24">
        <f>SUMIFS('Saldos Iniciales'!$D:$D,'Saldos Iniciales'!$A:$A,"Soweto")+SUMIFS(Movimientos!$K$1:$K$1033,Movimientos!$C$1:$C$1033,"Soweto",Movimientos!$B$1:$B$1033,"&lt;="&amp;$B115)</f>
        <v>754424.72</v>
      </c>
      <c r="N115" s="24">
        <f>SUMIFS('Saldos Iniciales'!$D:$D,'Saldos Iniciales'!$A:$A,"Green Stone Trust")+SUMIFS(Movimientos!$K$1:$K$1033,Movimientos!$C$1:$C$1033,"Green Stone Trust",Movimientos!$B$1:$B$1033,"&lt;="&amp;$B115)</f>
        <v>1968.99</v>
      </c>
      <c r="O115" s="24">
        <f>SUMIFS('Saldos Iniciales'!$D:$D,'Saldos Iniciales'!$A:$A,"EC Auto")+SUMIFS(Movimientos!$K$1:$K$1033,Movimientos!$C$1:$C$1033,"EC Auto",Movimientos!$B$1:$B$1033,"&lt;="&amp;$B115)</f>
        <v>901.34</v>
      </c>
      <c r="P115" s="24">
        <f>SUMIFS('Saldos Iniciales'!$D:$D,'Saldos Iniciales'!$A:$A,"Arbor Capital Properties")+SUMIFS(Movimientos!$K$1:$K$1033,Movimientos!$C$1:$C$1033,"Arbor Capital Properties",Movimientos!$B$1:$B$1033,"&lt;="&amp;$B115)</f>
        <v>1396.08</v>
      </c>
      <c r="Q115" s="24">
        <f>SUMIFS('Saldos Iniciales'!$D:$D,'Saldos Iniciales'!$A:$A,"2515 Overbrook")+SUMIFS(Movimientos!$K$1:$K$1033,Movimientos!$C$1:$C$1033,"2515 Overbrook",Movimientos!$B$1:$B$1033,"&lt;="&amp;$B115)</f>
        <v>13685.709999999959</v>
      </c>
      <c r="R115" s="24">
        <f>SUMIFS('Saldos Iniciales'!$D:$D,'Saldos Iniciales'!$A:$A,"112 Florida Ave")+SUMIFS(Movimientos!$K$1:$K$1033,Movimientos!$C$1:$C$1033,"112 Florida Ave",Movimientos!$B$1:$B$1033,"&lt;="&amp;$B115)</f>
        <v>8724.1700000000037</v>
      </c>
      <c r="S115" s="24">
        <f>SUMIFS('Saldos Iniciales'!$D:$D,'Saldos Iniciales'!$A:$A,"3628 Thomas Ave")+SUMIFS(Movimientos!$K$1:$K$1033,Movimientos!$C$1:$C$1033,"3628 Thomas Ave",Movimientos!$B$1:$B$1033,"&lt;="&amp;$B115)</f>
        <v>19336.039999999997</v>
      </c>
      <c r="T115" s="24">
        <f>SUMIFS('Saldos Iniciales'!$D:$D,'Saldos Iniciales'!$A:$A,"Green Harbor Trust")+SUMIFS(Movimientos!$K$1:$K$1033,Movimientos!$C$1:$C$1033,"Green Harbor Trust",Movimientos!$B$1:$B$1033,"&lt;="&amp;$B115)</f>
        <v>345</v>
      </c>
      <c r="U115" s="24">
        <f>SUMIFS('Saldos Iniciales'!$D:$D,'Saldos Iniciales'!$A:$A,"Go Blue")+SUMIFS(Movimientos!$K$1:$K$1033,Movimientos!$C$1:$C$1033,"Go Blue",Movimientos!$B$1:$B$1033,"&lt;="&amp;$B115)</f>
        <v>12541.790000000003</v>
      </c>
      <c r="V115" s="25">
        <f t="shared" si="27"/>
        <v>4895154.45</v>
      </c>
    </row>
    <row r="116" spans="1:22" hidden="1" outlineLevel="1" x14ac:dyDescent="0.3">
      <c r="A116" s="22">
        <f t="shared" si="12"/>
        <v>115</v>
      </c>
      <c r="B116" s="23">
        <v>46257</v>
      </c>
      <c r="C116" s="24">
        <f>SUMIFS('Saldos Iniciales'!$D:$D,'Saldos Iniciales'!$A:$A,"CFT Group")+SUMIFS(Movimientos!$K$1:$K$1033,Movimientos!$C$1:$C$1033,"CFT Group",Movimientos!$B$1:$B$1033,"&lt;="&amp;$B116)</f>
        <v>783543.69000000053</v>
      </c>
      <c r="D116" s="24">
        <f>SUMIFS('Saldos Iniciales'!$D:$D,'Saldos Iniciales'!$A:$A,"M1B")+SUMIFS(Movimientos!$K$1:$K$1033,Movimientos!$C$1:$C$1033,"M1B",Movimientos!$B$1:$B$1033,"&lt;="&amp;$B116)</f>
        <v>83211.250000000175</v>
      </c>
      <c r="E116" s="24">
        <f>SUMIFS('Saldos Iniciales'!$D:$D,'Saldos Iniciales'!$A:$A,"Durand")+SUMIFS(Movimientos!$K$1:$K$1033,Movimientos!$C$1:$C$1033,"Durand",Movimientos!$B$1:$B$1033,"&lt;="&amp;$B116)</f>
        <v>1669.89</v>
      </c>
      <c r="F116" s="24">
        <f>SUMIFS('Saldos Iniciales'!$D:$D,'Saldos Iniciales'!$A:$A,"A&amp;M Imports")+SUMIFS(Movimientos!$K$1:$K$1033,Movimientos!$C$1:$C$1033,"A&amp;M Imports",Movimientos!$B$1:$B$1033,"&lt;="&amp;$B116)</f>
        <v>1060071.0999999999</v>
      </c>
      <c r="G116" s="24">
        <f>SUMIFS('Saldos Iniciales'!$D:$D,'Saldos Iniciales'!$A:$A,"SSP Capital")+SUMIFS(Movimientos!$K$1:$K$1033,Movimientos!$C$1:$C$1033,"SSP Capital",Movimientos!$B$1:$B$1033,"&lt;="&amp;$B116)</f>
        <v>1758294.6999999997</v>
      </c>
      <c r="H116" s="24">
        <f>SUMIFS('Saldos Iniciales'!$D:$D,'Saldos Iniciales'!$A:$A,"Cross Family Trust")+SUMIFS(Movimientos!$K$1:$K$1033,Movimientos!$C$1:$C$1033,"Cross Family Trust",Movimientos!$B$1:$B$1033,"&lt;="&amp;$B116)</f>
        <v>221496.38</v>
      </c>
      <c r="I116" s="24">
        <f>SUMIFS('Saldos Iniciales'!$D:$D,'Saldos Iniciales'!$A:$A,"Cross Security Trust")+SUMIFS(Movimientos!$K$1:$K$1033,Movimientos!$C$1:$C$1033,"Cross Security Trust",Movimientos!$B$1:$B$1033,"&lt;="&amp;$B116)</f>
        <v>158071.25999999998</v>
      </c>
      <c r="J116" s="24">
        <f>SUMIFS('Saldos Iniciales'!$D:$D,'Saldos Iniciales'!$A:$A,"Electrama")+SUMIFS(Movimientos!$K$1:$K$1033,Movimientos!$C$1:$C$1033,"Electrama",Movimientos!$B$1:$B$1033,"&lt;="&amp;$B116)</f>
        <v>13270.02</v>
      </c>
      <c r="K116" s="24">
        <f>SUMIFS('Saldos Iniciales'!$D:$D,'Saldos Iniciales'!$A:$A,"Sacred Valley Capital")+SUMIFS(Movimientos!$K$1:$K$1033,Movimientos!$C$1:$C$1033,"Sacred Valley Capital",Movimientos!$B$1:$B$1033,"&lt;="&amp;$B116)</f>
        <v>24.450000000000003</v>
      </c>
      <c r="L116" s="24">
        <f>SUMIFS('Saldos Iniciales'!$D:$D,'Saldos Iniciales'!$A:$A,"YWC Capital")+SUMIFS(Movimientos!$K$1:$K$1033,Movimientos!$C$1:$C$1033,"YWC Capital",Movimientos!$B$1:$B$1033,"&lt;="&amp;$B116)</f>
        <v>2177.87</v>
      </c>
      <c r="M116" s="24">
        <f>SUMIFS('Saldos Iniciales'!$D:$D,'Saldos Iniciales'!$A:$A,"Soweto")+SUMIFS(Movimientos!$K$1:$K$1033,Movimientos!$C$1:$C$1033,"Soweto",Movimientos!$B$1:$B$1033,"&lt;="&amp;$B116)</f>
        <v>754424.72</v>
      </c>
      <c r="N116" s="24">
        <f>SUMIFS('Saldos Iniciales'!$D:$D,'Saldos Iniciales'!$A:$A,"Green Stone Trust")+SUMIFS(Movimientos!$K$1:$K$1033,Movimientos!$C$1:$C$1033,"Green Stone Trust",Movimientos!$B$1:$B$1033,"&lt;="&amp;$B116)</f>
        <v>1968.99</v>
      </c>
      <c r="O116" s="24">
        <f>SUMIFS('Saldos Iniciales'!$D:$D,'Saldos Iniciales'!$A:$A,"EC Auto")+SUMIFS(Movimientos!$K$1:$K$1033,Movimientos!$C$1:$C$1033,"EC Auto",Movimientos!$B$1:$B$1033,"&lt;="&amp;$B116)</f>
        <v>901.34</v>
      </c>
      <c r="P116" s="24">
        <f>SUMIFS('Saldos Iniciales'!$D:$D,'Saldos Iniciales'!$A:$A,"Arbor Capital Properties")+SUMIFS(Movimientos!$K$1:$K$1033,Movimientos!$C$1:$C$1033,"Arbor Capital Properties",Movimientos!$B$1:$B$1033,"&lt;="&amp;$B116)</f>
        <v>1396.08</v>
      </c>
      <c r="Q116" s="24">
        <f>SUMIFS('Saldos Iniciales'!$D:$D,'Saldos Iniciales'!$A:$A,"2515 Overbrook")+SUMIFS(Movimientos!$K$1:$K$1033,Movimientos!$C$1:$C$1033,"2515 Overbrook",Movimientos!$B$1:$B$1033,"&lt;="&amp;$B116)</f>
        <v>13685.709999999959</v>
      </c>
      <c r="R116" s="24">
        <f>SUMIFS('Saldos Iniciales'!$D:$D,'Saldos Iniciales'!$A:$A,"112 Florida Ave")+SUMIFS(Movimientos!$K$1:$K$1033,Movimientos!$C$1:$C$1033,"112 Florida Ave",Movimientos!$B$1:$B$1033,"&lt;="&amp;$B116)</f>
        <v>8724.1700000000037</v>
      </c>
      <c r="S116" s="24">
        <f>SUMIFS('Saldos Iniciales'!$D:$D,'Saldos Iniciales'!$A:$A,"3628 Thomas Ave")+SUMIFS(Movimientos!$K$1:$K$1033,Movimientos!$C$1:$C$1033,"3628 Thomas Ave",Movimientos!$B$1:$B$1033,"&lt;="&amp;$B116)</f>
        <v>19336.039999999997</v>
      </c>
      <c r="T116" s="24">
        <f>SUMIFS('Saldos Iniciales'!$D:$D,'Saldos Iniciales'!$A:$A,"Green Harbor Trust")+SUMIFS(Movimientos!$K$1:$K$1033,Movimientos!$C$1:$C$1033,"Green Harbor Trust",Movimientos!$B$1:$B$1033,"&lt;="&amp;$B116)</f>
        <v>345</v>
      </c>
      <c r="U116" s="24">
        <f>SUMIFS('Saldos Iniciales'!$D:$D,'Saldos Iniciales'!$A:$A,"Go Blue")+SUMIFS(Movimientos!$K$1:$K$1033,Movimientos!$C$1:$C$1033,"Go Blue",Movimientos!$B$1:$B$1033,"&lt;="&amp;$B116)</f>
        <v>12541.790000000003</v>
      </c>
      <c r="V116" s="25">
        <f t="shared" si="27"/>
        <v>4895154.45</v>
      </c>
    </row>
    <row r="117" spans="1:22" hidden="1" outlineLevel="1" x14ac:dyDescent="0.3">
      <c r="A117" s="22">
        <f t="shared" si="12"/>
        <v>116</v>
      </c>
      <c r="B117" s="23">
        <v>46258</v>
      </c>
      <c r="C117" s="24">
        <f>SUMIFS('Saldos Iniciales'!$D:$D,'Saldos Iniciales'!$A:$A,"CFT Group")+SUMIFS(Movimientos!$K$1:$K$1033,Movimientos!$C$1:$C$1033,"CFT Group",Movimientos!$B$1:$B$1033,"&lt;="&amp;$B117)</f>
        <v>453543.69000000041</v>
      </c>
      <c r="D117" s="24">
        <f>SUMIFS('Saldos Iniciales'!$D:$D,'Saldos Iniciales'!$A:$A,"M1B")+SUMIFS(Movimientos!$K$1:$K$1033,Movimientos!$C$1:$C$1033,"M1B",Movimientos!$B$1:$B$1033,"&lt;="&amp;$B117)</f>
        <v>83668.990000000165</v>
      </c>
      <c r="E117" s="24">
        <f>SUMIFS('Saldos Iniciales'!$D:$D,'Saldos Iniciales'!$A:$A,"Durand")+SUMIFS(Movimientos!$K$1:$K$1033,Movimientos!$C$1:$C$1033,"Durand",Movimientos!$B$1:$B$1033,"&lt;="&amp;$B117)</f>
        <v>1669.89</v>
      </c>
      <c r="F117" s="24">
        <f>SUMIFS('Saldos Iniciales'!$D:$D,'Saldos Iniciales'!$A:$A,"A&amp;M Imports")+SUMIFS(Movimientos!$K$1:$K$1033,Movimientos!$C$1:$C$1033,"A&amp;M Imports",Movimientos!$B$1:$B$1033,"&lt;="&amp;$B117)</f>
        <v>1065803.0899999999</v>
      </c>
      <c r="G117" s="24">
        <f>SUMIFS('Saldos Iniciales'!$D:$D,'Saldos Iniciales'!$A:$A,"SSP Capital")+SUMIFS(Movimientos!$K$1:$K$1033,Movimientos!$C$1:$C$1033,"SSP Capital",Movimientos!$B$1:$B$1033,"&lt;="&amp;$B117)</f>
        <v>1757531.7099999995</v>
      </c>
      <c r="H117" s="24">
        <f>SUMIFS('Saldos Iniciales'!$D:$D,'Saldos Iniciales'!$A:$A,"Cross Family Trust")+SUMIFS(Movimientos!$K$1:$K$1033,Movimientos!$C$1:$C$1033,"Cross Family Trust",Movimientos!$B$1:$B$1033,"&lt;="&amp;$B117)</f>
        <v>221496.38</v>
      </c>
      <c r="I117" s="24">
        <f>SUMIFS('Saldos Iniciales'!$D:$D,'Saldos Iniciales'!$A:$A,"Cross Security Trust")+SUMIFS(Movimientos!$K$1:$K$1033,Movimientos!$C$1:$C$1033,"Cross Security Trust",Movimientos!$B$1:$B$1033,"&lt;="&amp;$B117)</f>
        <v>158071.25999999998</v>
      </c>
      <c r="J117" s="24">
        <f>SUMIFS('Saldos Iniciales'!$D:$D,'Saldos Iniciales'!$A:$A,"Electrama")+SUMIFS(Movimientos!$K$1:$K$1033,Movimientos!$C$1:$C$1033,"Electrama",Movimientos!$B$1:$B$1033,"&lt;="&amp;$B117)</f>
        <v>13270.02</v>
      </c>
      <c r="K117" s="24">
        <f>SUMIFS('Saldos Iniciales'!$D:$D,'Saldos Iniciales'!$A:$A,"Sacred Valley Capital")+SUMIFS(Movimientos!$K$1:$K$1033,Movimientos!$C$1:$C$1033,"Sacred Valley Capital",Movimientos!$B$1:$B$1033,"&lt;="&amp;$B117)</f>
        <v>24.450000000000003</v>
      </c>
      <c r="L117" s="24">
        <f>SUMIFS('Saldos Iniciales'!$D:$D,'Saldos Iniciales'!$A:$A,"YWC Capital")+SUMIFS(Movimientos!$K$1:$K$1033,Movimientos!$C$1:$C$1033,"YWC Capital",Movimientos!$B$1:$B$1033,"&lt;="&amp;$B117)</f>
        <v>2177.87</v>
      </c>
      <c r="M117" s="24">
        <f>SUMIFS('Saldos Iniciales'!$D:$D,'Saldos Iniciales'!$A:$A,"Soweto")+SUMIFS(Movimientos!$K$1:$K$1033,Movimientos!$C$1:$C$1033,"Soweto",Movimientos!$B$1:$B$1033,"&lt;="&amp;$B117)</f>
        <v>754424.72</v>
      </c>
      <c r="N117" s="24">
        <f>SUMIFS('Saldos Iniciales'!$D:$D,'Saldos Iniciales'!$A:$A,"Green Stone Trust")+SUMIFS(Movimientos!$K$1:$K$1033,Movimientos!$C$1:$C$1033,"Green Stone Trust",Movimientos!$B$1:$B$1033,"&lt;="&amp;$B117)</f>
        <v>1968.99</v>
      </c>
      <c r="O117" s="24">
        <f>SUMIFS('Saldos Iniciales'!$D:$D,'Saldos Iniciales'!$A:$A,"EC Auto")+SUMIFS(Movimientos!$K$1:$K$1033,Movimientos!$C$1:$C$1033,"EC Auto",Movimientos!$B$1:$B$1033,"&lt;="&amp;$B117)</f>
        <v>901.34</v>
      </c>
      <c r="P117" s="24">
        <f>SUMIFS('Saldos Iniciales'!$D:$D,'Saldos Iniciales'!$A:$A,"Arbor Capital Properties")+SUMIFS(Movimientos!$K$1:$K$1033,Movimientos!$C$1:$C$1033,"Arbor Capital Properties",Movimientos!$B$1:$B$1033,"&lt;="&amp;$B117)</f>
        <v>1396.08</v>
      </c>
      <c r="Q117" s="24">
        <f>SUMIFS('Saldos Iniciales'!$D:$D,'Saldos Iniciales'!$A:$A,"2515 Overbrook")+SUMIFS(Movimientos!$K$1:$K$1033,Movimientos!$C$1:$C$1033,"2515 Overbrook",Movimientos!$B$1:$B$1033,"&lt;="&amp;$B117)</f>
        <v>13685.709999999959</v>
      </c>
      <c r="R117" s="24">
        <f>SUMIFS('Saldos Iniciales'!$D:$D,'Saldos Iniciales'!$A:$A,"112 Florida Ave")+SUMIFS(Movimientos!$K$1:$K$1033,Movimientos!$C$1:$C$1033,"112 Florida Ave",Movimientos!$B$1:$B$1033,"&lt;="&amp;$B117)</f>
        <v>8724.1700000000037</v>
      </c>
      <c r="S117" s="24">
        <f>SUMIFS('Saldos Iniciales'!$D:$D,'Saldos Iniciales'!$A:$A,"3628 Thomas Ave")+SUMIFS(Movimientos!$K$1:$K$1033,Movimientos!$C$1:$C$1033,"3628 Thomas Ave",Movimientos!$B$1:$B$1033,"&lt;="&amp;$B117)</f>
        <v>19336.039999999997</v>
      </c>
      <c r="T117" s="24">
        <f>SUMIFS('Saldos Iniciales'!$D:$D,'Saldos Iniciales'!$A:$A,"Green Harbor Trust")+SUMIFS(Movimientos!$K$1:$K$1033,Movimientos!$C$1:$C$1033,"Green Harbor Trust",Movimientos!$B$1:$B$1033,"&lt;="&amp;$B117)</f>
        <v>345</v>
      </c>
      <c r="U117" s="24">
        <f>SUMIFS('Saldos Iniciales'!$D:$D,'Saldos Iniciales'!$A:$A,"Go Blue")+SUMIFS(Movimientos!$K$1:$K$1033,Movimientos!$C$1:$C$1033,"Go Blue",Movimientos!$B$1:$B$1033,"&lt;="&amp;$B117)</f>
        <v>12519.840000000004</v>
      </c>
      <c r="V117" s="25">
        <f t="shared" si="27"/>
        <v>4570559.24</v>
      </c>
    </row>
    <row r="118" spans="1:22" hidden="1" outlineLevel="1" x14ac:dyDescent="0.3">
      <c r="A118" s="22">
        <f t="shared" si="12"/>
        <v>117</v>
      </c>
      <c r="B118" s="23">
        <v>46259</v>
      </c>
      <c r="C118" s="24">
        <f>SUMIFS('Saldos Iniciales'!$D:$D,'Saldos Iniciales'!$A:$A,"CFT Group")+SUMIFS(Movimientos!$K$1:$K$1033,Movimientos!$C$1:$C$1033,"CFT Group",Movimientos!$B$1:$B$1033,"&lt;="&amp;$B118)</f>
        <v>607429.86000000045</v>
      </c>
      <c r="D118" s="24">
        <f>SUMIFS('Saldos Iniciales'!$D:$D,'Saldos Iniciales'!$A:$A,"M1B")+SUMIFS(Movimientos!$K$1:$K$1033,Movimientos!$C$1:$C$1033,"M1B",Movimientos!$B$1:$B$1033,"&lt;="&amp;$B118)</f>
        <v>90643.10000000018</v>
      </c>
      <c r="E118" s="24">
        <f>SUMIFS('Saldos Iniciales'!$D:$D,'Saldos Iniciales'!$A:$A,"Durand")+SUMIFS(Movimientos!$K$1:$K$1033,Movimientos!$C$1:$C$1033,"Durand",Movimientos!$B$1:$B$1033,"&lt;="&amp;$B118)</f>
        <v>1669.89</v>
      </c>
      <c r="F118" s="24">
        <f>SUMIFS('Saldos Iniciales'!$D:$D,'Saldos Iniciales'!$A:$A,"A&amp;M Imports")+SUMIFS(Movimientos!$K$1:$K$1033,Movimientos!$C$1:$C$1033,"A&amp;M Imports",Movimientos!$B$1:$B$1033,"&lt;="&amp;$B118)</f>
        <v>1083148.7</v>
      </c>
      <c r="G118" s="24">
        <f>SUMIFS('Saldos Iniciales'!$D:$D,'Saldos Iniciales'!$A:$A,"SSP Capital")+SUMIFS(Movimientos!$K$1:$K$1033,Movimientos!$C$1:$C$1033,"SSP Capital",Movimientos!$B$1:$B$1033,"&lt;="&amp;$B118)</f>
        <v>1757531.7099999995</v>
      </c>
      <c r="H118" s="24">
        <f>SUMIFS('Saldos Iniciales'!$D:$D,'Saldos Iniciales'!$A:$A,"Cross Family Trust")+SUMIFS(Movimientos!$K$1:$K$1033,Movimientos!$C$1:$C$1033,"Cross Family Trust",Movimientos!$B$1:$B$1033,"&lt;="&amp;$B118)</f>
        <v>221496.38</v>
      </c>
      <c r="I118" s="24">
        <f>SUMIFS('Saldos Iniciales'!$D:$D,'Saldos Iniciales'!$A:$A,"Cross Security Trust")+SUMIFS(Movimientos!$K$1:$K$1033,Movimientos!$C$1:$C$1033,"Cross Security Trust",Movimientos!$B$1:$B$1033,"&lt;="&amp;$B118)</f>
        <v>158071.25999999998</v>
      </c>
      <c r="J118" s="24">
        <f>SUMIFS('Saldos Iniciales'!$D:$D,'Saldos Iniciales'!$A:$A,"Electrama")+SUMIFS(Movimientos!$K$1:$K$1033,Movimientos!$C$1:$C$1033,"Electrama",Movimientos!$B$1:$B$1033,"&lt;="&amp;$B118)</f>
        <v>13270.02</v>
      </c>
      <c r="K118" s="24">
        <f>SUMIFS('Saldos Iniciales'!$D:$D,'Saldos Iniciales'!$A:$A,"Sacred Valley Capital")+SUMIFS(Movimientos!$K$1:$K$1033,Movimientos!$C$1:$C$1033,"Sacred Valley Capital",Movimientos!$B$1:$B$1033,"&lt;="&amp;$B118)</f>
        <v>24.450000000000003</v>
      </c>
      <c r="L118" s="24">
        <f>SUMIFS('Saldos Iniciales'!$D:$D,'Saldos Iniciales'!$A:$A,"YWC Capital")+SUMIFS(Movimientos!$K$1:$K$1033,Movimientos!$C$1:$C$1033,"YWC Capital",Movimientos!$B$1:$B$1033,"&lt;="&amp;$B118)</f>
        <v>2177.87</v>
      </c>
      <c r="M118" s="24">
        <f>SUMIFS('Saldos Iniciales'!$D:$D,'Saldos Iniciales'!$A:$A,"Soweto")+SUMIFS(Movimientos!$K$1:$K$1033,Movimientos!$C$1:$C$1033,"Soweto",Movimientos!$B$1:$B$1033,"&lt;="&amp;$B118)</f>
        <v>754424.72</v>
      </c>
      <c r="N118" s="24">
        <f>SUMIFS('Saldos Iniciales'!$D:$D,'Saldos Iniciales'!$A:$A,"Green Stone Trust")+SUMIFS(Movimientos!$K$1:$K$1033,Movimientos!$C$1:$C$1033,"Green Stone Trust",Movimientos!$B$1:$B$1033,"&lt;="&amp;$B118)</f>
        <v>1968.99</v>
      </c>
      <c r="O118" s="24">
        <f>SUMIFS('Saldos Iniciales'!$D:$D,'Saldos Iniciales'!$A:$A,"EC Auto")+SUMIFS(Movimientos!$K$1:$K$1033,Movimientos!$C$1:$C$1033,"EC Auto",Movimientos!$B$1:$B$1033,"&lt;="&amp;$B118)</f>
        <v>901.34</v>
      </c>
      <c r="P118" s="24">
        <f>SUMIFS('Saldos Iniciales'!$D:$D,'Saldos Iniciales'!$A:$A,"Arbor Capital Properties")+SUMIFS(Movimientos!$K$1:$K$1033,Movimientos!$C$1:$C$1033,"Arbor Capital Properties",Movimientos!$B$1:$B$1033,"&lt;="&amp;$B118)</f>
        <v>1396.08</v>
      </c>
      <c r="Q118" s="24">
        <f>SUMIFS('Saldos Iniciales'!$D:$D,'Saldos Iniciales'!$A:$A,"2515 Overbrook")+SUMIFS(Movimientos!$K$1:$K$1033,Movimientos!$C$1:$C$1033,"2515 Overbrook",Movimientos!$B$1:$B$1033,"&lt;="&amp;$B118)</f>
        <v>13685.709999999959</v>
      </c>
      <c r="R118" s="24">
        <f>SUMIFS('Saldos Iniciales'!$D:$D,'Saldos Iniciales'!$A:$A,"112 Florida Ave")+SUMIFS(Movimientos!$K$1:$K$1033,Movimientos!$C$1:$C$1033,"112 Florida Ave",Movimientos!$B$1:$B$1033,"&lt;="&amp;$B118)</f>
        <v>8724.1700000000037</v>
      </c>
      <c r="S118" s="24">
        <f>SUMIFS('Saldos Iniciales'!$D:$D,'Saldos Iniciales'!$A:$A,"3628 Thomas Ave")+SUMIFS(Movimientos!$K$1:$K$1033,Movimientos!$C$1:$C$1033,"3628 Thomas Ave",Movimientos!$B$1:$B$1033,"&lt;="&amp;$B118)</f>
        <v>19336.039999999997</v>
      </c>
      <c r="T118" s="24">
        <f>SUMIFS('Saldos Iniciales'!$D:$D,'Saldos Iniciales'!$A:$A,"Green Harbor Trust")+SUMIFS(Movimientos!$K$1:$K$1033,Movimientos!$C$1:$C$1033,"Green Harbor Trust",Movimientos!$B$1:$B$1033,"&lt;="&amp;$B118)</f>
        <v>345</v>
      </c>
      <c r="U118" s="24">
        <f>SUMIFS('Saldos Iniciales'!$D:$D,'Saldos Iniciales'!$A:$A,"Go Blue")+SUMIFS(Movimientos!$K$1:$K$1033,Movimientos!$C$1:$C$1033,"Go Blue",Movimientos!$B$1:$B$1033,"&lt;="&amp;$B118)</f>
        <v>12519.840000000004</v>
      </c>
      <c r="V118" s="25">
        <f t="shared" si="27"/>
        <v>4748765.13</v>
      </c>
    </row>
    <row r="119" spans="1:22" hidden="1" outlineLevel="1" x14ac:dyDescent="0.3">
      <c r="A119" s="22">
        <f t="shared" si="12"/>
        <v>118</v>
      </c>
      <c r="B119" s="23">
        <v>46260</v>
      </c>
      <c r="C119" s="24">
        <f>SUMIFS('Saldos Iniciales'!$D:$D,'Saldos Iniciales'!$A:$A,"CFT Group")+SUMIFS(Movimientos!$K$1:$K$1033,Movimientos!$C$1:$C$1033,"CFT Group",Movimientos!$B$1:$B$1033,"&lt;="&amp;$B119)</f>
        <v>607429.86000000045</v>
      </c>
      <c r="D119" s="24">
        <f>SUMIFS('Saldos Iniciales'!$D:$D,'Saldos Iniciales'!$A:$A,"M1B")+SUMIFS(Movimientos!$K$1:$K$1033,Movimientos!$C$1:$C$1033,"M1B",Movimientos!$B$1:$B$1033,"&lt;="&amp;$B119)</f>
        <v>90643.10000000018</v>
      </c>
      <c r="E119" s="24">
        <f>SUMIFS('Saldos Iniciales'!$D:$D,'Saldos Iniciales'!$A:$A,"Durand")+SUMIFS(Movimientos!$K$1:$K$1033,Movimientos!$C$1:$C$1033,"Durand",Movimientos!$B$1:$B$1033,"&lt;="&amp;$B119)</f>
        <v>1669.89</v>
      </c>
      <c r="F119" s="24">
        <f>SUMIFS('Saldos Iniciales'!$D:$D,'Saldos Iniciales'!$A:$A,"A&amp;M Imports")+SUMIFS(Movimientos!$K$1:$K$1033,Movimientos!$C$1:$C$1033,"A&amp;M Imports",Movimientos!$B$1:$B$1033,"&lt;="&amp;$B119)</f>
        <v>1100694.23</v>
      </c>
      <c r="G119" s="24">
        <f>SUMIFS('Saldos Iniciales'!$D:$D,'Saldos Iniciales'!$A:$A,"SSP Capital")+SUMIFS(Movimientos!$K$1:$K$1033,Movimientos!$C$1:$C$1033,"SSP Capital",Movimientos!$B$1:$B$1033,"&lt;="&amp;$B119)</f>
        <v>1757531.7099999995</v>
      </c>
      <c r="H119" s="24">
        <f>SUMIFS('Saldos Iniciales'!$D:$D,'Saldos Iniciales'!$A:$A,"Cross Family Trust")+SUMIFS(Movimientos!$K$1:$K$1033,Movimientos!$C$1:$C$1033,"Cross Family Trust",Movimientos!$B$1:$B$1033,"&lt;="&amp;$B119)</f>
        <v>221496.38</v>
      </c>
      <c r="I119" s="24">
        <f>SUMIFS('Saldos Iniciales'!$D:$D,'Saldos Iniciales'!$A:$A,"Cross Security Trust")+SUMIFS(Movimientos!$K$1:$K$1033,Movimientos!$C$1:$C$1033,"Cross Security Trust",Movimientos!$B$1:$B$1033,"&lt;="&amp;$B119)</f>
        <v>158071.25999999998</v>
      </c>
      <c r="J119" s="24">
        <f>SUMIFS('Saldos Iniciales'!$D:$D,'Saldos Iniciales'!$A:$A,"Electrama")+SUMIFS(Movimientos!$K$1:$K$1033,Movimientos!$C$1:$C$1033,"Electrama",Movimientos!$B$1:$B$1033,"&lt;="&amp;$B119)</f>
        <v>13270.02</v>
      </c>
      <c r="K119" s="24">
        <f>SUMIFS('Saldos Iniciales'!$D:$D,'Saldos Iniciales'!$A:$A,"Sacred Valley Capital")+SUMIFS(Movimientos!$K$1:$K$1033,Movimientos!$C$1:$C$1033,"Sacred Valley Capital",Movimientos!$B$1:$B$1033,"&lt;="&amp;$B119)</f>
        <v>24.450000000000003</v>
      </c>
      <c r="L119" s="24">
        <f>SUMIFS('Saldos Iniciales'!$D:$D,'Saldos Iniciales'!$A:$A,"YWC Capital")+SUMIFS(Movimientos!$K$1:$K$1033,Movimientos!$C$1:$C$1033,"YWC Capital",Movimientos!$B$1:$B$1033,"&lt;="&amp;$B119)</f>
        <v>2177.87</v>
      </c>
      <c r="M119" s="24">
        <f>SUMIFS('Saldos Iniciales'!$D:$D,'Saldos Iniciales'!$A:$A,"Soweto")+SUMIFS(Movimientos!$K$1:$K$1033,Movimientos!$C$1:$C$1033,"Soweto",Movimientos!$B$1:$B$1033,"&lt;="&amp;$B119)</f>
        <v>754424.72</v>
      </c>
      <c r="N119" s="24">
        <f>SUMIFS('Saldos Iniciales'!$D:$D,'Saldos Iniciales'!$A:$A,"Green Stone Trust")+SUMIFS(Movimientos!$K$1:$K$1033,Movimientos!$C$1:$C$1033,"Green Stone Trust",Movimientos!$B$1:$B$1033,"&lt;="&amp;$B119)</f>
        <v>1968.99</v>
      </c>
      <c r="O119" s="24">
        <f>SUMIFS('Saldos Iniciales'!$D:$D,'Saldos Iniciales'!$A:$A,"EC Auto")+SUMIFS(Movimientos!$K$1:$K$1033,Movimientos!$C$1:$C$1033,"EC Auto",Movimientos!$B$1:$B$1033,"&lt;="&amp;$B119)</f>
        <v>901.34</v>
      </c>
      <c r="P119" s="24">
        <f>SUMIFS('Saldos Iniciales'!$D:$D,'Saldos Iniciales'!$A:$A,"Arbor Capital Properties")+SUMIFS(Movimientos!$K$1:$K$1033,Movimientos!$C$1:$C$1033,"Arbor Capital Properties",Movimientos!$B$1:$B$1033,"&lt;="&amp;$B119)</f>
        <v>1396.08</v>
      </c>
      <c r="Q119" s="24">
        <f>SUMIFS('Saldos Iniciales'!$D:$D,'Saldos Iniciales'!$A:$A,"2515 Overbrook")+SUMIFS(Movimientos!$K$1:$K$1033,Movimientos!$C$1:$C$1033,"2515 Overbrook",Movimientos!$B$1:$B$1033,"&lt;="&amp;$B119)</f>
        <v>13685.709999999959</v>
      </c>
      <c r="R119" s="24">
        <f>SUMIFS('Saldos Iniciales'!$D:$D,'Saldos Iniciales'!$A:$A,"112 Florida Ave")+SUMIFS(Movimientos!$K$1:$K$1033,Movimientos!$C$1:$C$1033,"112 Florida Ave",Movimientos!$B$1:$B$1033,"&lt;="&amp;$B119)</f>
        <v>8724.1700000000037</v>
      </c>
      <c r="S119" s="24">
        <f>SUMIFS('Saldos Iniciales'!$D:$D,'Saldos Iniciales'!$A:$A,"3628 Thomas Ave")+SUMIFS(Movimientos!$K$1:$K$1033,Movimientos!$C$1:$C$1033,"3628 Thomas Ave",Movimientos!$B$1:$B$1033,"&lt;="&amp;$B119)</f>
        <v>19336.039999999997</v>
      </c>
      <c r="T119" s="24">
        <f>SUMIFS('Saldos Iniciales'!$D:$D,'Saldos Iniciales'!$A:$A,"Green Harbor Trust")+SUMIFS(Movimientos!$K$1:$K$1033,Movimientos!$C$1:$C$1033,"Green Harbor Trust",Movimientos!$B$1:$B$1033,"&lt;="&amp;$B119)</f>
        <v>345</v>
      </c>
      <c r="U119" s="24">
        <f>SUMIFS('Saldos Iniciales'!$D:$D,'Saldos Iniciales'!$A:$A,"Go Blue")+SUMIFS(Movimientos!$K$1:$K$1033,Movimientos!$C$1:$C$1033,"Go Blue",Movimientos!$B$1:$B$1033,"&lt;="&amp;$B119)</f>
        <v>12519.840000000004</v>
      </c>
      <c r="V119" s="25">
        <f t="shared" si="27"/>
        <v>4766310.66</v>
      </c>
    </row>
    <row r="120" spans="1:22" hidden="1" outlineLevel="1" x14ac:dyDescent="0.3">
      <c r="A120" s="22">
        <f t="shared" si="12"/>
        <v>119</v>
      </c>
      <c r="B120" s="23">
        <v>46261</v>
      </c>
      <c r="C120" s="24">
        <f>SUMIFS('Saldos Iniciales'!$D:$D,'Saldos Iniciales'!$A:$A,"CFT Group")+SUMIFS(Movimientos!$K$1:$K$1033,Movimientos!$C$1:$C$1033,"CFT Group",Movimientos!$B$1:$B$1033,"&lt;="&amp;$B120)</f>
        <v>659426.92000000051</v>
      </c>
      <c r="D120" s="24">
        <f>SUMIFS('Saldos Iniciales'!$D:$D,'Saldos Iniciales'!$A:$A,"M1B")+SUMIFS(Movimientos!$K$1:$K$1033,Movimientos!$C$1:$C$1033,"M1B",Movimientos!$B$1:$B$1033,"&lt;="&amp;$B120)</f>
        <v>90643.10000000018</v>
      </c>
      <c r="E120" s="24">
        <f>SUMIFS('Saldos Iniciales'!$D:$D,'Saldos Iniciales'!$A:$A,"Durand")+SUMIFS(Movimientos!$K$1:$K$1033,Movimientos!$C$1:$C$1033,"Durand",Movimientos!$B$1:$B$1033,"&lt;="&amp;$B120)</f>
        <v>1669.89</v>
      </c>
      <c r="F120" s="24">
        <f>SUMIFS('Saldos Iniciales'!$D:$D,'Saldos Iniciales'!$A:$A,"A&amp;M Imports")+SUMIFS(Movimientos!$K$1:$K$1033,Movimientos!$C$1:$C$1033,"A&amp;M Imports",Movimientos!$B$1:$B$1033,"&lt;="&amp;$B120)</f>
        <v>1225694.23</v>
      </c>
      <c r="G120" s="24">
        <f>SUMIFS('Saldos Iniciales'!$D:$D,'Saldos Iniciales'!$A:$A,"SSP Capital")+SUMIFS(Movimientos!$K$1:$K$1033,Movimientos!$C$1:$C$1033,"SSP Capital",Movimientos!$B$1:$B$1033,"&lt;="&amp;$B120)</f>
        <v>1733606.8399999996</v>
      </c>
      <c r="H120" s="24">
        <f>SUMIFS('Saldos Iniciales'!$D:$D,'Saldos Iniciales'!$A:$A,"Cross Family Trust")+SUMIFS(Movimientos!$K$1:$K$1033,Movimientos!$C$1:$C$1033,"Cross Family Trust",Movimientos!$B$1:$B$1033,"&lt;="&amp;$B120)</f>
        <v>221496.38</v>
      </c>
      <c r="I120" s="24">
        <f>SUMIFS('Saldos Iniciales'!$D:$D,'Saldos Iniciales'!$A:$A,"Cross Security Trust")+SUMIFS(Movimientos!$K$1:$K$1033,Movimientos!$C$1:$C$1033,"Cross Security Trust",Movimientos!$B$1:$B$1033,"&lt;="&amp;$B120)</f>
        <v>158071.25999999998</v>
      </c>
      <c r="J120" s="24">
        <f>SUMIFS('Saldos Iniciales'!$D:$D,'Saldos Iniciales'!$A:$A,"Electrama")+SUMIFS(Movimientos!$K$1:$K$1033,Movimientos!$C$1:$C$1033,"Electrama",Movimientos!$B$1:$B$1033,"&lt;="&amp;$B120)</f>
        <v>13270.02</v>
      </c>
      <c r="K120" s="24">
        <f>SUMIFS('Saldos Iniciales'!$D:$D,'Saldos Iniciales'!$A:$A,"Sacred Valley Capital")+SUMIFS(Movimientos!$K$1:$K$1033,Movimientos!$C$1:$C$1033,"Sacred Valley Capital",Movimientos!$B$1:$B$1033,"&lt;="&amp;$B120)</f>
        <v>124.45</v>
      </c>
      <c r="L120" s="24">
        <f>SUMIFS('Saldos Iniciales'!$D:$D,'Saldos Iniciales'!$A:$A,"YWC Capital")+SUMIFS(Movimientos!$K$1:$K$1033,Movimientos!$C$1:$C$1033,"YWC Capital",Movimientos!$B$1:$B$1033,"&lt;="&amp;$B120)</f>
        <v>2177.87</v>
      </c>
      <c r="M120" s="24">
        <f>SUMIFS('Saldos Iniciales'!$D:$D,'Saldos Iniciales'!$A:$A,"Soweto")+SUMIFS(Movimientos!$K$1:$K$1033,Movimientos!$C$1:$C$1033,"Soweto",Movimientos!$B$1:$B$1033,"&lt;="&amp;$B120)</f>
        <v>754424.72</v>
      </c>
      <c r="N120" s="24">
        <f>SUMIFS('Saldos Iniciales'!$D:$D,'Saldos Iniciales'!$A:$A,"Green Stone Trust")+SUMIFS(Movimientos!$K$1:$K$1033,Movimientos!$C$1:$C$1033,"Green Stone Trust",Movimientos!$B$1:$B$1033,"&lt;="&amp;$B120)</f>
        <v>1968.99</v>
      </c>
      <c r="O120" s="24">
        <f>SUMIFS('Saldos Iniciales'!$D:$D,'Saldos Iniciales'!$A:$A,"EC Auto")+SUMIFS(Movimientos!$K$1:$K$1033,Movimientos!$C$1:$C$1033,"EC Auto",Movimientos!$B$1:$B$1033,"&lt;="&amp;$B120)</f>
        <v>901.34</v>
      </c>
      <c r="P120" s="24">
        <f>SUMIFS('Saldos Iniciales'!$D:$D,'Saldos Iniciales'!$A:$A,"Arbor Capital Properties")+SUMIFS(Movimientos!$K$1:$K$1033,Movimientos!$C$1:$C$1033,"Arbor Capital Properties",Movimientos!$B$1:$B$1033,"&lt;="&amp;$B120)</f>
        <v>1396.08</v>
      </c>
      <c r="Q120" s="24">
        <f>SUMIFS('Saldos Iniciales'!$D:$D,'Saldos Iniciales'!$A:$A,"2515 Overbrook")+SUMIFS(Movimientos!$K$1:$K$1033,Movimientos!$C$1:$C$1033,"2515 Overbrook",Movimientos!$B$1:$B$1033,"&lt;="&amp;$B120)</f>
        <v>33685.709999999963</v>
      </c>
      <c r="R120" s="24">
        <f>SUMIFS('Saldos Iniciales'!$D:$D,'Saldos Iniciales'!$A:$A,"112 Florida Ave")+SUMIFS(Movimientos!$K$1:$K$1033,Movimientos!$C$1:$C$1033,"112 Florida Ave",Movimientos!$B$1:$B$1033,"&lt;="&amp;$B120)</f>
        <v>29724.170000000006</v>
      </c>
      <c r="S120" s="24">
        <f>SUMIFS('Saldos Iniciales'!$D:$D,'Saldos Iniciales'!$A:$A,"3628 Thomas Ave")+SUMIFS(Movimientos!$K$1:$K$1033,Movimientos!$C$1:$C$1033,"3628 Thomas Ave",Movimientos!$B$1:$B$1033,"&lt;="&amp;$B120)</f>
        <v>19336.039999999997</v>
      </c>
      <c r="T120" s="24">
        <f>SUMIFS('Saldos Iniciales'!$D:$D,'Saldos Iniciales'!$A:$A,"Green Harbor Trust")+SUMIFS(Movimientos!$K$1:$K$1033,Movimientos!$C$1:$C$1033,"Green Harbor Trust",Movimientos!$B$1:$B$1033,"&lt;="&amp;$B120)</f>
        <v>345</v>
      </c>
      <c r="U120" s="24">
        <f>SUMIFS('Saldos Iniciales'!$D:$D,'Saldos Iniciales'!$A:$A,"Go Blue")+SUMIFS(Movimientos!$K$1:$K$1033,Movimientos!$C$1:$C$1033,"Go Blue",Movimientos!$B$1:$B$1033,"&lt;="&amp;$B120)</f>
        <v>9608.7000000000025</v>
      </c>
      <c r="V120" s="25">
        <f t="shared" si="27"/>
        <v>4957571.7100000009</v>
      </c>
    </row>
    <row r="121" spans="1:22" hidden="1" outlineLevel="1" x14ac:dyDescent="0.3">
      <c r="A121" s="22">
        <f t="shared" si="12"/>
        <v>120</v>
      </c>
      <c r="B121" s="23">
        <v>46262</v>
      </c>
      <c r="C121" s="24">
        <f>SUMIFS('Saldos Iniciales'!$D:$D,'Saldos Iniciales'!$A:$A,"CFT Group")+SUMIFS(Movimientos!$K$1:$K$1033,Movimientos!$C$1:$C$1033,"CFT Group",Movimientos!$B$1:$B$1033,"&lt;="&amp;$B121)</f>
        <v>824764.1600000005</v>
      </c>
      <c r="D121" s="24">
        <f>SUMIFS('Saldos Iniciales'!$D:$D,'Saldos Iniciales'!$A:$A,"M1B")+SUMIFS(Movimientos!$K$1:$K$1033,Movimientos!$C$1:$C$1033,"M1B",Movimientos!$B$1:$B$1033,"&lt;="&amp;$B121)</f>
        <v>93280.230000000171</v>
      </c>
      <c r="E121" s="24">
        <f>SUMIFS('Saldos Iniciales'!$D:$D,'Saldos Iniciales'!$A:$A,"Durand")+SUMIFS(Movimientos!$K$1:$K$1033,Movimientos!$C$1:$C$1033,"Durand",Movimientos!$B$1:$B$1033,"&lt;="&amp;$B121)</f>
        <v>1669.89</v>
      </c>
      <c r="F121" s="24">
        <f>SUMIFS('Saldos Iniciales'!$D:$D,'Saldos Iniciales'!$A:$A,"A&amp;M Imports")+SUMIFS(Movimientos!$K$1:$K$1033,Movimientos!$C$1:$C$1033,"A&amp;M Imports",Movimientos!$B$1:$B$1033,"&lt;="&amp;$B121)</f>
        <v>1249485.67</v>
      </c>
      <c r="G121" s="24">
        <f>SUMIFS('Saldos Iniciales'!$D:$D,'Saldos Iniciales'!$A:$A,"SSP Capital")+SUMIFS(Movimientos!$K$1:$K$1033,Movimientos!$C$1:$C$1033,"SSP Capital",Movimientos!$B$1:$B$1033,"&lt;="&amp;$B121)</f>
        <v>1567409.3099999996</v>
      </c>
      <c r="H121" s="24">
        <f>SUMIFS('Saldos Iniciales'!$D:$D,'Saldos Iniciales'!$A:$A,"Cross Family Trust")+SUMIFS(Movimientos!$K$1:$K$1033,Movimientos!$C$1:$C$1033,"Cross Family Trust",Movimientos!$B$1:$B$1033,"&lt;="&amp;$B121)</f>
        <v>221496.38</v>
      </c>
      <c r="I121" s="24">
        <f>SUMIFS('Saldos Iniciales'!$D:$D,'Saldos Iniciales'!$A:$A,"Cross Security Trust")+SUMIFS(Movimientos!$K$1:$K$1033,Movimientos!$C$1:$C$1033,"Cross Security Trust",Movimientos!$B$1:$B$1033,"&lt;="&amp;$B121)</f>
        <v>98169.25999999998</v>
      </c>
      <c r="J121" s="24">
        <f>SUMIFS('Saldos Iniciales'!$D:$D,'Saldos Iniciales'!$A:$A,"Electrama")+SUMIFS(Movimientos!$K$1:$K$1033,Movimientos!$C$1:$C$1033,"Electrama",Movimientos!$B$1:$B$1033,"&lt;="&amp;$B121)</f>
        <v>13270.02</v>
      </c>
      <c r="K121" s="24">
        <f>SUMIFS('Saldos Iniciales'!$D:$D,'Saldos Iniciales'!$A:$A,"Sacred Valley Capital")+SUMIFS(Movimientos!$K$1:$K$1033,Movimientos!$C$1:$C$1033,"Sacred Valley Capital",Movimientos!$B$1:$B$1033,"&lt;="&amp;$B121)</f>
        <v>124.45</v>
      </c>
      <c r="L121" s="24">
        <f>SUMIFS('Saldos Iniciales'!$D:$D,'Saldos Iniciales'!$A:$A,"YWC Capital")+SUMIFS(Movimientos!$K$1:$K$1033,Movimientos!$C$1:$C$1033,"YWC Capital",Movimientos!$B$1:$B$1033,"&lt;="&amp;$B121)</f>
        <v>2177.87</v>
      </c>
      <c r="M121" s="24">
        <f>SUMIFS('Saldos Iniciales'!$D:$D,'Saldos Iniciales'!$A:$A,"Soweto")+SUMIFS(Movimientos!$K$1:$K$1033,Movimientos!$C$1:$C$1033,"Soweto",Movimientos!$B$1:$B$1033,"&lt;="&amp;$B121)</f>
        <v>754424.72</v>
      </c>
      <c r="N121" s="24">
        <f>SUMIFS('Saldos Iniciales'!$D:$D,'Saldos Iniciales'!$A:$A,"Green Stone Trust")+SUMIFS(Movimientos!$K$1:$K$1033,Movimientos!$C$1:$C$1033,"Green Stone Trust",Movimientos!$B$1:$B$1033,"&lt;="&amp;$B121)</f>
        <v>1968.99</v>
      </c>
      <c r="O121" s="24">
        <f>SUMIFS('Saldos Iniciales'!$D:$D,'Saldos Iniciales'!$A:$A,"EC Auto")+SUMIFS(Movimientos!$K$1:$K$1033,Movimientos!$C$1:$C$1033,"EC Auto",Movimientos!$B$1:$B$1033,"&lt;="&amp;$B121)</f>
        <v>901.34</v>
      </c>
      <c r="P121" s="24">
        <f>SUMIFS('Saldos Iniciales'!$D:$D,'Saldos Iniciales'!$A:$A,"Arbor Capital Properties")+SUMIFS(Movimientos!$K$1:$K$1033,Movimientos!$C$1:$C$1033,"Arbor Capital Properties",Movimientos!$B$1:$B$1033,"&lt;="&amp;$B121)</f>
        <v>1396.08</v>
      </c>
      <c r="Q121" s="24">
        <f>SUMIFS('Saldos Iniciales'!$D:$D,'Saldos Iniciales'!$A:$A,"2515 Overbrook")+SUMIFS(Movimientos!$K$1:$K$1033,Movimientos!$C$1:$C$1033,"2515 Overbrook",Movimientos!$B$1:$B$1033,"&lt;="&amp;$B121)</f>
        <v>33670.709999999963</v>
      </c>
      <c r="R121" s="24">
        <f>SUMIFS('Saldos Iniciales'!$D:$D,'Saldos Iniciales'!$A:$A,"112 Florida Ave")+SUMIFS(Movimientos!$K$1:$K$1033,Movimientos!$C$1:$C$1033,"112 Florida Ave",Movimientos!$B$1:$B$1033,"&lt;="&amp;$B121)</f>
        <v>29709.170000000006</v>
      </c>
      <c r="S121" s="24">
        <f>SUMIFS('Saldos Iniciales'!$D:$D,'Saldos Iniciales'!$A:$A,"3628 Thomas Ave")+SUMIFS(Movimientos!$K$1:$K$1033,Movimientos!$C$1:$C$1033,"3628 Thomas Ave",Movimientos!$B$1:$B$1033,"&lt;="&amp;$B121)</f>
        <v>19336.039999999997</v>
      </c>
      <c r="T121" s="24">
        <f>SUMIFS('Saldos Iniciales'!$D:$D,'Saldos Iniciales'!$A:$A,"Green Harbor Trust")+SUMIFS(Movimientos!$K$1:$K$1033,Movimientos!$C$1:$C$1033,"Green Harbor Trust",Movimientos!$B$1:$B$1033,"&lt;="&amp;$B121)</f>
        <v>345</v>
      </c>
      <c r="U121" s="24">
        <f>SUMIFS('Saldos Iniciales'!$D:$D,'Saldos Iniciales'!$A:$A,"Go Blue")+SUMIFS(Movimientos!$K$1:$K$1033,Movimientos!$C$1:$C$1033,"Go Blue",Movimientos!$B$1:$B$1033,"&lt;="&amp;$B121)</f>
        <v>9560.0000000000018</v>
      </c>
      <c r="V121" s="25">
        <f t="shared" si="27"/>
        <v>4923159.29</v>
      </c>
    </row>
    <row r="122" spans="1:22" hidden="1" outlineLevel="1" x14ac:dyDescent="0.3">
      <c r="A122" s="22">
        <f t="shared" si="12"/>
        <v>121</v>
      </c>
      <c r="B122" s="23">
        <v>46263</v>
      </c>
      <c r="C122" s="24">
        <f>SUMIFS('Saldos Iniciales'!$D:$D,'Saldos Iniciales'!$A:$A,"CFT Group")+SUMIFS(Movimientos!$K$1:$K$1033,Movimientos!$C$1:$C$1033,"CFT Group",Movimientos!$B$1:$B$1033,"&lt;="&amp;$B122)</f>
        <v>824764.1600000005</v>
      </c>
      <c r="D122" s="24">
        <f>SUMIFS('Saldos Iniciales'!$D:$D,'Saldos Iniciales'!$A:$A,"M1B")+SUMIFS(Movimientos!$K$1:$K$1033,Movimientos!$C$1:$C$1033,"M1B",Movimientos!$B$1:$B$1033,"&lt;="&amp;$B122)</f>
        <v>93280.230000000171</v>
      </c>
      <c r="E122" s="24">
        <f>SUMIFS('Saldos Iniciales'!$D:$D,'Saldos Iniciales'!$A:$A,"Durand")+SUMIFS(Movimientos!$K$1:$K$1033,Movimientos!$C$1:$C$1033,"Durand",Movimientos!$B$1:$B$1033,"&lt;="&amp;$B122)</f>
        <v>1669.89</v>
      </c>
      <c r="F122" s="24">
        <f>SUMIFS('Saldos Iniciales'!$D:$D,'Saldos Iniciales'!$A:$A,"A&amp;M Imports")+SUMIFS(Movimientos!$K$1:$K$1033,Movimientos!$C$1:$C$1033,"A&amp;M Imports",Movimientos!$B$1:$B$1033,"&lt;="&amp;$B122)</f>
        <v>1249485.67</v>
      </c>
      <c r="G122" s="24">
        <f>SUMIFS('Saldos Iniciales'!$D:$D,'Saldos Iniciales'!$A:$A,"SSP Capital")+SUMIFS(Movimientos!$K$1:$K$1033,Movimientos!$C$1:$C$1033,"SSP Capital",Movimientos!$B$1:$B$1033,"&lt;="&amp;$B122)</f>
        <v>1567409.3099999996</v>
      </c>
      <c r="H122" s="24">
        <f>SUMIFS('Saldos Iniciales'!$D:$D,'Saldos Iniciales'!$A:$A,"Cross Family Trust")+SUMIFS(Movimientos!$K$1:$K$1033,Movimientos!$C$1:$C$1033,"Cross Family Trust",Movimientos!$B$1:$B$1033,"&lt;="&amp;$B122)</f>
        <v>221496.38</v>
      </c>
      <c r="I122" s="24">
        <f>SUMIFS('Saldos Iniciales'!$D:$D,'Saldos Iniciales'!$A:$A,"Cross Security Trust")+SUMIFS(Movimientos!$K$1:$K$1033,Movimientos!$C$1:$C$1033,"Cross Security Trust",Movimientos!$B$1:$B$1033,"&lt;="&amp;$B122)</f>
        <v>98169.25999999998</v>
      </c>
      <c r="J122" s="24">
        <f>SUMIFS('Saldos Iniciales'!$D:$D,'Saldos Iniciales'!$A:$A,"Electrama")+SUMIFS(Movimientos!$K$1:$K$1033,Movimientos!$C$1:$C$1033,"Electrama",Movimientos!$B$1:$B$1033,"&lt;="&amp;$B122)</f>
        <v>13270.02</v>
      </c>
      <c r="K122" s="24">
        <f>SUMIFS('Saldos Iniciales'!$D:$D,'Saldos Iniciales'!$A:$A,"Sacred Valley Capital")+SUMIFS(Movimientos!$K$1:$K$1033,Movimientos!$C$1:$C$1033,"Sacred Valley Capital",Movimientos!$B$1:$B$1033,"&lt;="&amp;$B122)</f>
        <v>124.45</v>
      </c>
      <c r="L122" s="24">
        <f>SUMIFS('Saldos Iniciales'!$D:$D,'Saldos Iniciales'!$A:$A,"YWC Capital")+SUMIFS(Movimientos!$K$1:$K$1033,Movimientos!$C$1:$C$1033,"YWC Capital",Movimientos!$B$1:$B$1033,"&lt;="&amp;$B122)</f>
        <v>2177.87</v>
      </c>
      <c r="M122" s="24">
        <f>SUMIFS('Saldos Iniciales'!$D:$D,'Saldos Iniciales'!$A:$A,"Soweto")+SUMIFS(Movimientos!$K$1:$K$1033,Movimientos!$C$1:$C$1033,"Soweto",Movimientos!$B$1:$B$1033,"&lt;="&amp;$B122)</f>
        <v>754424.72</v>
      </c>
      <c r="N122" s="24">
        <f>SUMIFS('Saldos Iniciales'!$D:$D,'Saldos Iniciales'!$A:$A,"Green Stone Trust")+SUMIFS(Movimientos!$K$1:$K$1033,Movimientos!$C$1:$C$1033,"Green Stone Trust",Movimientos!$B$1:$B$1033,"&lt;="&amp;$B122)</f>
        <v>1968.99</v>
      </c>
      <c r="O122" s="24">
        <f>SUMIFS('Saldos Iniciales'!$D:$D,'Saldos Iniciales'!$A:$A,"EC Auto")+SUMIFS(Movimientos!$K$1:$K$1033,Movimientos!$C$1:$C$1033,"EC Auto",Movimientos!$B$1:$B$1033,"&lt;="&amp;$B122)</f>
        <v>901.34</v>
      </c>
      <c r="P122" s="24">
        <f>SUMIFS('Saldos Iniciales'!$D:$D,'Saldos Iniciales'!$A:$A,"Arbor Capital Properties")+SUMIFS(Movimientos!$K$1:$K$1033,Movimientos!$C$1:$C$1033,"Arbor Capital Properties",Movimientos!$B$1:$B$1033,"&lt;="&amp;$B122)</f>
        <v>1396.08</v>
      </c>
      <c r="Q122" s="24">
        <f>SUMIFS('Saldos Iniciales'!$D:$D,'Saldos Iniciales'!$A:$A,"2515 Overbrook")+SUMIFS(Movimientos!$K$1:$K$1033,Movimientos!$C$1:$C$1033,"2515 Overbrook",Movimientos!$B$1:$B$1033,"&lt;="&amp;$B122)</f>
        <v>33670.709999999963</v>
      </c>
      <c r="R122" s="24">
        <f>SUMIFS('Saldos Iniciales'!$D:$D,'Saldos Iniciales'!$A:$A,"112 Florida Ave")+SUMIFS(Movimientos!$K$1:$K$1033,Movimientos!$C$1:$C$1033,"112 Florida Ave",Movimientos!$B$1:$B$1033,"&lt;="&amp;$B122)</f>
        <v>29709.170000000006</v>
      </c>
      <c r="S122" s="24">
        <f>SUMIFS('Saldos Iniciales'!$D:$D,'Saldos Iniciales'!$A:$A,"3628 Thomas Ave")+SUMIFS(Movimientos!$K$1:$K$1033,Movimientos!$C$1:$C$1033,"3628 Thomas Ave",Movimientos!$B$1:$B$1033,"&lt;="&amp;$B122)</f>
        <v>19336.039999999997</v>
      </c>
      <c r="T122" s="24">
        <f>SUMIFS('Saldos Iniciales'!$D:$D,'Saldos Iniciales'!$A:$A,"Green Harbor Trust")+SUMIFS(Movimientos!$K$1:$K$1033,Movimientos!$C$1:$C$1033,"Green Harbor Trust",Movimientos!$B$1:$B$1033,"&lt;="&amp;$B122)</f>
        <v>345</v>
      </c>
      <c r="U122" s="24">
        <f>SUMIFS('Saldos Iniciales'!$D:$D,'Saldos Iniciales'!$A:$A,"Go Blue")+SUMIFS(Movimientos!$K$1:$K$1033,Movimientos!$C$1:$C$1033,"Go Blue",Movimientos!$B$1:$B$1033,"&lt;="&amp;$B122)</f>
        <v>9560.0000000000018</v>
      </c>
      <c r="V122" s="25">
        <f t="shared" ref="V122:V123" si="28">SUM(C122:U122)</f>
        <v>4923159.29</v>
      </c>
    </row>
    <row r="123" spans="1:22" hidden="1" outlineLevel="1" x14ac:dyDescent="0.3">
      <c r="A123" s="22">
        <f t="shared" si="12"/>
        <v>122</v>
      </c>
      <c r="B123" s="23">
        <v>46264</v>
      </c>
      <c r="C123" s="24">
        <f>SUMIFS('Saldos Iniciales'!$D:$D,'Saldos Iniciales'!$A:$A,"CFT Group")+SUMIFS(Movimientos!$K$1:$K$1033,Movimientos!$C$1:$C$1033,"CFT Group",Movimientos!$B$1:$B$1033,"&lt;="&amp;$B123)</f>
        <v>824764.1600000005</v>
      </c>
      <c r="D123" s="24">
        <f>SUMIFS('Saldos Iniciales'!$D:$D,'Saldos Iniciales'!$A:$A,"M1B")+SUMIFS(Movimientos!$K$1:$K$1033,Movimientos!$C$1:$C$1033,"M1B",Movimientos!$B$1:$B$1033,"&lt;="&amp;$B123)</f>
        <v>93280.230000000171</v>
      </c>
      <c r="E123" s="24">
        <f>SUMIFS('Saldos Iniciales'!$D:$D,'Saldos Iniciales'!$A:$A,"Durand")+SUMIFS(Movimientos!$K$1:$K$1033,Movimientos!$C$1:$C$1033,"Durand",Movimientos!$B$1:$B$1033,"&lt;="&amp;$B123)</f>
        <v>1669.89</v>
      </c>
      <c r="F123" s="24">
        <f>SUMIFS('Saldos Iniciales'!$D:$D,'Saldos Iniciales'!$A:$A,"A&amp;M Imports")+SUMIFS(Movimientos!$K$1:$K$1033,Movimientos!$C$1:$C$1033,"A&amp;M Imports",Movimientos!$B$1:$B$1033,"&lt;="&amp;$B123)</f>
        <v>1249485.67</v>
      </c>
      <c r="G123" s="24">
        <f>SUMIFS('Saldos Iniciales'!$D:$D,'Saldos Iniciales'!$A:$A,"SSP Capital")+SUMIFS(Movimientos!$K$1:$K$1033,Movimientos!$C$1:$C$1033,"SSP Capital",Movimientos!$B$1:$B$1033,"&lt;="&amp;$B123)</f>
        <v>1567409.3099999996</v>
      </c>
      <c r="H123" s="24">
        <f>SUMIFS('Saldos Iniciales'!$D:$D,'Saldos Iniciales'!$A:$A,"Cross Family Trust")+SUMIFS(Movimientos!$K$1:$K$1033,Movimientos!$C$1:$C$1033,"Cross Family Trust",Movimientos!$B$1:$B$1033,"&lt;="&amp;$B123)</f>
        <v>221496.38</v>
      </c>
      <c r="I123" s="24">
        <f>SUMIFS('Saldos Iniciales'!$D:$D,'Saldos Iniciales'!$A:$A,"Cross Security Trust")+SUMIFS(Movimientos!$K$1:$K$1033,Movimientos!$C$1:$C$1033,"Cross Security Trust",Movimientos!$B$1:$B$1033,"&lt;="&amp;$B123)</f>
        <v>98169.25999999998</v>
      </c>
      <c r="J123" s="24">
        <f>SUMIFS('Saldos Iniciales'!$D:$D,'Saldos Iniciales'!$A:$A,"Electrama")+SUMIFS(Movimientos!$K$1:$K$1033,Movimientos!$C$1:$C$1033,"Electrama",Movimientos!$B$1:$B$1033,"&lt;="&amp;$B123)</f>
        <v>13270.02</v>
      </c>
      <c r="K123" s="24">
        <f>SUMIFS('Saldos Iniciales'!$D:$D,'Saldos Iniciales'!$A:$A,"Sacred Valley Capital")+SUMIFS(Movimientos!$K$1:$K$1033,Movimientos!$C$1:$C$1033,"Sacred Valley Capital",Movimientos!$B$1:$B$1033,"&lt;="&amp;$B123)</f>
        <v>124.45</v>
      </c>
      <c r="L123" s="24">
        <f>SUMIFS('Saldos Iniciales'!$D:$D,'Saldos Iniciales'!$A:$A,"YWC Capital")+SUMIFS(Movimientos!$K$1:$K$1033,Movimientos!$C$1:$C$1033,"YWC Capital",Movimientos!$B$1:$B$1033,"&lt;="&amp;$B123)</f>
        <v>2177.87</v>
      </c>
      <c r="M123" s="24">
        <f>SUMIFS('Saldos Iniciales'!$D:$D,'Saldos Iniciales'!$A:$A,"Soweto")+SUMIFS(Movimientos!$K$1:$K$1033,Movimientos!$C$1:$C$1033,"Soweto",Movimientos!$B$1:$B$1033,"&lt;="&amp;$B123)</f>
        <v>754424.72</v>
      </c>
      <c r="N123" s="24">
        <f>SUMIFS('Saldos Iniciales'!$D:$D,'Saldos Iniciales'!$A:$A,"Green Stone Trust")+SUMIFS(Movimientos!$K$1:$K$1033,Movimientos!$C$1:$C$1033,"Green Stone Trust",Movimientos!$B$1:$B$1033,"&lt;="&amp;$B123)</f>
        <v>1968.99</v>
      </c>
      <c r="O123" s="24">
        <f>SUMIFS('Saldos Iniciales'!$D:$D,'Saldos Iniciales'!$A:$A,"EC Auto")+SUMIFS(Movimientos!$K$1:$K$1033,Movimientos!$C$1:$C$1033,"EC Auto",Movimientos!$B$1:$B$1033,"&lt;="&amp;$B123)</f>
        <v>901.34</v>
      </c>
      <c r="P123" s="24">
        <f>SUMIFS('Saldos Iniciales'!$D:$D,'Saldos Iniciales'!$A:$A,"Arbor Capital Properties")+SUMIFS(Movimientos!$K$1:$K$1033,Movimientos!$C$1:$C$1033,"Arbor Capital Properties",Movimientos!$B$1:$B$1033,"&lt;="&amp;$B123)</f>
        <v>1396.08</v>
      </c>
      <c r="Q123" s="24">
        <f>SUMIFS('Saldos Iniciales'!$D:$D,'Saldos Iniciales'!$A:$A,"2515 Overbrook")+SUMIFS(Movimientos!$K$1:$K$1033,Movimientos!$C$1:$C$1033,"2515 Overbrook",Movimientos!$B$1:$B$1033,"&lt;="&amp;$B123)</f>
        <v>33670.709999999963</v>
      </c>
      <c r="R123" s="24">
        <f>SUMIFS('Saldos Iniciales'!$D:$D,'Saldos Iniciales'!$A:$A,"112 Florida Ave")+SUMIFS(Movimientos!$K$1:$K$1033,Movimientos!$C$1:$C$1033,"112 Florida Ave",Movimientos!$B$1:$B$1033,"&lt;="&amp;$B123)</f>
        <v>29709.170000000006</v>
      </c>
      <c r="S123" s="24">
        <f>SUMIFS('Saldos Iniciales'!$D:$D,'Saldos Iniciales'!$A:$A,"3628 Thomas Ave")+SUMIFS(Movimientos!$K$1:$K$1033,Movimientos!$C$1:$C$1033,"3628 Thomas Ave",Movimientos!$B$1:$B$1033,"&lt;="&amp;$B123)</f>
        <v>19336.039999999997</v>
      </c>
      <c r="T123" s="24">
        <f>SUMIFS('Saldos Iniciales'!$D:$D,'Saldos Iniciales'!$A:$A,"Green Harbor Trust")+SUMIFS(Movimientos!$K$1:$K$1033,Movimientos!$C$1:$C$1033,"Green Harbor Trust",Movimientos!$B$1:$B$1033,"&lt;="&amp;$B123)</f>
        <v>345</v>
      </c>
      <c r="U123" s="24">
        <f>SUMIFS('Saldos Iniciales'!$D:$D,'Saldos Iniciales'!$A:$A,"Go Blue")+SUMIFS(Movimientos!$K$1:$K$1033,Movimientos!$C$1:$C$1033,"Go Blue",Movimientos!$B$1:$B$1033,"&lt;="&amp;$B123)</f>
        <v>9560.0000000000018</v>
      </c>
      <c r="V123" s="25">
        <f t="shared" si="28"/>
        <v>4923159.29</v>
      </c>
    </row>
    <row r="124" spans="1:22" collapsed="1" x14ac:dyDescent="0.3">
      <c r="A124" s="22">
        <f t="shared" si="12"/>
        <v>123</v>
      </c>
      <c r="B124" s="23">
        <v>46265</v>
      </c>
      <c r="C124" s="24">
        <f>SUMIFS('Saldos Iniciales'!$D:$D,'Saldos Iniciales'!$A:$A,"CFT Group")+SUMIFS(Movimientos!$K$1:$K$1033,Movimientos!$C$1:$C$1033,"CFT Group",Movimientos!$B$1:$B$1033,"&lt;="&amp;$B124)</f>
        <v>821786.21000000054</v>
      </c>
      <c r="D124" s="24">
        <f>SUMIFS('Saldos Iniciales'!$D:$D,'Saldos Iniciales'!$A:$A,"M1B")+SUMIFS(Movimientos!$K$1:$K$1033,Movimientos!$C$1:$C$1033,"M1B",Movimientos!$B$1:$B$1033,"&lt;="&amp;$B124)</f>
        <v>93280.230000000171</v>
      </c>
      <c r="E124" s="24">
        <f>SUMIFS('Saldos Iniciales'!$D:$D,'Saldos Iniciales'!$A:$A,"Durand")+SUMIFS(Movimientos!$K$1:$K$1033,Movimientos!$C$1:$C$1033,"Durand",Movimientos!$B$1:$B$1033,"&lt;="&amp;$B124)</f>
        <v>1669.89</v>
      </c>
      <c r="F124" s="24">
        <f>SUMIFS('Saldos Iniciales'!$D:$D,'Saldos Iniciales'!$A:$A,"A&amp;M Imports")+SUMIFS(Movimientos!$K$1:$K$1033,Movimientos!$C$1:$C$1033,"A&amp;M Imports",Movimientos!$B$1:$B$1033,"&lt;="&amp;$B124)</f>
        <v>1250938</v>
      </c>
      <c r="G124" s="24">
        <f>SUMIFS('Saldos Iniciales'!$D:$D,'Saldos Iniciales'!$A:$A,"SSP Capital")+SUMIFS(Movimientos!$K$1:$K$1033,Movimientos!$C$1:$C$1033,"SSP Capital",Movimientos!$B$1:$B$1033,"&lt;="&amp;$B124)</f>
        <v>1569843.3299999996</v>
      </c>
      <c r="H124" s="24">
        <f>SUMIFS('Saldos Iniciales'!$D:$D,'Saldos Iniciales'!$A:$A,"Cross Family Trust")+SUMIFS(Movimientos!$K$1:$K$1033,Movimientos!$C$1:$C$1033,"Cross Family Trust",Movimientos!$B$1:$B$1033,"&lt;="&amp;$B124)</f>
        <v>221496.38</v>
      </c>
      <c r="I124" s="24">
        <f>SUMIFS('Saldos Iniciales'!$D:$D,'Saldos Iniciales'!$A:$A,"Cross Security Trust")+SUMIFS(Movimientos!$K$1:$K$1033,Movimientos!$C$1:$C$1033,"Cross Security Trust",Movimientos!$B$1:$B$1033,"&lt;="&amp;$B124)</f>
        <v>98169.25999999998</v>
      </c>
      <c r="J124" s="24">
        <f>SUMIFS('Saldos Iniciales'!$D:$D,'Saldos Iniciales'!$A:$A,"Electrama")+SUMIFS(Movimientos!$K$1:$K$1033,Movimientos!$C$1:$C$1033,"Electrama",Movimientos!$B$1:$B$1033,"&lt;="&amp;$B124)</f>
        <v>13270.02</v>
      </c>
      <c r="K124" s="24">
        <f>SUMIFS('Saldos Iniciales'!$D:$D,'Saldos Iniciales'!$A:$A,"Sacred Valley Capital")+SUMIFS(Movimientos!$K$1:$K$1033,Movimientos!$C$1:$C$1033,"Sacred Valley Capital",Movimientos!$B$1:$B$1033,"&lt;="&amp;$B124)</f>
        <v>124.45</v>
      </c>
      <c r="L124" s="24">
        <f>SUMIFS('Saldos Iniciales'!$D:$D,'Saldos Iniciales'!$A:$A,"YWC Capital")+SUMIFS(Movimientos!$K$1:$K$1033,Movimientos!$C$1:$C$1033,"YWC Capital",Movimientos!$B$1:$B$1033,"&lt;="&amp;$B124)</f>
        <v>2177.87</v>
      </c>
      <c r="M124" s="24">
        <f>SUMIFS('Saldos Iniciales'!$D:$D,'Saldos Iniciales'!$A:$A,"Soweto")+SUMIFS(Movimientos!$K$1:$K$1033,Movimientos!$C$1:$C$1033,"Soweto",Movimientos!$B$1:$B$1033,"&lt;="&amp;$B124)</f>
        <v>754424.72</v>
      </c>
      <c r="N124" s="24">
        <f>SUMIFS('Saldos Iniciales'!$D:$D,'Saldos Iniciales'!$A:$A,"Green Stone Trust")+SUMIFS(Movimientos!$K$1:$K$1033,Movimientos!$C$1:$C$1033,"Green Stone Trust",Movimientos!$B$1:$B$1033,"&lt;="&amp;$B124)</f>
        <v>1968.99</v>
      </c>
      <c r="O124" s="24">
        <f>SUMIFS('Saldos Iniciales'!$D:$D,'Saldos Iniciales'!$A:$A,"EC Auto")+SUMIFS(Movimientos!$K$1:$K$1033,Movimientos!$C$1:$C$1033,"EC Auto",Movimientos!$B$1:$B$1033,"&lt;="&amp;$B124)</f>
        <v>901.34</v>
      </c>
      <c r="P124" s="24">
        <f>SUMIFS('Saldos Iniciales'!$D:$D,'Saldos Iniciales'!$A:$A,"Arbor Capital Properties")+SUMIFS(Movimientos!$K$1:$K$1033,Movimientos!$C$1:$C$1033,"Arbor Capital Properties",Movimientos!$B$1:$B$1033,"&lt;="&amp;$B124)</f>
        <v>1396.08</v>
      </c>
      <c r="Q124" s="24">
        <f>SUMIFS('Saldos Iniciales'!$D:$D,'Saldos Iniciales'!$A:$A,"2515 Overbrook")+SUMIFS(Movimientos!$K$1:$K$1033,Movimientos!$C$1:$C$1033,"2515 Overbrook",Movimientos!$B$1:$B$1033,"&lt;="&amp;$B124)</f>
        <v>33570.709999999963</v>
      </c>
      <c r="R124" s="24">
        <f>SUMIFS('Saldos Iniciales'!$D:$D,'Saldos Iniciales'!$A:$A,"112 Florida Ave")+SUMIFS(Movimientos!$K$1:$K$1033,Movimientos!$C$1:$C$1033,"112 Florida Ave",Movimientos!$B$1:$B$1033,"&lt;="&amp;$B124)</f>
        <v>26559.170000000006</v>
      </c>
      <c r="S124" s="24">
        <f>SUMIFS('Saldos Iniciales'!$D:$D,'Saldos Iniciales'!$A:$A,"3628 Thomas Ave")+SUMIFS(Movimientos!$K$1:$K$1033,Movimientos!$C$1:$C$1033,"3628 Thomas Ave",Movimientos!$B$1:$B$1033,"&lt;="&amp;$B124)</f>
        <v>23736.039999999997</v>
      </c>
      <c r="T124" s="24">
        <f>SUMIFS('Saldos Iniciales'!$D:$D,'Saldos Iniciales'!$A:$A,"Green Harbor Trust")+SUMIFS(Movimientos!$K$1:$K$1033,Movimientos!$C$1:$C$1033,"Green Harbor Trust",Movimientos!$B$1:$B$1033,"&lt;="&amp;$B124)</f>
        <v>345</v>
      </c>
      <c r="U124" s="24">
        <f>SUMIFS('Saldos Iniciales'!$D:$D,'Saldos Iniciales'!$A:$A,"Go Blue")+SUMIFS(Movimientos!$K$1:$K$1033,Movimientos!$C$1:$C$1033,"Go Blue",Movimientos!$B$1:$B$1033,"&lt;="&amp;$B124)</f>
        <v>9560.0000000000018</v>
      </c>
      <c r="V124" s="25">
        <f t="shared" ref="V124:V125" si="29">SUM(C124:U124)</f>
        <v>4925217.6900000004</v>
      </c>
    </row>
    <row r="125" spans="1:22" x14ac:dyDescent="0.3">
      <c r="A125" s="22">
        <f t="shared" si="12"/>
        <v>124</v>
      </c>
      <c r="B125" s="23">
        <v>46266</v>
      </c>
      <c r="C125" s="24">
        <f>SUMIFS('Saldos Iniciales'!$D:$D,'Saldos Iniciales'!$A:$A,"CFT Group")+SUMIFS(Movimientos!$K$1:$K$1033,Movimientos!$C$1:$C$1033,"CFT Group",Movimientos!$B$1:$B$1033,"&lt;="&amp;$B125)</f>
        <v>839010.72000000055</v>
      </c>
      <c r="D125" s="24">
        <f>SUMIFS('Saldos Iniciales'!$D:$D,'Saldos Iniciales'!$A:$A,"M1B")+SUMIFS(Movimientos!$K$1:$K$1033,Movimientos!$C$1:$C$1033,"M1B",Movimientos!$B$1:$B$1033,"&lt;="&amp;$B125)</f>
        <v>93280.230000000171</v>
      </c>
      <c r="E125" s="24">
        <f>SUMIFS('Saldos Iniciales'!$D:$D,'Saldos Iniciales'!$A:$A,"Durand")+SUMIFS(Movimientos!$K$1:$K$1033,Movimientos!$C$1:$C$1033,"Durand",Movimientos!$B$1:$B$1033,"&lt;="&amp;$B125)</f>
        <v>1669.89</v>
      </c>
      <c r="F125" s="24">
        <f>SUMIFS('Saldos Iniciales'!$D:$D,'Saldos Iniciales'!$A:$A,"A&amp;M Imports")+SUMIFS(Movimientos!$K$1:$K$1033,Movimientos!$C$1:$C$1033,"A&amp;M Imports",Movimientos!$B$1:$B$1033,"&lt;="&amp;$B125)</f>
        <v>1250938</v>
      </c>
      <c r="G125" s="24">
        <f>SUMIFS('Saldos Iniciales'!$D:$D,'Saldos Iniciales'!$A:$A,"SSP Capital")+SUMIFS(Movimientos!$K$1:$K$1033,Movimientos!$C$1:$C$1033,"SSP Capital",Movimientos!$B$1:$B$1033,"&lt;="&amp;$B125)</f>
        <v>1499204.7399999998</v>
      </c>
      <c r="H125" s="24">
        <f>SUMIFS('Saldos Iniciales'!$D:$D,'Saldos Iniciales'!$A:$A,"Cross Family Trust")+SUMIFS(Movimientos!$K$1:$K$1033,Movimientos!$C$1:$C$1033,"Cross Family Trust",Movimientos!$B$1:$B$1033,"&lt;="&amp;$B125)</f>
        <v>215496.38</v>
      </c>
      <c r="I125" s="24">
        <f>SUMIFS('Saldos Iniciales'!$D:$D,'Saldos Iniciales'!$A:$A,"Cross Security Trust")+SUMIFS(Movimientos!$K$1:$K$1033,Movimientos!$C$1:$C$1033,"Cross Security Trust",Movimientos!$B$1:$B$1033,"&lt;="&amp;$B125)</f>
        <v>98169.25999999998</v>
      </c>
      <c r="J125" s="24">
        <f>SUMIFS('Saldos Iniciales'!$D:$D,'Saldos Iniciales'!$A:$A,"Electrama")+SUMIFS(Movimientos!$K$1:$K$1033,Movimientos!$C$1:$C$1033,"Electrama",Movimientos!$B$1:$B$1033,"&lt;="&amp;$B125)</f>
        <v>13270.02</v>
      </c>
      <c r="K125" s="24">
        <f>SUMIFS('Saldos Iniciales'!$D:$D,'Saldos Iniciales'!$A:$A,"Sacred Valley Capital")+SUMIFS(Movimientos!$K$1:$K$1033,Movimientos!$C$1:$C$1033,"Sacred Valley Capital",Movimientos!$B$1:$B$1033,"&lt;="&amp;$B125)</f>
        <v>94.5</v>
      </c>
      <c r="L125" s="24">
        <f>SUMIFS('Saldos Iniciales'!$D:$D,'Saldos Iniciales'!$A:$A,"YWC Capital")+SUMIFS(Movimientos!$K$1:$K$1033,Movimientos!$C$1:$C$1033,"YWC Capital",Movimientos!$B$1:$B$1033,"&lt;="&amp;$B125)</f>
        <v>2147.92</v>
      </c>
      <c r="M125" s="24">
        <f>SUMIFS('Saldos Iniciales'!$D:$D,'Saldos Iniciales'!$A:$A,"Soweto")+SUMIFS(Movimientos!$K$1:$K$1033,Movimientos!$C$1:$C$1033,"Soweto",Movimientos!$B$1:$B$1033,"&lt;="&amp;$B125)</f>
        <v>754424.72</v>
      </c>
      <c r="N125" s="24">
        <f>SUMIFS('Saldos Iniciales'!$D:$D,'Saldos Iniciales'!$A:$A,"Green Stone Trust")+SUMIFS(Movimientos!$K$1:$K$1033,Movimientos!$C$1:$C$1033,"Green Stone Trust",Movimientos!$B$1:$B$1033,"&lt;="&amp;$B125)</f>
        <v>1968.99</v>
      </c>
      <c r="O125" s="24">
        <f>SUMIFS('Saldos Iniciales'!$D:$D,'Saldos Iniciales'!$A:$A,"EC Auto")+SUMIFS(Movimientos!$K$1:$K$1033,Movimientos!$C$1:$C$1033,"EC Auto",Movimientos!$B$1:$B$1033,"&lt;="&amp;$B125)</f>
        <v>901.34</v>
      </c>
      <c r="P125" s="24">
        <f>SUMIFS('Saldos Iniciales'!$D:$D,'Saldos Iniciales'!$A:$A,"Arbor Capital Properties")+SUMIFS(Movimientos!$K$1:$K$1033,Movimientos!$C$1:$C$1033,"Arbor Capital Properties",Movimientos!$B$1:$B$1033,"&lt;="&amp;$B125)</f>
        <v>1380.08</v>
      </c>
      <c r="Q125" s="24">
        <f>SUMIFS('Saldos Iniciales'!$D:$D,'Saldos Iniciales'!$A:$A,"2515 Overbrook")+SUMIFS(Movimientos!$K$1:$K$1033,Movimientos!$C$1:$C$1033,"2515 Overbrook",Movimientos!$B$1:$B$1033,"&lt;="&amp;$B125)</f>
        <v>25027.379999999961</v>
      </c>
      <c r="R125" s="24">
        <f>SUMIFS('Saldos Iniciales'!$D:$D,'Saldos Iniciales'!$A:$A,"112 Florida Ave")+SUMIFS(Movimientos!$K$1:$K$1033,Movimientos!$C$1:$C$1033,"112 Florida Ave",Movimientos!$B$1:$B$1033,"&lt;="&amp;$B125)</f>
        <v>16760.540000000008</v>
      </c>
      <c r="S125" s="24">
        <f>SUMIFS('Saldos Iniciales'!$D:$D,'Saldos Iniciales'!$A:$A,"3628 Thomas Ave")+SUMIFS(Movimientos!$K$1:$K$1033,Movimientos!$C$1:$C$1033,"3628 Thomas Ave",Movimientos!$B$1:$B$1033,"&lt;="&amp;$B125)</f>
        <v>14962.999999999996</v>
      </c>
      <c r="T125" s="24">
        <f>SUMIFS('Saldos Iniciales'!$D:$D,'Saldos Iniciales'!$A:$A,"Green Harbor Trust")+SUMIFS(Movimientos!$K$1:$K$1033,Movimientos!$C$1:$C$1033,"Green Harbor Trust",Movimientos!$B$1:$B$1033,"&lt;="&amp;$B125)</f>
        <v>345</v>
      </c>
      <c r="U125" s="24">
        <f>SUMIFS('Saldos Iniciales'!$D:$D,'Saldos Iniciales'!$A:$A,"Go Blue")+SUMIFS(Movimientos!$K$1:$K$1033,Movimientos!$C$1:$C$1033,"Go Blue",Movimientos!$B$1:$B$1033,"&lt;="&amp;$B125)</f>
        <v>9549.7500000000018</v>
      </c>
      <c r="V125" s="25">
        <f t="shared" si="29"/>
        <v>4838602.46</v>
      </c>
    </row>
    <row r="126" spans="1:22" x14ac:dyDescent="0.3">
      <c r="A126" s="22">
        <f t="shared" ref="A126:A153" si="30">+A125+1</f>
        <v>125</v>
      </c>
      <c r="B126" s="23">
        <v>46267</v>
      </c>
      <c r="C126" s="24">
        <f>SUMIFS('Saldos Iniciales'!$D:$D,'Saldos Iniciales'!$A:$A,"CFT Group")+SUMIFS(Movimientos!$K$1:$K$1033,Movimientos!$C$1:$C$1033,"CFT Group",Movimientos!$B$1:$B$1033,"&lt;="&amp;$B126)</f>
        <v>1549729.4500000007</v>
      </c>
      <c r="D126" s="24">
        <f>SUMIFS('Saldos Iniciales'!$D:$D,'Saldos Iniciales'!$A:$A,"M1B")+SUMIFS(Movimientos!$K$1:$K$1033,Movimientos!$C$1:$C$1033,"M1B",Movimientos!$B$1:$B$1033,"&lt;="&amp;$B126)</f>
        <v>93280.230000000171</v>
      </c>
      <c r="E126" s="24">
        <f>SUMIFS('Saldos Iniciales'!$D:$D,'Saldos Iniciales'!$A:$A,"Durand")+SUMIFS(Movimientos!$K$1:$K$1033,Movimientos!$C$1:$C$1033,"Durand",Movimientos!$B$1:$B$1033,"&lt;="&amp;$B126)</f>
        <v>1669.89</v>
      </c>
      <c r="F126" s="24">
        <f>SUMIFS('Saldos Iniciales'!$D:$D,'Saldos Iniciales'!$A:$A,"A&amp;M Imports")+SUMIFS(Movimientos!$K$1:$K$1033,Movimientos!$C$1:$C$1033,"A&amp;M Imports",Movimientos!$B$1:$B$1033,"&lt;="&amp;$B126)</f>
        <v>1250938</v>
      </c>
      <c r="G126" s="24">
        <f>SUMIFS('Saldos Iniciales'!$D:$D,'Saldos Iniciales'!$A:$A,"SSP Capital")+SUMIFS(Movimientos!$K$1:$K$1033,Movimientos!$C$1:$C$1033,"SSP Capital",Movimientos!$B$1:$B$1033,"&lt;="&amp;$B126)</f>
        <v>1499204.7399999998</v>
      </c>
      <c r="H126" s="24">
        <f>SUMIFS('Saldos Iniciales'!$D:$D,'Saldos Iniciales'!$A:$A,"Cross Family Trust")+SUMIFS(Movimientos!$K$1:$K$1033,Movimientos!$C$1:$C$1033,"Cross Family Trust",Movimientos!$B$1:$B$1033,"&lt;="&amp;$B126)</f>
        <v>249778.14</v>
      </c>
      <c r="I126" s="24">
        <f>SUMIFS('Saldos Iniciales'!$D:$D,'Saldos Iniciales'!$A:$A,"Cross Security Trust")+SUMIFS(Movimientos!$K$1:$K$1033,Movimientos!$C$1:$C$1033,"Cross Security Trust",Movimientos!$B$1:$B$1033,"&lt;="&amp;$B126)</f>
        <v>98169.25999999998</v>
      </c>
      <c r="J126" s="24">
        <f>SUMIFS('Saldos Iniciales'!$D:$D,'Saldos Iniciales'!$A:$A,"Electrama")+SUMIFS(Movimientos!$K$1:$K$1033,Movimientos!$C$1:$C$1033,"Electrama",Movimientos!$B$1:$B$1033,"&lt;="&amp;$B126)</f>
        <v>13270.02</v>
      </c>
      <c r="K126" s="24">
        <f>SUMIFS('Saldos Iniciales'!$D:$D,'Saldos Iniciales'!$A:$A,"Sacred Valley Capital")+SUMIFS(Movimientos!$K$1:$K$1033,Movimientos!$C$1:$C$1033,"Sacred Valley Capital",Movimientos!$B$1:$B$1033,"&lt;="&amp;$B126)</f>
        <v>94.5</v>
      </c>
      <c r="L126" s="24">
        <f>SUMIFS('Saldos Iniciales'!$D:$D,'Saldos Iniciales'!$A:$A,"YWC Capital")+SUMIFS(Movimientos!$K$1:$K$1033,Movimientos!$C$1:$C$1033,"YWC Capital",Movimientos!$B$1:$B$1033,"&lt;="&amp;$B126)</f>
        <v>2147.92</v>
      </c>
      <c r="M126" s="24">
        <f>SUMIFS('Saldos Iniciales'!$D:$D,'Saldos Iniciales'!$A:$A,"Soweto")+SUMIFS(Movimientos!$K$1:$K$1033,Movimientos!$C$1:$C$1033,"Soweto",Movimientos!$B$1:$B$1033,"&lt;="&amp;$B126)</f>
        <v>18005.290000000015</v>
      </c>
      <c r="N126" s="24">
        <f>SUMIFS('Saldos Iniciales'!$D:$D,'Saldos Iniciales'!$A:$A,"Green Stone Trust")+SUMIFS(Movimientos!$K$1:$K$1033,Movimientos!$C$1:$C$1033,"Green Stone Trust",Movimientos!$B$1:$B$1033,"&lt;="&amp;$B126)</f>
        <v>1968.99</v>
      </c>
      <c r="O126" s="24">
        <f>SUMIFS('Saldos Iniciales'!$D:$D,'Saldos Iniciales'!$A:$A,"EC Auto")+SUMIFS(Movimientos!$K$1:$K$1033,Movimientos!$C$1:$C$1033,"EC Auto",Movimientos!$B$1:$B$1033,"&lt;="&amp;$B126)</f>
        <v>901.34</v>
      </c>
      <c r="P126" s="24">
        <f>SUMIFS('Saldos Iniciales'!$D:$D,'Saldos Iniciales'!$A:$A,"Arbor Capital Properties")+SUMIFS(Movimientos!$K$1:$K$1033,Movimientos!$C$1:$C$1033,"Arbor Capital Properties",Movimientos!$B$1:$B$1033,"&lt;="&amp;$B126)</f>
        <v>1380.08</v>
      </c>
      <c r="Q126" s="24">
        <f>SUMIFS('Saldos Iniciales'!$D:$D,'Saldos Iniciales'!$A:$A,"2515 Overbrook")+SUMIFS(Movimientos!$K$1:$K$1033,Movimientos!$C$1:$C$1033,"2515 Overbrook",Movimientos!$B$1:$B$1033,"&lt;="&amp;$B126)</f>
        <v>25027.379999999961</v>
      </c>
      <c r="R126" s="24">
        <f>SUMIFS('Saldos Iniciales'!$D:$D,'Saldos Iniciales'!$A:$A,"112 Florida Ave")+SUMIFS(Movimientos!$K$1:$K$1033,Movimientos!$C$1:$C$1033,"112 Florida Ave",Movimientos!$B$1:$B$1033,"&lt;="&amp;$B126)</f>
        <v>16760.540000000008</v>
      </c>
      <c r="S126" s="24">
        <f>SUMIFS('Saldos Iniciales'!$D:$D,'Saldos Iniciales'!$A:$A,"3628 Thomas Ave")+SUMIFS(Movimientos!$K$1:$K$1033,Movimientos!$C$1:$C$1033,"3628 Thomas Ave",Movimientos!$B$1:$B$1033,"&lt;="&amp;$B126)</f>
        <v>14162.999999999996</v>
      </c>
      <c r="T126" s="24">
        <f>SUMIFS('Saldos Iniciales'!$D:$D,'Saldos Iniciales'!$A:$A,"Green Harbor Trust")+SUMIFS(Movimientos!$K$1:$K$1033,Movimientos!$C$1:$C$1033,"Green Harbor Trust",Movimientos!$B$1:$B$1033,"&lt;="&amp;$B126)</f>
        <v>345</v>
      </c>
      <c r="U126" s="24">
        <f>SUMIFS('Saldos Iniciales'!$D:$D,'Saldos Iniciales'!$A:$A,"Go Blue")+SUMIFS(Movimientos!$K$1:$K$1033,Movimientos!$C$1:$C$1033,"Go Blue",Movimientos!$B$1:$B$1033,"&lt;="&amp;$B126)</f>
        <v>5861.1200000000026</v>
      </c>
      <c r="V126" s="25">
        <f t="shared" ref="V126" si="31">SUM(C126:U126)</f>
        <v>4842694.8899999997</v>
      </c>
    </row>
    <row r="127" spans="1:22" x14ac:dyDescent="0.3">
      <c r="A127" s="22">
        <f t="shared" si="30"/>
        <v>126</v>
      </c>
      <c r="B127" s="23">
        <v>46268</v>
      </c>
      <c r="C127" s="24">
        <f>SUMIFS('Saldos Iniciales'!$D:$D,'Saldos Iniciales'!$A:$A,"CFT Group")+SUMIFS(Movimientos!$K$1:$K$1033,Movimientos!$C$1:$C$1033,"CFT Group",Movimientos!$B$1:$B$1033,"&lt;="&amp;$B127)</f>
        <v>1549729.4500000007</v>
      </c>
      <c r="D127" s="24">
        <f>SUMIFS('Saldos Iniciales'!$D:$D,'Saldos Iniciales'!$A:$A,"M1B")+SUMIFS(Movimientos!$K$1:$K$1033,Movimientos!$C$1:$C$1033,"M1B",Movimientos!$B$1:$B$1033,"&lt;="&amp;$B127)</f>
        <v>93280.230000000171</v>
      </c>
      <c r="E127" s="24">
        <f>SUMIFS('Saldos Iniciales'!$D:$D,'Saldos Iniciales'!$A:$A,"Durand")+SUMIFS(Movimientos!$K$1:$K$1033,Movimientos!$C$1:$C$1033,"Durand",Movimientos!$B$1:$B$1033,"&lt;="&amp;$B127)</f>
        <v>1669.89</v>
      </c>
      <c r="F127" s="24">
        <f>SUMIFS('Saldos Iniciales'!$D:$D,'Saldos Iniciales'!$A:$A,"A&amp;M Imports")+SUMIFS(Movimientos!$K$1:$K$1033,Movimientos!$C$1:$C$1033,"A&amp;M Imports",Movimientos!$B$1:$B$1033,"&lt;="&amp;$B127)</f>
        <v>1250938</v>
      </c>
      <c r="G127" s="24">
        <f>SUMIFS('Saldos Iniciales'!$D:$D,'Saldos Iniciales'!$A:$A,"SSP Capital")+SUMIFS(Movimientos!$K$1:$K$1033,Movimientos!$C$1:$C$1033,"SSP Capital",Movimientos!$B$1:$B$1033,"&lt;="&amp;$B127)</f>
        <v>1499204.7399999998</v>
      </c>
      <c r="H127" s="24">
        <f>SUMIFS('Saldos Iniciales'!$D:$D,'Saldos Iniciales'!$A:$A,"Cross Family Trust")+SUMIFS(Movimientos!$K$1:$K$1033,Movimientos!$C$1:$C$1033,"Cross Family Trust",Movimientos!$B$1:$B$1033,"&lt;="&amp;$B127)</f>
        <v>249778.14</v>
      </c>
      <c r="I127" s="24">
        <f>SUMIFS('Saldos Iniciales'!$D:$D,'Saldos Iniciales'!$A:$A,"Cross Security Trust")+SUMIFS(Movimientos!$K$1:$K$1033,Movimientos!$C$1:$C$1033,"Cross Security Trust",Movimientos!$B$1:$B$1033,"&lt;="&amp;$B127)</f>
        <v>98169.25999999998</v>
      </c>
      <c r="J127" s="24">
        <f>SUMIFS('Saldos Iniciales'!$D:$D,'Saldos Iniciales'!$A:$A,"Electrama")+SUMIFS(Movimientos!$K$1:$K$1033,Movimientos!$C$1:$C$1033,"Electrama",Movimientos!$B$1:$B$1033,"&lt;="&amp;$B127)</f>
        <v>13270.02</v>
      </c>
      <c r="K127" s="24">
        <f>SUMIFS('Saldos Iniciales'!$D:$D,'Saldos Iniciales'!$A:$A,"Sacred Valley Capital")+SUMIFS(Movimientos!$K$1:$K$1033,Movimientos!$C$1:$C$1033,"Sacred Valley Capital",Movimientos!$B$1:$B$1033,"&lt;="&amp;$B127)</f>
        <v>94.5</v>
      </c>
      <c r="L127" s="24">
        <f>SUMIFS('Saldos Iniciales'!$D:$D,'Saldos Iniciales'!$A:$A,"YWC Capital")+SUMIFS(Movimientos!$K$1:$K$1033,Movimientos!$C$1:$C$1033,"YWC Capital",Movimientos!$B$1:$B$1033,"&lt;="&amp;$B127)</f>
        <v>2147.92</v>
      </c>
      <c r="M127" s="24">
        <f>SUMIFS('Saldos Iniciales'!$D:$D,'Saldos Iniciales'!$A:$A,"Soweto")+SUMIFS(Movimientos!$K$1:$K$1033,Movimientos!$C$1:$C$1033,"Soweto",Movimientos!$B$1:$B$1033,"&lt;="&amp;$B127)</f>
        <v>18005.290000000015</v>
      </c>
      <c r="N127" s="24">
        <f>SUMIFS('Saldos Iniciales'!$D:$D,'Saldos Iniciales'!$A:$A,"Green Stone Trust")+SUMIFS(Movimientos!$K$1:$K$1033,Movimientos!$C$1:$C$1033,"Green Stone Trust",Movimientos!$B$1:$B$1033,"&lt;="&amp;$B127)</f>
        <v>1968.99</v>
      </c>
      <c r="O127" s="24">
        <f>SUMIFS('Saldos Iniciales'!$D:$D,'Saldos Iniciales'!$A:$A,"EC Auto")+SUMIFS(Movimientos!$K$1:$K$1033,Movimientos!$C$1:$C$1033,"EC Auto",Movimientos!$B$1:$B$1033,"&lt;="&amp;$B127)</f>
        <v>901.34</v>
      </c>
      <c r="P127" s="24">
        <f>SUMIFS('Saldos Iniciales'!$D:$D,'Saldos Iniciales'!$A:$A,"Arbor Capital Properties")+SUMIFS(Movimientos!$K$1:$K$1033,Movimientos!$C$1:$C$1033,"Arbor Capital Properties",Movimientos!$B$1:$B$1033,"&lt;="&amp;$B127)</f>
        <v>1380.08</v>
      </c>
      <c r="Q127" s="24">
        <f>SUMIFS('Saldos Iniciales'!$D:$D,'Saldos Iniciales'!$A:$A,"2515 Overbrook")+SUMIFS(Movimientos!$K$1:$K$1033,Movimientos!$C$1:$C$1033,"2515 Overbrook",Movimientos!$B$1:$B$1033,"&lt;="&amp;$B127)</f>
        <v>25027.379999999961</v>
      </c>
      <c r="R127" s="24">
        <f>SUMIFS('Saldos Iniciales'!$D:$D,'Saldos Iniciales'!$A:$A,"112 Florida Ave")+SUMIFS(Movimientos!$K$1:$K$1033,Movimientos!$C$1:$C$1033,"112 Florida Ave",Movimientos!$B$1:$B$1033,"&lt;="&amp;$B127)</f>
        <v>16760.540000000008</v>
      </c>
      <c r="S127" s="24">
        <f>SUMIFS('Saldos Iniciales'!$D:$D,'Saldos Iniciales'!$A:$A,"3628 Thomas Ave")+SUMIFS(Movimientos!$K$1:$K$1033,Movimientos!$C$1:$C$1033,"3628 Thomas Ave",Movimientos!$B$1:$B$1033,"&lt;="&amp;$B127)</f>
        <v>14162.999999999996</v>
      </c>
      <c r="T127" s="24">
        <f>SUMIFS('Saldos Iniciales'!$D:$D,'Saldos Iniciales'!$A:$A,"Green Harbor Trust")+SUMIFS(Movimientos!$K$1:$K$1033,Movimientos!$C$1:$C$1033,"Green Harbor Trust",Movimientos!$B$1:$B$1033,"&lt;="&amp;$B127)</f>
        <v>345</v>
      </c>
      <c r="U127" s="24">
        <f>SUMIFS('Saldos Iniciales'!$D:$D,'Saldos Iniciales'!$A:$A,"Go Blue")+SUMIFS(Movimientos!$K$1:$K$1033,Movimientos!$C$1:$C$1033,"Go Blue",Movimientos!$B$1:$B$1033,"&lt;="&amp;$B127)</f>
        <v>5861.1200000000026</v>
      </c>
      <c r="V127" s="25">
        <f t="shared" ref="V127:V130" si="32">SUM(C127:U127)</f>
        <v>4842694.8899999997</v>
      </c>
    </row>
    <row r="128" spans="1:22" x14ac:dyDescent="0.3">
      <c r="A128" s="22">
        <f t="shared" si="30"/>
        <v>127</v>
      </c>
      <c r="B128" s="23">
        <v>46269</v>
      </c>
      <c r="C128" s="24">
        <f>SUMIFS('Saldos Iniciales'!$D:$D,'Saldos Iniciales'!$A:$A,"CFT Group")+SUMIFS(Movimientos!$K$1:$K$1033,Movimientos!$C$1:$C$1033,"CFT Group",Movimientos!$B$1:$B$1033,"&lt;="&amp;$B128)</f>
        <v>1549729.4500000007</v>
      </c>
      <c r="D128" s="24">
        <f>SUMIFS('Saldos Iniciales'!$D:$D,'Saldos Iniciales'!$A:$A,"M1B")+SUMIFS(Movimientos!$K$1:$K$1033,Movimientos!$C$1:$C$1033,"M1B",Movimientos!$B$1:$B$1033,"&lt;="&amp;$B128)</f>
        <v>93280.230000000171</v>
      </c>
      <c r="E128" s="24">
        <f>SUMIFS('Saldos Iniciales'!$D:$D,'Saldos Iniciales'!$A:$A,"Durand")+SUMIFS(Movimientos!$K$1:$K$1033,Movimientos!$C$1:$C$1033,"Durand",Movimientos!$B$1:$B$1033,"&lt;="&amp;$B128)</f>
        <v>1669.89</v>
      </c>
      <c r="F128" s="24">
        <f>SUMIFS('Saldos Iniciales'!$D:$D,'Saldos Iniciales'!$A:$A,"A&amp;M Imports")+SUMIFS(Movimientos!$K$1:$K$1033,Movimientos!$C$1:$C$1033,"A&amp;M Imports",Movimientos!$B$1:$B$1033,"&lt;="&amp;$B128)</f>
        <v>1250938</v>
      </c>
      <c r="G128" s="24">
        <f>SUMIFS('Saldos Iniciales'!$D:$D,'Saldos Iniciales'!$A:$A,"SSP Capital")+SUMIFS(Movimientos!$K$1:$K$1033,Movimientos!$C$1:$C$1033,"SSP Capital",Movimientos!$B$1:$B$1033,"&lt;="&amp;$B128)</f>
        <v>1499204.7399999998</v>
      </c>
      <c r="H128" s="24">
        <f>SUMIFS('Saldos Iniciales'!$D:$D,'Saldos Iniciales'!$A:$A,"Cross Family Trust")+SUMIFS(Movimientos!$K$1:$K$1033,Movimientos!$C$1:$C$1033,"Cross Family Trust",Movimientos!$B$1:$B$1033,"&lt;="&amp;$B128)</f>
        <v>249778.14</v>
      </c>
      <c r="I128" s="24">
        <f>SUMIFS('Saldos Iniciales'!$D:$D,'Saldos Iniciales'!$A:$A,"Cross Security Trust")+SUMIFS(Movimientos!$K$1:$K$1033,Movimientos!$C$1:$C$1033,"Cross Security Trust",Movimientos!$B$1:$B$1033,"&lt;="&amp;$B128)</f>
        <v>98169.25999999998</v>
      </c>
      <c r="J128" s="24">
        <f>SUMIFS('Saldos Iniciales'!$D:$D,'Saldos Iniciales'!$A:$A,"Electrama")+SUMIFS(Movimientos!$K$1:$K$1033,Movimientos!$C$1:$C$1033,"Electrama",Movimientos!$B$1:$B$1033,"&lt;="&amp;$B128)</f>
        <v>13270.02</v>
      </c>
      <c r="K128" s="24">
        <f>SUMIFS('Saldos Iniciales'!$D:$D,'Saldos Iniciales'!$A:$A,"Sacred Valley Capital")+SUMIFS(Movimientos!$K$1:$K$1033,Movimientos!$C$1:$C$1033,"Sacred Valley Capital",Movimientos!$B$1:$B$1033,"&lt;="&amp;$B128)</f>
        <v>94.5</v>
      </c>
      <c r="L128" s="24">
        <f>SUMIFS('Saldos Iniciales'!$D:$D,'Saldos Iniciales'!$A:$A,"YWC Capital")+SUMIFS(Movimientos!$K$1:$K$1033,Movimientos!$C$1:$C$1033,"YWC Capital",Movimientos!$B$1:$B$1033,"&lt;="&amp;$B128)</f>
        <v>2147.92</v>
      </c>
      <c r="M128" s="24">
        <f>SUMIFS('Saldos Iniciales'!$D:$D,'Saldos Iniciales'!$A:$A,"Soweto")+SUMIFS(Movimientos!$K$1:$K$1033,Movimientos!$C$1:$C$1033,"Soweto",Movimientos!$B$1:$B$1033,"&lt;="&amp;$B128)</f>
        <v>18005.290000000015</v>
      </c>
      <c r="N128" s="24">
        <f>SUMIFS('Saldos Iniciales'!$D:$D,'Saldos Iniciales'!$A:$A,"Green Stone Trust")+SUMIFS(Movimientos!$K$1:$K$1033,Movimientos!$C$1:$C$1033,"Green Stone Trust",Movimientos!$B$1:$B$1033,"&lt;="&amp;$B128)</f>
        <v>1968.99</v>
      </c>
      <c r="O128" s="24">
        <f>SUMIFS('Saldos Iniciales'!$D:$D,'Saldos Iniciales'!$A:$A,"EC Auto")+SUMIFS(Movimientos!$K$1:$K$1033,Movimientos!$C$1:$C$1033,"EC Auto",Movimientos!$B$1:$B$1033,"&lt;="&amp;$B128)</f>
        <v>901.34</v>
      </c>
      <c r="P128" s="24">
        <f>SUMIFS('Saldos Iniciales'!$D:$D,'Saldos Iniciales'!$A:$A,"Arbor Capital Properties")+SUMIFS(Movimientos!$K$1:$K$1033,Movimientos!$C$1:$C$1033,"Arbor Capital Properties",Movimientos!$B$1:$B$1033,"&lt;="&amp;$B128)</f>
        <v>1380.08</v>
      </c>
      <c r="Q128" s="24">
        <f>SUMIFS('Saldos Iniciales'!$D:$D,'Saldos Iniciales'!$A:$A,"2515 Overbrook")+SUMIFS(Movimientos!$K$1:$K$1033,Movimientos!$C$1:$C$1033,"2515 Overbrook",Movimientos!$B$1:$B$1033,"&lt;="&amp;$B128)</f>
        <v>25027.379999999961</v>
      </c>
      <c r="R128" s="24">
        <f>SUMIFS('Saldos Iniciales'!$D:$D,'Saldos Iniciales'!$A:$A,"112 Florida Ave")+SUMIFS(Movimientos!$K$1:$K$1033,Movimientos!$C$1:$C$1033,"112 Florida Ave",Movimientos!$B$1:$B$1033,"&lt;="&amp;$B128)</f>
        <v>16760.540000000008</v>
      </c>
      <c r="S128" s="24">
        <f>SUMIFS('Saldos Iniciales'!$D:$D,'Saldos Iniciales'!$A:$A,"3628 Thomas Ave")+SUMIFS(Movimientos!$K$1:$K$1033,Movimientos!$C$1:$C$1033,"3628 Thomas Ave",Movimientos!$B$1:$B$1033,"&lt;="&amp;$B128)</f>
        <v>14162.999999999996</v>
      </c>
      <c r="T128" s="24">
        <f>SUMIFS('Saldos Iniciales'!$D:$D,'Saldos Iniciales'!$A:$A,"Green Harbor Trust")+SUMIFS(Movimientos!$K$1:$K$1033,Movimientos!$C$1:$C$1033,"Green Harbor Trust",Movimientos!$B$1:$B$1033,"&lt;="&amp;$B128)</f>
        <v>345</v>
      </c>
      <c r="U128" s="24">
        <f>SUMIFS('Saldos Iniciales'!$D:$D,'Saldos Iniciales'!$A:$A,"Go Blue")+SUMIFS(Movimientos!$K$1:$K$1033,Movimientos!$C$1:$C$1033,"Go Blue",Movimientos!$B$1:$B$1033,"&lt;="&amp;$B128)</f>
        <v>5861.1200000000026</v>
      </c>
      <c r="V128" s="25">
        <f t="shared" si="32"/>
        <v>4842694.8899999997</v>
      </c>
    </row>
    <row r="129" spans="1:22" x14ac:dyDescent="0.3">
      <c r="A129" s="22">
        <f t="shared" si="30"/>
        <v>128</v>
      </c>
      <c r="B129" s="23">
        <v>46270</v>
      </c>
      <c r="C129" s="24">
        <f>SUMIFS('Saldos Iniciales'!$D:$D,'Saldos Iniciales'!$A:$A,"CFT Group")+SUMIFS(Movimientos!$K$1:$K$1033,Movimientos!$C$1:$C$1033,"CFT Group",Movimientos!$B$1:$B$1033,"&lt;="&amp;$B129)</f>
        <v>1549729.4500000007</v>
      </c>
      <c r="D129" s="24">
        <f>SUMIFS('Saldos Iniciales'!$D:$D,'Saldos Iniciales'!$A:$A,"M1B")+SUMIFS(Movimientos!$K$1:$K$1033,Movimientos!$C$1:$C$1033,"M1B",Movimientos!$B$1:$B$1033,"&lt;="&amp;$B129)</f>
        <v>93280.230000000171</v>
      </c>
      <c r="E129" s="24">
        <f>SUMIFS('Saldos Iniciales'!$D:$D,'Saldos Iniciales'!$A:$A,"Durand")+SUMIFS(Movimientos!$K$1:$K$1033,Movimientos!$C$1:$C$1033,"Durand",Movimientos!$B$1:$B$1033,"&lt;="&amp;$B129)</f>
        <v>1669.89</v>
      </c>
      <c r="F129" s="24">
        <f>SUMIFS('Saldos Iniciales'!$D:$D,'Saldos Iniciales'!$A:$A,"A&amp;M Imports")+SUMIFS(Movimientos!$K$1:$K$1033,Movimientos!$C$1:$C$1033,"A&amp;M Imports",Movimientos!$B$1:$B$1033,"&lt;="&amp;$B129)</f>
        <v>1250938</v>
      </c>
      <c r="G129" s="24">
        <f>SUMIFS('Saldos Iniciales'!$D:$D,'Saldos Iniciales'!$A:$A,"SSP Capital")+SUMIFS(Movimientos!$K$1:$K$1033,Movimientos!$C$1:$C$1033,"SSP Capital",Movimientos!$B$1:$B$1033,"&lt;="&amp;$B129)</f>
        <v>1499204.7399999998</v>
      </c>
      <c r="H129" s="24">
        <f>SUMIFS('Saldos Iniciales'!$D:$D,'Saldos Iniciales'!$A:$A,"Cross Family Trust")+SUMIFS(Movimientos!$K$1:$K$1033,Movimientos!$C$1:$C$1033,"Cross Family Trust",Movimientos!$B$1:$B$1033,"&lt;="&amp;$B129)</f>
        <v>249778.14</v>
      </c>
      <c r="I129" s="24">
        <f>SUMIFS('Saldos Iniciales'!$D:$D,'Saldos Iniciales'!$A:$A,"Cross Security Trust")+SUMIFS(Movimientos!$K$1:$K$1033,Movimientos!$C$1:$C$1033,"Cross Security Trust",Movimientos!$B$1:$B$1033,"&lt;="&amp;$B129)</f>
        <v>98169.25999999998</v>
      </c>
      <c r="J129" s="24">
        <f>SUMIFS('Saldos Iniciales'!$D:$D,'Saldos Iniciales'!$A:$A,"Electrama")+SUMIFS(Movimientos!$K$1:$K$1033,Movimientos!$C$1:$C$1033,"Electrama",Movimientos!$B$1:$B$1033,"&lt;="&amp;$B129)</f>
        <v>13270.02</v>
      </c>
      <c r="K129" s="24">
        <f>SUMIFS('Saldos Iniciales'!$D:$D,'Saldos Iniciales'!$A:$A,"Sacred Valley Capital")+SUMIFS(Movimientos!$K$1:$K$1033,Movimientos!$C$1:$C$1033,"Sacred Valley Capital",Movimientos!$B$1:$B$1033,"&lt;="&amp;$B129)</f>
        <v>94.5</v>
      </c>
      <c r="L129" s="24">
        <f>SUMIFS('Saldos Iniciales'!$D:$D,'Saldos Iniciales'!$A:$A,"YWC Capital")+SUMIFS(Movimientos!$K$1:$K$1033,Movimientos!$C$1:$C$1033,"YWC Capital",Movimientos!$B$1:$B$1033,"&lt;="&amp;$B129)</f>
        <v>2147.92</v>
      </c>
      <c r="M129" s="24">
        <f>SUMIFS('Saldos Iniciales'!$D:$D,'Saldos Iniciales'!$A:$A,"Soweto")+SUMIFS(Movimientos!$K$1:$K$1033,Movimientos!$C$1:$C$1033,"Soweto",Movimientos!$B$1:$B$1033,"&lt;="&amp;$B129)</f>
        <v>18005.290000000015</v>
      </c>
      <c r="N129" s="24">
        <f>SUMIFS('Saldos Iniciales'!$D:$D,'Saldos Iniciales'!$A:$A,"Green Stone Trust")+SUMIFS(Movimientos!$K$1:$K$1033,Movimientos!$C$1:$C$1033,"Green Stone Trust",Movimientos!$B$1:$B$1033,"&lt;="&amp;$B129)</f>
        <v>1968.99</v>
      </c>
      <c r="O129" s="24">
        <f>SUMIFS('Saldos Iniciales'!$D:$D,'Saldos Iniciales'!$A:$A,"EC Auto")+SUMIFS(Movimientos!$K$1:$K$1033,Movimientos!$C$1:$C$1033,"EC Auto",Movimientos!$B$1:$B$1033,"&lt;="&amp;$B129)</f>
        <v>901.34</v>
      </c>
      <c r="P129" s="24">
        <f>SUMIFS('Saldos Iniciales'!$D:$D,'Saldos Iniciales'!$A:$A,"Arbor Capital Properties")+SUMIFS(Movimientos!$K$1:$K$1033,Movimientos!$C$1:$C$1033,"Arbor Capital Properties",Movimientos!$B$1:$B$1033,"&lt;="&amp;$B129)</f>
        <v>1380.08</v>
      </c>
      <c r="Q129" s="24">
        <f>SUMIFS('Saldos Iniciales'!$D:$D,'Saldos Iniciales'!$A:$A,"2515 Overbrook")+SUMIFS(Movimientos!$K$1:$K$1033,Movimientos!$C$1:$C$1033,"2515 Overbrook",Movimientos!$B$1:$B$1033,"&lt;="&amp;$B129)</f>
        <v>25027.379999999961</v>
      </c>
      <c r="R129" s="24">
        <f>SUMIFS('Saldos Iniciales'!$D:$D,'Saldos Iniciales'!$A:$A,"112 Florida Ave")+SUMIFS(Movimientos!$K$1:$K$1033,Movimientos!$C$1:$C$1033,"112 Florida Ave",Movimientos!$B$1:$B$1033,"&lt;="&amp;$B129)</f>
        <v>16760.540000000008</v>
      </c>
      <c r="S129" s="24">
        <f>SUMIFS('Saldos Iniciales'!$D:$D,'Saldos Iniciales'!$A:$A,"3628 Thomas Ave")+SUMIFS(Movimientos!$K$1:$K$1033,Movimientos!$C$1:$C$1033,"3628 Thomas Ave",Movimientos!$B$1:$B$1033,"&lt;="&amp;$B129)</f>
        <v>14162.999999999996</v>
      </c>
      <c r="T129" s="24">
        <f>SUMIFS('Saldos Iniciales'!$D:$D,'Saldos Iniciales'!$A:$A,"Green Harbor Trust")+SUMIFS(Movimientos!$K$1:$K$1033,Movimientos!$C$1:$C$1033,"Green Harbor Trust",Movimientos!$B$1:$B$1033,"&lt;="&amp;$B129)</f>
        <v>345</v>
      </c>
      <c r="U129" s="24">
        <f>SUMIFS('Saldos Iniciales'!$D:$D,'Saldos Iniciales'!$A:$A,"Go Blue")+SUMIFS(Movimientos!$K$1:$K$1033,Movimientos!$C$1:$C$1033,"Go Blue",Movimientos!$B$1:$B$1033,"&lt;="&amp;$B129)</f>
        <v>5861.1200000000026</v>
      </c>
      <c r="V129" s="25">
        <f t="shared" si="32"/>
        <v>4842694.8899999997</v>
      </c>
    </row>
    <row r="130" spans="1:22" x14ac:dyDescent="0.3">
      <c r="A130" s="22">
        <f t="shared" si="30"/>
        <v>129</v>
      </c>
      <c r="B130" s="23">
        <v>46271</v>
      </c>
      <c r="C130" s="24">
        <f>SUMIFS('Saldos Iniciales'!$D:$D,'Saldos Iniciales'!$A:$A,"CFT Group")+SUMIFS(Movimientos!$K$1:$K$1033,Movimientos!$C$1:$C$1033,"CFT Group",Movimientos!$B$1:$B$1033,"&lt;="&amp;$B130)</f>
        <v>1549729.4500000007</v>
      </c>
      <c r="D130" s="24">
        <f>SUMIFS('Saldos Iniciales'!$D:$D,'Saldos Iniciales'!$A:$A,"M1B")+SUMIFS(Movimientos!$K$1:$K$1033,Movimientos!$C$1:$C$1033,"M1B",Movimientos!$B$1:$B$1033,"&lt;="&amp;$B130)</f>
        <v>93280.230000000171</v>
      </c>
      <c r="E130" s="24">
        <f>SUMIFS('Saldos Iniciales'!$D:$D,'Saldos Iniciales'!$A:$A,"Durand")+SUMIFS(Movimientos!$K$1:$K$1033,Movimientos!$C$1:$C$1033,"Durand",Movimientos!$B$1:$B$1033,"&lt;="&amp;$B130)</f>
        <v>1669.89</v>
      </c>
      <c r="F130" s="24">
        <f>SUMIFS('Saldos Iniciales'!$D:$D,'Saldos Iniciales'!$A:$A,"A&amp;M Imports")+SUMIFS(Movimientos!$K$1:$K$1033,Movimientos!$C$1:$C$1033,"A&amp;M Imports",Movimientos!$B$1:$B$1033,"&lt;="&amp;$B130)</f>
        <v>1250938</v>
      </c>
      <c r="G130" s="24">
        <f>SUMIFS('Saldos Iniciales'!$D:$D,'Saldos Iniciales'!$A:$A,"SSP Capital")+SUMIFS(Movimientos!$K$1:$K$1033,Movimientos!$C$1:$C$1033,"SSP Capital",Movimientos!$B$1:$B$1033,"&lt;="&amp;$B130)</f>
        <v>1499204.7399999998</v>
      </c>
      <c r="H130" s="24">
        <f>SUMIFS('Saldos Iniciales'!$D:$D,'Saldos Iniciales'!$A:$A,"Cross Family Trust")+SUMIFS(Movimientos!$K$1:$K$1033,Movimientos!$C$1:$C$1033,"Cross Family Trust",Movimientos!$B$1:$B$1033,"&lt;="&amp;$B130)</f>
        <v>249778.14</v>
      </c>
      <c r="I130" s="24">
        <f>SUMIFS('Saldos Iniciales'!$D:$D,'Saldos Iniciales'!$A:$A,"Cross Security Trust")+SUMIFS(Movimientos!$K$1:$K$1033,Movimientos!$C$1:$C$1033,"Cross Security Trust",Movimientos!$B$1:$B$1033,"&lt;="&amp;$B130)</f>
        <v>98169.25999999998</v>
      </c>
      <c r="J130" s="24">
        <f>SUMIFS('Saldos Iniciales'!$D:$D,'Saldos Iniciales'!$A:$A,"Electrama")+SUMIFS(Movimientos!$K$1:$K$1033,Movimientos!$C$1:$C$1033,"Electrama",Movimientos!$B$1:$B$1033,"&lt;="&amp;$B130)</f>
        <v>13270.02</v>
      </c>
      <c r="K130" s="24">
        <f>SUMIFS('Saldos Iniciales'!$D:$D,'Saldos Iniciales'!$A:$A,"Sacred Valley Capital")+SUMIFS(Movimientos!$K$1:$K$1033,Movimientos!$C$1:$C$1033,"Sacred Valley Capital",Movimientos!$B$1:$B$1033,"&lt;="&amp;$B130)</f>
        <v>94.5</v>
      </c>
      <c r="L130" s="24">
        <f>SUMIFS('Saldos Iniciales'!$D:$D,'Saldos Iniciales'!$A:$A,"YWC Capital")+SUMIFS(Movimientos!$K$1:$K$1033,Movimientos!$C$1:$C$1033,"YWC Capital",Movimientos!$B$1:$B$1033,"&lt;="&amp;$B130)</f>
        <v>2147.92</v>
      </c>
      <c r="M130" s="24">
        <f>SUMIFS('Saldos Iniciales'!$D:$D,'Saldos Iniciales'!$A:$A,"Soweto")+SUMIFS(Movimientos!$K$1:$K$1033,Movimientos!$C$1:$C$1033,"Soweto",Movimientos!$B$1:$B$1033,"&lt;="&amp;$B130)</f>
        <v>18005.290000000015</v>
      </c>
      <c r="N130" s="24">
        <f>SUMIFS('Saldos Iniciales'!$D:$D,'Saldos Iniciales'!$A:$A,"Green Stone Trust")+SUMIFS(Movimientos!$K$1:$K$1033,Movimientos!$C$1:$C$1033,"Green Stone Trust",Movimientos!$B$1:$B$1033,"&lt;="&amp;$B130)</f>
        <v>1968.99</v>
      </c>
      <c r="O130" s="24">
        <f>SUMIFS('Saldos Iniciales'!$D:$D,'Saldos Iniciales'!$A:$A,"EC Auto")+SUMIFS(Movimientos!$K$1:$K$1033,Movimientos!$C$1:$C$1033,"EC Auto",Movimientos!$B$1:$B$1033,"&lt;="&amp;$B130)</f>
        <v>901.34</v>
      </c>
      <c r="P130" s="24">
        <f>SUMIFS('Saldos Iniciales'!$D:$D,'Saldos Iniciales'!$A:$A,"Arbor Capital Properties")+SUMIFS(Movimientos!$K$1:$K$1033,Movimientos!$C$1:$C$1033,"Arbor Capital Properties",Movimientos!$B$1:$B$1033,"&lt;="&amp;$B130)</f>
        <v>1380.08</v>
      </c>
      <c r="Q130" s="24">
        <f>SUMIFS('Saldos Iniciales'!$D:$D,'Saldos Iniciales'!$A:$A,"2515 Overbrook")+SUMIFS(Movimientos!$K$1:$K$1033,Movimientos!$C$1:$C$1033,"2515 Overbrook",Movimientos!$B$1:$B$1033,"&lt;="&amp;$B130)</f>
        <v>25027.379999999961</v>
      </c>
      <c r="R130" s="24">
        <f>SUMIFS('Saldos Iniciales'!$D:$D,'Saldos Iniciales'!$A:$A,"112 Florida Ave")+SUMIFS(Movimientos!$K$1:$K$1033,Movimientos!$C$1:$C$1033,"112 Florida Ave",Movimientos!$B$1:$B$1033,"&lt;="&amp;$B130)</f>
        <v>16760.540000000008</v>
      </c>
      <c r="S130" s="24">
        <f>SUMIFS('Saldos Iniciales'!$D:$D,'Saldos Iniciales'!$A:$A,"3628 Thomas Ave")+SUMIFS(Movimientos!$K$1:$K$1033,Movimientos!$C$1:$C$1033,"3628 Thomas Ave",Movimientos!$B$1:$B$1033,"&lt;="&amp;$B130)</f>
        <v>14162.999999999996</v>
      </c>
      <c r="T130" s="24">
        <f>SUMIFS('Saldos Iniciales'!$D:$D,'Saldos Iniciales'!$A:$A,"Green Harbor Trust")+SUMIFS(Movimientos!$K$1:$K$1033,Movimientos!$C$1:$C$1033,"Green Harbor Trust",Movimientos!$B$1:$B$1033,"&lt;="&amp;$B130)</f>
        <v>345</v>
      </c>
      <c r="U130" s="24">
        <f>SUMIFS('Saldos Iniciales'!$D:$D,'Saldos Iniciales'!$A:$A,"Go Blue")+SUMIFS(Movimientos!$K$1:$K$1033,Movimientos!$C$1:$C$1033,"Go Blue",Movimientos!$B$1:$B$1033,"&lt;="&amp;$B130)</f>
        <v>5861.1200000000026</v>
      </c>
      <c r="V130" s="25">
        <f t="shared" si="32"/>
        <v>4842694.8899999997</v>
      </c>
    </row>
    <row r="131" spans="1:22" x14ac:dyDescent="0.3">
      <c r="A131" s="22">
        <f t="shared" si="30"/>
        <v>130</v>
      </c>
      <c r="B131" s="23">
        <v>46272</v>
      </c>
      <c r="C131" s="24">
        <f>SUMIFS('Saldos Iniciales'!$D:$D,'Saldos Iniciales'!$A:$A,"CFT Group")+SUMIFS(Movimientos!$K$1:$K$1033,Movimientos!$C$1:$C$1033,"CFT Group",Movimientos!$B$1:$B$1033,"&lt;="&amp;$B131)</f>
        <v>1549729.4500000007</v>
      </c>
      <c r="D131" s="24">
        <f>SUMIFS('Saldos Iniciales'!$D:$D,'Saldos Iniciales'!$A:$A,"M1B")+SUMIFS(Movimientos!$K$1:$K$1033,Movimientos!$C$1:$C$1033,"M1B",Movimientos!$B$1:$B$1033,"&lt;="&amp;$B131)</f>
        <v>93280.230000000171</v>
      </c>
      <c r="E131" s="24">
        <f>SUMIFS('Saldos Iniciales'!$D:$D,'Saldos Iniciales'!$A:$A,"Durand")+SUMIFS(Movimientos!$K$1:$K$1033,Movimientos!$C$1:$C$1033,"Durand",Movimientos!$B$1:$B$1033,"&lt;="&amp;$B131)</f>
        <v>1669.89</v>
      </c>
      <c r="F131" s="24">
        <f>SUMIFS('Saldos Iniciales'!$D:$D,'Saldos Iniciales'!$A:$A,"A&amp;M Imports")+SUMIFS(Movimientos!$K$1:$K$1033,Movimientos!$C$1:$C$1033,"A&amp;M Imports",Movimientos!$B$1:$B$1033,"&lt;="&amp;$B131)</f>
        <v>1250938</v>
      </c>
      <c r="G131" s="24">
        <f>SUMIFS('Saldos Iniciales'!$D:$D,'Saldos Iniciales'!$A:$A,"SSP Capital")+SUMIFS(Movimientos!$K$1:$K$1033,Movimientos!$C$1:$C$1033,"SSP Capital",Movimientos!$B$1:$B$1033,"&lt;="&amp;$B131)</f>
        <v>1499204.7399999998</v>
      </c>
      <c r="H131" s="24">
        <f>SUMIFS('Saldos Iniciales'!$D:$D,'Saldos Iniciales'!$A:$A,"Cross Family Trust")+SUMIFS(Movimientos!$K$1:$K$1033,Movimientos!$C$1:$C$1033,"Cross Family Trust",Movimientos!$B$1:$B$1033,"&lt;="&amp;$B131)</f>
        <v>249778.14</v>
      </c>
      <c r="I131" s="24">
        <f>SUMIFS('Saldos Iniciales'!$D:$D,'Saldos Iniciales'!$A:$A,"Cross Security Trust")+SUMIFS(Movimientos!$K$1:$K$1033,Movimientos!$C$1:$C$1033,"Cross Security Trust",Movimientos!$B$1:$B$1033,"&lt;="&amp;$B131)</f>
        <v>98169.25999999998</v>
      </c>
      <c r="J131" s="24">
        <f>SUMIFS('Saldos Iniciales'!$D:$D,'Saldos Iniciales'!$A:$A,"Electrama")+SUMIFS(Movimientos!$K$1:$K$1033,Movimientos!$C$1:$C$1033,"Electrama",Movimientos!$B$1:$B$1033,"&lt;="&amp;$B131)</f>
        <v>13270.02</v>
      </c>
      <c r="K131" s="24">
        <f>SUMIFS('Saldos Iniciales'!$D:$D,'Saldos Iniciales'!$A:$A,"Sacred Valley Capital")+SUMIFS(Movimientos!$K$1:$K$1033,Movimientos!$C$1:$C$1033,"Sacred Valley Capital",Movimientos!$B$1:$B$1033,"&lt;="&amp;$B131)</f>
        <v>94.5</v>
      </c>
      <c r="L131" s="24">
        <f>SUMIFS('Saldos Iniciales'!$D:$D,'Saldos Iniciales'!$A:$A,"YWC Capital")+SUMIFS(Movimientos!$K$1:$K$1033,Movimientos!$C$1:$C$1033,"YWC Capital",Movimientos!$B$1:$B$1033,"&lt;="&amp;$B131)</f>
        <v>2147.92</v>
      </c>
      <c r="M131" s="24">
        <f>SUMIFS('Saldos Iniciales'!$D:$D,'Saldos Iniciales'!$A:$A,"Soweto")+SUMIFS(Movimientos!$K$1:$K$1033,Movimientos!$C$1:$C$1033,"Soweto",Movimientos!$B$1:$B$1033,"&lt;="&amp;$B131)</f>
        <v>18005.290000000015</v>
      </c>
      <c r="N131" s="24">
        <f>SUMIFS('Saldos Iniciales'!$D:$D,'Saldos Iniciales'!$A:$A,"Green Stone Trust")+SUMIFS(Movimientos!$K$1:$K$1033,Movimientos!$C$1:$C$1033,"Green Stone Trust",Movimientos!$B$1:$B$1033,"&lt;="&amp;$B131)</f>
        <v>1968.99</v>
      </c>
      <c r="O131" s="24">
        <f>SUMIFS('Saldos Iniciales'!$D:$D,'Saldos Iniciales'!$A:$A,"EC Auto")+SUMIFS(Movimientos!$K$1:$K$1033,Movimientos!$C$1:$C$1033,"EC Auto",Movimientos!$B$1:$B$1033,"&lt;="&amp;$B131)</f>
        <v>901.34</v>
      </c>
      <c r="P131" s="24">
        <f>SUMIFS('Saldos Iniciales'!$D:$D,'Saldos Iniciales'!$A:$A,"Arbor Capital Properties")+SUMIFS(Movimientos!$K$1:$K$1033,Movimientos!$C$1:$C$1033,"Arbor Capital Properties",Movimientos!$B$1:$B$1033,"&lt;="&amp;$B131)</f>
        <v>1380.08</v>
      </c>
      <c r="Q131" s="24">
        <f>SUMIFS('Saldos Iniciales'!$D:$D,'Saldos Iniciales'!$A:$A,"2515 Overbrook")+SUMIFS(Movimientos!$K$1:$K$1033,Movimientos!$C$1:$C$1033,"2515 Overbrook",Movimientos!$B$1:$B$1033,"&lt;="&amp;$B131)</f>
        <v>25027.379999999961</v>
      </c>
      <c r="R131" s="24">
        <f>SUMIFS('Saldos Iniciales'!$D:$D,'Saldos Iniciales'!$A:$A,"112 Florida Ave")+SUMIFS(Movimientos!$K$1:$K$1033,Movimientos!$C$1:$C$1033,"112 Florida Ave",Movimientos!$B$1:$B$1033,"&lt;="&amp;$B131)</f>
        <v>16760.540000000008</v>
      </c>
      <c r="S131" s="24">
        <f>SUMIFS('Saldos Iniciales'!$D:$D,'Saldos Iniciales'!$A:$A,"3628 Thomas Ave")+SUMIFS(Movimientos!$K$1:$K$1033,Movimientos!$C$1:$C$1033,"3628 Thomas Ave",Movimientos!$B$1:$B$1033,"&lt;="&amp;$B131)</f>
        <v>14162.999999999996</v>
      </c>
      <c r="T131" s="24">
        <f>SUMIFS('Saldos Iniciales'!$D:$D,'Saldos Iniciales'!$A:$A,"Green Harbor Trust")+SUMIFS(Movimientos!$K$1:$K$1033,Movimientos!$C$1:$C$1033,"Green Harbor Trust",Movimientos!$B$1:$B$1033,"&lt;="&amp;$B131)</f>
        <v>345</v>
      </c>
      <c r="U131" s="24">
        <f>SUMIFS('Saldos Iniciales'!$D:$D,'Saldos Iniciales'!$A:$A,"Go Blue")+SUMIFS(Movimientos!$K$1:$K$1033,Movimientos!$C$1:$C$1033,"Go Blue",Movimientos!$B$1:$B$1033,"&lt;="&amp;$B131)</f>
        <v>5861.1200000000026</v>
      </c>
      <c r="V131" s="25">
        <f t="shared" ref="V131:V132" si="33">SUM(C131:U131)</f>
        <v>4842694.8899999997</v>
      </c>
    </row>
    <row r="132" spans="1:22" x14ac:dyDescent="0.3">
      <c r="A132" s="22">
        <f t="shared" si="30"/>
        <v>131</v>
      </c>
      <c r="B132" s="23">
        <v>46273</v>
      </c>
      <c r="C132" s="24">
        <f>SUMIFS('Saldos Iniciales'!$D:$D,'Saldos Iniciales'!$A:$A,"CFT Group")+SUMIFS(Movimientos!$K$1:$K$1033,Movimientos!$C$1:$C$1033,"CFT Group",Movimientos!$B$1:$B$1033,"&lt;="&amp;$B132)</f>
        <v>1805955.2800000007</v>
      </c>
      <c r="D132" s="24">
        <f>SUMIFS('Saldos Iniciales'!$D:$D,'Saldos Iniciales'!$A:$A,"M1B")+SUMIFS(Movimientos!$K$1:$K$1033,Movimientos!$C$1:$C$1033,"M1B",Movimientos!$B$1:$B$1033,"&lt;="&amp;$B132)</f>
        <v>93737.970000000176</v>
      </c>
      <c r="E132" s="24">
        <f>SUMIFS('Saldos Iniciales'!$D:$D,'Saldos Iniciales'!$A:$A,"Durand")+SUMIFS(Movimientos!$K$1:$K$1033,Movimientos!$C$1:$C$1033,"Durand",Movimientos!$B$1:$B$1033,"&lt;="&amp;$B132)</f>
        <v>1669.89</v>
      </c>
      <c r="F132" s="24">
        <f>SUMIFS('Saldos Iniciales'!$D:$D,'Saldos Iniciales'!$A:$A,"A&amp;M Imports")+SUMIFS(Movimientos!$K$1:$K$1033,Movimientos!$C$1:$C$1033,"A&amp;M Imports",Movimientos!$B$1:$B$1033,"&lt;="&amp;$B132)</f>
        <v>1256669.99</v>
      </c>
      <c r="G132" s="24">
        <f>SUMIFS('Saldos Iniciales'!$D:$D,'Saldos Iniciales'!$A:$A,"SSP Capital")+SUMIFS(Movimientos!$K$1:$K$1033,Movimientos!$C$1:$C$1033,"SSP Capital",Movimientos!$B$1:$B$1033,"&lt;="&amp;$B132)</f>
        <v>1490233.3099999996</v>
      </c>
      <c r="H132" s="24">
        <f>SUMIFS('Saldos Iniciales'!$D:$D,'Saldos Iniciales'!$A:$A,"Cross Family Trust")+SUMIFS(Movimientos!$K$1:$K$1033,Movimientos!$C$1:$C$1033,"Cross Family Trust",Movimientos!$B$1:$B$1033,"&lt;="&amp;$B132)</f>
        <v>249778.14</v>
      </c>
      <c r="I132" s="24">
        <f>SUMIFS('Saldos Iniciales'!$D:$D,'Saldos Iniciales'!$A:$A,"Cross Security Trust")+SUMIFS(Movimientos!$K$1:$K$1033,Movimientos!$C$1:$C$1033,"Cross Security Trust",Movimientos!$B$1:$B$1033,"&lt;="&amp;$B132)</f>
        <v>98169.25999999998</v>
      </c>
      <c r="J132" s="24">
        <f>SUMIFS('Saldos Iniciales'!$D:$D,'Saldos Iniciales'!$A:$A,"Electrama")+SUMIFS(Movimientos!$K$1:$K$1033,Movimientos!$C$1:$C$1033,"Electrama",Movimientos!$B$1:$B$1033,"&lt;="&amp;$B132)</f>
        <v>13270.02</v>
      </c>
      <c r="K132" s="24">
        <f>SUMIFS('Saldos Iniciales'!$D:$D,'Saldos Iniciales'!$A:$A,"Sacred Valley Capital")+SUMIFS(Movimientos!$K$1:$K$1033,Movimientos!$C$1:$C$1033,"Sacred Valley Capital",Movimientos!$B$1:$B$1033,"&lt;="&amp;$B132)</f>
        <v>94.5</v>
      </c>
      <c r="L132" s="24">
        <f>SUMIFS('Saldos Iniciales'!$D:$D,'Saldos Iniciales'!$A:$A,"YWC Capital")+SUMIFS(Movimientos!$K$1:$K$1033,Movimientos!$C$1:$C$1033,"YWC Capital",Movimientos!$B$1:$B$1033,"&lt;="&amp;$B132)</f>
        <v>2147.92</v>
      </c>
      <c r="M132" s="24">
        <f>SUMIFS('Saldos Iniciales'!$D:$D,'Saldos Iniciales'!$A:$A,"Soweto")+SUMIFS(Movimientos!$K$1:$K$1033,Movimientos!$C$1:$C$1033,"Soweto",Movimientos!$B$1:$B$1033,"&lt;="&amp;$B132)</f>
        <v>18005.290000000015</v>
      </c>
      <c r="N132" s="24">
        <f>SUMIFS('Saldos Iniciales'!$D:$D,'Saldos Iniciales'!$A:$A,"Green Stone Trust")+SUMIFS(Movimientos!$K$1:$K$1033,Movimientos!$C$1:$C$1033,"Green Stone Trust",Movimientos!$B$1:$B$1033,"&lt;="&amp;$B132)</f>
        <v>1968.99</v>
      </c>
      <c r="O132" s="24">
        <f>SUMIFS('Saldos Iniciales'!$D:$D,'Saldos Iniciales'!$A:$A,"EC Auto")+SUMIFS(Movimientos!$K$1:$K$1033,Movimientos!$C$1:$C$1033,"EC Auto",Movimientos!$B$1:$B$1033,"&lt;="&amp;$B132)</f>
        <v>901.34</v>
      </c>
      <c r="P132" s="24">
        <f>SUMIFS('Saldos Iniciales'!$D:$D,'Saldos Iniciales'!$A:$A,"Arbor Capital Properties")+SUMIFS(Movimientos!$K$1:$K$1033,Movimientos!$C$1:$C$1033,"Arbor Capital Properties",Movimientos!$B$1:$B$1033,"&lt;="&amp;$B132)</f>
        <v>1380.08</v>
      </c>
      <c r="Q132" s="24">
        <f>SUMIFS('Saldos Iniciales'!$D:$D,'Saldos Iniciales'!$A:$A,"2515 Overbrook")+SUMIFS(Movimientos!$K$1:$K$1033,Movimientos!$C$1:$C$1033,"2515 Overbrook",Movimientos!$B$1:$B$1033,"&lt;="&amp;$B132)</f>
        <v>25027.379999999961</v>
      </c>
      <c r="R132" s="24">
        <f>SUMIFS('Saldos Iniciales'!$D:$D,'Saldos Iniciales'!$A:$A,"112 Florida Ave")+SUMIFS(Movimientos!$K$1:$K$1033,Movimientos!$C$1:$C$1033,"112 Florida Ave",Movimientos!$B$1:$B$1033,"&lt;="&amp;$B132)</f>
        <v>16760.540000000008</v>
      </c>
      <c r="S132" s="24">
        <f>SUMIFS('Saldos Iniciales'!$D:$D,'Saldos Iniciales'!$A:$A,"3628 Thomas Ave")+SUMIFS(Movimientos!$K$1:$K$1033,Movimientos!$C$1:$C$1033,"3628 Thomas Ave",Movimientos!$B$1:$B$1033,"&lt;="&amp;$B132)</f>
        <v>14162.999999999996</v>
      </c>
      <c r="T132" s="24">
        <f>SUMIFS('Saldos Iniciales'!$D:$D,'Saldos Iniciales'!$A:$A,"Green Harbor Trust")+SUMIFS(Movimientos!$K$1:$K$1033,Movimientos!$C$1:$C$1033,"Green Harbor Trust",Movimientos!$B$1:$B$1033,"&lt;="&amp;$B132)</f>
        <v>345</v>
      </c>
      <c r="U132" s="24">
        <f>SUMIFS('Saldos Iniciales'!$D:$D,'Saldos Iniciales'!$A:$A,"Go Blue")+SUMIFS(Movimientos!$K$1:$K$1033,Movimientos!$C$1:$C$1033,"Go Blue",Movimientos!$B$1:$B$1033,"&lt;="&amp;$B132)</f>
        <v>5861.1200000000026</v>
      </c>
      <c r="V132" s="25">
        <f t="shared" si="33"/>
        <v>5096139.0199999996</v>
      </c>
    </row>
    <row r="133" spans="1:22" x14ac:dyDescent="0.3">
      <c r="A133" s="22">
        <f t="shared" si="30"/>
        <v>132</v>
      </c>
      <c r="B133" s="23">
        <v>46274</v>
      </c>
      <c r="C133" s="24">
        <f>SUMIFS('Saldos Iniciales'!$D:$D,'Saldos Iniciales'!$A:$A,"CFT Group")+SUMIFS(Movimientos!$K$1:$K$1033,Movimientos!$C$1:$C$1033,"CFT Group",Movimientos!$B$1:$B$1033,"&lt;="&amp;$B133)</f>
        <v>1805355.2800000007</v>
      </c>
      <c r="D133" s="24">
        <f>SUMIFS('Saldos Iniciales'!$D:$D,'Saldos Iniciales'!$A:$A,"M1B")+SUMIFS(Movimientos!$K$1:$K$1033,Movimientos!$C$1:$C$1033,"M1B",Movimientos!$B$1:$B$1033,"&lt;="&amp;$B133)</f>
        <v>93737.970000000176</v>
      </c>
      <c r="E133" s="24">
        <f>SUMIFS('Saldos Iniciales'!$D:$D,'Saldos Iniciales'!$A:$A,"Durand")+SUMIFS(Movimientos!$K$1:$K$1033,Movimientos!$C$1:$C$1033,"Durand",Movimientos!$B$1:$B$1033,"&lt;="&amp;$B133)</f>
        <v>1669.89</v>
      </c>
      <c r="F133" s="24">
        <f>SUMIFS('Saldos Iniciales'!$D:$D,'Saldos Iniciales'!$A:$A,"A&amp;M Imports")+SUMIFS(Movimientos!$K$1:$K$1033,Movimientos!$C$1:$C$1033,"A&amp;M Imports",Movimientos!$B$1:$B$1033,"&lt;="&amp;$B133)</f>
        <v>1256669.99</v>
      </c>
      <c r="G133" s="24">
        <f>SUMIFS('Saldos Iniciales'!$D:$D,'Saldos Iniciales'!$A:$A,"SSP Capital")+SUMIFS(Movimientos!$K$1:$K$1033,Movimientos!$C$1:$C$1033,"SSP Capital",Movimientos!$B$1:$B$1033,"&lt;="&amp;$B133)</f>
        <v>1487787.1299999997</v>
      </c>
      <c r="H133" s="24">
        <f>SUMIFS('Saldos Iniciales'!$D:$D,'Saldos Iniciales'!$A:$A,"Cross Family Trust")+SUMIFS(Movimientos!$K$1:$K$1033,Movimientos!$C$1:$C$1033,"Cross Family Trust",Movimientos!$B$1:$B$1033,"&lt;="&amp;$B133)</f>
        <v>229778.14</v>
      </c>
      <c r="I133" s="24">
        <f>SUMIFS('Saldos Iniciales'!$D:$D,'Saldos Iniciales'!$A:$A,"Cross Security Trust")+SUMIFS(Movimientos!$K$1:$K$1033,Movimientos!$C$1:$C$1033,"Cross Security Trust",Movimientos!$B$1:$B$1033,"&lt;="&amp;$B133)</f>
        <v>98169.25999999998</v>
      </c>
      <c r="J133" s="24">
        <f>SUMIFS('Saldos Iniciales'!$D:$D,'Saldos Iniciales'!$A:$A,"Electrama")+SUMIFS(Movimientos!$K$1:$K$1033,Movimientos!$C$1:$C$1033,"Electrama",Movimientos!$B$1:$B$1033,"&lt;="&amp;$B133)</f>
        <v>13270.02</v>
      </c>
      <c r="K133" s="24">
        <f>SUMIFS('Saldos Iniciales'!$D:$D,'Saldos Iniciales'!$A:$A,"Sacred Valley Capital")+SUMIFS(Movimientos!$K$1:$K$1033,Movimientos!$C$1:$C$1033,"Sacred Valley Capital",Movimientos!$B$1:$B$1033,"&lt;="&amp;$B133)</f>
        <v>94.5</v>
      </c>
      <c r="L133" s="24">
        <f>SUMIFS('Saldos Iniciales'!$D:$D,'Saldos Iniciales'!$A:$A,"YWC Capital")+SUMIFS(Movimientos!$K$1:$K$1033,Movimientos!$C$1:$C$1033,"YWC Capital",Movimientos!$B$1:$B$1033,"&lt;="&amp;$B133)</f>
        <v>2147.92</v>
      </c>
      <c r="M133" s="24">
        <f>SUMIFS('Saldos Iniciales'!$D:$D,'Saldos Iniciales'!$A:$A,"Soweto")+SUMIFS(Movimientos!$K$1:$K$1033,Movimientos!$C$1:$C$1033,"Soweto",Movimientos!$B$1:$B$1033,"&lt;="&amp;$B133)</f>
        <v>18005.290000000015</v>
      </c>
      <c r="N133" s="24">
        <f>SUMIFS('Saldos Iniciales'!$D:$D,'Saldos Iniciales'!$A:$A,"Green Stone Trust")+SUMIFS(Movimientos!$K$1:$K$1033,Movimientos!$C$1:$C$1033,"Green Stone Trust",Movimientos!$B$1:$B$1033,"&lt;="&amp;$B133)</f>
        <v>1968.99</v>
      </c>
      <c r="O133" s="24">
        <f>SUMIFS('Saldos Iniciales'!$D:$D,'Saldos Iniciales'!$A:$A,"EC Auto")+SUMIFS(Movimientos!$K$1:$K$1033,Movimientos!$C$1:$C$1033,"EC Auto",Movimientos!$B$1:$B$1033,"&lt;="&amp;$B133)</f>
        <v>901.34</v>
      </c>
      <c r="P133" s="24">
        <f>SUMIFS('Saldos Iniciales'!$D:$D,'Saldos Iniciales'!$A:$A,"Arbor Capital Properties")+SUMIFS(Movimientos!$K$1:$K$1033,Movimientos!$C$1:$C$1033,"Arbor Capital Properties",Movimientos!$B$1:$B$1033,"&lt;="&amp;$B133)</f>
        <v>1380.08</v>
      </c>
      <c r="Q133" s="24">
        <f>SUMIFS('Saldos Iniciales'!$D:$D,'Saldos Iniciales'!$A:$A,"2515 Overbrook")+SUMIFS(Movimientos!$K$1:$K$1033,Movimientos!$C$1:$C$1033,"2515 Overbrook",Movimientos!$B$1:$B$1033,"&lt;="&amp;$B133)</f>
        <v>25027.379999999961</v>
      </c>
      <c r="R133" s="24">
        <f>SUMIFS('Saldos Iniciales'!$D:$D,'Saldos Iniciales'!$A:$A,"112 Florida Ave")+SUMIFS(Movimientos!$K$1:$K$1033,Movimientos!$C$1:$C$1033,"112 Florida Ave",Movimientos!$B$1:$B$1033,"&lt;="&amp;$B133)</f>
        <v>16760.540000000008</v>
      </c>
      <c r="S133" s="24">
        <f>SUMIFS('Saldos Iniciales'!$D:$D,'Saldos Iniciales'!$A:$A,"3628 Thomas Ave")+SUMIFS(Movimientos!$K$1:$K$1033,Movimientos!$C$1:$C$1033,"3628 Thomas Ave",Movimientos!$B$1:$B$1033,"&lt;="&amp;$B133)</f>
        <v>14162.999999999996</v>
      </c>
      <c r="T133" s="24">
        <f>SUMIFS('Saldos Iniciales'!$D:$D,'Saldos Iniciales'!$A:$A,"Green Harbor Trust")+SUMIFS(Movimientos!$K$1:$K$1033,Movimientos!$C$1:$C$1033,"Green Harbor Trust",Movimientos!$B$1:$B$1033,"&lt;="&amp;$B133)</f>
        <v>345</v>
      </c>
      <c r="U133" s="24">
        <f>SUMIFS('Saldos Iniciales'!$D:$D,'Saldos Iniciales'!$A:$A,"Go Blue")+SUMIFS(Movimientos!$K$1:$K$1033,Movimientos!$C$1:$C$1033,"Go Blue",Movimientos!$B$1:$B$1033,"&lt;="&amp;$B133)</f>
        <v>25812.570000000003</v>
      </c>
      <c r="V133" s="25">
        <f t="shared" ref="V133" si="34">SUM(C133:U133)</f>
        <v>5093044.29</v>
      </c>
    </row>
    <row r="134" spans="1:22" x14ac:dyDescent="0.3">
      <c r="A134" s="22">
        <f t="shared" si="30"/>
        <v>133</v>
      </c>
      <c r="B134" s="23">
        <v>46275</v>
      </c>
      <c r="C134" s="24">
        <f>SUMIFS('Saldos Iniciales'!$D:$D,'Saldos Iniciales'!$A:$A,"CFT Group")+SUMIFS(Movimientos!$K$1:$K$1033,Movimientos!$C$1:$C$1033,"CFT Group",Movimientos!$B$1:$B$1033,"&lt;="&amp;$B134)</f>
        <v>1338116.3900000008</v>
      </c>
      <c r="D134" s="24">
        <f>SUMIFS('Saldos Iniciales'!$D:$D,'Saldos Iniciales'!$A:$A,"M1B")+SUMIFS(Movimientos!$K$1:$K$1033,Movimientos!$C$1:$C$1033,"M1B",Movimientos!$B$1:$B$1033,"&lt;="&amp;$B134)</f>
        <v>93737.970000000176</v>
      </c>
      <c r="E134" s="24">
        <f>SUMIFS('Saldos Iniciales'!$D:$D,'Saldos Iniciales'!$A:$A,"Durand")+SUMIFS(Movimientos!$K$1:$K$1033,Movimientos!$C$1:$C$1033,"Durand",Movimientos!$B$1:$B$1033,"&lt;="&amp;$B134)</f>
        <v>1669.89</v>
      </c>
      <c r="F134" s="24">
        <f>SUMIFS('Saldos Iniciales'!$D:$D,'Saldos Iniciales'!$A:$A,"A&amp;M Imports")+SUMIFS(Movimientos!$K$1:$K$1033,Movimientos!$C$1:$C$1033,"A&amp;M Imports",Movimientos!$B$1:$B$1033,"&lt;="&amp;$B134)</f>
        <v>1089169.99</v>
      </c>
      <c r="G134" s="24">
        <f>SUMIFS('Saldos Iniciales'!$D:$D,'Saldos Iniciales'!$A:$A,"SSP Capital")+SUMIFS(Movimientos!$K$1:$K$1033,Movimientos!$C$1:$C$1033,"SSP Capital",Movimientos!$B$1:$B$1033,"&lt;="&amp;$B134)</f>
        <v>1233789.9099999997</v>
      </c>
      <c r="H134" s="24">
        <f>SUMIFS('Saldos Iniciales'!$D:$D,'Saldos Iniciales'!$A:$A,"Cross Family Trust")+SUMIFS(Movimientos!$K$1:$K$1033,Movimientos!$C$1:$C$1033,"Cross Family Trust",Movimientos!$B$1:$B$1033,"&lt;="&amp;$B134)</f>
        <v>229778.14</v>
      </c>
      <c r="I134" s="24">
        <f>SUMIFS('Saldos Iniciales'!$D:$D,'Saldos Iniciales'!$A:$A,"Cross Security Trust")+SUMIFS(Movimientos!$K$1:$K$1033,Movimientos!$C$1:$C$1033,"Cross Security Trust",Movimientos!$B$1:$B$1033,"&lt;="&amp;$B134)</f>
        <v>98169.25999999998</v>
      </c>
      <c r="J134" s="24">
        <f>SUMIFS('Saldos Iniciales'!$D:$D,'Saldos Iniciales'!$A:$A,"Electrama")+SUMIFS(Movimientos!$K$1:$K$1033,Movimientos!$C$1:$C$1033,"Electrama",Movimientos!$B$1:$B$1033,"&lt;="&amp;$B134)</f>
        <v>13270.02</v>
      </c>
      <c r="K134" s="24">
        <f>SUMIFS('Saldos Iniciales'!$D:$D,'Saldos Iniciales'!$A:$A,"Sacred Valley Capital")+SUMIFS(Movimientos!$K$1:$K$1033,Movimientos!$C$1:$C$1033,"Sacred Valley Capital",Movimientos!$B$1:$B$1033,"&lt;="&amp;$B134)</f>
        <v>94.5</v>
      </c>
      <c r="L134" s="24">
        <f>SUMIFS('Saldos Iniciales'!$D:$D,'Saldos Iniciales'!$A:$A,"YWC Capital")+SUMIFS(Movimientos!$K$1:$K$1033,Movimientos!$C$1:$C$1033,"YWC Capital",Movimientos!$B$1:$B$1033,"&lt;="&amp;$B134)</f>
        <v>2147.92</v>
      </c>
      <c r="M134" s="24">
        <f>SUMIFS('Saldos Iniciales'!$D:$D,'Saldos Iniciales'!$A:$A,"Soweto")+SUMIFS(Movimientos!$K$1:$K$1033,Movimientos!$C$1:$C$1033,"Soweto",Movimientos!$B$1:$B$1033,"&lt;="&amp;$B134)</f>
        <v>18005.290000000015</v>
      </c>
      <c r="N134" s="24">
        <f>SUMIFS('Saldos Iniciales'!$D:$D,'Saldos Iniciales'!$A:$A,"Green Stone Trust")+SUMIFS(Movimientos!$K$1:$K$1033,Movimientos!$C$1:$C$1033,"Green Stone Trust",Movimientos!$B$1:$B$1033,"&lt;="&amp;$B134)</f>
        <v>1968.99</v>
      </c>
      <c r="O134" s="24">
        <f>SUMIFS('Saldos Iniciales'!$D:$D,'Saldos Iniciales'!$A:$A,"EC Auto")+SUMIFS(Movimientos!$K$1:$K$1033,Movimientos!$C$1:$C$1033,"EC Auto",Movimientos!$B$1:$B$1033,"&lt;="&amp;$B134)</f>
        <v>901.34</v>
      </c>
      <c r="P134" s="24">
        <f>SUMIFS('Saldos Iniciales'!$D:$D,'Saldos Iniciales'!$A:$A,"Arbor Capital Properties")+SUMIFS(Movimientos!$K$1:$K$1033,Movimientos!$C$1:$C$1033,"Arbor Capital Properties",Movimientos!$B$1:$B$1033,"&lt;="&amp;$B134)</f>
        <v>1380.08</v>
      </c>
      <c r="Q134" s="24">
        <f>SUMIFS('Saldos Iniciales'!$D:$D,'Saldos Iniciales'!$A:$A,"2515 Overbrook")+SUMIFS(Movimientos!$K$1:$K$1033,Movimientos!$C$1:$C$1033,"2515 Overbrook",Movimientos!$B$1:$B$1033,"&lt;="&amp;$B134)</f>
        <v>25027.379999999961</v>
      </c>
      <c r="R134" s="24">
        <f>SUMIFS('Saldos Iniciales'!$D:$D,'Saldos Iniciales'!$A:$A,"112 Florida Ave")+SUMIFS(Movimientos!$K$1:$K$1033,Movimientos!$C$1:$C$1033,"112 Florida Ave",Movimientos!$B$1:$B$1033,"&lt;="&amp;$B134)</f>
        <v>16760.540000000008</v>
      </c>
      <c r="S134" s="24">
        <f>SUMIFS('Saldos Iniciales'!$D:$D,'Saldos Iniciales'!$A:$A,"3628 Thomas Ave")+SUMIFS(Movimientos!$K$1:$K$1033,Movimientos!$C$1:$C$1033,"3628 Thomas Ave",Movimientos!$B$1:$B$1033,"&lt;="&amp;$B134)</f>
        <v>14162.999999999996</v>
      </c>
      <c r="T134" s="24">
        <f>SUMIFS('Saldos Iniciales'!$D:$D,'Saldos Iniciales'!$A:$A,"Green Harbor Trust")+SUMIFS(Movimientos!$K$1:$K$1033,Movimientos!$C$1:$C$1033,"Green Harbor Trust",Movimientos!$B$1:$B$1033,"&lt;="&amp;$B134)</f>
        <v>345</v>
      </c>
      <c r="U134" s="24">
        <f>SUMIFS('Saldos Iniciales'!$D:$D,'Saldos Iniciales'!$A:$A,"Go Blue")+SUMIFS(Movimientos!$K$1:$K$1033,Movimientos!$C$1:$C$1033,"Go Blue",Movimientos!$B$1:$B$1033,"&lt;="&amp;$B134)</f>
        <v>23159.510000000002</v>
      </c>
      <c r="V134" s="25">
        <f t="shared" ref="V134:V140" si="35">SUM(C134:U134)</f>
        <v>4201655.120000001</v>
      </c>
    </row>
    <row r="135" spans="1:22" x14ac:dyDescent="0.3">
      <c r="A135" s="22">
        <f t="shared" si="30"/>
        <v>134</v>
      </c>
      <c r="B135" s="23">
        <v>46276</v>
      </c>
      <c r="C135" s="24">
        <f>SUMIFS('Saldos Iniciales'!$D:$D,'Saldos Iniciales'!$A:$A,"CFT Group")+SUMIFS(Movimientos!$K$1:$K$1033,Movimientos!$C$1:$C$1033,"CFT Group",Movimientos!$B$1:$B$1033,"&lt;="&amp;$B135)</f>
        <v>1892967.3900000008</v>
      </c>
      <c r="D135" s="24">
        <f>SUMIFS('Saldos Iniciales'!$D:$D,'Saldos Iniciales'!$A:$A,"M1B")+SUMIFS(Movimientos!$K$1:$K$1033,Movimientos!$C$1:$C$1033,"M1B",Movimientos!$B$1:$B$1033,"&lt;="&amp;$B135)</f>
        <v>93737.970000000176</v>
      </c>
      <c r="E135" s="24">
        <f>SUMIFS('Saldos Iniciales'!$D:$D,'Saldos Iniciales'!$A:$A,"Durand")+SUMIFS(Movimientos!$K$1:$K$1033,Movimientos!$C$1:$C$1033,"Durand",Movimientos!$B$1:$B$1033,"&lt;="&amp;$B135)</f>
        <v>1669.89</v>
      </c>
      <c r="F135" s="24">
        <f>SUMIFS('Saldos Iniciales'!$D:$D,'Saldos Iniciales'!$A:$A,"A&amp;M Imports")+SUMIFS(Movimientos!$K$1:$K$1033,Movimientos!$C$1:$C$1033,"A&amp;M Imports",Movimientos!$B$1:$B$1033,"&lt;="&amp;$B135)</f>
        <v>1089124.99</v>
      </c>
      <c r="G135" s="24">
        <f>SUMIFS('Saldos Iniciales'!$D:$D,'Saldos Iniciales'!$A:$A,"SSP Capital")+SUMIFS(Movimientos!$K$1:$K$1033,Movimientos!$C$1:$C$1033,"SSP Capital",Movimientos!$B$1:$B$1033,"&lt;="&amp;$B135)</f>
        <v>1233789.9099999997</v>
      </c>
      <c r="H135" s="24">
        <f>SUMIFS('Saldos Iniciales'!$D:$D,'Saldos Iniciales'!$A:$A,"Cross Family Trust")+SUMIFS(Movimientos!$K$1:$K$1033,Movimientos!$C$1:$C$1033,"Cross Family Trust",Movimientos!$B$1:$B$1033,"&lt;="&amp;$B135)</f>
        <v>229778.14</v>
      </c>
      <c r="I135" s="24">
        <f>SUMIFS('Saldos Iniciales'!$D:$D,'Saldos Iniciales'!$A:$A,"Cross Security Trust")+SUMIFS(Movimientos!$K$1:$K$1033,Movimientos!$C$1:$C$1033,"Cross Security Trust",Movimientos!$B$1:$B$1033,"&lt;="&amp;$B135)</f>
        <v>98169.25999999998</v>
      </c>
      <c r="J135" s="24">
        <f>SUMIFS('Saldos Iniciales'!$D:$D,'Saldos Iniciales'!$A:$A,"Electrama")+SUMIFS(Movimientos!$K$1:$K$1033,Movimientos!$C$1:$C$1033,"Electrama",Movimientos!$B$1:$B$1033,"&lt;="&amp;$B135)</f>
        <v>13270.02</v>
      </c>
      <c r="K135" s="24">
        <f>SUMIFS('Saldos Iniciales'!$D:$D,'Saldos Iniciales'!$A:$A,"Sacred Valley Capital")+SUMIFS(Movimientos!$K$1:$K$1033,Movimientos!$C$1:$C$1033,"Sacred Valley Capital",Movimientos!$B$1:$B$1033,"&lt;="&amp;$B135)</f>
        <v>94.5</v>
      </c>
      <c r="L135" s="24">
        <f>SUMIFS('Saldos Iniciales'!$D:$D,'Saldos Iniciales'!$A:$A,"YWC Capital")+SUMIFS(Movimientos!$K$1:$K$1033,Movimientos!$C$1:$C$1033,"YWC Capital",Movimientos!$B$1:$B$1033,"&lt;="&amp;$B135)</f>
        <v>2147.92</v>
      </c>
      <c r="M135" s="24">
        <f>SUMIFS('Saldos Iniciales'!$D:$D,'Saldos Iniciales'!$A:$A,"Soweto")+SUMIFS(Movimientos!$K$1:$K$1033,Movimientos!$C$1:$C$1033,"Soweto",Movimientos!$B$1:$B$1033,"&lt;="&amp;$B135)</f>
        <v>18005.290000000015</v>
      </c>
      <c r="N135" s="24">
        <f>SUMIFS('Saldos Iniciales'!$D:$D,'Saldos Iniciales'!$A:$A,"Green Stone Trust")+SUMIFS(Movimientos!$K$1:$K$1033,Movimientos!$C$1:$C$1033,"Green Stone Trust",Movimientos!$B$1:$B$1033,"&lt;="&amp;$B135)</f>
        <v>1968.99</v>
      </c>
      <c r="O135" s="24">
        <f>SUMIFS('Saldos Iniciales'!$D:$D,'Saldos Iniciales'!$A:$A,"EC Auto")+SUMIFS(Movimientos!$K$1:$K$1033,Movimientos!$C$1:$C$1033,"EC Auto",Movimientos!$B$1:$B$1033,"&lt;="&amp;$B135)</f>
        <v>901.34</v>
      </c>
      <c r="P135" s="24">
        <f>SUMIFS('Saldos Iniciales'!$D:$D,'Saldos Iniciales'!$A:$A,"Arbor Capital Properties")+SUMIFS(Movimientos!$K$1:$K$1033,Movimientos!$C$1:$C$1033,"Arbor Capital Properties",Movimientos!$B$1:$B$1033,"&lt;="&amp;$B135)</f>
        <v>1380.08</v>
      </c>
      <c r="Q135" s="24">
        <f>SUMIFS('Saldos Iniciales'!$D:$D,'Saldos Iniciales'!$A:$A,"2515 Overbrook")+SUMIFS(Movimientos!$K$1:$K$1033,Movimientos!$C$1:$C$1033,"2515 Overbrook",Movimientos!$B$1:$B$1033,"&lt;="&amp;$B135)</f>
        <v>25027.379999999961</v>
      </c>
      <c r="R135" s="24">
        <f>SUMIFS('Saldos Iniciales'!$D:$D,'Saldos Iniciales'!$A:$A,"112 Florida Ave")+SUMIFS(Movimientos!$K$1:$K$1033,Movimientos!$C$1:$C$1033,"112 Florida Ave",Movimientos!$B$1:$B$1033,"&lt;="&amp;$B135)</f>
        <v>16282.630000000006</v>
      </c>
      <c r="S135" s="24">
        <f>SUMIFS('Saldos Iniciales'!$D:$D,'Saldos Iniciales'!$A:$A,"3628 Thomas Ave")+SUMIFS(Movimientos!$K$1:$K$1033,Movimientos!$C$1:$C$1033,"3628 Thomas Ave",Movimientos!$B$1:$B$1033,"&lt;="&amp;$B135)</f>
        <v>13339.389999999996</v>
      </c>
      <c r="T135" s="24">
        <f>SUMIFS('Saldos Iniciales'!$D:$D,'Saldos Iniciales'!$A:$A,"Green Harbor Trust")+SUMIFS(Movimientos!$K$1:$K$1033,Movimientos!$C$1:$C$1033,"Green Harbor Trust",Movimientos!$B$1:$B$1033,"&lt;="&amp;$B135)</f>
        <v>345</v>
      </c>
      <c r="U135" s="24">
        <f>SUMIFS('Saldos Iniciales'!$D:$D,'Saldos Iniciales'!$A:$A,"Go Blue")+SUMIFS(Movimientos!$K$1:$K$1033,Movimientos!$C$1:$C$1033,"Go Blue",Movimientos!$B$1:$B$1033,"&lt;="&amp;$B135)</f>
        <v>23057.24</v>
      </c>
      <c r="V135" s="25">
        <f t="shared" si="35"/>
        <v>4755057.3299999991</v>
      </c>
    </row>
    <row r="136" spans="1:22" x14ac:dyDescent="0.3">
      <c r="A136" s="22">
        <f t="shared" si="30"/>
        <v>135</v>
      </c>
      <c r="B136" s="23">
        <v>46277</v>
      </c>
      <c r="C136" s="24">
        <f>SUMIFS('Saldos Iniciales'!$D:$D,'Saldos Iniciales'!$A:$A,"CFT Group")+SUMIFS(Movimientos!$K$1:$K$1033,Movimientos!$C$1:$C$1033,"CFT Group",Movimientos!$B$1:$B$1033,"&lt;="&amp;$B136)</f>
        <v>1892967.3900000008</v>
      </c>
      <c r="D136" s="24">
        <f>SUMIFS('Saldos Iniciales'!$D:$D,'Saldos Iniciales'!$A:$A,"M1B")+SUMIFS(Movimientos!$K$1:$K$1033,Movimientos!$C$1:$C$1033,"M1B",Movimientos!$B$1:$B$1033,"&lt;="&amp;$B136)</f>
        <v>93737.970000000176</v>
      </c>
      <c r="E136" s="24">
        <f>SUMIFS('Saldos Iniciales'!$D:$D,'Saldos Iniciales'!$A:$A,"Durand")+SUMIFS(Movimientos!$K$1:$K$1033,Movimientos!$C$1:$C$1033,"Durand",Movimientos!$B$1:$B$1033,"&lt;="&amp;$B136)</f>
        <v>1669.89</v>
      </c>
      <c r="F136" s="24">
        <f>SUMIFS('Saldos Iniciales'!$D:$D,'Saldos Iniciales'!$A:$A,"A&amp;M Imports")+SUMIFS(Movimientos!$K$1:$K$1033,Movimientos!$C$1:$C$1033,"A&amp;M Imports",Movimientos!$B$1:$B$1033,"&lt;="&amp;$B136)</f>
        <v>1089124.99</v>
      </c>
      <c r="G136" s="24">
        <f>SUMIFS('Saldos Iniciales'!$D:$D,'Saldos Iniciales'!$A:$A,"SSP Capital")+SUMIFS(Movimientos!$K$1:$K$1033,Movimientos!$C$1:$C$1033,"SSP Capital",Movimientos!$B$1:$B$1033,"&lt;="&amp;$B136)</f>
        <v>1233789.9099999997</v>
      </c>
      <c r="H136" s="24">
        <f>SUMIFS('Saldos Iniciales'!$D:$D,'Saldos Iniciales'!$A:$A,"Cross Family Trust")+SUMIFS(Movimientos!$K$1:$K$1033,Movimientos!$C$1:$C$1033,"Cross Family Trust",Movimientos!$B$1:$B$1033,"&lt;="&amp;$B136)</f>
        <v>229778.14</v>
      </c>
      <c r="I136" s="24">
        <f>SUMIFS('Saldos Iniciales'!$D:$D,'Saldos Iniciales'!$A:$A,"Cross Security Trust")+SUMIFS(Movimientos!$K$1:$K$1033,Movimientos!$C$1:$C$1033,"Cross Security Trust",Movimientos!$B$1:$B$1033,"&lt;="&amp;$B136)</f>
        <v>98169.25999999998</v>
      </c>
      <c r="J136" s="24">
        <f>SUMIFS('Saldos Iniciales'!$D:$D,'Saldos Iniciales'!$A:$A,"Electrama")+SUMIFS(Movimientos!$K$1:$K$1033,Movimientos!$C$1:$C$1033,"Electrama",Movimientos!$B$1:$B$1033,"&lt;="&amp;$B136)</f>
        <v>13270.02</v>
      </c>
      <c r="K136" s="24">
        <f>SUMIFS('Saldos Iniciales'!$D:$D,'Saldos Iniciales'!$A:$A,"Sacred Valley Capital")+SUMIFS(Movimientos!$K$1:$K$1033,Movimientos!$C$1:$C$1033,"Sacred Valley Capital",Movimientos!$B$1:$B$1033,"&lt;="&amp;$B136)</f>
        <v>94.5</v>
      </c>
      <c r="L136" s="24">
        <f>SUMIFS('Saldos Iniciales'!$D:$D,'Saldos Iniciales'!$A:$A,"YWC Capital")+SUMIFS(Movimientos!$K$1:$K$1033,Movimientos!$C$1:$C$1033,"YWC Capital",Movimientos!$B$1:$B$1033,"&lt;="&amp;$B136)</f>
        <v>2147.92</v>
      </c>
      <c r="M136" s="24">
        <f>SUMIFS('Saldos Iniciales'!$D:$D,'Saldos Iniciales'!$A:$A,"Soweto")+SUMIFS(Movimientos!$K$1:$K$1033,Movimientos!$C$1:$C$1033,"Soweto",Movimientos!$B$1:$B$1033,"&lt;="&amp;$B136)</f>
        <v>18005.290000000015</v>
      </c>
      <c r="N136" s="24">
        <f>SUMIFS('Saldos Iniciales'!$D:$D,'Saldos Iniciales'!$A:$A,"Green Stone Trust")+SUMIFS(Movimientos!$K$1:$K$1033,Movimientos!$C$1:$C$1033,"Green Stone Trust",Movimientos!$B$1:$B$1033,"&lt;="&amp;$B136)</f>
        <v>1968.99</v>
      </c>
      <c r="O136" s="24">
        <f>SUMIFS('Saldos Iniciales'!$D:$D,'Saldos Iniciales'!$A:$A,"EC Auto")+SUMIFS(Movimientos!$K$1:$K$1033,Movimientos!$C$1:$C$1033,"EC Auto",Movimientos!$B$1:$B$1033,"&lt;="&amp;$B136)</f>
        <v>901.34</v>
      </c>
      <c r="P136" s="24">
        <f>SUMIFS('Saldos Iniciales'!$D:$D,'Saldos Iniciales'!$A:$A,"Arbor Capital Properties")+SUMIFS(Movimientos!$K$1:$K$1033,Movimientos!$C$1:$C$1033,"Arbor Capital Properties",Movimientos!$B$1:$B$1033,"&lt;="&amp;$B136)</f>
        <v>1380.08</v>
      </c>
      <c r="Q136" s="24">
        <f>SUMIFS('Saldos Iniciales'!$D:$D,'Saldos Iniciales'!$A:$A,"2515 Overbrook")+SUMIFS(Movimientos!$K$1:$K$1033,Movimientos!$C$1:$C$1033,"2515 Overbrook",Movimientos!$B$1:$B$1033,"&lt;="&amp;$B136)</f>
        <v>25027.379999999961</v>
      </c>
      <c r="R136" s="24">
        <f>SUMIFS('Saldos Iniciales'!$D:$D,'Saldos Iniciales'!$A:$A,"112 Florida Ave")+SUMIFS(Movimientos!$K$1:$K$1033,Movimientos!$C$1:$C$1033,"112 Florida Ave",Movimientos!$B$1:$B$1033,"&lt;="&amp;$B136)</f>
        <v>16282.630000000006</v>
      </c>
      <c r="S136" s="24">
        <f>SUMIFS('Saldos Iniciales'!$D:$D,'Saldos Iniciales'!$A:$A,"3628 Thomas Ave")+SUMIFS(Movimientos!$K$1:$K$1033,Movimientos!$C$1:$C$1033,"3628 Thomas Ave",Movimientos!$B$1:$B$1033,"&lt;="&amp;$B136)</f>
        <v>13339.389999999996</v>
      </c>
      <c r="T136" s="24">
        <f>SUMIFS('Saldos Iniciales'!$D:$D,'Saldos Iniciales'!$A:$A,"Green Harbor Trust")+SUMIFS(Movimientos!$K$1:$K$1033,Movimientos!$C$1:$C$1033,"Green Harbor Trust",Movimientos!$B$1:$B$1033,"&lt;="&amp;$B136)</f>
        <v>345</v>
      </c>
      <c r="U136" s="24">
        <f>SUMIFS('Saldos Iniciales'!$D:$D,'Saldos Iniciales'!$A:$A,"Go Blue")+SUMIFS(Movimientos!$K$1:$K$1033,Movimientos!$C$1:$C$1033,"Go Blue",Movimientos!$B$1:$B$1033,"&lt;="&amp;$B136)</f>
        <v>23057.24</v>
      </c>
      <c r="V136" s="25">
        <f t="shared" si="35"/>
        <v>4755057.3299999991</v>
      </c>
    </row>
    <row r="137" spans="1:22" x14ac:dyDescent="0.3">
      <c r="A137" s="22">
        <f t="shared" si="30"/>
        <v>136</v>
      </c>
      <c r="B137" s="23">
        <v>46278</v>
      </c>
      <c r="C137" s="24">
        <f>SUMIFS('Saldos Iniciales'!$D:$D,'Saldos Iniciales'!$A:$A,"CFT Group")+SUMIFS(Movimientos!$K$1:$K$1033,Movimientos!$C$1:$C$1033,"CFT Group",Movimientos!$B$1:$B$1033,"&lt;="&amp;$B137)</f>
        <v>1892967.3900000008</v>
      </c>
      <c r="D137" s="24">
        <f>SUMIFS('Saldos Iniciales'!$D:$D,'Saldos Iniciales'!$A:$A,"M1B")+SUMIFS(Movimientos!$K$1:$K$1033,Movimientos!$C$1:$C$1033,"M1B",Movimientos!$B$1:$B$1033,"&lt;="&amp;$B137)</f>
        <v>93737.970000000176</v>
      </c>
      <c r="E137" s="24">
        <f>SUMIFS('Saldos Iniciales'!$D:$D,'Saldos Iniciales'!$A:$A,"Durand")+SUMIFS(Movimientos!$K$1:$K$1033,Movimientos!$C$1:$C$1033,"Durand",Movimientos!$B$1:$B$1033,"&lt;="&amp;$B137)</f>
        <v>1669.89</v>
      </c>
      <c r="F137" s="24">
        <f>SUMIFS('Saldos Iniciales'!$D:$D,'Saldos Iniciales'!$A:$A,"A&amp;M Imports")+SUMIFS(Movimientos!$K$1:$K$1033,Movimientos!$C$1:$C$1033,"A&amp;M Imports",Movimientos!$B$1:$B$1033,"&lt;="&amp;$B137)</f>
        <v>1089124.99</v>
      </c>
      <c r="G137" s="24">
        <f>SUMIFS('Saldos Iniciales'!$D:$D,'Saldos Iniciales'!$A:$A,"SSP Capital")+SUMIFS(Movimientos!$K$1:$K$1033,Movimientos!$C$1:$C$1033,"SSP Capital",Movimientos!$B$1:$B$1033,"&lt;="&amp;$B137)</f>
        <v>1233789.9099999997</v>
      </c>
      <c r="H137" s="24">
        <f>SUMIFS('Saldos Iniciales'!$D:$D,'Saldos Iniciales'!$A:$A,"Cross Family Trust")+SUMIFS(Movimientos!$K$1:$K$1033,Movimientos!$C$1:$C$1033,"Cross Family Trust",Movimientos!$B$1:$B$1033,"&lt;="&amp;$B137)</f>
        <v>229778.14</v>
      </c>
      <c r="I137" s="24">
        <f>SUMIFS('Saldos Iniciales'!$D:$D,'Saldos Iniciales'!$A:$A,"Cross Security Trust")+SUMIFS(Movimientos!$K$1:$K$1033,Movimientos!$C$1:$C$1033,"Cross Security Trust",Movimientos!$B$1:$B$1033,"&lt;="&amp;$B137)</f>
        <v>98169.25999999998</v>
      </c>
      <c r="J137" s="24">
        <f>SUMIFS('Saldos Iniciales'!$D:$D,'Saldos Iniciales'!$A:$A,"Electrama")+SUMIFS(Movimientos!$K$1:$K$1033,Movimientos!$C$1:$C$1033,"Electrama",Movimientos!$B$1:$B$1033,"&lt;="&amp;$B137)</f>
        <v>13270.02</v>
      </c>
      <c r="K137" s="24">
        <f>SUMIFS('Saldos Iniciales'!$D:$D,'Saldos Iniciales'!$A:$A,"Sacred Valley Capital")+SUMIFS(Movimientos!$K$1:$K$1033,Movimientos!$C$1:$C$1033,"Sacred Valley Capital",Movimientos!$B$1:$B$1033,"&lt;="&amp;$B137)</f>
        <v>94.5</v>
      </c>
      <c r="L137" s="24">
        <f>SUMIFS('Saldos Iniciales'!$D:$D,'Saldos Iniciales'!$A:$A,"YWC Capital")+SUMIFS(Movimientos!$K$1:$K$1033,Movimientos!$C$1:$C$1033,"YWC Capital",Movimientos!$B$1:$B$1033,"&lt;="&amp;$B137)</f>
        <v>2147.92</v>
      </c>
      <c r="M137" s="24">
        <f>SUMIFS('Saldos Iniciales'!$D:$D,'Saldos Iniciales'!$A:$A,"Soweto")+SUMIFS(Movimientos!$K$1:$K$1033,Movimientos!$C$1:$C$1033,"Soweto",Movimientos!$B$1:$B$1033,"&lt;="&amp;$B137)</f>
        <v>18005.290000000015</v>
      </c>
      <c r="N137" s="24">
        <f>SUMIFS('Saldos Iniciales'!$D:$D,'Saldos Iniciales'!$A:$A,"Green Stone Trust")+SUMIFS(Movimientos!$K$1:$K$1033,Movimientos!$C$1:$C$1033,"Green Stone Trust",Movimientos!$B$1:$B$1033,"&lt;="&amp;$B137)</f>
        <v>1968.99</v>
      </c>
      <c r="O137" s="24">
        <f>SUMIFS('Saldos Iniciales'!$D:$D,'Saldos Iniciales'!$A:$A,"EC Auto")+SUMIFS(Movimientos!$K$1:$K$1033,Movimientos!$C$1:$C$1033,"EC Auto",Movimientos!$B$1:$B$1033,"&lt;="&amp;$B137)</f>
        <v>901.34</v>
      </c>
      <c r="P137" s="24">
        <f>SUMIFS('Saldos Iniciales'!$D:$D,'Saldos Iniciales'!$A:$A,"Arbor Capital Properties")+SUMIFS(Movimientos!$K$1:$K$1033,Movimientos!$C$1:$C$1033,"Arbor Capital Properties",Movimientos!$B$1:$B$1033,"&lt;="&amp;$B137)</f>
        <v>1380.08</v>
      </c>
      <c r="Q137" s="24">
        <f>SUMIFS('Saldos Iniciales'!$D:$D,'Saldos Iniciales'!$A:$A,"2515 Overbrook")+SUMIFS(Movimientos!$K$1:$K$1033,Movimientos!$C$1:$C$1033,"2515 Overbrook",Movimientos!$B$1:$B$1033,"&lt;="&amp;$B137)</f>
        <v>25027.379999999961</v>
      </c>
      <c r="R137" s="24">
        <f>SUMIFS('Saldos Iniciales'!$D:$D,'Saldos Iniciales'!$A:$A,"112 Florida Ave")+SUMIFS(Movimientos!$K$1:$K$1033,Movimientos!$C$1:$C$1033,"112 Florida Ave",Movimientos!$B$1:$B$1033,"&lt;="&amp;$B137)</f>
        <v>16282.630000000006</v>
      </c>
      <c r="S137" s="24">
        <f>SUMIFS('Saldos Iniciales'!$D:$D,'Saldos Iniciales'!$A:$A,"3628 Thomas Ave")+SUMIFS(Movimientos!$K$1:$K$1033,Movimientos!$C$1:$C$1033,"3628 Thomas Ave",Movimientos!$B$1:$B$1033,"&lt;="&amp;$B137)</f>
        <v>13339.389999999996</v>
      </c>
      <c r="T137" s="24">
        <f>SUMIFS('Saldos Iniciales'!$D:$D,'Saldos Iniciales'!$A:$A,"Green Harbor Trust")+SUMIFS(Movimientos!$K$1:$K$1033,Movimientos!$C$1:$C$1033,"Green Harbor Trust",Movimientos!$B$1:$B$1033,"&lt;="&amp;$B137)</f>
        <v>345</v>
      </c>
      <c r="U137" s="24">
        <f>SUMIFS('Saldos Iniciales'!$D:$D,'Saldos Iniciales'!$A:$A,"Go Blue")+SUMIFS(Movimientos!$K$1:$K$1033,Movimientos!$C$1:$C$1033,"Go Blue",Movimientos!$B$1:$B$1033,"&lt;="&amp;$B137)</f>
        <v>23057.24</v>
      </c>
      <c r="V137" s="25">
        <f t="shared" si="35"/>
        <v>4755057.3299999991</v>
      </c>
    </row>
    <row r="138" spans="1:22" x14ac:dyDescent="0.3">
      <c r="A138" s="22">
        <f t="shared" si="30"/>
        <v>137</v>
      </c>
      <c r="B138" s="23">
        <v>46279</v>
      </c>
      <c r="C138" s="24">
        <f>SUMIFS('Saldos Iniciales'!$D:$D,'Saldos Iniciales'!$A:$A,"CFT Group")+SUMIFS(Movimientos!$K$1:$K$1033,Movimientos!$C$1:$C$1033,"CFT Group",Movimientos!$B$1:$B$1033,"&lt;="&amp;$B138)</f>
        <v>2042967.3900000008</v>
      </c>
      <c r="D138" s="24">
        <f>SUMIFS('Saldos Iniciales'!$D:$D,'Saldos Iniciales'!$A:$A,"M1B")+SUMIFS(Movimientos!$K$1:$K$1033,Movimientos!$C$1:$C$1033,"M1B",Movimientos!$B$1:$B$1033,"&lt;="&amp;$B138)</f>
        <v>93737.970000000176</v>
      </c>
      <c r="E138" s="24">
        <f>SUMIFS('Saldos Iniciales'!$D:$D,'Saldos Iniciales'!$A:$A,"Durand")+SUMIFS(Movimientos!$K$1:$K$1033,Movimientos!$C$1:$C$1033,"Durand",Movimientos!$B$1:$B$1033,"&lt;="&amp;$B138)</f>
        <v>1669.89</v>
      </c>
      <c r="F138" s="24">
        <f>SUMIFS('Saldos Iniciales'!$D:$D,'Saldos Iniciales'!$A:$A,"A&amp;M Imports")+SUMIFS(Movimientos!$K$1:$K$1033,Movimientos!$C$1:$C$1033,"A&amp;M Imports",Movimientos!$B$1:$B$1033,"&lt;="&amp;$B138)</f>
        <v>1105910.26</v>
      </c>
      <c r="G138" s="24">
        <f>SUMIFS('Saldos Iniciales'!$D:$D,'Saldos Iniciales'!$A:$A,"SSP Capital")+SUMIFS(Movimientos!$K$1:$K$1033,Movimientos!$C$1:$C$1033,"SSP Capital",Movimientos!$B$1:$B$1033,"&lt;="&amp;$B138)</f>
        <v>1192065.5999999996</v>
      </c>
      <c r="H138" s="24">
        <f>SUMIFS('Saldos Iniciales'!$D:$D,'Saldos Iniciales'!$A:$A,"Cross Family Trust")+SUMIFS(Movimientos!$K$1:$K$1033,Movimientos!$C$1:$C$1033,"Cross Family Trust",Movimientos!$B$1:$B$1033,"&lt;="&amp;$B138)</f>
        <v>229778.14</v>
      </c>
      <c r="I138" s="24">
        <f>SUMIFS('Saldos Iniciales'!$D:$D,'Saldos Iniciales'!$A:$A,"Cross Security Trust")+SUMIFS(Movimientos!$K$1:$K$1033,Movimientos!$C$1:$C$1033,"Cross Security Trust",Movimientos!$B$1:$B$1033,"&lt;="&amp;$B138)</f>
        <v>98169.25999999998</v>
      </c>
      <c r="J138" s="24">
        <f>SUMIFS('Saldos Iniciales'!$D:$D,'Saldos Iniciales'!$A:$A,"Electrama")+SUMIFS(Movimientos!$K$1:$K$1033,Movimientos!$C$1:$C$1033,"Electrama",Movimientos!$B$1:$B$1033,"&lt;="&amp;$B138)</f>
        <v>13270.02</v>
      </c>
      <c r="K138" s="24">
        <f>SUMIFS('Saldos Iniciales'!$D:$D,'Saldos Iniciales'!$A:$A,"Sacred Valley Capital")+SUMIFS(Movimientos!$K$1:$K$1033,Movimientos!$C$1:$C$1033,"Sacred Valley Capital",Movimientos!$B$1:$B$1033,"&lt;="&amp;$B138)</f>
        <v>94.5</v>
      </c>
      <c r="L138" s="24">
        <f>SUMIFS('Saldos Iniciales'!$D:$D,'Saldos Iniciales'!$A:$A,"YWC Capital")+SUMIFS(Movimientos!$K$1:$K$1033,Movimientos!$C$1:$C$1033,"YWC Capital",Movimientos!$B$1:$B$1033,"&lt;="&amp;$B138)</f>
        <v>2147.92</v>
      </c>
      <c r="M138" s="24">
        <f>SUMIFS('Saldos Iniciales'!$D:$D,'Saldos Iniciales'!$A:$A,"Soweto")+SUMIFS(Movimientos!$K$1:$K$1033,Movimientos!$C$1:$C$1033,"Soweto",Movimientos!$B$1:$B$1033,"&lt;="&amp;$B138)</f>
        <v>18005.290000000015</v>
      </c>
      <c r="N138" s="24">
        <f>SUMIFS('Saldos Iniciales'!$D:$D,'Saldos Iniciales'!$A:$A,"Green Stone Trust")+SUMIFS(Movimientos!$K$1:$K$1033,Movimientos!$C$1:$C$1033,"Green Stone Trust",Movimientos!$B$1:$B$1033,"&lt;="&amp;$B138)</f>
        <v>1968.99</v>
      </c>
      <c r="O138" s="24">
        <f>SUMIFS('Saldos Iniciales'!$D:$D,'Saldos Iniciales'!$A:$A,"EC Auto")+SUMIFS(Movimientos!$K$1:$K$1033,Movimientos!$C$1:$C$1033,"EC Auto",Movimientos!$B$1:$B$1033,"&lt;="&amp;$B138)</f>
        <v>901.34</v>
      </c>
      <c r="P138" s="24">
        <f>SUMIFS('Saldos Iniciales'!$D:$D,'Saldos Iniciales'!$A:$A,"Arbor Capital Properties")+SUMIFS(Movimientos!$K$1:$K$1033,Movimientos!$C$1:$C$1033,"Arbor Capital Properties",Movimientos!$B$1:$B$1033,"&lt;="&amp;$B138)</f>
        <v>1380.08</v>
      </c>
      <c r="Q138" s="24">
        <f>SUMIFS('Saldos Iniciales'!$D:$D,'Saldos Iniciales'!$A:$A,"2515 Overbrook")+SUMIFS(Movimientos!$K$1:$K$1033,Movimientos!$C$1:$C$1033,"2515 Overbrook",Movimientos!$B$1:$B$1033,"&lt;="&amp;$B138)</f>
        <v>25027.379999999961</v>
      </c>
      <c r="R138" s="24">
        <f>SUMIFS('Saldos Iniciales'!$D:$D,'Saldos Iniciales'!$A:$A,"112 Florida Ave")+SUMIFS(Movimientos!$K$1:$K$1033,Movimientos!$C$1:$C$1033,"112 Florida Ave",Movimientos!$B$1:$B$1033,"&lt;="&amp;$B138)</f>
        <v>16282.630000000006</v>
      </c>
      <c r="S138" s="24">
        <f>SUMIFS('Saldos Iniciales'!$D:$D,'Saldos Iniciales'!$A:$A,"3628 Thomas Ave")+SUMIFS(Movimientos!$K$1:$K$1033,Movimientos!$C$1:$C$1033,"3628 Thomas Ave",Movimientos!$B$1:$B$1033,"&lt;="&amp;$B138)</f>
        <v>13685.999999999996</v>
      </c>
      <c r="T138" s="24">
        <f>SUMIFS('Saldos Iniciales'!$D:$D,'Saldos Iniciales'!$A:$A,"Green Harbor Trust")+SUMIFS(Movimientos!$K$1:$K$1033,Movimientos!$C$1:$C$1033,"Green Harbor Trust",Movimientos!$B$1:$B$1033,"&lt;="&amp;$B138)</f>
        <v>345</v>
      </c>
      <c r="U138" s="24">
        <f>SUMIFS('Saldos Iniciales'!$D:$D,'Saldos Iniciales'!$A:$A,"Go Blue")+SUMIFS(Movimientos!$K$1:$K$1033,Movimientos!$C$1:$C$1033,"Go Blue",Movimientos!$B$1:$B$1033,"&lt;="&amp;$B138)</f>
        <v>16762.45</v>
      </c>
      <c r="V138" s="25">
        <f t="shared" si="35"/>
        <v>4874170.1099999994</v>
      </c>
    </row>
    <row r="139" spans="1:22" x14ac:dyDescent="0.3">
      <c r="A139" s="22">
        <f t="shared" si="30"/>
        <v>138</v>
      </c>
      <c r="B139" s="23">
        <v>46280</v>
      </c>
      <c r="C139" s="24">
        <f>SUMIFS('Saldos Iniciales'!$D:$D,'Saldos Iniciales'!$A:$A,"CFT Group")+SUMIFS(Movimientos!$K$1:$K$1033,Movimientos!$C$1:$C$1033,"CFT Group",Movimientos!$B$1:$B$1033,"&lt;="&amp;$B139)</f>
        <v>2042967.3900000008</v>
      </c>
      <c r="D139" s="24">
        <f>SUMIFS('Saldos Iniciales'!$D:$D,'Saldos Iniciales'!$A:$A,"M1B")+SUMIFS(Movimientos!$K$1:$K$1033,Movimientos!$C$1:$C$1033,"M1B",Movimientos!$B$1:$B$1033,"&lt;="&amp;$B139)</f>
        <v>100486.46000000017</v>
      </c>
      <c r="E139" s="24">
        <f>SUMIFS('Saldos Iniciales'!$D:$D,'Saldos Iniciales'!$A:$A,"Durand")+SUMIFS(Movimientos!$K$1:$K$1033,Movimientos!$C$1:$C$1033,"Durand",Movimientos!$B$1:$B$1033,"&lt;="&amp;$B139)</f>
        <v>1669.89</v>
      </c>
      <c r="F139" s="24">
        <f>SUMIFS('Saldos Iniciales'!$D:$D,'Saldos Iniciales'!$A:$A,"A&amp;M Imports")+SUMIFS(Movimientos!$K$1:$K$1033,Movimientos!$C$1:$C$1033,"A&amp;M Imports",Movimientos!$B$1:$B$1033,"&lt;="&amp;$B139)</f>
        <v>1105534.6399999999</v>
      </c>
      <c r="G139" s="24">
        <f>SUMIFS('Saldos Iniciales'!$D:$D,'Saldos Iniciales'!$A:$A,"SSP Capital")+SUMIFS(Movimientos!$K$1:$K$1033,Movimientos!$C$1:$C$1033,"SSP Capital",Movimientos!$B$1:$B$1033,"&lt;="&amp;$B139)</f>
        <v>1192036.1899999995</v>
      </c>
      <c r="H139" s="24">
        <f>SUMIFS('Saldos Iniciales'!$D:$D,'Saldos Iniciales'!$A:$A,"Cross Family Trust")+SUMIFS(Movimientos!$K$1:$K$1033,Movimientos!$C$1:$C$1033,"Cross Family Trust",Movimientos!$B$1:$B$1033,"&lt;="&amp;$B139)</f>
        <v>229778.14</v>
      </c>
      <c r="I139" s="24">
        <f>SUMIFS('Saldos Iniciales'!$D:$D,'Saldos Iniciales'!$A:$A,"Cross Security Trust")+SUMIFS(Movimientos!$K$1:$K$1033,Movimientos!$C$1:$C$1033,"Cross Security Trust",Movimientos!$B$1:$B$1033,"&lt;="&amp;$B139)</f>
        <v>98169.25999999998</v>
      </c>
      <c r="J139" s="24">
        <f>SUMIFS('Saldos Iniciales'!$D:$D,'Saldos Iniciales'!$A:$A,"Electrama")+SUMIFS(Movimientos!$K$1:$K$1033,Movimientos!$C$1:$C$1033,"Electrama",Movimientos!$B$1:$B$1033,"&lt;="&amp;$B139)</f>
        <v>13270.02</v>
      </c>
      <c r="K139" s="24">
        <f>SUMIFS('Saldos Iniciales'!$D:$D,'Saldos Iniciales'!$A:$A,"Sacred Valley Capital")+SUMIFS(Movimientos!$K$1:$K$1033,Movimientos!$C$1:$C$1033,"Sacred Valley Capital",Movimientos!$B$1:$B$1033,"&lt;="&amp;$B139)</f>
        <v>94.5</v>
      </c>
      <c r="L139" s="24">
        <f>SUMIFS('Saldos Iniciales'!$D:$D,'Saldos Iniciales'!$A:$A,"YWC Capital")+SUMIFS(Movimientos!$K$1:$K$1033,Movimientos!$C$1:$C$1033,"YWC Capital",Movimientos!$B$1:$B$1033,"&lt;="&amp;$B139)</f>
        <v>2147.92</v>
      </c>
      <c r="M139" s="24">
        <f>SUMIFS('Saldos Iniciales'!$D:$D,'Saldos Iniciales'!$A:$A,"Soweto")+SUMIFS(Movimientos!$K$1:$K$1033,Movimientos!$C$1:$C$1033,"Soweto",Movimientos!$B$1:$B$1033,"&lt;="&amp;$B139)</f>
        <v>18005.290000000015</v>
      </c>
      <c r="N139" s="24">
        <f>SUMIFS('Saldos Iniciales'!$D:$D,'Saldos Iniciales'!$A:$A,"Green Stone Trust")+SUMIFS(Movimientos!$K$1:$K$1033,Movimientos!$C$1:$C$1033,"Green Stone Trust",Movimientos!$B$1:$B$1033,"&lt;="&amp;$B139)</f>
        <v>1968.99</v>
      </c>
      <c r="O139" s="24">
        <f>SUMIFS('Saldos Iniciales'!$D:$D,'Saldos Iniciales'!$A:$A,"EC Auto")+SUMIFS(Movimientos!$K$1:$K$1033,Movimientos!$C$1:$C$1033,"EC Auto",Movimientos!$B$1:$B$1033,"&lt;="&amp;$B139)</f>
        <v>901.34</v>
      </c>
      <c r="P139" s="24">
        <f>SUMIFS('Saldos Iniciales'!$D:$D,'Saldos Iniciales'!$A:$A,"Arbor Capital Properties")+SUMIFS(Movimientos!$K$1:$K$1033,Movimientos!$C$1:$C$1033,"Arbor Capital Properties",Movimientos!$B$1:$B$1033,"&lt;="&amp;$B139)</f>
        <v>1380.08</v>
      </c>
      <c r="Q139" s="24">
        <f>SUMIFS('Saldos Iniciales'!$D:$D,'Saldos Iniciales'!$A:$A,"2515 Overbrook")+SUMIFS(Movimientos!$K$1:$K$1033,Movimientos!$C$1:$C$1033,"2515 Overbrook",Movimientos!$B$1:$B$1033,"&lt;="&amp;$B139)</f>
        <v>25027.379999999961</v>
      </c>
      <c r="R139" s="24">
        <f>SUMIFS('Saldos Iniciales'!$D:$D,'Saldos Iniciales'!$A:$A,"112 Florida Ave")+SUMIFS(Movimientos!$K$1:$K$1033,Movimientos!$C$1:$C$1033,"112 Florida Ave",Movimientos!$B$1:$B$1033,"&lt;="&amp;$B139)</f>
        <v>16282.630000000006</v>
      </c>
      <c r="S139" s="24">
        <f>SUMIFS('Saldos Iniciales'!$D:$D,'Saldos Iniciales'!$A:$A,"3628 Thomas Ave")+SUMIFS(Movimientos!$K$1:$K$1033,Movimientos!$C$1:$C$1033,"3628 Thomas Ave",Movimientos!$B$1:$B$1033,"&lt;="&amp;$B139)</f>
        <v>13685.999999999996</v>
      </c>
      <c r="T139" s="24">
        <f>SUMIFS('Saldos Iniciales'!$D:$D,'Saldos Iniciales'!$A:$A,"Green Harbor Trust")+SUMIFS(Movimientos!$K$1:$K$1033,Movimientos!$C$1:$C$1033,"Green Harbor Trust",Movimientos!$B$1:$B$1033,"&lt;="&amp;$B139)</f>
        <v>345</v>
      </c>
      <c r="U139" s="24">
        <f>SUMIFS('Saldos Iniciales'!$D:$D,'Saldos Iniciales'!$A:$A,"Go Blue")+SUMIFS(Movimientos!$K$1:$K$1033,Movimientos!$C$1:$C$1033,"Go Blue",Movimientos!$B$1:$B$1033,"&lt;="&amp;$B139)</f>
        <v>16587.45</v>
      </c>
      <c r="V139" s="25">
        <f t="shared" si="35"/>
        <v>4880338.5699999994</v>
      </c>
    </row>
    <row r="140" spans="1:22" x14ac:dyDescent="0.3">
      <c r="A140" s="22">
        <f t="shared" si="30"/>
        <v>139</v>
      </c>
      <c r="B140" s="23">
        <v>46281</v>
      </c>
      <c r="C140" s="24">
        <f>SUMIFS('Saldos Iniciales'!$D:$D,'Saldos Iniciales'!$A:$A,"CFT Group")+SUMIFS(Movimientos!$K$1:$K$1033,Movimientos!$C$1:$C$1033,"CFT Group",Movimientos!$B$1:$B$1033,"&lt;="&amp;$B140)</f>
        <v>2042967.3900000008</v>
      </c>
      <c r="D140" s="24">
        <f>SUMIFS('Saldos Iniciales'!$D:$D,'Saldos Iniciales'!$A:$A,"M1B")+SUMIFS(Movimientos!$K$1:$K$1033,Movimientos!$C$1:$C$1033,"M1B",Movimientos!$B$1:$B$1033,"&lt;="&amp;$B140)</f>
        <v>100486.46000000017</v>
      </c>
      <c r="E140" s="24">
        <f>SUMIFS('Saldos Iniciales'!$D:$D,'Saldos Iniciales'!$A:$A,"Durand")+SUMIFS(Movimientos!$K$1:$K$1033,Movimientos!$C$1:$C$1033,"Durand",Movimientos!$B$1:$B$1033,"&lt;="&amp;$B140)</f>
        <v>1669.89</v>
      </c>
      <c r="F140" s="24">
        <f>SUMIFS('Saldos Iniciales'!$D:$D,'Saldos Iniciales'!$A:$A,"A&amp;M Imports")+SUMIFS(Movimientos!$K$1:$K$1033,Movimientos!$C$1:$C$1033,"A&amp;M Imports",Movimientos!$B$1:$B$1033,"&lt;="&amp;$B140)</f>
        <v>1105534.6399999999</v>
      </c>
      <c r="G140" s="24">
        <f>SUMIFS('Saldos Iniciales'!$D:$D,'Saldos Iniciales'!$A:$A,"SSP Capital")+SUMIFS(Movimientos!$K$1:$K$1033,Movimientos!$C$1:$C$1033,"SSP Capital",Movimientos!$B$1:$B$1033,"&lt;="&amp;$B140)</f>
        <v>1189545.8299999996</v>
      </c>
      <c r="H140" s="24">
        <f>SUMIFS('Saldos Iniciales'!$D:$D,'Saldos Iniciales'!$A:$A,"Cross Family Trust")+SUMIFS(Movimientos!$K$1:$K$1033,Movimientos!$C$1:$C$1033,"Cross Family Trust",Movimientos!$B$1:$B$1033,"&lt;="&amp;$B140)</f>
        <v>229778.14</v>
      </c>
      <c r="I140" s="24">
        <f>SUMIFS('Saldos Iniciales'!$D:$D,'Saldos Iniciales'!$A:$A,"Cross Security Trust")+SUMIFS(Movimientos!$K$1:$K$1033,Movimientos!$C$1:$C$1033,"Cross Security Trust",Movimientos!$B$1:$B$1033,"&lt;="&amp;$B140)</f>
        <v>98169.25999999998</v>
      </c>
      <c r="J140" s="24">
        <f>SUMIFS('Saldos Iniciales'!$D:$D,'Saldos Iniciales'!$A:$A,"Electrama")+SUMIFS(Movimientos!$K$1:$K$1033,Movimientos!$C$1:$C$1033,"Electrama",Movimientos!$B$1:$B$1033,"&lt;="&amp;$B140)</f>
        <v>13270.02</v>
      </c>
      <c r="K140" s="24">
        <f>SUMIFS('Saldos Iniciales'!$D:$D,'Saldos Iniciales'!$A:$A,"Sacred Valley Capital")+SUMIFS(Movimientos!$K$1:$K$1033,Movimientos!$C$1:$C$1033,"Sacred Valley Capital",Movimientos!$B$1:$B$1033,"&lt;="&amp;$B140)</f>
        <v>94.5</v>
      </c>
      <c r="L140" s="24">
        <f>SUMIFS('Saldos Iniciales'!$D:$D,'Saldos Iniciales'!$A:$A,"YWC Capital")+SUMIFS(Movimientos!$K$1:$K$1033,Movimientos!$C$1:$C$1033,"YWC Capital",Movimientos!$B$1:$B$1033,"&lt;="&amp;$B140)</f>
        <v>2147.92</v>
      </c>
      <c r="M140" s="24">
        <f>SUMIFS('Saldos Iniciales'!$D:$D,'Saldos Iniciales'!$A:$A,"Soweto")+SUMIFS(Movimientos!$K$1:$K$1033,Movimientos!$C$1:$C$1033,"Soweto",Movimientos!$B$1:$B$1033,"&lt;="&amp;$B140)</f>
        <v>18005.290000000015</v>
      </c>
      <c r="N140" s="24">
        <f>SUMIFS('Saldos Iniciales'!$D:$D,'Saldos Iniciales'!$A:$A,"Green Stone Trust")+SUMIFS(Movimientos!$K$1:$K$1033,Movimientos!$C$1:$C$1033,"Green Stone Trust",Movimientos!$B$1:$B$1033,"&lt;="&amp;$B140)</f>
        <v>1968.99</v>
      </c>
      <c r="O140" s="24">
        <f>SUMIFS('Saldos Iniciales'!$D:$D,'Saldos Iniciales'!$A:$A,"EC Auto")+SUMIFS(Movimientos!$K$1:$K$1033,Movimientos!$C$1:$C$1033,"EC Auto",Movimientos!$B$1:$B$1033,"&lt;="&amp;$B140)</f>
        <v>901.34</v>
      </c>
      <c r="P140" s="24">
        <f>SUMIFS('Saldos Iniciales'!$D:$D,'Saldos Iniciales'!$A:$A,"Arbor Capital Properties")+SUMIFS(Movimientos!$K$1:$K$1033,Movimientos!$C$1:$C$1033,"Arbor Capital Properties",Movimientos!$B$1:$B$1033,"&lt;="&amp;$B140)</f>
        <v>1380.08</v>
      </c>
      <c r="Q140" s="24">
        <f>SUMIFS('Saldos Iniciales'!$D:$D,'Saldos Iniciales'!$A:$A,"2515 Overbrook")+SUMIFS(Movimientos!$K$1:$K$1033,Movimientos!$C$1:$C$1033,"2515 Overbrook",Movimientos!$B$1:$B$1033,"&lt;="&amp;$B140)</f>
        <v>25027.379999999961</v>
      </c>
      <c r="R140" s="24">
        <f>SUMIFS('Saldos Iniciales'!$D:$D,'Saldos Iniciales'!$A:$A,"112 Florida Ave")+SUMIFS(Movimientos!$K$1:$K$1033,Movimientos!$C$1:$C$1033,"112 Florida Ave",Movimientos!$B$1:$B$1033,"&lt;="&amp;$B140)</f>
        <v>16282.630000000006</v>
      </c>
      <c r="S140" s="24">
        <f>SUMIFS('Saldos Iniciales'!$D:$D,'Saldos Iniciales'!$A:$A,"3628 Thomas Ave")+SUMIFS(Movimientos!$K$1:$K$1033,Movimientos!$C$1:$C$1033,"3628 Thomas Ave",Movimientos!$B$1:$B$1033,"&lt;="&amp;$B140)</f>
        <v>13685.999999999996</v>
      </c>
      <c r="T140" s="24">
        <f>SUMIFS('Saldos Iniciales'!$D:$D,'Saldos Iniciales'!$A:$A,"Green Harbor Trust")+SUMIFS(Movimientos!$K$1:$K$1033,Movimientos!$C$1:$C$1033,"Green Harbor Trust",Movimientos!$B$1:$B$1033,"&lt;="&amp;$B140)</f>
        <v>345</v>
      </c>
      <c r="U140" s="24">
        <f>SUMIFS('Saldos Iniciales'!$D:$D,'Saldos Iniciales'!$A:$A,"Go Blue")+SUMIFS(Movimientos!$K$1:$K$1033,Movimientos!$C$1:$C$1033,"Go Blue",Movimientos!$B$1:$B$1033,"&lt;="&amp;$B140)</f>
        <v>16384.45</v>
      </c>
      <c r="V140" s="25">
        <f t="shared" si="35"/>
        <v>4877645.21</v>
      </c>
    </row>
    <row r="141" spans="1:22" x14ac:dyDescent="0.3">
      <c r="A141" s="22">
        <f t="shared" si="30"/>
        <v>140</v>
      </c>
      <c r="B141" s="23">
        <v>46282</v>
      </c>
      <c r="C141" s="24">
        <f>SUMIFS('Saldos Iniciales'!$D:$D,'Saldos Iniciales'!$A:$A,"CFT Group")+SUMIFS(Movimientos!$K$1:$K$1033,Movimientos!$C$1:$C$1033,"CFT Group",Movimientos!$B$1:$B$1033,"&lt;="&amp;$B141)</f>
        <v>1912339.0500000007</v>
      </c>
      <c r="D141" s="24">
        <f>SUMIFS('Saldos Iniciales'!$D:$D,'Saldos Iniciales'!$A:$A,"M1B")+SUMIFS(Movimientos!$K$1:$K$1033,Movimientos!$C$1:$C$1033,"M1B",Movimientos!$B$1:$B$1033,"&lt;="&amp;$B141)</f>
        <v>100486.46000000017</v>
      </c>
      <c r="E141" s="24">
        <f>SUMIFS('Saldos Iniciales'!$D:$D,'Saldos Iniciales'!$A:$A,"Durand")+SUMIFS(Movimientos!$K$1:$K$1033,Movimientos!$C$1:$C$1033,"Durand",Movimientos!$B$1:$B$1033,"&lt;="&amp;$B141)</f>
        <v>1669.89</v>
      </c>
      <c r="F141" s="24">
        <f>SUMIFS('Saldos Iniciales'!$D:$D,'Saldos Iniciales'!$A:$A,"A&amp;M Imports")+SUMIFS(Movimientos!$K$1:$K$1033,Movimientos!$C$1:$C$1033,"A&amp;M Imports",Movimientos!$B$1:$B$1033,"&lt;="&amp;$B141)</f>
        <v>975534.6399999999</v>
      </c>
      <c r="G141" s="24">
        <f>SUMIFS('Saldos Iniciales'!$D:$D,'Saldos Iniciales'!$A:$A,"SSP Capital")+SUMIFS(Movimientos!$K$1:$K$1033,Movimientos!$C$1:$C$1033,"SSP Capital",Movimientos!$B$1:$B$1033,"&lt;="&amp;$B141)</f>
        <v>1070754.1599999997</v>
      </c>
      <c r="H141" s="24">
        <f>SUMIFS('Saldos Iniciales'!$D:$D,'Saldos Iniciales'!$A:$A,"Cross Family Trust")+SUMIFS(Movimientos!$K$1:$K$1033,Movimientos!$C$1:$C$1033,"Cross Family Trust",Movimientos!$B$1:$B$1033,"&lt;="&amp;$B141)</f>
        <v>229778.14</v>
      </c>
      <c r="I141" s="24">
        <f>SUMIFS('Saldos Iniciales'!$D:$D,'Saldos Iniciales'!$A:$A,"Cross Security Trust")+SUMIFS(Movimientos!$K$1:$K$1033,Movimientos!$C$1:$C$1033,"Cross Security Trust",Movimientos!$B$1:$B$1033,"&lt;="&amp;$B141)</f>
        <v>98169.25999999998</v>
      </c>
      <c r="J141" s="24">
        <f>SUMIFS('Saldos Iniciales'!$D:$D,'Saldos Iniciales'!$A:$A,"Electrama")+SUMIFS(Movimientos!$K$1:$K$1033,Movimientos!$C$1:$C$1033,"Electrama",Movimientos!$B$1:$B$1033,"&lt;="&amp;$B141)</f>
        <v>13270.02</v>
      </c>
      <c r="K141" s="24">
        <f>SUMIFS('Saldos Iniciales'!$D:$D,'Saldos Iniciales'!$A:$A,"Sacred Valley Capital")+SUMIFS(Movimientos!$K$1:$K$1033,Movimientos!$C$1:$C$1033,"Sacred Valley Capital",Movimientos!$B$1:$B$1033,"&lt;="&amp;$B141)</f>
        <v>94.5</v>
      </c>
      <c r="L141" s="24">
        <f>SUMIFS('Saldos Iniciales'!$D:$D,'Saldos Iniciales'!$A:$A,"YWC Capital")+SUMIFS(Movimientos!$K$1:$K$1033,Movimientos!$C$1:$C$1033,"YWC Capital",Movimientos!$B$1:$B$1033,"&lt;="&amp;$B141)</f>
        <v>2147.92</v>
      </c>
      <c r="M141" s="24">
        <f>SUMIFS('Saldos Iniciales'!$D:$D,'Saldos Iniciales'!$A:$A,"Soweto")+SUMIFS(Movimientos!$K$1:$K$1033,Movimientos!$C$1:$C$1033,"Soweto",Movimientos!$B$1:$B$1033,"&lt;="&amp;$B141)</f>
        <v>18005.290000000015</v>
      </c>
      <c r="N141" s="24">
        <f>SUMIFS('Saldos Iniciales'!$D:$D,'Saldos Iniciales'!$A:$A,"Green Stone Trust")+SUMIFS(Movimientos!$K$1:$K$1033,Movimientos!$C$1:$C$1033,"Green Stone Trust",Movimientos!$B$1:$B$1033,"&lt;="&amp;$B141)</f>
        <v>1968.99</v>
      </c>
      <c r="O141" s="24">
        <f>SUMIFS('Saldos Iniciales'!$D:$D,'Saldos Iniciales'!$A:$A,"EC Auto")+SUMIFS(Movimientos!$K$1:$K$1033,Movimientos!$C$1:$C$1033,"EC Auto",Movimientos!$B$1:$B$1033,"&lt;="&amp;$B141)</f>
        <v>901.34</v>
      </c>
      <c r="P141" s="24">
        <f>SUMIFS('Saldos Iniciales'!$D:$D,'Saldos Iniciales'!$A:$A,"Arbor Capital Properties")+SUMIFS(Movimientos!$K$1:$K$1033,Movimientos!$C$1:$C$1033,"Arbor Capital Properties",Movimientos!$B$1:$B$1033,"&lt;="&amp;$B141)</f>
        <v>1380.08</v>
      </c>
      <c r="Q141" s="24">
        <f>SUMIFS('Saldos Iniciales'!$D:$D,'Saldos Iniciales'!$A:$A,"2515 Overbrook")+SUMIFS(Movimientos!$K$1:$K$1033,Movimientos!$C$1:$C$1033,"2515 Overbrook",Movimientos!$B$1:$B$1033,"&lt;="&amp;$B141)</f>
        <v>25027.379999999961</v>
      </c>
      <c r="R141" s="24">
        <f>SUMIFS('Saldos Iniciales'!$D:$D,'Saldos Iniciales'!$A:$A,"112 Florida Ave")+SUMIFS(Movimientos!$K$1:$K$1033,Movimientos!$C$1:$C$1033,"112 Florida Ave",Movimientos!$B$1:$B$1033,"&lt;="&amp;$B141)</f>
        <v>16282.630000000006</v>
      </c>
      <c r="S141" s="24">
        <f>SUMIFS('Saldos Iniciales'!$D:$D,'Saldos Iniciales'!$A:$A,"3628 Thomas Ave")+SUMIFS(Movimientos!$K$1:$K$1033,Movimientos!$C$1:$C$1033,"3628 Thomas Ave",Movimientos!$B$1:$B$1033,"&lt;="&amp;$B141)</f>
        <v>13685.999999999996</v>
      </c>
      <c r="T141" s="24">
        <f>SUMIFS('Saldos Iniciales'!$D:$D,'Saldos Iniciales'!$A:$A,"Green Harbor Trust")+SUMIFS(Movimientos!$K$1:$K$1033,Movimientos!$C$1:$C$1033,"Green Harbor Trust",Movimientos!$B$1:$B$1033,"&lt;="&amp;$B141)</f>
        <v>345</v>
      </c>
      <c r="U141" s="24">
        <f>SUMIFS('Saldos Iniciales'!$D:$D,'Saldos Iniciales'!$A:$A,"Go Blue")+SUMIFS(Movimientos!$K$1:$K$1033,Movimientos!$C$1:$C$1033,"Go Blue",Movimientos!$B$1:$B$1033,"&lt;="&amp;$B141)</f>
        <v>16164.440000000002</v>
      </c>
      <c r="V141" s="25">
        <f t="shared" ref="V141:V142" si="36">SUM(C141:U141)</f>
        <v>4498005.1900000004</v>
      </c>
    </row>
    <row r="142" spans="1:22" x14ac:dyDescent="0.3">
      <c r="A142" s="22">
        <f t="shared" si="30"/>
        <v>141</v>
      </c>
      <c r="B142" s="23">
        <v>46283</v>
      </c>
      <c r="C142" s="24">
        <f>SUMIFS('Saldos Iniciales'!$D:$D,'Saldos Iniciales'!$A:$A,"CFT Group")+SUMIFS(Movimientos!$K$1:$K$1033,Movimientos!$C$1:$C$1033,"CFT Group",Movimientos!$B$1:$B$1033,"&lt;="&amp;$B142)</f>
        <v>2322339.0500000007</v>
      </c>
      <c r="D142" s="24">
        <f>SUMIFS('Saldos Iniciales'!$D:$D,'Saldos Iniciales'!$A:$A,"M1B")+SUMIFS(Movimientos!$K$1:$K$1033,Movimientos!$C$1:$C$1033,"M1B",Movimientos!$B$1:$B$1033,"&lt;="&amp;$B142)</f>
        <v>100486.46000000017</v>
      </c>
      <c r="E142" s="24">
        <f>SUMIFS('Saldos Iniciales'!$D:$D,'Saldos Iniciales'!$A:$A,"Durand")+SUMIFS(Movimientos!$K$1:$K$1033,Movimientos!$C$1:$C$1033,"Durand",Movimientos!$B$1:$B$1033,"&lt;="&amp;$B142)</f>
        <v>1669.89</v>
      </c>
      <c r="F142" s="24">
        <f>SUMIFS('Saldos Iniciales'!$D:$D,'Saldos Iniciales'!$A:$A,"A&amp;M Imports")+SUMIFS(Movimientos!$K$1:$K$1033,Movimientos!$C$1:$C$1033,"A&amp;M Imports",Movimientos!$B$1:$B$1033,"&lt;="&amp;$B142)</f>
        <v>1425534.64</v>
      </c>
      <c r="G142" s="24">
        <f>SUMIFS('Saldos Iniciales'!$D:$D,'Saldos Iniciales'!$A:$A,"SSP Capital")+SUMIFS(Movimientos!$K$1:$K$1033,Movimientos!$C$1:$C$1033,"SSP Capital",Movimientos!$B$1:$B$1033,"&lt;="&amp;$B142)</f>
        <v>1070587.4999999995</v>
      </c>
      <c r="H142" s="24">
        <f>SUMIFS('Saldos Iniciales'!$D:$D,'Saldos Iniciales'!$A:$A,"Cross Family Trust")+SUMIFS(Movimientos!$K$1:$K$1033,Movimientos!$C$1:$C$1033,"Cross Family Trust",Movimientos!$B$1:$B$1033,"&lt;="&amp;$B142)</f>
        <v>229778.14</v>
      </c>
      <c r="I142" s="24">
        <f>SUMIFS('Saldos Iniciales'!$D:$D,'Saldos Iniciales'!$A:$A,"Cross Security Trust")+SUMIFS(Movimientos!$K$1:$K$1033,Movimientos!$C$1:$C$1033,"Cross Security Trust",Movimientos!$B$1:$B$1033,"&lt;="&amp;$B142)</f>
        <v>98169.25999999998</v>
      </c>
      <c r="J142" s="24">
        <f>SUMIFS('Saldos Iniciales'!$D:$D,'Saldos Iniciales'!$A:$A,"Electrama")+SUMIFS(Movimientos!$K$1:$K$1033,Movimientos!$C$1:$C$1033,"Electrama",Movimientos!$B$1:$B$1033,"&lt;="&amp;$B142)</f>
        <v>13270.02</v>
      </c>
      <c r="K142" s="24">
        <f>SUMIFS('Saldos Iniciales'!$D:$D,'Saldos Iniciales'!$A:$A,"Sacred Valley Capital")+SUMIFS(Movimientos!$K$1:$K$1033,Movimientos!$C$1:$C$1033,"Sacred Valley Capital",Movimientos!$B$1:$B$1033,"&lt;="&amp;$B142)</f>
        <v>94.5</v>
      </c>
      <c r="L142" s="24">
        <f>SUMIFS('Saldos Iniciales'!$D:$D,'Saldos Iniciales'!$A:$A,"YWC Capital")+SUMIFS(Movimientos!$K$1:$K$1033,Movimientos!$C$1:$C$1033,"YWC Capital",Movimientos!$B$1:$B$1033,"&lt;="&amp;$B142)</f>
        <v>2147.92</v>
      </c>
      <c r="M142" s="24">
        <f>SUMIFS('Saldos Iniciales'!$D:$D,'Saldos Iniciales'!$A:$A,"Soweto")+SUMIFS(Movimientos!$K$1:$K$1033,Movimientos!$C$1:$C$1033,"Soweto",Movimientos!$B$1:$B$1033,"&lt;="&amp;$B142)</f>
        <v>18005.290000000015</v>
      </c>
      <c r="N142" s="24">
        <f>SUMIFS('Saldos Iniciales'!$D:$D,'Saldos Iniciales'!$A:$A,"Green Stone Trust")+SUMIFS(Movimientos!$K$1:$K$1033,Movimientos!$C$1:$C$1033,"Green Stone Trust",Movimientos!$B$1:$B$1033,"&lt;="&amp;$B142)</f>
        <v>1968.99</v>
      </c>
      <c r="O142" s="24">
        <f>SUMIFS('Saldos Iniciales'!$D:$D,'Saldos Iniciales'!$A:$A,"EC Auto")+SUMIFS(Movimientos!$K$1:$K$1033,Movimientos!$C$1:$C$1033,"EC Auto",Movimientos!$B$1:$B$1033,"&lt;="&amp;$B142)</f>
        <v>901.34</v>
      </c>
      <c r="P142" s="24">
        <f>SUMIFS('Saldos Iniciales'!$D:$D,'Saldos Iniciales'!$A:$A,"Arbor Capital Properties")+SUMIFS(Movimientos!$K$1:$K$1033,Movimientos!$C$1:$C$1033,"Arbor Capital Properties",Movimientos!$B$1:$B$1033,"&lt;="&amp;$B142)</f>
        <v>1380.08</v>
      </c>
      <c r="Q142" s="24">
        <f>SUMIFS('Saldos Iniciales'!$D:$D,'Saldos Iniciales'!$A:$A,"2515 Overbrook")+SUMIFS(Movimientos!$K$1:$K$1033,Movimientos!$C$1:$C$1033,"2515 Overbrook",Movimientos!$B$1:$B$1033,"&lt;="&amp;$B142)</f>
        <v>30277.379999999961</v>
      </c>
      <c r="R142" s="24">
        <f>SUMIFS('Saldos Iniciales'!$D:$D,'Saldos Iniciales'!$A:$A,"112 Florida Ave")+SUMIFS(Movimientos!$K$1:$K$1033,Movimientos!$C$1:$C$1033,"112 Florida Ave",Movimientos!$B$1:$B$1033,"&lt;="&amp;$B142)</f>
        <v>16282.630000000006</v>
      </c>
      <c r="S142" s="24">
        <f>SUMIFS('Saldos Iniciales'!$D:$D,'Saldos Iniciales'!$A:$A,"3628 Thomas Ave")+SUMIFS(Movimientos!$K$1:$K$1033,Movimientos!$C$1:$C$1033,"3628 Thomas Ave",Movimientos!$B$1:$B$1033,"&lt;="&amp;$B142)</f>
        <v>13685.999999999996</v>
      </c>
      <c r="T142" s="24">
        <f>SUMIFS('Saldos Iniciales'!$D:$D,'Saldos Iniciales'!$A:$A,"Green Harbor Trust")+SUMIFS(Movimientos!$K$1:$K$1033,Movimientos!$C$1:$C$1033,"Green Harbor Trust",Movimientos!$B$1:$B$1033,"&lt;="&amp;$B142)</f>
        <v>345</v>
      </c>
      <c r="U142" s="24">
        <f>SUMIFS('Saldos Iniciales'!$D:$D,'Saldos Iniciales'!$A:$A,"Go Blue")+SUMIFS(Movimientos!$K$1:$K$1033,Movimientos!$C$1:$C$1033,"Go Blue",Movimientos!$B$1:$B$1033,"&lt;="&amp;$B142)</f>
        <v>16164.440000000002</v>
      </c>
      <c r="V142" s="25">
        <f t="shared" si="36"/>
        <v>5363088.53</v>
      </c>
    </row>
    <row r="143" spans="1:22" x14ac:dyDescent="0.3">
      <c r="A143" s="22">
        <f t="shared" si="30"/>
        <v>142</v>
      </c>
      <c r="B143" s="23">
        <v>46284</v>
      </c>
      <c r="C143" s="24">
        <f>SUMIFS('Saldos Iniciales'!$D:$D,'Saldos Iniciales'!$A:$A,"CFT Group")+SUMIFS(Movimientos!$K$1:$K$1033,Movimientos!$C$1:$C$1033,"CFT Group",Movimientos!$B$1:$B$1033,"&lt;="&amp;$B143)</f>
        <v>2322339.0500000007</v>
      </c>
      <c r="D143" s="24">
        <f>SUMIFS('Saldos Iniciales'!$D:$D,'Saldos Iniciales'!$A:$A,"M1B")+SUMIFS(Movimientos!$K$1:$K$1033,Movimientos!$C$1:$C$1033,"M1B",Movimientos!$B$1:$B$1033,"&lt;="&amp;$B143)</f>
        <v>100486.46000000017</v>
      </c>
      <c r="E143" s="24">
        <f>SUMIFS('Saldos Iniciales'!$D:$D,'Saldos Iniciales'!$A:$A,"Durand")+SUMIFS(Movimientos!$K$1:$K$1033,Movimientos!$C$1:$C$1033,"Durand",Movimientos!$B$1:$B$1033,"&lt;="&amp;$B143)</f>
        <v>1669.89</v>
      </c>
      <c r="F143" s="24">
        <f>SUMIFS('Saldos Iniciales'!$D:$D,'Saldos Iniciales'!$A:$A,"A&amp;M Imports")+SUMIFS(Movimientos!$K$1:$K$1033,Movimientos!$C$1:$C$1033,"A&amp;M Imports",Movimientos!$B$1:$B$1033,"&lt;="&amp;$B143)</f>
        <v>1425534.64</v>
      </c>
      <c r="G143" s="24">
        <f>SUMIFS('Saldos Iniciales'!$D:$D,'Saldos Iniciales'!$A:$A,"SSP Capital")+SUMIFS(Movimientos!$K$1:$K$1033,Movimientos!$C$1:$C$1033,"SSP Capital",Movimientos!$B$1:$B$1033,"&lt;="&amp;$B143)</f>
        <v>1070587.4999999995</v>
      </c>
      <c r="H143" s="24">
        <f>SUMIFS('Saldos Iniciales'!$D:$D,'Saldos Iniciales'!$A:$A,"Cross Family Trust")+SUMIFS(Movimientos!$K$1:$K$1033,Movimientos!$C$1:$C$1033,"Cross Family Trust",Movimientos!$B$1:$B$1033,"&lt;="&amp;$B143)</f>
        <v>229778.14</v>
      </c>
      <c r="I143" s="24">
        <f>SUMIFS('Saldos Iniciales'!$D:$D,'Saldos Iniciales'!$A:$A,"Cross Security Trust")+SUMIFS(Movimientos!$K$1:$K$1033,Movimientos!$C$1:$C$1033,"Cross Security Trust",Movimientos!$B$1:$B$1033,"&lt;="&amp;$B143)</f>
        <v>98169.25999999998</v>
      </c>
      <c r="J143" s="24">
        <f>SUMIFS('Saldos Iniciales'!$D:$D,'Saldos Iniciales'!$A:$A,"Electrama")+SUMIFS(Movimientos!$K$1:$K$1033,Movimientos!$C$1:$C$1033,"Electrama",Movimientos!$B$1:$B$1033,"&lt;="&amp;$B143)</f>
        <v>13270.02</v>
      </c>
      <c r="K143" s="24">
        <f>SUMIFS('Saldos Iniciales'!$D:$D,'Saldos Iniciales'!$A:$A,"Sacred Valley Capital")+SUMIFS(Movimientos!$K$1:$K$1033,Movimientos!$C$1:$C$1033,"Sacred Valley Capital",Movimientos!$B$1:$B$1033,"&lt;="&amp;$B143)</f>
        <v>94.5</v>
      </c>
      <c r="L143" s="24">
        <f>SUMIFS('Saldos Iniciales'!$D:$D,'Saldos Iniciales'!$A:$A,"YWC Capital")+SUMIFS(Movimientos!$K$1:$K$1033,Movimientos!$C$1:$C$1033,"YWC Capital",Movimientos!$B$1:$B$1033,"&lt;="&amp;$B143)</f>
        <v>2147.92</v>
      </c>
      <c r="M143" s="24">
        <f>SUMIFS('Saldos Iniciales'!$D:$D,'Saldos Iniciales'!$A:$A,"Soweto")+SUMIFS(Movimientos!$K$1:$K$1033,Movimientos!$C$1:$C$1033,"Soweto",Movimientos!$B$1:$B$1033,"&lt;="&amp;$B143)</f>
        <v>18005.290000000015</v>
      </c>
      <c r="N143" s="24">
        <f>SUMIFS('Saldos Iniciales'!$D:$D,'Saldos Iniciales'!$A:$A,"Green Stone Trust")+SUMIFS(Movimientos!$K$1:$K$1033,Movimientos!$C$1:$C$1033,"Green Stone Trust",Movimientos!$B$1:$B$1033,"&lt;="&amp;$B143)</f>
        <v>1968.99</v>
      </c>
      <c r="O143" s="24">
        <f>SUMIFS('Saldos Iniciales'!$D:$D,'Saldos Iniciales'!$A:$A,"EC Auto")+SUMIFS(Movimientos!$K$1:$K$1033,Movimientos!$C$1:$C$1033,"EC Auto",Movimientos!$B$1:$B$1033,"&lt;="&amp;$B143)</f>
        <v>901.34</v>
      </c>
      <c r="P143" s="24">
        <f>SUMIFS('Saldos Iniciales'!$D:$D,'Saldos Iniciales'!$A:$A,"Arbor Capital Properties")+SUMIFS(Movimientos!$K$1:$K$1033,Movimientos!$C$1:$C$1033,"Arbor Capital Properties",Movimientos!$B$1:$B$1033,"&lt;="&amp;$B143)</f>
        <v>1380.08</v>
      </c>
      <c r="Q143" s="24">
        <f>SUMIFS('Saldos Iniciales'!$D:$D,'Saldos Iniciales'!$A:$A,"2515 Overbrook")+SUMIFS(Movimientos!$K$1:$K$1033,Movimientos!$C$1:$C$1033,"2515 Overbrook",Movimientos!$B$1:$B$1033,"&lt;="&amp;$B143)</f>
        <v>30277.379999999961</v>
      </c>
      <c r="R143" s="24">
        <f>SUMIFS('Saldos Iniciales'!$D:$D,'Saldos Iniciales'!$A:$A,"112 Florida Ave")+SUMIFS(Movimientos!$K$1:$K$1033,Movimientos!$C$1:$C$1033,"112 Florida Ave",Movimientos!$B$1:$B$1033,"&lt;="&amp;$B143)</f>
        <v>16282.630000000006</v>
      </c>
      <c r="S143" s="24">
        <f>SUMIFS('Saldos Iniciales'!$D:$D,'Saldos Iniciales'!$A:$A,"3628 Thomas Ave")+SUMIFS(Movimientos!$K$1:$K$1033,Movimientos!$C$1:$C$1033,"3628 Thomas Ave",Movimientos!$B$1:$B$1033,"&lt;="&amp;$B143)</f>
        <v>13685.999999999996</v>
      </c>
      <c r="T143" s="24">
        <f>SUMIFS('Saldos Iniciales'!$D:$D,'Saldos Iniciales'!$A:$A,"Green Harbor Trust")+SUMIFS(Movimientos!$K$1:$K$1033,Movimientos!$C$1:$C$1033,"Green Harbor Trust",Movimientos!$B$1:$B$1033,"&lt;="&amp;$B143)</f>
        <v>345</v>
      </c>
      <c r="U143" s="24">
        <f>SUMIFS('Saldos Iniciales'!$D:$D,'Saldos Iniciales'!$A:$A,"Go Blue")+SUMIFS(Movimientos!$K$1:$K$1033,Movimientos!$C$1:$C$1033,"Go Blue",Movimientos!$B$1:$B$1033,"&lt;="&amp;$B143)</f>
        <v>16164.440000000002</v>
      </c>
      <c r="V143" s="25">
        <f t="shared" ref="V143:V144" si="37">SUM(C143:U143)</f>
        <v>5363088.53</v>
      </c>
    </row>
    <row r="144" spans="1:22" x14ac:dyDescent="0.3">
      <c r="A144" s="22">
        <f t="shared" si="30"/>
        <v>143</v>
      </c>
      <c r="B144" s="23">
        <v>46285</v>
      </c>
      <c r="C144" s="24">
        <f>SUMIFS('Saldos Iniciales'!$D:$D,'Saldos Iniciales'!$A:$A,"CFT Group")+SUMIFS(Movimientos!$K$1:$K$1033,Movimientos!$C$1:$C$1033,"CFT Group",Movimientos!$B$1:$B$1033,"&lt;="&amp;$B144)</f>
        <v>2322339.0500000007</v>
      </c>
      <c r="D144" s="24">
        <f>SUMIFS('Saldos Iniciales'!$D:$D,'Saldos Iniciales'!$A:$A,"M1B")+SUMIFS(Movimientos!$K$1:$K$1033,Movimientos!$C$1:$C$1033,"M1B",Movimientos!$B$1:$B$1033,"&lt;="&amp;$B144)</f>
        <v>100486.46000000017</v>
      </c>
      <c r="E144" s="24">
        <f>SUMIFS('Saldos Iniciales'!$D:$D,'Saldos Iniciales'!$A:$A,"Durand")+SUMIFS(Movimientos!$K$1:$K$1033,Movimientos!$C$1:$C$1033,"Durand",Movimientos!$B$1:$B$1033,"&lt;="&amp;$B144)</f>
        <v>1669.89</v>
      </c>
      <c r="F144" s="24">
        <f>SUMIFS('Saldos Iniciales'!$D:$D,'Saldos Iniciales'!$A:$A,"A&amp;M Imports")+SUMIFS(Movimientos!$K$1:$K$1033,Movimientos!$C$1:$C$1033,"A&amp;M Imports",Movimientos!$B$1:$B$1033,"&lt;="&amp;$B144)</f>
        <v>1425534.64</v>
      </c>
      <c r="G144" s="24">
        <f>SUMIFS('Saldos Iniciales'!$D:$D,'Saldos Iniciales'!$A:$A,"SSP Capital")+SUMIFS(Movimientos!$K$1:$K$1033,Movimientos!$C$1:$C$1033,"SSP Capital",Movimientos!$B$1:$B$1033,"&lt;="&amp;$B144)</f>
        <v>1070587.4999999995</v>
      </c>
      <c r="H144" s="24">
        <f>SUMIFS('Saldos Iniciales'!$D:$D,'Saldos Iniciales'!$A:$A,"Cross Family Trust")+SUMIFS(Movimientos!$K$1:$K$1033,Movimientos!$C$1:$C$1033,"Cross Family Trust",Movimientos!$B$1:$B$1033,"&lt;="&amp;$B144)</f>
        <v>229778.14</v>
      </c>
      <c r="I144" s="24">
        <f>SUMIFS('Saldos Iniciales'!$D:$D,'Saldos Iniciales'!$A:$A,"Cross Security Trust")+SUMIFS(Movimientos!$K$1:$K$1033,Movimientos!$C$1:$C$1033,"Cross Security Trust",Movimientos!$B$1:$B$1033,"&lt;="&amp;$B144)</f>
        <v>98169.25999999998</v>
      </c>
      <c r="J144" s="24">
        <f>SUMIFS('Saldos Iniciales'!$D:$D,'Saldos Iniciales'!$A:$A,"Electrama")+SUMIFS(Movimientos!$K$1:$K$1033,Movimientos!$C$1:$C$1033,"Electrama",Movimientos!$B$1:$B$1033,"&lt;="&amp;$B144)</f>
        <v>13270.02</v>
      </c>
      <c r="K144" s="24">
        <f>SUMIFS('Saldos Iniciales'!$D:$D,'Saldos Iniciales'!$A:$A,"Sacred Valley Capital")+SUMIFS(Movimientos!$K$1:$K$1033,Movimientos!$C$1:$C$1033,"Sacred Valley Capital",Movimientos!$B$1:$B$1033,"&lt;="&amp;$B144)</f>
        <v>94.5</v>
      </c>
      <c r="L144" s="24">
        <f>SUMIFS('Saldos Iniciales'!$D:$D,'Saldos Iniciales'!$A:$A,"YWC Capital")+SUMIFS(Movimientos!$K$1:$K$1033,Movimientos!$C$1:$C$1033,"YWC Capital",Movimientos!$B$1:$B$1033,"&lt;="&amp;$B144)</f>
        <v>2147.92</v>
      </c>
      <c r="M144" s="24">
        <f>SUMIFS('Saldos Iniciales'!$D:$D,'Saldos Iniciales'!$A:$A,"Soweto")+SUMIFS(Movimientos!$K$1:$K$1033,Movimientos!$C$1:$C$1033,"Soweto",Movimientos!$B$1:$B$1033,"&lt;="&amp;$B144)</f>
        <v>18005.290000000015</v>
      </c>
      <c r="N144" s="24">
        <f>SUMIFS('Saldos Iniciales'!$D:$D,'Saldos Iniciales'!$A:$A,"Green Stone Trust")+SUMIFS(Movimientos!$K$1:$K$1033,Movimientos!$C$1:$C$1033,"Green Stone Trust",Movimientos!$B$1:$B$1033,"&lt;="&amp;$B144)</f>
        <v>1968.99</v>
      </c>
      <c r="O144" s="24">
        <f>SUMIFS('Saldos Iniciales'!$D:$D,'Saldos Iniciales'!$A:$A,"EC Auto")+SUMIFS(Movimientos!$K$1:$K$1033,Movimientos!$C$1:$C$1033,"EC Auto",Movimientos!$B$1:$B$1033,"&lt;="&amp;$B144)</f>
        <v>901.34</v>
      </c>
      <c r="P144" s="24">
        <f>SUMIFS('Saldos Iniciales'!$D:$D,'Saldos Iniciales'!$A:$A,"Arbor Capital Properties")+SUMIFS(Movimientos!$K$1:$K$1033,Movimientos!$C$1:$C$1033,"Arbor Capital Properties",Movimientos!$B$1:$B$1033,"&lt;="&amp;$B144)</f>
        <v>1380.08</v>
      </c>
      <c r="Q144" s="24">
        <f>SUMIFS('Saldos Iniciales'!$D:$D,'Saldos Iniciales'!$A:$A,"2515 Overbrook")+SUMIFS(Movimientos!$K$1:$K$1033,Movimientos!$C$1:$C$1033,"2515 Overbrook",Movimientos!$B$1:$B$1033,"&lt;="&amp;$B144)</f>
        <v>30277.379999999961</v>
      </c>
      <c r="R144" s="24">
        <f>SUMIFS('Saldos Iniciales'!$D:$D,'Saldos Iniciales'!$A:$A,"112 Florida Ave")+SUMIFS(Movimientos!$K$1:$K$1033,Movimientos!$C$1:$C$1033,"112 Florida Ave",Movimientos!$B$1:$B$1033,"&lt;="&amp;$B144)</f>
        <v>16282.630000000006</v>
      </c>
      <c r="S144" s="24">
        <f>SUMIFS('Saldos Iniciales'!$D:$D,'Saldos Iniciales'!$A:$A,"3628 Thomas Ave")+SUMIFS(Movimientos!$K$1:$K$1033,Movimientos!$C$1:$C$1033,"3628 Thomas Ave",Movimientos!$B$1:$B$1033,"&lt;="&amp;$B144)</f>
        <v>13685.999999999996</v>
      </c>
      <c r="T144" s="24">
        <f>SUMIFS('Saldos Iniciales'!$D:$D,'Saldos Iniciales'!$A:$A,"Green Harbor Trust")+SUMIFS(Movimientos!$K$1:$K$1033,Movimientos!$C$1:$C$1033,"Green Harbor Trust",Movimientos!$B$1:$B$1033,"&lt;="&amp;$B144)</f>
        <v>345</v>
      </c>
      <c r="U144" s="24">
        <f>SUMIFS('Saldos Iniciales'!$D:$D,'Saldos Iniciales'!$A:$A,"Go Blue")+SUMIFS(Movimientos!$K$1:$K$1033,Movimientos!$C$1:$C$1033,"Go Blue",Movimientos!$B$1:$B$1033,"&lt;="&amp;$B144)</f>
        <v>16164.440000000002</v>
      </c>
      <c r="V144" s="25">
        <f t="shared" si="37"/>
        <v>5363088.53</v>
      </c>
    </row>
    <row r="145" spans="1:22" x14ac:dyDescent="0.3">
      <c r="A145" s="22">
        <f t="shared" si="30"/>
        <v>144</v>
      </c>
      <c r="B145" s="23">
        <v>46286</v>
      </c>
      <c r="C145" s="24">
        <f>SUMIFS('Saldos Iniciales'!$D:$D,'Saldos Iniciales'!$A:$A,"CFT Group")+SUMIFS(Movimientos!$K$1:$K$1033,Movimientos!$C$1:$C$1033,"CFT Group",Movimientos!$B$1:$B$1033,"&lt;="&amp;$B145)</f>
        <v>2322339.0500000007</v>
      </c>
      <c r="D145" s="24">
        <f>SUMIFS('Saldos Iniciales'!$D:$D,'Saldos Iniciales'!$A:$A,"M1B")+SUMIFS(Movimientos!$K$1:$K$1033,Movimientos!$C$1:$C$1033,"M1B",Movimientos!$B$1:$B$1033,"&lt;="&amp;$B145)</f>
        <v>100486.46000000017</v>
      </c>
      <c r="E145" s="24">
        <f>SUMIFS('Saldos Iniciales'!$D:$D,'Saldos Iniciales'!$A:$A,"Durand")+SUMIFS(Movimientos!$K$1:$K$1033,Movimientos!$C$1:$C$1033,"Durand",Movimientos!$B$1:$B$1033,"&lt;="&amp;$B145)</f>
        <v>1669.89</v>
      </c>
      <c r="F145" s="24">
        <f>SUMIFS('Saldos Iniciales'!$D:$D,'Saldos Iniciales'!$A:$A,"A&amp;M Imports")+SUMIFS(Movimientos!$K$1:$K$1033,Movimientos!$C$1:$C$1033,"A&amp;M Imports",Movimientos!$B$1:$B$1033,"&lt;="&amp;$B145)</f>
        <v>1453603.3599999999</v>
      </c>
      <c r="G145" s="24">
        <f>SUMIFS('Saldos Iniciales'!$D:$D,'Saldos Iniciales'!$A:$A,"SSP Capital")+SUMIFS(Movimientos!$K$1:$K$1033,Movimientos!$C$1:$C$1033,"SSP Capital",Movimientos!$B$1:$B$1033,"&lt;="&amp;$B145)</f>
        <v>1066605.7599999995</v>
      </c>
      <c r="H145" s="24">
        <f>SUMIFS('Saldos Iniciales'!$D:$D,'Saldos Iniciales'!$A:$A,"Cross Family Trust")+SUMIFS(Movimientos!$K$1:$K$1033,Movimientos!$C$1:$C$1033,"Cross Family Trust",Movimientos!$B$1:$B$1033,"&lt;="&amp;$B145)</f>
        <v>229778.14</v>
      </c>
      <c r="I145" s="24">
        <f>SUMIFS('Saldos Iniciales'!$D:$D,'Saldos Iniciales'!$A:$A,"Cross Security Trust")+SUMIFS(Movimientos!$K$1:$K$1033,Movimientos!$C$1:$C$1033,"Cross Security Trust",Movimientos!$B$1:$B$1033,"&lt;="&amp;$B145)</f>
        <v>98169.25999999998</v>
      </c>
      <c r="J145" s="24">
        <f>SUMIFS('Saldos Iniciales'!$D:$D,'Saldos Iniciales'!$A:$A,"Electrama")+SUMIFS(Movimientos!$K$1:$K$1033,Movimientos!$C$1:$C$1033,"Electrama",Movimientos!$B$1:$B$1033,"&lt;="&amp;$B145)</f>
        <v>13270.02</v>
      </c>
      <c r="K145" s="24">
        <f>SUMIFS('Saldos Iniciales'!$D:$D,'Saldos Iniciales'!$A:$A,"Sacred Valley Capital")+SUMIFS(Movimientos!$K$1:$K$1033,Movimientos!$C$1:$C$1033,"Sacred Valley Capital",Movimientos!$B$1:$B$1033,"&lt;="&amp;$B145)</f>
        <v>94.5</v>
      </c>
      <c r="L145" s="24">
        <f>SUMIFS('Saldos Iniciales'!$D:$D,'Saldos Iniciales'!$A:$A,"YWC Capital")+SUMIFS(Movimientos!$K$1:$K$1033,Movimientos!$C$1:$C$1033,"YWC Capital",Movimientos!$B$1:$B$1033,"&lt;="&amp;$B145)</f>
        <v>2147.92</v>
      </c>
      <c r="M145" s="24">
        <f>SUMIFS('Saldos Iniciales'!$D:$D,'Saldos Iniciales'!$A:$A,"Soweto")+SUMIFS(Movimientos!$K$1:$K$1033,Movimientos!$C$1:$C$1033,"Soweto",Movimientos!$B$1:$B$1033,"&lt;="&amp;$B145)</f>
        <v>18005.290000000015</v>
      </c>
      <c r="N145" s="24">
        <f>SUMIFS('Saldos Iniciales'!$D:$D,'Saldos Iniciales'!$A:$A,"Green Stone Trust")+SUMIFS(Movimientos!$K$1:$K$1033,Movimientos!$C$1:$C$1033,"Green Stone Trust",Movimientos!$B$1:$B$1033,"&lt;="&amp;$B145)</f>
        <v>1968.99</v>
      </c>
      <c r="O145" s="24">
        <f>SUMIFS('Saldos Iniciales'!$D:$D,'Saldos Iniciales'!$A:$A,"EC Auto")+SUMIFS(Movimientos!$K$1:$K$1033,Movimientos!$C$1:$C$1033,"EC Auto",Movimientos!$B$1:$B$1033,"&lt;="&amp;$B145)</f>
        <v>901.34</v>
      </c>
      <c r="P145" s="24">
        <f>SUMIFS('Saldos Iniciales'!$D:$D,'Saldos Iniciales'!$A:$A,"Arbor Capital Properties")+SUMIFS(Movimientos!$K$1:$K$1033,Movimientos!$C$1:$C$1033,"Arbor Capital Properties",Movimientos!$B$1:$B$1033,"&lt;="&amp;$B145)</f>
        <v>1380.08</v>
      </c>
      <c r="Q145" s="24">
        <f>SUMIFS('Saldos Iniciales'!$D:$D,'Saldos Iniciales'!$A:$A,"2515 Overbrook")+SUMIFS(Movimientos!$K$1:$K$1033,Movimientos!$C$1:$C$1033,"2515 Overbrook",Movimientos!$B$1:$B$1033,"&lt;="&amp;$B145)</f>
        <v>30277.379999999961</v>
      </c>
      <c r="R145" s="24">
        <f>SUMIFS('Saldos Iniciales'!$D:$D,'Saldos Iniciales'!$A:$A,"112 Florida Ave")+SUMIFS(Movimientos!$K$1:$K$1033,Movimientos!$C$1:$C$1033,"112 Florida Ave",Movimientos!$B$1:$B$1033,"&lt;="&amp;$B145)</f>
        <v>16282.630000000006</v>
      </c>
      <c r="S145" s="24">
        <f>SUMIFS('Saldos Iniciales'!$D:$D,'Saldos Iniciales'!$A:$A,"3628 Thomas Ave")+SUMIFS(Movimientos!$K$1:$K$1033,Movimientos!$C$1:$C$1033,"3628 Thomas Ave",Movimientos!$B$1:$B$1033,"&lt;="&amp;$B145)</f>
        <v>13685.999999999996</v>
      </c>
      <c r="T145" s="24">
        <f>SUMIFS('Saldos Iniciales'!$D:$D,'Saldos Iniciales'!$A:$A,"Green Harbor Trust")+SUMIFS(Movimientos!$K$1:$K$1033,Movimientos!$C$1:$C$1033,"Green Harbor Trust",Movimientos!$B$1:$B$1033,"&lt;="&amp;$B145)</f>
        <v>345</v>
      </c>
      <c r="U145" s="24">
        <f>SUMIFS('Saldos Iniciales'!$D:$D,'Saldos Iniciales'!$A:$A,"Go Blue")+SUMIFS(Movimientos!$K$1:$K$1033,Movimientos!$C$1:$C$1033,"Go Blue",Movimientos!$B$1:$B$1033,"&lt;="&amp;$B145)</f>
        <v>15392.970000000001</v>
      </c>
      <c r="V145" s="25">
        <f t="shared" ref="V145:V147" si="38">SUM(C145:U145)</f>
        <v>5386404.0399999991</v>
      </c>
    </row>
    <row r="146" spans="1:22" x14ac:dyDescent="0.3">
      <c r="A146" s="22">
        <f t="shared" si="30"/>
        <v>145</v>
      </c>
      <c r="B146" s="23">
        <v>46287</v>
      </c>
      <c r="C146" s="24">
        <f>SUMIFS('Saldos Iniciales'!$D:$D,'Saldos Iniciales'!$A:$A,"CFT Group")+SUMIFS(Movimientos!$K$1:$K$1033,Movimientos!$C$1:$C$1033,"CFT Group",Movimientos!$B$1:$B$1033,"&lt;="&amp;$B146)</f>
        <v>2322339.0500000007</v>
      </c>
      <c r="D146" s="24">
        <f>SUMIFS('Saldos Iniciales'!$D:$D,'Saldos Iniciales'!$A:$A,"M1B")+SUMIFS(Movimientos!$K$1:$K$1033,Movimientos!$C$1:$C$1033,"M1B",Movimientos!$B$1:$B$1033,"&lt;="&amp;$B146)</f>
        <v>100486.46000000017</v>
      </c>
      <c r="E146" s="24">
        <f>SUMIFS('Saldos Iniciales'!$D:$D,'Saldos Iniciales'!$A:$A,"Durand")+SUMIFS(Movimientos!$K$1:$K$1033,Movimientos!$C$1:$C$1033,"Durand",Movimientos!$B$1:$B$1033,"&lt;="&amp;$B146)</f>
        <v>1669.89</v>
      </c>
      <c r="F146" s="24">
        <f>SUMIFS('Saldos Iniciales'!$D:$D,'Saldos Iniciales'!$A:$A,"A&amp;M Imports")+SUMIFS(Movimientos!$K$1:$K$1033,Movimientos!$C$1:$C$1033,"A&amp;M Imports",Movimientos!$B$1:$B$1033,"&lt;="&amp;$B146)</f>
        <v>1453603.3599999999</v>
      </c>
      <c r="G146" s="24">
        <f>SUMIFS('Saldos Iniciales'!$D:$D,'Saldos Iniciales'!$A:$A,"SSP Capital")+SUMIFS(Movimientos!$K$1:$K$1033,Movimientos!$C$1:$C$1033,"SSP Capital",Movimientos!$B$1:$B$1033,"&lt;="&amp;$B146)</f>
        <v>1065842.7699999996</v>
      </c>
      <c r="H146" s="24">
        <f>SUMIFS('Saldos Iniciales'!$D:$D,'Saldos Iniciales'!$A:$A,"Cross Family Trust")+SUMIFS(Movimientos!$K$1:$K$1033,Movimientos!$C$1:$C$1033,"Cross Family Trust",Movimientos!$B$1:$B$1033,"&lt;="&amp;$B146)</f>
        <v>229778.14</v>
      </c>
      <c r="I146" s="24">
        <f>SUMIFS('Saldos Iniciales'!$D:$D,'Saldos Iniciales'!$A:$A,"Cross Security Trust")+SUMIFS(Movimientos!$K$1:$K$1033,Movimientos!$C$1:$C$1033,"Cross Security Trust",Movimientos!$B$1:$B$1033,"&lt;="&amp;$B146)</f>
        <v>98169.25999999998</v>
      </c>
      <c r="J146" s="24">
        <f>SUMIFS('Saldos Iniciales'!$D:$D,'Saldos Iniciales'!$A:$A,"Electrama")+SUMIFS(Movimientos!$K$1:$K$1033,Movimientos!$C$1:$C$1033,"Electrama",Movimientos!$B$1:$B$1033,"&lt;="&amp;$B146)</f>
        <v>13270.02</v>
      </c>
      <c r="K146" s="24">
        <f>SUMIFS('Saldos Iniciales'!$D:$D,'Saldos Iniciales'!$A:$A,"Sacred Valley Capital")+SUMIFS(Movimientos!$K$1:$K$1033,Movimientos!$C$1:$C$1033,"Sacred Valley Capital",Movimientos!$B$1:$B$1033,"&lt;="&amp;$B146)</f>
        <v>94.5</v>
      </c>
      <c r="L146" s="24">
        <f>SUMIFS('Saldos Iniciales'!$D:$D,'Saldos Iniciales'!$A:$A,"YWC Capital")+SUMIFS(Movimientos!$K$1:$K$1033,Movimientos!$C$1:$C$1033,"YWC Capital",Movimientos!$B$1:$B$1033,"&lt;="&amp;$B146)</f>
        <v>2147.92</v>
      </c>
      <c r="M146" s="24">
        <f>SUMIFS('Saldos Iniciales'!$D:$D,'Saldos Iniciales'!$A:$A,"Soweto")+SUMIFS(Movimientos!$K$1:$K$1033,Movimientos!$C$1:$C$1033,"Soweto",Movimientos!$B$1:$B$1033,"&lt;="&amp;$B146)</f>
        <v>18005.290000000015</v>
      </c>
      <c r="N146" s="24">
        <f>SUMIFS('Saldos Iniciales'!$D:$D,'Saldos Iniciales'!$A:$A,"Green Stone Trust")+SUMIFS(Movimientos!$K$1:$K$1033,Movimientos!$C$1:$C$1033,"Green Stone Trust",Movimientos!$B$1:$B$1033,"&lt;="&amp;$B146)</f>
        <v>1968.99</v>
      </c>
      <c r="O146" s="24">
        <f>SUMIFS('Saldos Iniciales'!$D:$D,'Saldos Iniciales'!$A:$A,"EC Auto")+SUMIFS(Movimientos!$K$1:$K$1033,Movimientos!$C$1:$C$1033,"EC Auto",Movimientos!$B$1:$B$1033,"&lt;="&amp;$B146)</f>
        <v>901.34</v>
      </c>
      <c r="P146" s="24">
        <f>SUMIFS('Saldos Iniciales'!$D:$D,'Saldos Iniciales'!$A:$A,"Arbor Capital Properties")+SUMIFS(Movimientos!$K$1:$K$1033,Movimientos!$C$1:$C$1033,"Arbor Capital Properties",Movimientos!$B$1:$B$1033,"&lt;="&amp;$B146)</f>
        <v>1380.08</v>
      </c>
      <c r="Q146" s="24">
        <f>SUMIFS('Saldos Iniciales'!$D:$D,'Saldos Iniciales'!$A:$A,"2515 Overbrook")+SUMIFS(Movimientos!$K$1:$K$1033,Movimientos!$C$1:$C$1033,"2515 Overbrook",Movimientos!$B$1:$B$1033,"&lt;="&amp;$B146)</f>
        <v>28714.879999999961</v>
      </c>
      <c r="R146" s="24">
        <f>SUMIFS('Saldos Iniciales'!$D:$D,'Saldos Iniciales'!$A:$A,"112 Florida Ave")+SUMIFS(Movimientos!$K$1:$K$1033,Movimientos!$C$1:$C$1033,"112 Florida Ave",Movimientos!$B$1:$B$1033,"&lt;="&amp;$B146)</f>
        <v>15162.600000000006</v>
      </c>
      <c r="S146" s="24">
        <f>SUMIFS('Saldos Iniciales'!$D:$D,'Saldos Iniciales'!$A:$A,"3628 Thomas Ave")+SUMIFS(Movimientos!$K$1:$K$1033,Movimientos!$C$1:$C$1033,"3628 Thomas Ave",Movimientos!$B$1:$B$1033,"&lt;="&amp;$B146)</f>
        <v>12937.859999999997</v>
      </c>
      <c r="T146" s="24">
        <f>SUMIFS('Saldos Iniciales'!$D:$D,'Saldos Iniciales'!$A:$A,"Green Harbor Trust")+SUMIFS(Movimientos!$K$1:$K$1033,Movimientos!$C$1:$C$1033,"Green Harbor Trust",Movimientos!$B$1:$B$1033,"&lt;="&amp;$B146)</f>
        <v>345</v>
      </c>
      <c r="U146" s="24">
        <f>SUMIFS('Saldos Iniciales'!$D:$D,'Saldos Iniciales'!$A:$A,"Go Blue")+SUMIFS(Movimientos!$K$1:$K$1033,Movimientos!$C$1:$C$1033,"Go Blue",Movimientos!$B$1:$B$1033,"&lt;="&amp;$B146)</f>
        <v>15392.970000000001</v>
      </c>
      <c r="V146" s="25">
        <f t="shared" si="38"/>
        <v>5382210.379999999</v>
      </c>
    </row>
    <row r="147" spans="1:22" x14ac:dyDescent="0.3">
      <c r="A147" s="22">
        <f t="shared" si="30"/>
        <v>146</v>
      </c>
      <c r="B147" s="23">
        <v>46288</v>
      </c>
      <c r="C147" s="24">
        <f>SUMIFS('Saldos Iniciales'!$D:$D,'Saldos Iniciales'!$A:$A,"CFT Group")+SUMIFS(Movimientos!$K$1:$K$1033,Movimientos!$C$1:$C$1033,"CFT Group",Movimientos!$B$1:$B$1033,"&lt;="&amp;$B147)</f>
        <v>2322339.0500000007</v>
      </c>
      <c r="D147" s="24">
        <f>SUMIFS('Saldos Iniciales'!$D:$D,'Saldos Iniciales'!$A:$A,"M1B")+SUMIFS(Movimientos!$K$1:$K$1033,Movimientos!$C$1:$C$1033,"M1B",Movimientos!$B$1:$B$1033,"&lt;="&amp;$B147)</f>
        <v>100486.46000000017</v>
      </c>
      <c r="E147" s="24">
        <f>SUMIFS('Saldos Iniciales'!$D:$D,'Saldos Iniciales'!$A:$A,"Durand")+SUMIFS(Movimientos!$K$1:$K$1033,Movimientos!$C$1:$C$1033,"Durand",Movimientos!$B$1:$B$1033,"&lt;="&amp;$B147)</f>
        <v>1669.89</v>
      </c>
      <c r="F147" s="24">
        <f>SUMIFS('Saldos Iniciales'!$D:$D,'Saldos Iniciales'!$A:$A,"A&amp;M Imports")+SUMIFS(Movimientos!$K$1:$K$1033,Movimientos!$C$1:$C$1033,"A&amp;M Imports",Movimientos!$B$1:$B$1033,"&lt;="&amp;$B147)</f>
        <v>1453603.3599999999</v>
      </c>
      <c r="G147" s="24">
        <f>SUMIFS('Saldos Iniciales'!$D:$D,'Saldos Iniciales'!$A:$A,"SSP Capital")+SUMIFS(Movimientos!$K$1:$K$1033,Movimientos!$C$1:$C$1033,"SSP Capital",Movimientos!$B$1:$B$1033,"&lt;="&amp;$B147)</f>
        <v>1065842.7699999996</v>
      </c>
      <c r="H147" s="24">
        <f>SUMIFS('Saldos Iniciales'!$D:$D,'Saldos Iniciales'!$A:$A,"Cross Family Trust")+SUMIFS(Movimientos!$K$1:$K$1033,Movimientos!$C$1:$C$1033,"Cross Family Trust",Movimientos!$B$1:$B$1033,"&lt;="&amp;$B147)</f>
        <v>229778.14</v>
      </c>
      <c r="I147" s="24">
        <f>SUMIFS('Saldos Iniciales'!$D:$D,'Saldos Iniciales'!$A:$A,"Cross Security Trust")+SUMIFS(Movimientos!$K$1:$K$1033,Movimientos!$C$1:$C$1033,"Cross Security Trust",Movimientos!$B$1:$B$1033,"&lt;="&amp;$B147)</f>
        <v>98169.25999999998</v>
      </c>
      <c r="J147" s="24">
        <f>SUMIFS('Saldos Iniciales'!$D:$D,'Saldos Iniciales'!$A:$A,"Electrama")+SUMIFS(Movimientos!$K$1:$K$1033,Movimientos!$C$1:$C$1033,"Electrama",Movimientos!$B$1:$B$1033,"&lt;="&amp;$B147)</f>
        <v>13270.02</v>
      </c>
      <c r="K147" s="24">
        <f>SUMIFS('Saldos Iniciales'!$D:$D,'Saldos Iniciales'!$A:$A,"Sacred Valley Capital")+SUMIFS(Movimientos!$K$1:$K$1033,Movimientos!$C$1:$C$1033,"Sacred Valley Capital",Movimientos!$B$1:$B$1033,"&lt;="&amp;$B147)</f>
        <v>94.5</v>
      </c>
      <c r="L147" s="24">
        <f>SUMIFS('Saldos Iniciales'!$D:$D,'Saldos Iniciales'!$A:$A,"YWC Capital")+SUMIFS(Movimientos!$K$1:$K$1033,Movimientos!$C$1:$C$1033,"YWC Capital",Movimientos!$B$1:$B$1033,"&lt;="&amp;$B147)</f>
        <v>2147.92</v>
      </c>
      <c r="M147" s="24">
        <f>SUMIFS('Saldos Iniciales'!$D:$D,'Saldos Iniciales'!$A:$A,"Soweto")+SUMIFS(Movimientos!$K$1:$K$1033,Movimientos!$C$1:$C$1033,"Soweto",Movimientos!$B$1:$B$1033,"&lt;="&amp;$B147)</f>
        <v>18005.290000000015</v>
      </c>
      <c r="N147" s="24">
        <f>SUMIFS('Saldos Iniciales'!$D:$D,'Saldos Iniciales'!$A:$A,"Green Stone Trust")+SUMIFS(Movimientos!$K$1:$K$1033,Movimientos!$C$1:$C$1033,"Green Stone Trust",Movimientos!$B$1:$B$1033,"&lt;="&amp;$B147)</f>
        <v>1968.99</v>
      </c>
      <c r="O147" s="24">
        <f>SUMIFS('Saldos Iniciales'!$D:$D,'Saldos Iniciales'!$A:$A,"EC Auto")+SUMIFS(Movimientos!$K$1:$K$1033,Movimientos!$C$1:$C$1033,"EC Auto",Movimientos!$B$1:$B$1033,"&lt;="&amp;$B147)</f>
        <v>901.34</v>
      </c>
      <c r="P147" s="24">
        <f>SUMIFS('Saldos Iniciales'!$D:$D,'Saldos Iniciales'!$A:$A,"Arbor Capital Properties")+SUMIFS(Movimientos!$K$1:$K$1033,Movimientos!$C$1:$C$1033,"Arbor Capital Properties",Movimientos!$B$1:$B$1033,"&lt;="&amp;$B147)</f>
        <v>1380.08</v>
      </c>
      <c r="Q147" s="24">
        <f>SUMIFS('Saldos Iniciales'!$D:$D,'Saldos Iniciales'!$A:$A,"2515 Overbrook")+SUMIFS(Movimientos!$K$1:$K$1033,Movimientos!$C$1:$C$1033,"2515 Overbrook",Movimientos!$B$1:$B$1033,"&lt;="&amp;$B147)</f>
        <v>28714.879999999961</v>
      </c>
      <c r="R147" s="24">
        <f>SUMIFS('Saldos Iniciales'!$D:$D,'Saldos Iniciales'!$A:$A,"112 Florida Ave")+SUMIFS(Movimientos!$K$1:$K$1033,Movimientos!$C$1:$C$1033,"112 Florida Ave",Movimientos!$B$1:$B$1033,"&lt;="&amp;$B147)</f>
        <v>15162.600000000006</v>
      </c>
      <c r="S147" s="24">
        <f>SUMIFS('Saldos Iniciales'!$D:$D,'Saldos Iniciales'!$A:$A,"3628 Thomas Ave")+SUMIFS(Movimientos!$K$1:$K$1033,Movimientos!$C$1:$C$1033,"3628 Thomas Ave",Movimientos!$B$1:$B$1033,"&lt;="&amp;$B147)</f>
        <v>12937.859999999997</v>
      </c>
      <c r="T147" s="24">
        <f>SUMIFS('Saldos Iniciales'!$D:$D,'Saldos Iniciales'!$A:$A,"Green Harbor Trust")+SUMIFS(Movimientos!$K$1:$K$1033,Movimientos!$C$1:$C$1033,"Green Harbor Trust",Movimientos!$B$1:$B$1033,"&lt;="&amp;$B147)</f>
        <v>345</v>
      </c>
      <c r="U147" s="24">
        <f>SUMIFS('Saldos Iniciales'!$D:$D,'Saldos Iniciales'!$A:$A,"Go Blue")+SUMIFS(Movimientos!$K$1:$K$1033,Movimientos!$C$1:$C$1033,"Go Blue",Movimientos!$B$1:$B$1033,"&lt;="&amp;$B147)</f>
        <v>15392.970000000001</v>
      </c>
      <c r="V147" s="25">
        <f t="shared" si="38"/>
        <v>5382210.379999999</v>
      </c>
    </row>
    <row r="148" spans="1:22" x14ac:dyDescent="0.3">
      <c r="A148" s="22">
        <f t="shared" si="30"/>
        <v>147</v>
      </c>
      <c r="B148" s="23">
        <v>46289</v>
      </c>
      <c r="C148" s="24">
        <f>SUMIFS('Saldos Iniciales'!$D:$D,'Saldos Iniciales'!$A:$A,"CFT Group")+SUMIFS(Movimientos!$K$1:$K$1033,Movimientos!$C$1:$C$1033,"CFT Group",Movimientos!$B$1:$B$1033,"&lt;="&amp;$B148)</f>
        <v>2322339.0500000007</v>
      </c>
      <c r="D148" s="24">
        <f>SUMIFS('Saldos Iniciales'!$D:$D,'Saldos Iniciales'!$A:$A,"M1B")+SUMIFS(Movimientos!$K$1:$K$1033,Movimientos!$C$1:$C$1033,"M1B",Movimientos!$B$1:$B$1033,"&lt;="&amp;$B148)</f>
        <v>100486.46000000017</v>
      </c>
      <c r="E148" s="24">
        <f>SUMIFS('Saldos Iniciales'!$D:$D,'Saldos Iniciales'!$A:$A,"Durand")+SUMIFS(Movimientos!$K$1:$K$1033,Movimientos!$C$1:$C$1033,"Durand",Movimientos!$B$1:$B$1033,"&lt;="&amp;$B148)</f>
        <v>1669.89</v>
      </c>
      <c r="F148" s="24">
        <f>SUMIFS('Saldos Iniciales'!$D:$D,'Saldos Iniciales'!$A:$A,"A&amp;M Imports")+SUMIFS(Movimientos!$K$1:$K$1033,Movimientos!$C$1:$C$1033,"A&amp;M Imports",Movimientos!$B$1:$B$1033,"&lt;="&amp;$B148)</f>
        <v>1453603.3599999999</v>
      </c>
      <c r="G148" s="24">
        <f>SUMIFS('Saldos Iniciales'!$D:$D,'Saldos Iniciales'!$A:$A,"SSP Capital")+SUMIFS(Movimientos!$K$1:$K$1033,Movimientos!$C$1:$C$1033,"SSP Capital",Movimientos!$B$1:$B$1033,"&lt;="&amp;$B148)</f>
        <v>1065842.7699999996</v>
      </c>
      <c r="H148" s="24">
        <f>SUMIFS('Saldos Iniciales'!$D:$D,'Saldos Iniciales'!$A:$A,"Cross Family Trust")+SUMIFS(Movimientos!$K$1:$K$1033,Movimientos!$C$1:$C$1033,"Cross Family Trust",Movimientos!$B$1:$B$1033,"&lt;="&amp;$B148)</f>
        <v>229778.14</v>
      </c>
      <c r="I148" s="24">
        <f>SUMIFS('Saldos Iniciales'!$D:$D,'Saldos Iniciales'!$A:$A,"Cross Security Trust")+SUMIFS(Movimientos!$K$1:$K$1033,Movimientos!$C$1:$C$1033,"Cross Security Trust",Movimientos!$B$1:$B$1033,"&lt;="&amp;$B148)</f>
        <v>98169.25999999998</v>
      </c>
      <c r="J148" s="24">
        <f>SUMIFS('Saldos Iniciales'!$D:$D,'Saldos Iniciales'!$A:$A,"Electrama")+SUMIFS(Movimientos!$K$1:$K$1033,Movimientos!$C$1:$C$1033,"Electrama",Movimientos!$B$1:$B$1033,"&lt;="&amp;$B148)</f>
        <v>13270.02</v>
      </c>
      <c r="K148" s="24">
        <f>SUMIFS('Saldos Iniciales'!$D:$D,'Saldos Iniciales'!$A:$A,"Sacred Valley Capital")+SUMIFS(Movimientos!$K$1:$K$1033,Movimientos!$C$1:$C$1033,"Sacred Valley Capital",Movimientos!$B$1:$B$1033,"&lt;="&amp;$B148)</f>
        <v>94.5</v>
      </c>
      <c r="L148" s="24">
        <f>SUMIFS('Saldos Iniciales'!$D:$D,'Saldos Iniciales'!$A:$A,"YWC Capital")+SUMIFS(Movimientos!$K$1:$K$1033,Movimientos!$C$1:$C$1033,"YWC Capital",Movimientos!$B$1:$B$1033,"&lt;="&amp;$B148)</f>
        <v>2147.92</v>
      </c>
      <c r="M148" s="24">
        <f>SUMIFS('Saldos Iniciales'!$D:$D,'Saldos Iniciales'!$A:$A,"Soweto")+SUMIFS(Movimientos!$K$1:$K$1033,Movimientos!$C$1:$C$1033,"Soweto",Movimientos!$B$1:$B$1033,"&lt;="&amp;$B148)</f>
        <v>18005.290000000015</v>
      </c>
      <c r="N148" s="24">
        <f>SUMIFS('Saldos Iniciales'!$D:$D,'Saldos Iniciales'!$A:$A,"Green Stone Trust")+SUMIFS(Movimientos!$K$1:$K$1033,Movimientos!$C$1:$C$1033,"Green Stone Trust",Movimientos!$B$1:$B$1033,"&lt;="&amp;$B148)</f>
        <v>1968.99</v>
      </c>
      <c r="O148" s="24">
        <f>SUMIFS('Saldos Iniciales'!$D:$D,'Saldos Iniciales'!$A:$A,"EC Auto")+SUMIFS(Movimientos!$K$1:$K$1033,Movimientos!$C$1:$C$1033,"EC Auto",Movimientos!$B$1:$B$1033,"&lt;="&amp;$B148)</f>
        <v>901.34</v>
      </c>
      <c r="P148" s="24">
        <f>SUMIFS('Saldos Iniciales'!$D:$D,'Saldos Iniciales'!$A:$A,"Arbor Capital Properties")+SUMIFS(Movimientos!$K$1:$K$1033,Movimientos!$C$1:$C$1033,"Arbor Capital Properties",Movimientos!$B$1:$B$1033,"&lt;="&amp;$B148)</f>
        <v>1380.08</v>
      </c>
      <c r="Q148" s="24">
        <f>SUMIFS('Saldos Iniciales'!$D:$D,'Saldos Iniciales'!$A:$A,"2515 Overbrook")+SUMIFS(Movimientos!$K$1:$K$1033,Movimientos!$C$1:$C$1033,"2515 Overbrook",Movimientos!$B$1:$B$1033,"&lt;="&amp;$B148)</f>
        <v>28714.879999999961</v>
      </c>
      <c r="R148" s="24">
        <f>SUMIFS('Saldos Iniciales'!$D:$D,'Saldos Iniciales'!$A:$A,"112 Florida Ave")+SUMIFS(Movimientos!$K$1:$K$1033,Movimientos!$C$1:$C$1033,"112 Florida Ave",Movimientos!$B$1:$B$1033,"&lt;="&amp;$B148)</f>
        <v>15162.600000000006</v>
      </c>
      <c r="S148" s="24">
        <f>SUMIFS('Saldos Iniciales'!$D:$D,'Saldos Iniciales'!$A:$A,"3628 Thomas Ave")+SUMIFS(Movimientos!$K$1:$K$1033,Movimientos!$C$1:$C$1033,"3628 Thomas Ave",Movimientos!$B$1:$B$1033,"&lt;="&amp;$B148)</f>
        <v>12937.859999999997</v>
      </c>
      <c r="T148" s="24">
        <f>SUMIFS('Saldos Iniciales'!$D:$D,'Saldos Iniciales'!$A:$A,"Green Harbor Trust")+SUMIFS(Movimientos!$K$1:$K$1033,Movimientos!$C$1:$C$1033,"Green Harbor Trust",Movimientos!$B$1:$B$1033,"&lt;="&amp;$B148)</f>
        <v>345</v>
      </c>
      <c r="U148" s="24">
        <f>SUMIFS('Saldos Iniciales'!$D:$D,'Saldos Iniciales'!$A:$A,"Go Blue")+SUMIFS(Movimientos!$K$1:$K$1033,Movimientos!$C$1:$C$1033,"Go Blue",Movimientos!$B$1:$B$1033,"&lt;="&amp;$B148)</f>
        <v>15392.970000000001</v>
      </c>
      <c r="V148" s="25">
        <f t="shared" ref="V148" si="39">SUM(C148:U148)</f>
        <v>5382210.379999999</v>
      </c>
    </row>
    <row r="149" spans="1:22" x14ac:dyDescent="0.3">
      <c r="A149" s="22">
        <f t="shared" si="30"/>
        <v>148</v>
      </c>
      <c r="B149" s="23">
        <v>46290</v>
      </c>
      <c r="C149" s="24">
        <f>SUMIFS('Saldos Iniciales'!$D:$D,'Saldos Iniciales'!$A:$A,"CFT Group")+SUMIFS(Movimientos!$K$1:$K$1033,Movimientos!$C$1:$C$1033,"CFT Group",Movimientos!$B$1:$B$1033,"&lt;="&amp;$B149)</f>
        <v>1835844.9700000007</v>
      </c>
      <c r="D149" s="24">
        <f>SUMIFS('Saldos Iniciales'!$D:$D,'Saldos Iniciales'!$A:$A,"M1B")+SUMIFS(Movimientos!$K$1:$K$1033,Movimientos!$C$1:$C$1033,"M1B",Movimientos!$B$1:$B$1033,"&lt;="&amp;$B149)</f>
        <v>100486.46000000017</v>
      </c>
      <c r="E149" s="24">
        <f>SUMIFS('Saldos Iniciales'!$D:$D,'Saldos Iniciales'!$A:$A,"Durand")+SUMIFS(Movimientos!$K$1:$K$1033,Movimientos!$C$1:$C$1033,"Durand",Movimientos!$B$1:$B$1033,"&lt;="&amp;$B149)</f>
        <v>1669.89</v>
      </c>
      <c r="F149" s="24">
        <f>SUMIFS('Saldos Iniciales'!$D:$D,'Saldos Iniciales'!$A:$A,"A&amp;M Imports")+SUMIFS(Movimientos!$K$1:$K$1033,Movimientos!$C$1:$C$1033,"A&amp;M Imports",Movimientos!$B$1:$B$1033,"&lt;="&amp;$B149)</f>
        <v>1313603.3599999999</v>
      </c>
      <c r="G149" s="24">
        <f>SUMIFS('Saldos Iniciales'!$D:$D,'Saldos Iniciales'!$A:$A,"SSP Capital")+SUMIFS(Movimientos!$K$1:$K$1033,Movimientos!$C$1:$C$1033,"SSP Capital",Movimientos!$B$1:$B$1033,"&lt;="&amp;$B149)</f>
        <v>1350200.6299999994</v>
      </c>
      <c r="H149" s="24">
        <f>SUMIFS('Saldos Iniciales'!$D:$D,'Saldos Iniciales'!$A:$A,"Cross Family Trust")+SUMIFS(Movimientos!$K$1:$K$1033,Movimientos!$C$1:$C$1033,"Cross Family Trust",Movimientos!$B$1:$B$1033,"&lt;="&amp;$B149)</f>
        <v>229778.14</v>
      </c>
      <c r="I149" s="24">
        <f>SUMIFS('Saldos Iniciales'!$D:$D,'Saldos Iniciales'!$A:$A,"Cross Security Trust")+SUMIFS(Movimientos!$K$1:$K$1033,Movimientos!$C$1:$C$1033,"Cross Security Trust",Movimientos!$B$1:$B$1033,"&lt;="&amp;$B149)</f>
        <v>98169.25999999998</v>
      </c>
      <c r="J149" s="24">
        <f>SUMIFS('Saldos Iniciales'!$D:$D,'Saldos Iniciales'!$A:$A,"Electrama")+SUMIFS(Movimientos!$K$1:$K$1033,Movimientos!$C$1:$C$1033,"Electrama",Movimientos!$B$1:$B$1033,"&lt;="&amp;$B149)</f>
        <v>13270.02</v>
      </c>
      <c r="K149" s="24">
        <f>SUMIFS('Saldos Iniciales'!$D:$D,'Saldos Iniciales'!$A:$A,"Sacred Valley Capital")+SUMIFS(Movimientos!$K$1:$K$1033,Movimientos!$C$1:$C$1033,"Sacred Valley Capital",Movimientos!$B$1:$B$1033,"&lt;="&amp;$B149)</f>
        <v>94.5</v>
      </c>
      <c r="L149" s="24">
        <f>SUMIFS('Saldos Iniciales'!$D:$D,'Saldos Iniciales'!$A:$A,"YWC Capital")+SUMIFS(Movimientos!$K$1:$K$1033,Movimientos!$C$1:$C$1033,"YWC Capital",Movimientos!$B$1:$B$1033,"&lt;="&amp;$B149)</f>
        <v>2147.92</v>
      </c>
      <c r="M149" s="24">
        <f>SUMIFS('Saldos Iniciales'!$D:$D,'Saldos Iniciales'!$A:$A,"Soweto")+SUMIFS(Movimientos!$K$1:$K$1033,Movimientos!$C$1:$C$1033,"Soweto",Movimientos!$B$1:$B$1033,"&lt;="&amp;$B149)</f>
        <v>18005.290000000015</v>
      </c>
      <c r="N149" s="24">
        <f>SUMIFS('Saldos Iniciales'!$D:$D,'Saldos Iniciales'!$A:$A,"Green Stone Trust")+SUMIFS(Movimientos!$K$1:$K$1033,Movimientos!$C$1:$C$1033,"Green Stone Trust",Movimientos!$B$1:$B$1033,"&lt;="&amp;$B149)</f>
        <v>1968.99</v>
      </c>
      <c r="O149" s="24">
        <f>SUMIFS('Saldos Iniciales'!$D:$D,'Saldos Iniciales'!$A:$A,"EC Auto")+SUMIFS(Movimientos!$K$1:$K$1033,Movimientos!$C$1:$C$1033,"EC Auto",Movimientos!$B$1:$B$1033,"&lt;="&amp;$B149)</f>
        <v>901.34</v>
      </c>
      <c r="P149" s="24">
        <f>SUMIFS('Saldos Iniciales'!$D:$D,'Saldos Iniciales'!$A:$A,"Arbor Capital Properties")+SUMIFS(Movimientos!$K$1:$K$1033,Movimientos!$C$1:$C$1033,"Arbor Capital Properties",Movimientos!$B$1:$B$1033,"&lt;="&amp;$B149)</f>
        <v>1380.08</v>
      </c>
      <c r="Q149" s="24">
        <f>SUMIFS('Saldos Iniciales'!$D:$D,'Saldos Iniciales'!$A:$A,"2515 Overbrook")+SUMIFS(Movimientos!$K$1:$K$1033,Movimientos!$C$1:$C$1033,"2515 Overbrook",Movimientos!$B$1:$B$1033,"&lt;="&amp;$B149)</f>
        <v>28714.879999999961</v>
      </c>
      <c r="R149" s="24">
        <f>SUMIFS('Saldos Iniciales'!$D:$D,'Saldos Iniciales'!$A:$A,"112 Florida Ave")+SUMIFS(Movimientos!$K$1:$K$1033,Movimientos!$C$1:$C$1033,"112 Florida Ave",Movimientos!$B$1:$B$1033,"&lt;="&amp;$B149)</f>
        <v>23389.690000000006</v>
      </c>
      <c r="S149" s="24">
        <f>SUMIFS('Saldos Iniciales'!$D:$D,'Saldos Iniciales'!$A:$A,"3628 Thomas Ave")+SUMIFS(Movimientos!$K$1:$K$1033,Movimientos!$C$1:$C$1033,"3628 Thomas Ave",Movimientos!$B$1:$B$1033,"&lt;="&amp;$B149)</f>
        <v>16896.059999999998</v>
      </c>
      <c r="T149" s="24">
        <f>SUMIFS('Saldos Iniciales'!$D:$D,'Saldos Iniciales'!$A:$A,"Green Harbor Trust")+SUMIFS(Movimientos!$K$1:$K$1033,Movimientos!$C$1:$C$1033,"Green Harbor Trust",Movimientos!$B$1:$B$1033,"&lt;="&amp;$B149)</f>
        <v>345</v>
      </c>
      <c r="U149" s="24">
        <f>SUMIFS('Saldos Iniciales'!$D:$D,'Saldos Iniciales'!$A:$A,"Go Blue")+SUMIFS(Movimientos!$K$1:$K$1033,Movimientos!$C$1:$C$1033,"Go Blue",Movimientos!$B$1:$B$1033,"&lt;="&amp;$B149)</f>
        <v>12252.970000000001</v>
      </c>
      <c r="V149" s="25">
        <f t="shared" ref="V149:V151" si="40">SUM(C149:U149)</f>
        <v>5049119.4499999993</v>
      </c>
    </row>
    <row r="150" spans="1:22" x14ac:dyDescent="0.3">
      <c r="A150" s="22">
        <f t="shared" si="30"/>
        <v>149</v>
      </c>
      <c r="B150" s="23">
        <v>46291</v>
      </c>
      <c r="C150" s="24">
        <f>SUMIFS('Saldos Iniciales'!$D:$D,'Saldos Iniciales'!$A:$A,"CFT Group")+SUMIFS(Movimientos!$K$1:$K$1033,Movimientos!$C$1:$C$1033,"CFT Group",Movimientos!$B$1:$B$1033,"&lt;="&amp;$B150)</f>
        <v>1835844.9700000007</v>
      </c>
      <c r="D150" s="24">
        <f>SUMIFS('Saldos Iniciales'!$D:$D,'Saldos Iniciales'!$A:$A,"M1B")+SUMIFS(Movimientos!$K$1:$K$1033,Movimientos!$C$1:$C$1033,"M1B",Movimientos!$B$1:$B$1033,"&lt;="&amp;$B150)</f>
        <v>100486.46000000017</v>
      </c>
      <c r="E150" s="24">
        <f>SUMIFS('Saldos Iniciales'!$D:$D,'Saldos Iniciales'!$A:$A,"Durand")+SUMIFS(Movimientos!$K$1:$K$1033,Movimientos!$C$1:$C$1033,"Durand",Movimientos!$B$1:$B$1033,"&lt;="&amp;$B150)</f>
        <v>1669.89</v>
      </c>
      <c r="F150" s="24">
        <f>SUMIFS('Saldos Iniciales'!$D:$D,'Saldos Iniciales'!$A:$A,"A&amp;M Imports")+SUMIFS(Movimientos!$K$1:$K$1033,Movimientos!$C$1:$C$1033,"A&amp;M Imports",Movimientos!$B$1:$B$1033,"&lt;="&amp;$B150)</f>
        <v>1313603.3599999999</v>
      </c>
      <c r="G150" s="24">
        <f>SUMIFS('Saldos Iniciales'!$D:$D,'Saldos Iniciales'!$A:$A,"SSP Capital")+SUMIFS(Movimientos!$K$1:$K$1033,Movimientos!$C$1:$C$1033,"SSP Capital",Movimientos!$B$1:$B$1033,"&lt;="&amp;$B150)</f>
        <v>1350200.6299999994</v>
      </c>
      <c r="H150" s="24">
        <f>SUMIFS('Saldos Iniciales'!$D:$D,'Saldos Iniciales'!$A:$A,"Cross Family Trust")+SUMIFS(Movimientos!$K$1:$K$1033,Movimientos!$C$1:$C$1033,"Cross Family Trust",Movimientos!$B$1:$B$1033,"&lt;="&amp;$B150)</f>
        <v>229778.14</v>
      </c>
      <c r="I150" s="24">
        <f>SUMIFS('Saldos Iniciales'!$D:$D,'Saldos Iniciales'!$A:$A,"Cross Security Trust")+SUMIFS(Movimientos!$K$1:$K$1033,Movimientos!$C$1:$C$1033,"Cross Security Trust",Movimientos!$B$1:$B$1033,"&lt;="&amp;$B150)</f>
        <v>98169.25999999998</v>
      </c>
      <c r="J150" s="24">
        <f>SUMIFS('Saldos Iniciales'!$D:$D,'Saldos Iniciales'!$A:$A,"Electrama")+SUMIFS(Movimientos!$K$1:$K$1033,Movimientos!$C$1:$C$1033,"Electrama",Movimientos!$B$1:$B$1033,"&lt;="&amp;$B150)</f>
        <v>13270.02</v>
      </c>
      <c r="K150" s="24">
        <f>SUMIFS('Saldos Iniciales'!$D:$D,'Saldos Iniciales'!$A:$A,"Sacred Valley Capital")+SUMIFS(Movimientos!$K$1:$K$1033,Movimientos!$C$1:$C$1033,"Sacred Valley Capital",Movimientos!$B$1:$B$1033,"&lt;="&amp;$B150)</f>
        <v>94.5</v>
      </c>
      <c r="L150" s="24">
        <f>SUMIFS('Saldos Iniciales'!$D:$D,'Saldos Iniciales'!$A:$A,"YWC Capital")+SUMIFS(Movimientos!$K$1:$K$1033,Movimientos!$C$1:$C$1033,"YWC Capital",Movimientos!$B$1:$B$1033,"&lt;="&amp;$B150)</f>
        <v>2147.92</v>
      </c>
      <c r="M150" s="24">
        <f>SUMIFS('Saldos Iniciales'!$D:$D,'Saldos Iniciales'!$A:$A,"Soweto")+SUMIFS(Movimientos!$K$1:$K$1033,Movimientos!$C$1:$C$1033,"Soweto",Movimientos!$B$1:$B$1033,"&lt;="&amp;$B150)</f>
        <v>18005.290000000015</v>
      </c>
      <c r="N150" s="24">
        <f>SUMIFS('Saldos Iniciales'!$D:$D,'Saldos Iniciales'!$A:$A,"Green Stone Trust")+SUMIFS(Movimientos!$K$1:$K$1033,Movimientos!$C$1:$C$1033,"Green Stone Trust",Movimientos!$B$1:$B$1033,"&lt;="&amp;$B150)</f>
        <v>1968.99</v>
      </c>
      <c r="O150" s="24">
        <f>SUMIFS('Saldos Iniciales'!$D:$D,'Saldos Iniciales'!$A:$A,"EC Auto")+SUMIFS(Movimientos!$K$1:$K$1033,Movimientos!$C$1:$C$1033,"EC Auto",Movimientos!$B$1:$B$1033,"&lt;="&amp;$B150)</f>
        <v>901.34</v>
      </c>
      <c r="P150" s="24">
        <f>SUMIFS('Saldos Iniciales'!$D:$D,'Saldos Iniciales'!$A:$A,"Arbor Capital Properties")+SUMIFS(Movimientos!$K$1:$K$1033,Movimientos!$C$1:$C$1033,"Arbor Capital Properties",Movimientos!$B$1:$B$1033,"&lt;="&amp;$B150)</f>
        <v>1380.08</v>
      </c>
      <c r="Q150" s="24">
        <f>SUMIFS('Saldos Iniciales'!$D:$D,'Saldos Iniciales'!$A:$A,"2515 Overbrook")+SUMIFS(Movimientos!$K$1:$K$1033,Movimientos!$C$1:$C$1033,"2515 Overbrook",Movimientos!$B$1:$B$1033,"&lt;="&amp;$B150)</f>
        <v>28714.879999999961</v>
      </c>
      <c r="R150" s="24">
        <f>SUMIFS('Saldos Iniciales'!$D:$D,'Saldos Iniciales'!$A:$A,"112 Florida Ave")+SUMIFS(Movimientos!$K$1:$K$1033,Movimientos!$C$1:$C$1033,"112 Florida Ave",Movimientos!$B$1:$B$1033,"&lt;="&amp;$B150)</f>
        <v>23389.690000000006</v>
      </c>
      <c r="S150" s="24">
        <f>SUMIFS('Saldos Iniciales'!$D:$D,'Saldos Iniciales'!$A:$A,"3628 Thomas Ave")+SUMIFS(Movimientos!$K$1:$K$1033,Movimientos!$C$1:$C$1033,"3628 Thomas Ave",Movimientos!$B$1:$B$1033,"&lt;="&amp;$B150)</f>
        <v>16896.059999999998</v>
      </c>
      <c r="T150" s="24">
        <f>SUMIFS('Saldos Iniciales'!$D:$D,'Saldos Iniciales'!$A:$A,"Green Harbor Trust")+SUMIFS(Movimientos!$K$1:$K$1033,Movimientos!$C$1:$C$1033,"Green Harbor Trust",Movimientos!$B$1:$B$1033,"&lt;="&amp;$B150)</f>
        <v>345</v>
      </c>
      <c r="U150" s="24">
        <f>SUMIFS('Saldos Iniciales'!$D:$D,'Saldos Iniciales'!$A:$A,"Go Blue")+SUMIFS(Movimientos!$K$1:$K$1033,Movimientos!$C$1:$C$1033,"Go Blue",Movimientos!$B$1:$B$1033,"&lt;="&amp;$B150)</f>
        <v>12252.970000000001</v>
      </c>
      <c r="V150" s="25">
        <f t="shared" si="40"/>
        <v>5049119.4499999993</v>
      </c>
    </row>
    <row r="151" spans="1:22" x14ac:dyDescent="0.3">
      <c r="A151" s="22">
        <f t="shared" si="30"/>
        <v>150</v>
      </c>
      <c r="B151" s="23">
        <v>46292</v>
      </c>
      <c r="C151" s="24">
        <f>SUMIFS('Saldos Iniciales'!$D:$D,'Saldos Iniciales'!$A:$A,"CFT Group")+SUMIFS(Movimientos!$K$1:$K$1033,Movimientos!$C$1:$C$1033,"CFT Group",Movimientos!$B$1:$B$1033,"&lt;="&amp;$B151)</f>
        <v>1835844.9700000007</v>
      </c>
      <c r="D151" s="24">
        <f>SUMIFS('Saldos Iniciales'!$D:$D,'Saldos Iniciales'!$A:$A,"M1B")+SUMIFS(Movimientos!$K$1:$K$1033,Movimientos!$C$1:$C$1033,"M1B",Movimientos!$B$1:$B$1033,"&lt;="&amp;$B151)</f>
        <v>100486.46000000017</v>
      </c>
      <c r="E151" s="24">
        <f>SUMIFS('Saldos Iniciales'!$D:$D,'Saldos Iniciales'!$A:$A,"Durand")+SUMIFS(Movimientos!$K$1:$K$1033,Movimientos!$C$1:$C$1033,"Durand",Movimientos!$B$1:$B$1033,"&lt;="&amp;$B151)</f>
        <v>1669.89</v>
      </c>
      <c r="F151" s="24">
        <f>SUMIFS('Saldos Iniciales'!$D:$D,'Saldos Iniciales'!$A:$A,"A&amp;M Imports")+SUMIFS(Movimientos!$K$1:$K$1033,Movimientos!$C$1:$C$1033,"A&amp;M Imports",Movimientos!$B$1:$B$1033,"&lt;="&amp;$B151)</f>
        <v>1313603.3599999999</v>
      </c>
      <c r="G151" s="24">
        <f>SUMIFS('Saldos Iniciales'!$D:$D,'Saldos Iniciales'!$A:$A,"SSP Capital")+SUMIFS(Movimientos!$K$1:$K$1033,Movimientos!$C$1:$C$1033,"SSP Capital",Movimientos!$B$1:$B$1033,"&lt;="&amp;$B151)</f>
        <v>1350200.6299999994</v>
      </c>
      <c r="H151" s="24">
        <f>SUMIFS('Saldos Iniciales'!$D:$D,'Saldos Iniciales'!$A:$A,"Cross Family Trust")+SUMIFS(Movimientos!$K$1:$K$1033,Movimientos!$C$1:$C$1033,"Cross Family Trust",Movimientos!$B$1:$B$1033,"&lt;="&amp;$B151)</f>
        <v>229778.14</v>
      </c>
      <c r="I151" s="24">
        <f>SUMIFS('Saldos Iniciales'!$D:$D,'Saldos Iniciales'!$A:$A,"Cross Security Trust")+SUMIFS(Movimientos!$K$1:$K$1033,Movimientos!$C$1:$C$1033,"Cross Security Trust",Movimientos!$B$1:$B$1033,"&lt;="&amp;$B151)</f>
        <v>98169.25999999998</v>
      </c>
      <c r="J151" s="24">
        <f>SUMIFS('Saldos Iniciales'!$D:$D,'Saldos Iniciales'!$A:$A,"Electrama")+SUMIFS(Movimientos!$K$1:$K$1033,Movimientos!$C$1:$C$1033,"Electrama",Movimientos!$B$1:$B$1033,"&lt;="&amp;$B151)</f>
        <v>13270.02</v>
      </c>
      <c r="K151" s="24">
        <f>SUMIFS('Saldos Iniciales'!$D:$D,'Saldos Iniciales'!$A:$A,"Sacred Valley Capital")+SUMIFS(Movimientos!$K$1:$K$1033,Movimientos!$C$1:$C$1033,"Sacred Valley Capital",Movimientos!$B$1:$B$1033,"&lt;="&amp;$B151)</f>
        <v>94.5</v>
      </c>
      <c r="L151" s="24">
        <f>SUMIFS('Saldos Iniciales'!$D:$D,'Saldos Iniciales'!$A:$A,"YWC Capital")+SUMIFS(Movimientos!$K$1:$K$1033,Movimientos!$C$1:$C$1033,"YWC Capital",Movimientos!$B$1:$B$1033,"&lt;="&amp;$B151)</f>
        <v>2147.92</v>
      </c>
      <c r="M151" s="24">
        <f>SUMIFS('Saldos Iniciales'!$D:$D,'Saldos Iniciales'!$A:$A,"Soweto")+SUMIFS(Movimientos!$K$1:$K$1033,Movimientos!$C$1:$C$1033,"Soweto",Movimientos!$B$1:$B$1033,"&lt;="&amp;$B151)</f>
        <v>18005.290000000015</v>
      </c>
      <c r="N151" s="24">
        <f>SUMIFS('Saldos Iniciales'!$D:$D,'Saldos Iniciales'!$A:$A,"Green Stone Trust")+SUMIFS(Movimientos!$K$1:$K$1033,Movimientos!$C$1:$C$1033,"Green Stone Trust",Movimientos!$B$1:$B$1033,"&lt;="&amp;$B151)</f>
        <v>1968.99</v>
      </c>
      <c r="O151" s="24">
        <f>SUMIFS('Saldos Iniciales'!$D:$D,'Saldos Iniciales'!$A:$A,"EC Auto")+SUMIFS(Movimientos!$K$1:$K$1033,Movimientos!$C$1:$C$1033,"EC Auto",Movimientos!$B$1:$B$1033,"&lt;="&amp;$B151)</f>
        <v>901.34</v>
      </c>
      <c r="P151" s="24">
        <f>SUMIFS('Saldos Iniciales'!$D:$D,'Saldos Iniciales'!$A:$A,"Arbor Capital Properties")+SUMIFS(Movimientos!$K$1:$K$1033,Movimientos!$C$1:$C$1033,"Arbor Capital Properties",Movimientos!$B$1:$B$1033,"&lt;="&amp;$B151)</f>
        <v>1380.08</v>
      </c>
      <c r="Q151" s="24">
        <f>SUMIFS('Saldos Iniciales'!$D:$D,'Saldos Iniciales'!$A:$A,"2515 Overbrook")+SUMIFS(Movimientos!$K$1:$K$1033,Movimientos!$C$1:$C$1033,"2515 Overbrook",Movimientos!$B$1:$B$1033,"&lt;="&amp;$B151)</f>
        <v>28714.879999999961</v>
      </c>
      <c r="R151" s="24">
        <f>SUMIFS('Saldos Iniciales'!$D:$D,'Saldos Iniciales'!$A:$A,"112 Florida Ave")+SUMIFS(Movimientos!$K$1:$K$1033,Movimientos!$C$1:$C$1033,"112 Florida Ave",Movimientos!$B$1:$B$1033,"&lt;="&amp;$B151)</f>
        <v>23389.690000000006</v>
      </c>
      <c r="S151" s="24">
        <f>SUMIFS('Saldos Iniciales'!$D:$D,'Saldos Iniciales'!$A:$A,"3628 Thomas Ave")+SUMIFS(Movimientos!$K$1:$K$1033,Movimientos!$C$1:$C$1033,"3628 Thomas Ave",Movimientos!$B$1:$B$1033,"&lt;="&amp;$B151)</f>
        <v>16896.059999999998</v>
      </c>
      <c r="T151" s="24">
        <f>SUMIFS('Saldos Iniciales'!$D:$D,'Saldos Iniciales'!$A:$A,"Green Harbor Trust")+SUMIFS(Movimientos!$K$1:$K$1033,Movimientos!$C$1:$C$1033,"Green Harbor Trust",Movimientos!$B$1:$B$1033,"&lt;="&amp;$B151)</f>
        <v>345</v>
      </c>
      <c r="U151" s="24">
        <f>SUMIFS('Saldos Iniciales'!$D:$D,'Saldos Iniciales'!$A:$A,"Go Blue")+SUMIFS(Movimientos!$K$1:$K$1033,Movimientos!$C$1:$C$1033,"Go Blue",Movimientos!$B$1:$B$1033,"&lt;="&amp;$B151)</f>
        <v>12252.970000000001</v>
      </c>
      <c r="V151" s="25">
        <f t="shared" si="40"/>
        <v>5049119.4499999993</v>
      </c>
    </row>
    <row r="152" spans="1:22" x14ac:dyDescent="0.3">
      <c r="A152" s="22">
        <f t="shared" si="30"/>
        <v>151</v>
      </c>
      <c r="B152" s="23">
        <v>46293</v>
      </c>
      <c r="C152" s="24">
        <f>SUMIFS('Saldos Iniciales'!$D:$D,'Saldos Iniciales'!$A:$A,"CFT Group")+SUMIFS(Movimientos!$K$1:$K$1033,Movimientos!$C$1:$C$1033,"CFT Group",Movimientos!$B$1:$B$1033,"&lt;="&amp;$B152)</f>
        <v>1843641.4700000007</v>
      </c>
      <c r="D152" s="24">
        <f>SUMIFS('Saldos Iniciales'!$D:$D,'Saldos Iniciales'!$A:$A,"M1B")+SUMIFS(Movimientos!$K$1:$K$1033,Movimientos!$C$1:$C$1033,"M1B",Movimientos!$B$1:$B$1033,"&lt;="&amp;$B152)</f>
        <v>100486.46000000017</v>
      </c>
      <c r="E152" s="24">
        <f>SUMIFS('Saldos Iniciales'!$D:$D,'Saldos Iniciales'!$A:$A,"Durand")+SUMIFS(Movimientos!$K$1:$K$1033,Movimientos!$C$1:$C$1033,"Durand",Movimientos!$B$1:$B$1033,"&lt;="&amp;$B152)</f>
        <v>1669.89</v>
      </c>
      <c r="F152" s="24">
        <f>SUMIFS('Saldos Iniciales'!$D:$D,'Saldos Iniciales'!$A:$A,"A&amp;M Imports")+SUMIFS(Movimientos!$K$1:$K$1033,Movimientos!$C$1:$C$1033,"A&amp;M Imports",Movimientos!$B$1:$B$1033,"&lt;="&amp;$B152)</f>
        <v>1330582.2599999998</v>
      </c>
      <c r="G152" s="24">
        <f>SUMIFS('Saldos Iniciales'!$D:$D,'Saldos Iniciales'!$A:$A,"SSP Capital")+SUMIFS(Movimientos!$K$1:$K$1033,Movimientos!$C$1:$C$1033,"SSP Capital",Movimientos!$B$1:$B$1033,"&lt;="&amp;$B152)</f>
        <v>1350200.6299999994</v>
      </c>
      <c r="H152" s="24">
        <f>SUMIFS('Saldos Iniciales'!$D:$D,'Saldos Iniciales'!$A:$A,"Cross Family Trust")+SUMIFS(Movimientos!$K$1:$K$1033,Movimientos!$C$1:$C$1033,"Cross Family Trust",Movimientos!$B$1:$B$1033,"&lt;="&amp;$B152)</f>
        <v>229778.14</v>
      </c>
      <c r="I152" s="24">
        <f>SUMIFS('Saldos Iniciales'!$D:$D,'Saldos Iniciales'!$A:$A,"Cross Security Trust")+SUMIFS(Movimientos!$K$1:$K$1033,Movimientos!$C$1:$C$1033,"Cross Security Trust",Movimientos!$B$1:$B$1033,"&lt;="&amp;$B152)</f>
        <v>98169.25999999998</v>
      </c>
      <c r="J152" s="24">
        <f>SUMIFS('Saldos Iniciales'!$D:$D,'Saldos Iniciales'!$A:$A,"Electrama")+SUMIFS(Movimientos!$K$1:$K$1033,Movimientos!$C$1:$C$1033,"Electrama",Movimientos!$B$1:$B$1033,"&lt;="&amp;$B152)</f>
        <v>13270.02</v>
      </c>
      <c r="K152" s="24">
        <f>SUMIFS('Saldos Iniciales'!$D:$D,'Saldos Iniciales'!$A:$A,"Sacred Valley Capital")+SUMIFS(Movimientos!$K$1:$K$1033,Movimientos!$C$1:$C$1033,"Sacred Valley Capital",Movimientos!$B$1:$B$1033,"&lt;="&amp;$B152)</f>
        <v>94.5</v>
      </c>
      <c r="L152" s="24">
        <f>SUMIFS('Saldos Iniciales'!$D:$D,'Saldos Iniciales'!$A:$A,"YWC Capital")+SUMIFS(Movimientos!$K$1:$K$1033,Movimientos!$C$1:$C$1033,"YWC Capital",Movimientos!$B$1:$B$1033,"&lt;="&amp;$B152)</f>
        <v>2147.92</v>
      </c>
      <c r="M152" s="24">
        <f>SUMIFS('Saldos Iniciales'!$D:$D,'Saldos Iniciales'!$A:$A,"Soweto")+SUMIFS(Movimientos!$K$1:$K$1033,Movimientos!$C$1:$C$1033,"Soweto",Movimientos!$B$1:$B$1033,"&lt;="&amp;$B152)</f>
        <v>18005.290000000015</v>
      </c>
      <c r="N152" s="24">
        <f>SUMIFS('Saldos Iniciales'!$D:$D,'Saldos Iniciales'!$A:$A,"Green Stone Trust")+SUMIFS(Movimientos!$K$1:$K$1033,Movimientos!$C$1:$C$1033,"Green Stone Trust",Movimientos!$B$1:$B$1033,"&lt;="&amp;$B152)</f>
        <v>1968.99</v>
      </c>
      <c r="O152" s="24">
        <f>SUMIFS('Saldos Iniciales'!$D:$D,'Saldos Iniciales'!$A:$A,"EC Auto")+SUMIFS(Movimientos!$K$1:$K$1033,Movimientos!$C$1:$C$1033,"EC Auto",Movimientos!$B$1:$B$1033,"&lt;="&amp;$B152)</f>
        <v>901.34</v>
      </c>
      <c r="P152" s="24">
        <f>SUMIFS('Saldos Iniciales'!$D:$D,'Saldos Iniciales'!$A:$A,"Arbor Capital Properties")+SUMIFS(Movimientos!$K$1:$K$1033,Movimientos!$C$1:$C$1033,"Arbor Capital Properties",Movimientos!$B$1:$B$1033,"&lt;="&amp;$B152)</f>
        <v>1380.08</v>
      </c>
      <c r="Q152" s="24">
        <f>SUMIFS('Saldos Iniciales'!$D:$D,'Saldos Iniciales'!$A:$A,"2515 Overbrook")+SUMIFS(Movimientos!$K$1:$K$1033,Movimientos!$C$1:$C$1033,"2515 Overbrook",Movimientos!$B$1:$B$1033,"&lt;="&amp;$B152)</f>
        <v>28714.879999999961</v>
      </c>
      <c r="R152" s="24">
        <f>SUMIFS('Saldos Iniciales'!$D:$D,'Saldos Iniciales'!$A:$A,"112 Florida Ave")+SUMIFS(Movimientos!$K$1:$K$1033,Movimientos!$C$1:$C$1033,"112 Florida Ave",Movimientos!$B$1:$B$1033,"&lt;="&amp;$B152)</f>
        <v>23374.690000000006</v>
      </c>
      <c r="S152" s="24">
        <f>SUMIFS('Saldos Iniciales'!$D:$D,'Saldos Iniciales'!$A:$A,"3628 Thomas Ave")+SUMIFS(Movimientos!$K$1:$K$1033,Movimientos!$C$1:$C$1033,"3628 Thomas Ave",Movimientos!$B$1:$B$1033,"&lt;="&amp;$B152)</f>
        <v>16266.809999999998</v>
      </c>
      <c r="T152" s="24">
        <f>SUMIFS('Saldos Iniciales'!$D:$D,'Saldos Iniciales'!$A:$A,"Green Harbor Trust")+SUMIFS(Movimientos!$K$1:$K$1033,Movimientos!$C$1:$C$1033,"Green Harbor Trust",Movimientos!$B$1:$B$1033,"&lt;="&amp;$B152)</f>
        <v>345</v>
      </c>
      <c r="U152" s="24">
        <f>SUMIFS('Saldos Iniciales'!$D:$D,'Saldos Iniciales'!$A:$A,"Go Blue")+SUMIFS(Movimientos!$K$1:$K$1033,Movimientos!$C$1:$C$1033,"Go Blue",Movimientos!$B$1:$B$1033,"&lt;="&amp;$B152)</f>
        <v>12252.970000000001</v>
      </c>
      <c r="V152" s="25">
        <f t="shared" ref="V152:V153" si="41">SUM(C152:U152)</f>
        <v>5073250.5999999987</v>
      </c>
    </row>
    <row r="153" spans="1:22" x14ac:dyDescent="0.3">
      <c r="A153" s="22">
        <f t="shared" si="30"/>
        <v>152</v>
      </c>
      <c r="B153" s="23">
        <v>46294</v>
      </c>
      <c r="C153" s="24">
        <f>SUMIFS('Saldos Iniciales'!$D:$D,'Saldos Iniciales'!$A:$A,"CFT Group")+SUMIFS(Movimientos!$K$1:$K$1033,Movimientos!$C$1:$C$1033,"CFT Group",Movimientos!$B$1:$B$1033,"&lt;="&amp;$B153)</f>
        <v>1840848.4400000006</v>
      </c>
      <c r="D153" s="24">
        <f>SUMIFS('Saldos Iniciales'!$D:$D,'Saldos Iniciales'!$A:$A,"M1B")+SUMIFS(Movimientos!$K$1:$K$1033,Movimientos!$C$1:$C$1033,"M1B",Movimientos!$B$1:$B$1033,"&lt;="&amp;$B153)</f>
        <v>100486.46000000017</v>
      </c>
      <c r="E153" s="24">
        <f>SUMIFS('Saldos Iniciales'!$D:$D,'Saldos Iniciales'!$A:$A,"Durand")+SUMIFS(Movimientos!$K$1:$K$1033,Movimientos!$C$1:$C$1033,"Durand",Movimientos!$B$1:$B$1033,"&lt;="&amp;$B153)</f>
        <v>1669.89</v>
      </c>
      <c r="F153" s="24">
        <f>SUMIFS('Saldos Iniciales'!$D:$D,'Saldos Iniciales'!$A:$A,"A&amp;M Imports")+SUMIFS(Movimientos!$K$1:$K$1033,Movimientos!$C$1:$C$1033,"A&amp;M Imports",Movimientos!$B$1:$B$1033,"&lt;="&amp;$B153)</f>
        <v>1330582.2599999998</v>
      </c>
      <c r="G153" s="24">
        <f>SUMIFS('Saldos Iniciales'!$D:$D,'Saldos Iniciales'!$A:$A,"SSP Capital")+SUMIFS(Movimientos!$K$1:$K$1033,Movimientos!$C$1:$C$1033,"SSP Capital",Movimientos!$B$1:$B$1033,"&lt;="&amp;$B153)</f>
        <v>1181041.1199999996</v>
      </c>
      <c r="H153" s="24">
        <f>SUMIFS('Saldos Iniciales'!$D:$D,'Saldos Iniciales'!$A:$A,"Cross Family Trust")+SUMIFS(Movimientos!$K$1:$K$1033,Movimientos!$C$1:$C$1033,"Cross Family Trust",Movimientos!$B$1:$B$1033,"&lt;="&amp;$B153)</f>
        <v>229778.14</v>
      </c>
      <c r="I153" s="24">
        <f>SUMIFS('Saldos Iniciales'!$D:$D,'Saldos Iniciales'!$A:$A,"Cross Security Trust")+SUMIFS(Movimientos!$K$1:$K$1033,Movimientos!$C$1:$C$1033,"Cross Security Trust",Movimientos!$B$1:$B$1033,"&lt;="&amp;$B153)</f>
        <v>98169.25999999998</v>
      </c>
      <c r="J153" s="24">
        <f>SUMIFS('Saldos Iniciales'!$D:$D,'Saldos Iniciales'!$A:$A,"Electrama")+SUMIFS(Movimientos!$K$1:$K$1033,Movimientos!$C$1:$C$1033,"Electrama",Movimientos!$B$1:$B$1033,"&lt;="&amp;$B153)</f>
        <v>13270.02</v>
      </c>
      <c r="K153" s="24">
        <f>SUMIFS('Saldos Iniciales'!$D:$D,'Saldos Iniciales'!$A:$A,"Sacred Valley Capital")+SUMIFS(Movimientos!$K$1:$K$1033,Movimientos!$C$1:$C$1033,"Sacred Valley Capital",Movimientos!$B$1:$B$1033,"&lt;="&amp;$B153)</f>
        <v>94.5</v>
      </c>
      <c r="L153" s="24">
        <f>SUMIFS('Saldos Iniciales'!$D:$D,'Saldos Iniciales'!$A:$A,"YWC Capital")+SUMIFS(Movimientos!$K$1:$K$1033,Movimientos!$C$1:$C$1033,"YWC Capital",Movimientos!$B$1:$B$1033,"&lt;="&amp;$B153)</f>
        <v>2147.92</v>
      </c>
      <c r="M153" s="24">
        <f>SUMIFS('Saldos Iniciales'!$D:$D,'Saldos Iniciales'!$A:$A,"Soweto")+SUMIFS(Movimientos!$K$1:$K$1033,Movimientos!$C$1:$C$1033,"Soweto",Movimientos!$B$1:$B$1033,"&lt;="&amp;$B153)</f>
        <v>18005.290000000015</v>
      </c>
      <c r="N153" s="24">
        <f>SUMIFS('Saldos Iniciales'!$D:$D,'Saldos Iniciales'!$A:$A,"Green Stone Trust")+SUMIFS(Movimientos!$K$1:$K$1033,Movimientos!$C$1:$C$1033,"Green Stone Trust",Movimientos!$B$1:$B$1033,"&lt;="&amp;$B153)</f>
        <v>1968.99</v>
      </c>
      <c r="O153" s="24">
        <f>SUMIFS('Saldos Iniciales'!$D:$D,'Saldos Iniciales'!$A:$A,"EC Auto")+SUMIFS(Movimientos!$K$1:$K$1033,Movimientos!$C$1:$C$1033,"EC Auto",Movimientos!$B$1:$B$1033,"&lt;="&amp;$B153)</f>
        <v>901.34</v>
      </c>
      <c r="P153" s="24">
        <f>SUMIFS('Saldos Iniciales'!$D:$D,'Saldos Iniciales'!$A:$A,"Arbor Capital Properties")+SUMIFS(Movimientos!$K$1:$K$1033,Movimientos!$C$1:$C$1033,"Arbor Capital Properties",Movimientos!$B$1:$B$1033,"&lt;="&amp;$B153)</f>
        <v>1380.08</v>
      </c>
      <c r="Q153" s="24">
        <f>SUMIFS('Saldos Iniciales'!$D:$D,'Saldos Iniciales'!$A:$A,"2515 Overbrook")+SUMIFS(Movimientos!$K$1:$K$1033,Movimientos!$C$1:$C$1033,"2515 Overbrook",Movimientos!$B$1:$B$1033,"&lt;="&amp;$B153)</f>
        <v>28714.879999999961</v>
      </c>
      <c r="R153" s="24">
        <f>SUMIFS('Saldos Iniciales'!$D:$D,'Saldos Iniciales'!$A:$A,"112 Florida Ave")+SUMIFS(Movimientos!$K$1:$K$1033,Movimientos!$C$1:$C$1033,"112 Florida Ave",Movimientos!$B$1:$B$1033,"&lt;="&amp;$B153)</f>
        <v>23374.690000000006</v>
      </c>
      <c r="S153" s="24">
        <f>SUMIFS('Saldos Iniciales'!$D:$D,'Saldos Iniciales'!$A:$A,"3628 Thomas Ave")+SUMIFS(Movimientos!$K$1:$K$1033,Movimientos!$C$1:$C$1033,"3628 Thomas Ave",Movimientos!$B$1:$B$1033,"&lt;="&amp;$B153)</f>
        <v>19266.809999999998</v>
      </c>
      <c r="T153" s="24">
        <f>SUMIFS('Saldos Iniciales'!$D:$D,'Saldos Iniciales'!$A:$A,"Green Harbor Trust")+SUMIFS(Movimientos!$K$1:$K$1033,Movimientos!$C$1:$C$1033,"Green Harbor Trust",Movimientos!$B$1:$B$1033,"&lt;="&amp;$B153)</f>
        <v>345</v>
      </c>
      <c r="U153" s="24">
        <f>SUMIFS('Saldos Iniciales'!$D:$D,'Saldos Iniciales'!$A:$A,"Go Blue")+SUMIFS(Movimientos!$K$1:$K$1033,Movimientos!$C$1:$C$1033,"Go Blue",Movimientos!$B$1:$B$1033,"&lt;="&amp;$B153)</f>
        <v>12252.970000000001</v>
      </c>
      <c r="V153" s="25">
        <f t="shared" si="41"/>
        <v>4904298.0599999987</v>
      </c>
    </row>
  </sheetData>
  <conditionalFormatting sqref="C2:V153">
    <cfRule type="cellIs" dxfId="4" priority="1" operator="lessThan">
      <formula>0</formula>
    </cfRule>
  </conditionalFormatting>
  <conditionalFormatting sqref="V2:V153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2889"/>
  <sheetViews>
    <sheetView tabSelected="1" zoomScale="80" zoomScaleNormal="80" workbookViewId="0">
      <pane ySplit="1" topLeftCell="A2866" activePane="bottomLeft" state="frozen"/>
      <selection pane="bottomLeft" activeCell="G2885" sqref="G2885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167</v>
      </c>
      <c r="D1" s="64" t="s">
        <v>131</v>
      </c>
      <c r="G1" s="61" t="s">
        <v>2</v>
      </c>
      <c r="H1" s="62" t="s">
        <v>130</v>
      </c>
      <c r="I1" s="63" t="s">
        <v>167</v>
      </c>
      <c r="J1" s="64" t="s">
        <v>131</v>
      </c>
    </row>
    <row r="2" spans="1:10" x14ac:dyDescent="0.3">
      <c r="A2" s="78" t="s">
        <v>17</v>
      </c>
      <c r="B2" s="78"/>
      <c r="C2" s="16">
        <v>46143</v>
      </c>
      <c r="D2">
        <v>200763.43000000025</v>
      </c>
    </row>
    <row r="3" spans="1:10" x14ac:dyDescent="0.3">
      <c r="A3" s="78" t="s">
        <v>18</v>
      </c>
      <c r="B3" s="78"/>
      <c r="C3" s="16">
        <v>46143</v>
      </c>
      <c r="D3">
        <v>51288.029999999948</v>
      </c>
    </row>
    <row r="4" spans="1:10" x14ac:dyDescent="0.3">
      <c r="A4" s="78" t="s">
        <v>19</v>
      </c>
      <c r="B4" s="78"/>
      <c r="C4" s="16">
        <v>46143</v>
      </c>
      <c r="D4">
        <v>1669.89</v>
      </c>
    </row>
    <row r="5" spans="1:10" x14ac:dyDescent="0.3">
      <c r="A5" s="78" t="s">
        <v>20</v>
      </c>
      <c r="B5" s="78"/>
      <c r="C5" s="16">
        <v>46143</v>
      </c>
      <c r="D5">
        <v>589990.30000000005</v>
      </c>
    </row>
    <row r="6" spans="1:10" x14ac:dyDescent="0.3">
      <c r="A6" s="78" t="s">
        <v>21</v>
      </c>
      <c r="B6" s="78"/>
      <c r="C6" s="16">
        <v>46143</v>
      </c>
      <c r="D6">
        <v>990387.37999999931</v>
      </c>
    </row>
    <row r="7" spans="1:10" x14ac:dyDescent="0.3">
      <c r="A7" s="78" t="s">
        <v>22</v>
      </c>
      <c r="B7" s="78"/>
      <c r="C7" s="16">
        <v>46143</v>
      </c>
      <c r="D7">
        <v>142511.38</v>
      </c>
    </row>
    <row r="8" spans="1:10" x14ac:dyDescent="0.3">
      <c r="A8" s="78" t="s">
        <v>23</v>
      </c>
      <c r="B8" s="78"/>
      <c r="C8" s="16">
        <v>46143</v>
      </c>
      <c r="D8">
        <v>13088.589999999997</v>
      </c>
    </row>
    <row r="9" spans="1:10" x14ac:dyDescent="0.3">
      <c r="A9" s="78" t="s">
        <v>24</v>
      </c>
      <c r="B9" s="78"/>
      <c r="C9" s="16">
        <v>46143</v>
      </c>
      <c r="D9">
        <v>808.82999999999993</v>
      </c>
    </row>
    <row r="10" spans="1:10" x14ac:dyDescent="0.3">
      <c r="A10" s="78" t="s">
        <v>25</v>
      </c>
      <c r="B10" s="78"/>
      <c r="C10" s="16">
        <v>46143</v>
      </c>
      <c r="D10">
        <v>114.3</v>
      </c>
    </row>
    <row r="11" spans="1:10" x14ac:dyDescent="0.3">
      <c r="A11" s="78" t="s">
        <v>26</v>
      </c>
      <c r="B11" s="78"/>
      <c r="C11" s="16">
        <v>46143</v>
      </c>
      <c r="D11">
        <v>2267.7200000000003</v>
      </c>
    </row>
    <row r="12" spans="1:10" x14ac:dyDescent="0.3">
      <c r="A12" s="78" t="s">
        <v>27</v>
      </c>
      <c r="B12" s="78"/>
      <c r="C12" s="16">
        <v>46143</v>
      </c>
      <c r="D12">
        <v>3364.94</v>
      </c>
    </row>
    <row r="13" spans="1:10" x14ac:dyDescent="0.3">
      <c r="A13" s="78" t="s">
        <v>28</v>
      </c>
      <c r="B13" s="78"/>
      <c r="C13" s="16">
        <v>46143</v>
      </c>
      <c r="D13">
        <v>1968.99</v>
      </c>
    </row>
    <row r="14" spans="1:10" x14ac:dyDescent="0.3">
      <c r="A14" s="78" t="s">
        <v>29</v>
      </c>
      <c r="B14" s="78"/>
      <c r="C14" s="16">
        <v>46143</v>
      </c>
      <c r="D14">
        <v>901.34</v>
      </c>
    </row>
    <row r="15" spans="1:10" x14ac:dyDescent="0.3">
      <c r="A15" s="78" t="s">
        <v>30</v>
      </c>
      <c r="B15" s="78"/>
      <c r="C15" s="16">
        <v>46143</v>
      </c>
      <c r="D15">
        <v>1444.08</v>
      </c>
    </row>
    <row r="16" spans="1:10" x14ac:dyDescent="0.3">
      <c r="A16" s="78" t="s">
        <v>31</v>
      </c>
      <c r="B16" s="78"/>
      <c r="C16" s="16">
        <v>46143</v>
      </c>
      <c r="D16">
        <v>23262.599999999962</v>
      </c>
    </row>
    <row r="17" spans="1:4" x14ac:dyDescent="0.3">
      <c r="A17" s="78" t="s">
        <v>32</v>
      </c>
      <c r="B17" s="78"/>
      <c r="C17" s="16">
        <v>46143</v>
      </c>
      <c r="D17">
        <v>6853.9100000000017</v>
      </c>
    </row>
    <row r="18" spans="1:4" x14ac:dyDescent="0.3">
      <c r="A18" s="78" t="s">
        <v>33</v>
      </c>
      <c r="B18" s="78"/>
      <c r="C18" s="16">
        <v>46143</v>
      </c>
      <c r="D18">
        <v>21338.39</v>
      </c>
    </row>
    <row r="19" spans="1:4" x14ac:dyDescent="0.3">
      <c r="A19" s="78" t="s">
        <v>34</v>
      </c>
      <c r="B19" s="78"/>
      <c r="C19" s="16">
        <v>46143</v>
      </c>
      <c r="D19">
        <v>345</v>
      </c>
    </row>
    <row r="20" spans="1:4" x14ac:dyDescent="0.3">
      <c r="A20" s="78" t="s">
        <v>35</v>
      </c>
      <c r="B20" s="78"/>
      <c r="C20" s="16">
        <v>46143</v>
      </c>
      <c r="D20">
        <v>13491.26</v>
      </c>
    </row>
    <row r="21" spans="1:4" x14ac:dyDescent="0.3">
      <c r="A21" s="78" t="s">
        <v>17</v>
      </c>
      <c r="B21" s="78"/>
      <c r="C21" s="16">
        <v>46144</v>
      </c>
      <c r="D21">
        <v>200763.43000000025</v>
      </c>
    </row>
    <row r="22" spans="1:4" x14ac:dyDescent="0.3">
      <c r="A22" s="78" t="s">
        <v>18</v>
      </c>
      <c r="B22" s="78"/>
      <c r="C22" s="16">
        <v>46144</v>
      </c>
      <c r="D22">
        <v>51288.029999999948</v>
      </c>
    </row>
    <row r="23" spans="1:4" x14ac:dyDescent="0.3">
      <c r="A23" s="78" t="s">
        <v>19</v>
      </c>
      <c r="B23" s="78"/>
      <c r="C23" s="16">
        <v>46144</v>
      </c>
      <c r="D23">
        <v>1669.89</v>
      </c>
    </row>
    <row r="24" spans="1:4" x14ac:dyDescent="0.3">
      <c r="A24" s="78" t="s">
        <v>20</v>
      </c>
      <c r="B24" s="78"/>
      <c r="C24" s="16">
        <v>46144</v>
      </c>
      <c r="D24">
        <v>589990.30000000005</v>
      </c>
    </row>
    <row r="25" spans="1:4" x14ac:dyDescent="0.3">
      <c r="A25" s="78" t="s">
        <v>21</v>
      </c>
      <c r="B25" s="78"/>
      <c r="C25" s="16">
        <v>46144</v>
      </c>
      <c r="D25">
        <v>990387.37999999931</v>
      </c>
    </row>
    <row r="26" spans="1:4" x14ac:dyDescent="0.3">
      <c r="A26" s="78" t="s">
        <v>22</v>
      </c>
      <c r="B26" s="78"/>
      <c r="C26" s="16">
        <v>46144</v>
      </c>
      <c r="D26">
        <v>142511.38</v>
      </c>
    </row>
    <row r="27" spans="1:4" x14ac:dyDescent="0.3">
      <c r="A27" s="78" t="s">
        <v>23</v>
      </c>
      <c r="B27" s="78"/>
      <c r="C27" s="16">
        <v>46144</v>
      </c>
      <c r="D27">
        <v>13088.589999999997</v>
      </c>
    </row>
    <row r="28" spans="1:4" x14ac:dyDescent="0.3">
      <c r="A28" s="78" t="s">
        <v>24</v>
      </c>
      <c r="B28" s="78"/>
      <c r="C28" s="16">
        <v>46144</v>
      </c>
      <c r="D28">
        <v>808.82999999999993</v>
      </c>
    </row>
    <row r="29" spans="1:4" x14ac:dyDescent="0.3">
      <c r="A29" s="78" t="s">
        <v>25</v>
      </c>
      <c r="B29" s="78"/>
      <c r="C29" s="16">
        <v>46144</v>
      </c>
      <c r="D29">
        <v>114.3</v>
      </c>
    </row>
    <row r="30" spans="1:4" x14ac:dyDescent="0.3">
      <c r="A30" s="78" t="s">
        <v>26</v>
      </c>
      <c r="B30" s="78"/>
      <c r="C30" s="16">
        <v>46144</v>
      </c>
      <c r="D30">
        <v>2267.7200000000003</v>
      </c>
    </row>
    <row r="31" spans="1:4" x14ac:dyDescent="0.3">
      <c r="A31" s="78" t="s">
        <v>27</v>
      </c>
      <c r="B31" s="78"/>
      <c r="C31" s="16">
        <v>46144</v>
      </c>
      <c r="D31">
        <v>3364.94</v>
      </c>
    </row>
    <row r="32" spans="1:4" x14ac:dyDescent="0.3">
      <c r="A32" s="78" t="s">
        <v>28</v>
      </c>
      <c r="B32" s="78"/>
      <c r="C32" s="16">
        <v>46144</v>
      </c>
      <c r="D32">
        <v>1968.99</v>
      </c>
    </row>
    <row r="33" spans="1:4" x14ac:dyDescent="0.3">
      <c r="A33" s="78" t="s">
        <v>29</v>
      </c>
      <c r="B33" s="78"/>
      <c r="C33" s="16">
        <v>46144</v>
      </c>
      <c r="D33">
        <v>901.34</v>
      </c>
    </row>
    <row r="34" spans="1:4" x14ac:dyDescent="0.3">
      <c r="A34" s="78" t="s">
        <v>30</v>
      </c>
      <c r="B34" s="78"/>
      <c r="C34" s="16">
        <v>46144</v>
      </c>
      <c r="D34">
        <v>1444.08</v>
      </c>
    </row>
    <row r="35" spans="1:4" x14ac:dyDescent="0.3">
      <c r="A35" s="78" t="s">
        <v>31</v>
      </c>
      <c r="B35" s="78"/>
      <c r="C35" s="16">
        <v>46144</v>
      </c>
      <c r="D35">
        <v>23262.599999999962</v>
      </c>
    </row>
    <row r="36" spans="1:4" x14ac:dyDescent="0.3">
      <c r="A36" s="78" t="s">
        <v>32</v>
      </c>
      <c r="B36" s="78"/>
      <c r="C36" s="16">
        <v>46144</v>
      </c>
      <c r="D36">
        <v>6853.9100000000017</v>
      </c>
    </row>
    <row r="37" spans="1:4" x14ac:dyDescent="0.3">
      <c r="A37" s="78" t="s">
        <v>33</v>
      </c>
      <c r="B37" s="78"/>
      <c r="C37" s="16">
        <v>46144</v>
      </c>
      <c r="D37">
        <v>21338.39</v>
      </c>
    </row>
    <row r="38" spans="1:4" x14ac:dyDescent="0.3">
      <c r="A38" s="78" t="s">
        <v>34</v>
      </c>
      <c r="B38" s="78"/>
      <c r="C38" s="16">
        <v>46144</v>
      </c>
      <c r="D38">
        <v>345</v>
      </c>
    </row>
    <row r="39" spans="1:4" x14ac:dyDescent="0.3">
      <c r="A39" s="78" t="s">
        <v>35</v>
      </c>
      <c r="B39" s="78"/>
      <c r="C39" s="16">
        <v>46144</v>
      </c>
      <c r="D39">
        <v>13491.26</v>
      </c>
    </row>
    <row r="40" spans="1:4" x14ac:dyDescent="0.3">
      <c r="A40" s="78" t="s">
        <v>17</v>
      </c>
      <c r="B40" s="78"/>
      <c r="C40" s="16">
        <v>46145</v>
      </c>
      <c r="D40">
        <v>200763.43000000025</v>
      </c>
    </row>
    <row r="41" spans="1:4" x14ac:dyDescent="0.3">
      <c r="A41" s="78" t="s">
        <v>18</v>
      </c>
      <c r="B41" s="78"/>
      <c r="C41" s="16">
        <v>46145</v>
      </c>
      <c r="D41">
        <v>51288.029999999948</v>
      </c>
    </row>
    <row r="42" spans="1:4" x14ac:dyDescent="0.3">
      <c r="A42" s="78" t="s">
        <v>19</v>
      </c>
      <c r="B42" s="78"/>
      <c r="C42" s="16">
        <v>46145</v>
      </c>
      <c r="D42">
        <v>1669.89</v>
      </c>
    </row>
    <row r="43" spans="1:4" x14ac:dyDescent="0.3">
      <c r="A43" s="78" t="s">
        <v>20</v>
      </c>
      <c r="B43" s="78"/>
      <c r="C43" s="16">
        <v>46145</v>
      </c>
      <c r="D43">
        <v>589990.30000000005</v>
      </c>
    </row>
    <row r="44" spans="1:4" x14ac:dyDescent="0.3">
      <c r="A44" s="78" t="s">
        <v>21</v>
      </c>
      <c r="B44" s="78"/>
      <c r="C44" s="16">
        <v>46145</v>
      </c>
      <c r="D44">
        <v>990387.37999999931</v>
      </c>
    </row>
    <row r="45" spans="1:4" x14ac:dyDescent="0.3">
      <c r="A45" s="78" t="s">
        <v>22</v>
      </c>
      <c r="B45" s="78"/>
      <c r="C45" s="16">
        <v>46145</v>
      </c>
      <c r="D45">
        <v>142511.38</v>
      </c>
    </row>
    <row r="46" spans="1:4" x14ac:dyDescent="0.3">
      <c r="A46" s="78" t="s">
        <v>23</v>
      </c>
      <c r="B46" s="78"/>
      <c r="C46" s="16">
        <v>46145</v>
      </c>
      <c r="D46">
        <v>13088.589999999997</v>
      </c>
    </row>
    <row r="47" spans="1:4" x14ac:dyDescent="0.3">
      <c r="A47" s="78" t="s">
        <v>24</v>
      </c>
      <c r="B47" s="78"/>
      <c r="C47" s="16">
        <v>46145</v>
      </c>
      <c r="D47">
        <v>808.82999999999993</v>
      </c>
    </row>
    <row r="48" spans="1:4" x14ac:dyDescent="0.3">
      <c r="A48" s="78" t="s">
        <v>25</v>
      </c>
      <c r="B48" s="78"/>
      <c r="C48" s="16">
        <v>46145</v>
      </c>
      <c r="D48">
        <v>114.3</v>
      </c>
    </row>
    <row r="49" spans="1:4" x14ac:dyDescent="0.3">
      <c r="A49" s="78" t="s">
        <v>26</v>
      </c>
      <c r="B49" s="78"/>
      <c r="C49" s="16">
        <v>46145</v>
      </c>
      <c r="D49">
        <v>2267.7200000000003</v>
      </c>
    </row>
    <row r="50" spans="1:4" x14ac:dyDescent="0.3">
      <c r="A50" s="78" t="s">
        <v>27</v>
      </c>
      <c r="B50" s="78"/>
      <c r="C50" s="16">
        <v>46145</v>
      </c>
      <c r="D50">
        <v>3364.94</v>
      </c>
    </row>
    <row r="51" spans="1:4" x14ac:dyDescent="0.3">
      <c r="A51" s="78" t="s">
        <v>28</v>
      </c>
      <c r="B51" s="78"/>
      <c r="C51" s="16">
        <v>46145</v>
      </c>
      <c r="D51">
        <v>1968.99</v>
      </c>
    </row>
    <row r="52" spans="1:4" x14ac:dyDescent="0.3">
      <c r="A52" s="78" t="s">
        <v>29</v>
      </c>
      <c r="B52" s="78"/>
      <c r="C52" s="16">
        <v>46145</v>
      </c>
      <c r="D52">
        <v>901.34</v>
      </c>
    </row>
    <row r="53" spans="1:4" x14ac:dyDescent="0.3">
      <c r="A53" s="78" t="s">
        <v>30</v>
      </c>
      <c r="B53" s="78"/>
      <c r="C53" s="16">
        <v>46145</v>
      </c>
      <c r="D53">
        <v>1444.08</v>
      </c>
    </row>
    <row r="54" spans="1:4" x14ac:dyDescent="0.3">
      <c r="A54" s="78" t="s">
        <v>31</v>
      </c>
      <c r="B54" s="78"/>
      <c r="C54" s="16">
        <v>46145</v>
      </c>
      <c r="D54">
        <v>23262.599999999962</v>
      </c>
    </row>
    <row r="55" spans="1:4" x14ac:dyDescent="0.3">
      <c r="A55" s="78" t="s">
        <v>32</v>
      </c>
      <c r="B55" s="78"/>
      <c r="C55" s="16">
        <v>46145</v>
      </c>
      <c r="D55">
        <v>6853.9100000000017</v>
      </c>
    </row>
    <row r="56" spans="1:4" x14ac:dyDescent="0.3">
      <c r="A56" s="78" t="s">
        <v>33</v>
      </c>
      <c r="B56" s="78"/>
      <c r="C56" s="16">
        <v>46145</v>
      </c>
      <c r="D56">
        <v>21338.39</v>
      </c>
    </row>
    <row r="57" spans="1:4" x14ac:dyDescent="0.3">
      <c r="A57" s="78" t="s">
        <v>34</v>
      </c>
      <c r="B57" s="78"/>
      <c r="C57" s="16">
        <v>46145</v>
      </c>
      <c r="D57">
        <v>345</v>
      </c>
    </row>
    <row r="58" spans="1:4" x14ac:dyDescent="0.3">
      <c r="A58" s="78" t="s">
        <v>35</v>
      </c>
      <c r="B58" s="78"/>
      <c r="C58" s="16">
        <v>46145</v>
      </c>
      <c r="D58">
        <v>13491.26</v>
      </c>
    </row>
    <row r="59" spans="1:4" x14ac:dyDescent="0.3">
      <c r="A59" s="78" t="s">
        <v>17</v>
      </c>
      <c r="B59" s="78"/>
      <c r="C59" s="16">
        <v>46146</v>
      </c>
      <c r="D59">
        <v>200763.43000000025</v>
      </c>
    </row>
    <row r="60" spans="1:4" x14ac:dyDescent="0.3">
      <c r="A60" s="78" t="s">
        <v>18</v>
      </c>
      <c r="B60" s="78"/>
      <c r="C60" s="16">
        <v>46146</v>
      </c>
      <c r="D60">
        <v>51288.029999999948</v>
      </c>
    </row>
    <row r="61" spans="1:4" x14ac:dyDescent="0.3">
      <c r="A61" s="78" t="s">
        <v>19</v>
      </c>
      <c r="B61" s="78"/>
      <c r="C61" s="16">
        <v>46146</v>
      </c>
      <c r="D61">
        <v>1669.89</v>
      </c>
    </row>
    <row r="62" spans="1:4" x14ac:dyDescent="0.3">
      <c r="A62" s="78" t="s">
        <v>20</v>
      </c>
      <c r="B62" s="78"/>
      <c r="C62" s="16">
        <v>46146</v>
      </c>
      <c r="D62">
        <v>589990.30000000005</v>
      </c>
    </row>
    <row r="63" spans="1:4" x14ac:dyDescent="0.3">
      <c r="A63" s="78" t="s">
        <v>21</v>
      </c>
      <c r="B63" s="78"/>
      <c r="C63" s="16">
        <v>46146</v>
      </c>
      <c r="D63">
        <v>1790387.3799999994</v>
      </c>
    </row>
    <row r="64" spans="1:4" x14ac:dyDescent="0.3">
      <c r="A64" s="78" t="s">
        <v>22</v>
      </c>
      <c r="B64" s="78"/>
      <c r="C64" s="16">
        <v>46146</v>
      </c>
      <c r="D64">
        <v>136511.38</v>
      </c>
    </row>
    <row r="65" spans="1:4" x14ac:dyDescent="0.3">
      <c r="A65" s="78" t="s">
        <v>23</v>
      </c>
      <c r="B65" s="78"/>
      <c r="C65" s="16">
        <v>46146</v>
      </c>
      <c r="D65">
        <v>13088.589999999997</v>
      </c>
    </row>
    <row r="66" spans="1:4" x14ac:dyDescent="0.3">
      <c r="A66" s="78" t="s">
        <v>24</v>
      </c>
      <c r="B66" s="78"/>
      <c r="C66" s="16">
        <v>46146</v>
      </c>
      <c r="D66">
        <v>808.82999999999993</v>
      </c>
    </row>
    <row r="67" spans="1:4" x14ac:dyDescent="0.3">
      <c r="A67" s="78" t="s">
        <v>25</v>
      </c>
      <c r="B67" s="78"/>
      <c r="C67" s="16">
        <v>46146</v>
      </c>
      <c r="D67">
        <v>114.3</v>
      </c>
    </row>
    <row r="68" spans="1:4" x14ac:dyDescent="0.3">
      <c r="A68" s="78" t="s">
        <v>26</v>
      </c>
      <c r="B68" s="78"/>
      <c r="C68" s="16">
        <v>46146</v>
      </c>
      <c r="D68">
        <v>2267.7200000000003</v>
      </c>
    </row>
    <row r="69" spans="1:4" x14ac:dyDescent="0.3">
      <c r="A69" s="78" t="s">
        <v>27</v>
      </c>
      <c r="B69" s="78"/>
      <c r="C69" s="16">
        <v>46146</v>
      </c>
      <c r="D69">
        <v>3364.94</v>
      </c>
    </row>
    <row r="70" spans="1:4" x14ac:dyDescent="0.3">
      <c r="A70" s="78" t="s">
        <v>28</v>
      </c>
      <c r="B70" s="78"/>
      <c r="C70" s="16">
        <v>46146</v>
      </c>
      <c r="D70">
        <v>1968.99</v>
      </c>
    </row>
    <row r="71" spans="1:4" x14ac:dyDescent="0.3">
      <c r="A71" s="78" t="s">
        <v>29</v>
      </c>
      <c r="B71" s="78"/>
      <c r="C71" s="16">
        <v>46146</v>
      </c>
      <c r="D71">
        <v>901.34</v>
      </c>
    </row>
    <row r="72" spans="1:4" x14ac:dyDescent="0.3">
      <c r="A72" s="78" t="s">
        <v>30</v>
      </c>
      <c r="B72" s="78"/>
      <c r="C72" s="16">
        <v>46146</v>
      </c>
      <c r="D72">
        <v>1444.08</v>
      </c>
    </row>
    <row r="73" spans="1:4" x14ac:dyDescent="0.3">
      <c r="A73" s="78" t="s">
        <v>31</v>
      </c>
      <c r="B73" s="78"/>
      <c r="C73" s="16">
        <v>46146</v>
      </c>
      <c r="D73">
        <v>23247.599999999962</v>
      </c>
    </row>
    <row r="74" spans="1:4" x14ac:dyDescent="0.3">
      <c r="A74" s="78" t="s">
        <v>32</v>
      </c>
      <c r="B74" s="78"/>
      <c r="C74" s="16">
        <v>46146</v>
      </c>
      <c r="D74">
        <v>6853.9100000000017</v>
      </c>
    </row>
    <row r="75" spans="1:4" x14ac:dyDescent="0.3">
      <c r="A75" s="78" t="s">
        <v>33</v>
      </c>
      <c r="B75" s="78"/>
      <c r="C75" s="16">
        <v>46146</v>
      </c>
      <c r="D75">
        <v>21338.39</v>
      </c>
    </row>
    <row r="76" spans="1:4" x14ac:dyDescent="0.3">
      <c r="A76" s="78" t="s">
        <v>34</v>
      </c>
      <c r="B76" s="78"/>
      <c r="C76" s="16">
        <v>46146</v>
      </c>
      <c r="D76">
        <v>345</v>
      </c>
    </row>
    <row r="77" spans="1:4" x14ac:dyDescent="0.3">
      <c r="A77" s="78" t="s">
        <v>35</v>
      </c>
      <c r="B77" s="78"/>
      <c r="C77" s="16">
        <v>46146</v>
      </c>
      <c r="D77">
        <v>8782.25</v>
      </c>
    </row>
    <row r="78" spans="1:4" x14ac:dyDescent="0.3">
      <c r="A78" s="78" t="s">
        <v>17</v>
      </c>
      <c r="B78" s="78"/>
      <c r="C78" s="16">
        <v>46147</v>
      </c>
      <c r="D78">
        <v>197763.43000000025</v>
      </c>
    </row>
    <row r="79" spans="1:4" x14ac:dyDescent="0.3">
      <c r="A79" s="78" t="s">
        <v>18</v>
      </c>
      <c r="B79" s="78"/>
      <c r="C79" s="16">
        <v>46147</v>
      </c>
      <c r="D79">
        <v>51288.029999999948</v>
      </c>
    </row>
    <row r="80" spans="1:4" x14ac:dyDescent="0.3">
      <c r="A80" s="78" t="s">
        <v>19</v>
      </c>
      <c r="B80" s="78"/>
      <c r="C80" s="16">
        <v>46147</v>
      </c>
      <c r="D80">
        <v>1669.89</v>
      </c>
    </row>
    <row r="81" spans="1:4" x14ac:dyDescent="0.3">
      <c r="A81" s="78" t="s">
        <v>20</v>
      </c>
      <c r="B81" s="78"/>
      <c r="C81" s="16">
        <v>46147</v>
      </c>
      <c r="D81">
        <v>989990.29999999993</v>
      </c>
    </row>
    <row r="82" spans="1:4" x14ac:dyDescent="0.3">
      <c r="A82" s="78" t="s">
        <v>21</v>
      </c>
      <c r="B82" s="78"/>
      <c r="C82" s="16">
        <v>46147</v>
      </c>
      <c r="D82">
        <v>1088892.0899999994</v>
      </c>
    </row>
    <row r="83" spans="1:4" x14ac:dyDescent="0.3">
      <c r="A83" s="78" t="s">
        <v>22</v>
      </c>
      <c r="B83" s="78"/>
      <c r="C83" s="16">
        <v>46147</v>
      </c>
      <c r="D83">
        <v>121511.38</v>
      </c>
    </row>
    <row r="84" spans="1:4" x14ac:dyDescent="0.3">
      <c r="A84" s="78" t="s">
        <v>23</v>
      </c>
      <c r="B84" s="78"/>
      <c r="C84" s="16">
        <v>46147</v>
      </c>
      <c r="D84">
        <v>813088.59</v>
      </c>
    </row>
    <row r="85" spans="1:4" x14ac:dyDescent="0.3">
      <c r="A85" s="78" t="s">
        <v>24</v>
      </c>
      <c r="B85" s="78"/>
      <c r="C85" s="16">
        <v>46147</v>
      </c>
      <c r="D85">
        <v>3768.83</v>
      </c>
    </row>
    <row r="86" spans="1:4" x14ac:dyDescent="0.3">
      <c r="A86" s="78" t="s">
        <v>25</v>
      </c>
      <c r="B86" s="78"/>
      <c r="C86" s="16">
        <v>46147</v>
      </c>
      <c r="D86">
        <v>114.3</v>
      </c>
    </row>
    <row r="87" spans="1:4" x14ac:dyDescent="0.3">
      <c r="A87" s="78" t="s">
        <v>26</v>
      </c>
      <c r="B87" s="78"/>
      <c r="C87" s="16">
        <v>46147</v>
      </c>
      <c r="D87">
        <v>2267.7200000000003</v>
      </c>
    </row>
    <row r="88" spans="1:4" x14ac:dyDescent="0.3">
      <c r="A88" s="78" t="s">
        <v>27</v>
      </c>
      <c r="B88" s="78"/>
      <c r="C88" s="16">
        <v>46147</v>
      </c>
      <c r="D88">
        <v>3364.94</v>
      </c>
    </row>
    <row r="89" spans="1:4" x14ac:dyDescent="0.3">
      <c r="A89" s="78" t="s">
        <v>28</v>
      </c>
      <c r="B89" s="78"/>
      <c r="C89" s="16">
        <v>46147</v>
      </c>
      <c r="D89">
        <v>1968.99</v>
      </c>
    </row>
    <row r="90" spans="1:4" x14ac:dyDescent="0.3">
      <c r="A90" s="78" t="s">
        <v>29</v>
      </c>
      <c r="B90" s="78"/>
      <c r="C90" s="16">
        <v>46147</v>
      </c>
      <c r="D90">
        <v>901.34</v>
      </c>
    </row>
    <row r="91" spans="1:4" x14ac:dyDescent="0.3">
      <c r="A91" s="78" t="s">
        <v>30</v>
      </c>
      <c r="B91" s="78"/>
      <c r="C91" s="16">
        <v>46147</v>
      </c>
      <c r="D91">
        <v>1444.08</v>
      </c>
    </row>
    <row r="92" spans="1:4" x14ac:dyDescent="0.3">
      <c r="A92" s="78" t="s">
        <v>31</v>
      </c>
      <c r="B92" s="78"/>
      <c r="C92" s="16">
        <v>46147</v>
      </c>
      <c r="D92">
        <v>23247.599999999962</v>
      </c>
    </row>
    <row r="93" spans="1:4" x14ac:dyDescent="0.3">
      <c r="A93" s="78" t="s">
        <v>32</v>
      </c>
      <c r="B93" s="78"/>
      <c r="C93" s="16">
        <v>46147</v>
      </c>
      <c r="D93">
        <v>6853.9100000000017</v>
      </c>
    </row>
    <row r="94" spans="1:4" x14ac:dyDescent="0.3">
      <c r="A94" s="78" t="s">
        <v>33</v>
      </c>
      <c r="B94" s="78"/>
      <c r="C94" s="16">
        <v>46147</v>
      </c>
      <c r="D94">
        <v>21338.39</v>
      </c>
    </row>
    <row r="95" spans="1:4" x14ac:dyDescent="0.3">
      <c r="A95" s="78" t="s">
        <v>34</v>
      </c>
      <c r="B95" s="78"/>
      <c r="C95" s="16">
        <v>46147</v>
      </c>
      <c r="D95">
        <v>345</v>
      </c>
    </row>
    <row r="96" spans="1:4" x14ac:dyDescent="0.3">
      <c r="A96" s="78" t="s">
        <v>35</v>
      </c>
      <c r="B96" s="78"/>
      <c r="C96" s="16">
        <v>46147</v>
      </c>
      <c r="D96">
        <v>8782.25</v>
      </c>
    </row>
    <row r="97" spans="1:4" x14ac:dyDescent="0.3">
      <c r="A97" s="78" t="s">
        <v>17</v>
      </c>
      <c r="B97" s="78"/>
      <c r="C97" s="16">
        <v>46148</v>
      </c>
      <c r="D97">
        <v>197763.43000000025</v>
      </c>
    </row>
    <row r="98" spans="1:4" x14ac:dyDescent="0.3">
      <c r="A98" s="78" t="s">
        <v>18</v>
      </c>
      <c r="B98" s="78"/>
      <c r="C98" s="16">
        <v>46148</v>
      </c>
      <c r="D98">
        <v>626288.02999999991</v>
      </c>
    </row>
    <row r="99" spans="1:4" x14ac:dyDescent="0.3">
      <c r="A99" s="78" t="s">
        <v>19</v>
      </c>
      <c r="B99" s="78"/>
      <c r="C99" s="16">
        <v>46148</v>
      </c>
      <c r="D99">
        <v>1669.89</v>
      </c>
    </row>
    <row r="100" spans="1:4" x14ac:dyDescent="0.3">
      <c r="A100" s="78" t="s">
        <v>20</v>
      </c>
      <c r="B100" s="78"/>
      <c r="C100" s="16">
        <v>46148</v>
      </c>
      <c r="D100">
        <v>989990.29999999993</v>
      </c>
    </row>
    <row r="101" spans="1:4" x14ac:dyDescent="0.3">
      <c r="A101" s="78" t="s">
        <v>21</v>
      </c>
      <c r="B101" s="78"/>
      <c r="C101" s="16">
        <v>46148</v>
      </c>
      <c r="D101">
        <v>961212.30999999924</v>
      </c>
    </row>
    <row r="102" spans="1:4" x14ac:dyDescent="0.3">
      <c r="A102" s="78" t="s">
        <v>22</v>
      </c>
      <c r="B102" s="78"/>
      <c r="C102" s="16">
        <v>46148</v>
      </c>
      <c r="D102">
        <v>121511.38</v>
      </c>
    </row>
    <row r="103" spans="1:4" x14ac:dyDescent="0.3">
      <c r="A103" s="78" t="s">
        <v>23</v>
      </c>
      <c r="B103" s="78"/>
      <c r="C103" s="16">
        <v>46148</v>
      </c>
      <c r="D103">
        <v>813088.59</v>
      </c>
    </row>
    <row r="104" spans="1:4" x14ac:dyDescent="0.3">
      <c r="A104" s="78" t="s">
        <v>24</v>
      </c>
      <c r="B104" s="78"/>
      <c r="C104" s="16">
        <v>46148</v>
      </c>
      <c r="D104">
        <v>3768.83</v>
      </c>
    </row>
    <row r="105" spans="1:4" x14ac:dyDescent="0.3">
      <c r="A105" s="78" t="s">
        <v>25</v>
      </c>
      <c r="B105" s="78"/>
      <c r="C105" s="16">
        <v>46148</v>
      </c>
      <c r="D105">
        <v>114.3</v>
      </c>
    </row>
    <row r="106" spans="1:4" x14ac:dyDescent="0.3">
      <c r="A106" s="78" t="s">
        <v>26</v>
      </c>
      <c r="B106" s="78"/>
      <c r="C106" s="16">
        <v>46148</v>
      </c>
      <c r="D106">
        <v>2267.7200000000003</v>
      </c>
    </row>
    <row r="107" spans="1:4" x14ac:dyDescent="0.3">
      <c r="A107" s="78" t="s">
        <v>27</v>
      </c>
      <c r="B107" s="78"/>
      <c r="C107" s="16">
        <v>46148</v>
      </c>
      <c r="D107">
        <v>3364.94</v>
      </c>
    </row>
    <row r="108" spans="1:4" x14ac:dyDescent="0.3">
      <c r="A108" s="78" t="s">
        <v>28</v>
      </c>
      <c r="B108" s="78"/>
      <c r="C108" s="16">
        <v>46148</v>
      </c>
      <c r="D108">
        <v>1968.99</v>
      </c>
    </row>
    <row r="109" spans="1:4" x14ac:dyDescent="0.3">
      <c r="A109" s="78" t="s">
        <v>29</v>
      </c>
      <c r="B109" s="78"/>
      <c r="C109" s="16">
        <v>46148</v>
      </c>
      <c r="D109">
        <v>901.34</v>
      </c>
    </row>
    <row r="110" spans="1:4" x14ac:dyDescent="0.3">
      <c r="A110" s="78" t="s">
        <v>30</v>
      </c>
      <c r="B110" s="78"/>
      <c r="C110" s="16">
        <v>46148</v>
      </c>
      <c r="D110">
        <v>1444.08</v>
      </c>
    </row>
    <row r="111" spans="1:4" x14ac:dyDescent="0.3">
      <c r="A111" s="78" t="s">
        <v>31</v>
      </c>
      <c r="B111" s="78"/>
      <c r="C111" s="16">
        <v>46148</v>
      </c>
      <c r="D111">
        <v>23247.599999999962</v>
      </c>
    </row>
    <row r="112" spans="1:4" x14ac:dyDescent="0.3">
      <c r="A112" s="78" t="s">
        <v>32</v>
      </c>
      <c r="B112" s="78"/>
      <c r="C112" s="16">
        <v>46148</v>
      </c>
      <c r="D112">
        <v>5135.0600000000013</v>
      </c>
    </row>
    <row r="113" spans="1:4" x14ac:dyDescent="0.3">
      <c r="A113" s="78" t="s">
        <v>33</v>
      </c>
      <c r="B113" s="78"/>
      <c r="C113" s="16">
        <v>46148</v>
      </c>
      <c r="D113">
        <v>21338.39</v>
      </c>
    </row>
    <row r="114" spans="1:4" x14ac:dyDescent="0.3">
      <c r="A114" s="78" t="s">
        <v>34</v>
      </c>
      <c r="B114" s="78"/>
      <c r="C114" s="16">
        <v>46148</v>
      </c>
      <c r="D114">
        <v>345</v>
      </c>
    </row>
    <row r="115" spans="1:4" x14ac:dyDescent="0.3">
      <c r="A115" s="78" t="s">
        <v>35</v>
      </c>
      <c r="B115" s="78"/>
      <c r="C115" s="16">
        <v>46148</v>
      </c>
      <c r="D115">
        <v>8782.25</v>
      </c>
    </row>
    <row r="116" spans="1:4" x14ac:dyDescent="0.3">
      <c r="A116" s="78" t="s">
        <v>17</v>
      </c>
      <c r="B116" s="78"/>
      <c r="C116" s="16">
        <v>46149</v>
      </c>
      <c r="D116">
        <v>447763.43000000028</v>
      </c>
    </row>
    <row r="117" spans="1:4" x14ac:dyDescent="0.3">
      <c r="A117" s="78" t="s">
        <v>18</v>
      </c>
      <c r="B117" s="78"/>
      <c r="C117" s="16">
        <v>46149</v>
      </c>
      <c r="D117">
        <v>56288.029999999941</v>
      </c>
    </row>
    <row r="118" spans="1:4" x14ac:dyDescent="0.3">
      <c r="A118" s="78" t="s">
        <v>19</v>
      </c>
      <c r="B118" s="78"/>
      <c r="C118" s="16">
        <v>46149</v>
      </c>
      <c r="D118">
        <v>1669.89</v>
      </c>
    </row>
    <row r="119" spans="1:4" x14ac:dyDescent="0.3">
      <c r="A119" s="78" t="s">
        <v>20</v>
      </c>
      <c r="B119" s="78"/>
      <c r="C119" s="16">
        <v>46149</v>
      </c>
      <c r="D119">
        <v>274668.55999999994</v>
      </c>
    </row>
    <row r="120" spans="1:4" x14ac:dyDescent="0.3">
      <c r="A120" s="78" t="s">
        <v>21</v>
      </c>
      <c r="B120" s="78"/>
      <c r="C120" s="16">
        <v>46149</v>
      </c>
      <c r="D120">
        <v>926213.13999999932</v>
      </c>
    </row>
    <row r="121" spans="1:4" x14ac:dyDescent="0.3">
      <c r="A121" s="78" t="s">
        <v>22</v>
      </c>
      <c r="B121" s="78"/>
      <c r="C121" s="16">
        <v>46149</v>
      </c>
      <c r="D121">
        <v>121511.38</v>
      </c>
    </row>
    <row r="122" spans="1:4" x14ac:dyDescent="0.3">
      <c r="A122" s="78" t="s">
        <v>23</v>
      </c>
      <c r="B122" s="78"/>
      <c r="C122" s="16">
        <v>46149</v>
      </c>
      <c r="D122">
        <v>1513088.59</v>
      </c>
    </row>
    <row r="123" spans="1:4" x14ac:dyDescent="0.3">
      <c r="A123" s="78" t="s">
        <v>24</v>
      </c>
      <c r="B123" s="78"/>
      <c r="C123" s="16">
        <v>46149</v>
      </c>
      <c r="D123">
        <v>3768.83</v>
      </c>
    </row>
    <row r="124" spans="1:4" x14ac:dyDescent="0.3">
      <c r="A124" s="78" t="s">
        <v>25</v>
      </c>
      <c r="B124" s="78"/>
      <c r="C124" s="16">
        <v>46149</v>
      </c>
      <c r="D124">
        <v>114.3</v>
      </c>
    </row>
    <row r="125" spans="1:4" x14ac:dyDescent="0.3">
      <c r="A125" s="78" t="s">
        <v>26</v>
      </c>
      <c r="B125" s="78"/>
      <c r="C125" s="16">
        <v>46149</v>
      </c>
      <c r="D125">
        <v>2267.7200000000003</v>
      </c>
    </row>
    <row r="126" spans="1:4" x14ac:dyDescent="0.3">
      <c r="A126" s="78" t="s">
        <v>27</v>
      </c>
      <c r="B126" s="78"/>
      <c r="C126" s="16">
        <v>46149</v>
      </c>
      <c r="D126">
        <v>3364.94</v>
      </c>
    </row>
    <row r="127" spans="1:4" x14ac:dyDescent="0.3">
      <c r="A127" s="78" t="s">
        <v>28</v>
      </c>
      <c r="B127" s="78"/>
      <c r="C127" s="16">
        <v>46149</v>
      </c>
      <c r="D127">
        <v>1968.99</v>
      </c>
    </row>
    <row r="128" spans="1:4" x14ac:dyDescent="0.3">
      <c r="A128" s="78" t="s">
        <v>29</v>
      </c>
      <c r="B128" s="78"/>
      <c r="C128" s="16">
        <v>46149</v>
      </c>
      <c r="D128">
        <v>901.34</v>
      </c>
    </row>
    <row r="129" spans="1:4" x14ac:dyDescent="0.3">
      <c r="A129" s="78" t="s">
        <v>30</v>
      </c>
      <c r="B129" s="78"/>
      <c r="C129" s="16">
        <v>46149</v>
      </c>
      <c r="D129">
        <v>1444.08</v>
      </c>
    </row>
    <row r="130" spans="1:4" x14ac:dyDescent="0.3">
      <c r="A130" s="78" t="s">
        <v>31</v>
      </c>
      <c r="B130" s="78"/>
      <c r="C130" s="16">
        <v>46149</v>
      </c>
      <c r="D130">
        <v>23247.599999999962</v>
      </c>
    </row>
    <row r="131" spans="1:4" x14ac:dyDescent="0.3">
      <c r="A131" s="78" t="s">
        <v>32</v>
      </c>
      <c r="B131" s="78"/>
      <c r="C131" s="16">
        <v>46149</v>
      </c>
      <c r="D131">
        <v>15135.060000000001</v>
      </c>
    </row>
    <row r="132" spans="1:4" x14ac:dyDescent="0.3">
      <c r="A132" s="78" t="s">
        <v>33</v>
      </c>
      <c r="B132" s="78"/>
      <c r="C132" s="16">
        <v>46149</v>
      </c>
      <c r="D132">
        <v>31338.39</v>
      </c>
    </row>
    <row r="133" spans="1:4" x14ac:dyDescent="0.3">
      <c r="A133" s="78" t="s">
        <v>34</v>
      </c>
      <c r="B133" s="78"/>
      <c r="C133" s="16">
        <v>46149</v>
      </c>
      <c r="D133">
        <v>345</v>
      </c>
    </row>
    <row r="134" spans="1:4" x14ac:dyDescent="0.3">
      <c r="A134" s="78" t="s">
        <v>35</v>
      </c>
      <c r="B134" s="78"/>
      <c r="C134" s="16">
        <v>46149</v>
      </c>
      <c r="D134">
        <v>8782.25</v>
      </c>
    </row>
    <row r="135" spans="1:4" x14ac:dyDescent="0.3">
      <c r="A135" s="78" t="s">
        <v>17</v>
      </c>
      <c r="B135" s="78"/>
      <c r="C135" s="16">
        <v>46150</v>
      </c>
      <c r="D135">
        <v>512927.75000000023</v>
      </c>
    </row>
    <row r="136" spans="1:4" x14ac:dyDescent="0.3">
      <c r="A136" s="78" t="s">
        <v>18</v>
      </c>
      <c r="B136" s="78"/>
      <c r="C136" s="16">
        <v>46150</v>
      </c>
      <c r="D136">
        <v>58840.089999999938</v>
      </c>
    </row>
    <row r="137" spans="1:4" x14ac:dyDescent="0.3">
      <c r="A137" s="78" t="s">
        <v>19</v>
      </c>
      <c r="B137" s="78"/>
      <c r="C137" s="16">
        <v>46150</v>
      </c>
      <c r="D137">
        <v>1669.89</v>
      </c>
    </row>
    <row r="138" spans="1:4" x14ac:dyDescent="0.3">
      <c r="A138" s="78" t="s">
        <v>20</v>
      </c>
      <c r="B138" s="78"/>
      <c r="C138" s="16">
        <v>46150</v>
      </c>
      <c r="D138">
        <v>792366.49999999988</v>
      </c>
    </row>
    <row r="139" spans="1:4" x14ac:dyDescent="0.3">
      <c r="A139" s="78" t="s">
        <v>21</v>
      </c>
      <c r="B139" s="78"/>
      <c r="C139" s="16">
        <v>46150</v>
      </c>
      <c r="D139">
        <v>923830.41999999923</v>
      </c>
    </row>
    <row r="140" spans="1:4" x14ac:dyDescent="0.3">
      <c r="A140" s="78" t="s">
        <v>22</v>
      </c>
      <c r="B140" s="78"/>
      <c r="C140" s="16">
        <v>46150</v>
      </c>
      <c r="D140">
        <v>121511.38</v>
      </c>
    </row>
    <row r="141" spans="1:4" x14ac:dyDescent="0.3">
      <c r="A141" s="78" t="s">
        <v>23</v>
      </c>
      <c r="B141" s="78"/>
      <c r="C141" s="16">
        <v>46150</v>
      </c>
      <c r="D141">
        <v>13088.589999999997</v>
      </c>
    </row>
    <row r="142" spans="1:4" x14ac:dyDescent="0.3">
      <c r="A142" s="78" t="s">
        <v>24</v>
      </c>
      <c r="B142" s="78"/>
      <c r="C142" s="16">
        <v>46150</v>
      </c>
      <c r="D142">
        <v>3768.83</v>
      </c>
    </row>
    <row r="143" spans="1:4" x14ac:dyDescent="0.3">
      <c r="A143" s="78" t="s">
        <v>25</v>
      </c>
      <c r="B143" s="78"/>
      <c r="C143" s="16">
        <v>46150</v>
      </c>
      <c r="D143">
        <v>114.3</v>
      </c>
    </row>
    <row r="144" spans="1:4" x14ac:dyDescent="0.3">
      <c r="A144" s="78" t="s">
        <v>26</v>
      </c>
      <c r="B144" s="78"/>
      <c r="C144" s="16">
        <v>46150</v>
      </c>
      <c r="D144">
        <v>2267.7200000000003</v>
      </c>
    </row>
    <row r="145" spans="1:4" x14ac:dyDescent="0.3">
      <c r="A145" s="78" t="s">
        <v>27</v>
      </c>
      <c r="B145" s="78"/>
      <c r="C145" s="16">
        <v>46150</v>
      </c>
      <c r="D145">
        <v>3349.94</v>
      </c>
    </row>
    <row r="146" spans="1:4" x14ac:dyDescent="0.3">
      <c r="A146" s="78" t="s">
        <v>28</v>
      </c>
      <c r="B146" s="78"/>
      <c r="C146" s="16">
        <v>46150</v>
      </c>
      <c r="D146">
        <v>1968.99</v>
      </c>
    </row>
    <row r="147" spans="1:4" x14ac:dyDescent="0.3">
      <c r="A147" s="78" t="s">
        <v>29</v>
      </c>
      <c r="B147" s="78"/>
      <c r="C147" s="16">
        <v>46150</v>
      </c>
      <c r="D147">
        <v>901.34</v>
      </c>
    </row>
    <row r="148" spans="1:4" x14ac:dyDescent="0.3">
      <c r="A148" s="78" t="s">
        <v>30</v>
      </c>
      <c r="B148" s="78"/>
      <c r="C148" s="16">
        <v>46150</v>
      </c>
      <c r="D148">
        <v>1444.08</v>
      </c>
    </row>
    <row r="149" spans="1:4" x14ac:dyDescent="0.3">
      <c r="A149" s="78" t="s">
        <v>31</v>
      </c>
      <c r="B149" s="78"/>
      <c r="C149" s="16">
        <v>46150</v>
      </c>
      <c r="D149">
        <v>20592.599999999962</v>
      </c>
    </row>
    <row r="150" spans="1:4" x14ac:dyDescent="0.3">
      <c r="A150" s="78" t="s">
        <v>32</v>
      </c>
      <c r="B150" s="78"/>
      <c r="C150" s="16">
        <v>46150</v>
      </c>
      <c r="D150">
        <v>15120.060000000001</v>
      </c>
    </row>
    <row r="151" spans="1:4" x14ac:dyDescent="0.3">
      <c r="A151" s="78" t="s">
        <v>33</v>
      </c>
      <c r="B151" s="78"/>
      <c r="C151" s="16">
        <v>46150</v>
      </c>
      <c r="D151">
        <v>31323.39</v>
      </c>
    </row>
    <row r="152" spans="1:4" x14ac:dyDescent="0.3">
      <c r="A152" s="78" t="s">
        <v>34</v>
      </c>
      <c r="B152" s="78"/>
      <c r="C152" s="16">
        <v>46150</v>
      </c>
      <c r="D152">
        <v>345</v>
      </c>
    </row>
    <row r="153" spans="1:4" x14ac:dyDescent="0.3">
      <c r="A153" s="78" t="s">
        <v>35</v>
      </c>
      <c r="B153" s="78"/>
      <c r="C153" s="16">
        <v>46150</v>
      </c>
      <c r="D153">
        <v>23782.25</v>
      </c>
    </row>
    <row r="154" spans="1:4" x14ac:dyDescent="0.3">
      <c r="A154" s="78" t="s">
        <v>17</v>
      </c>
      <c r="B154" s="78"/>
      <c r="C154" s="16">
        <v>46151</v>
      </c>
      <c r="D154">
        <v>512927.75000000023</v>
      </c>
    </row>
    <row r="155" spans="1:4" x14ac:dyDescent="0.3">
      <c r="A155" s="78" t="s">
        <v>18</v>
      </c>
      <c r="B155" s="78"/>
      <c r="C155" s="16">
        <v>46151</v>
      </c>
      <c r="D155">
        <v>58840.089999999938</v>
      </c>
    </row>
    <row r="156" spans="1:4" x14ac:dyDescent="0.3">
      <c r="A156" s="78" t="s">
        <v>19</v>
      </c>
      <c r="B156" s="78"/>
      <c r="C156" s="16">
        <v>46151</v>
      </c>
      <c r="D156">
        <v>1669.89</v>
      </c>
    </row>
    <row r="157" spans="1:4" x14ac:dyDescent="0.3">
      <c r="A157" s="78" t="s">
        <v>20</v>
      </c>
      <c r="B157" s="78"/>
      <c r="C157" s="16">
        <v>46151</v>
      </c>
      <c r="D157">
        <v>792366.49999999988</v>
      </c>
    </row>
    <row r="158" spans="1:4" x14ac:dyDescent="0.3">
      <c r="A158" s="78" t="s">
        <v>21</v>
      </c>
      <c r="B158" s="78"/>
      <c r="C158" s="16">
        <v>46151</v>
      </c>
      <c r="D158">
        <v>923830.41999999923</v>
      </c>
    </row>
    <row r="159" spans="1:4" x14ac:dyDescent="0.3">
      <c r="A159" s="78" t="s">
        <v>22</v>
      </c>
      <c r="B159" s="78"/>
      <c r="C159" s="16">
        <v>46151</v>
      </c>
      <c r="D159">
        <v>121511.38</v>
      </c>
    </row>
    <row r="160" spans="1:4" x14ac:dyDescent="0.3">
      <c r="A160" s="78" t="s">
        <v>23</v>
      </c>
      <c r="B160" s="78"/>
      <c r="C160" s="16">
        <v>46151</v>
      </c>
      <c r="D160">
        <v>13088.589999999997</v>
      </c>
    </row>
    <row r="161" spans="1:4" x14ac:dyDescent="0.3">
      <c r="A161" s="78" t="s">
        <v>24</v>
      </c>
      <c r="B161" s="78"/>
      <c r="C161" s="16">
        <v>46151</v>
      </c>
      <c r="D161">
        <v>3768.83</v>
      </c>
    </row>
    <row r="162" spans="1:4" x14ac:dyDescent="0.3">
      <c r="A162" s="78" t="s">
        <v>25</v>
      </c>
      <c r="B162" s="78"/>
      <c r="C162" s="16">
        <v>46151</v>
      </c>
      <c r="D162">
        <v>114.3</v>
      </c>
    </row>
    <row r="163" spans="1:4" x14ac:dyDescent="0.3">
      <c r="A163" s="78" t="s">
        <v>26</v>
      </c>
      <c r="B163" s="78"/>
      <c r="C163" s="16">
        <v>46151</v>
      </c>
      <c r="D163">
        <v>2267.7200000000003</v>
      </c>
    </row>
    <row r="164" spans="1:4" x14ac:dyDescent="0.3">
      <c r="A164" s="78" t="s">
        <v>27</v>
      </c>
      <c r="B164" s="78"/>
      <c r="C164" s="16">
        <v>46151</v>
      </c>
      <c r="D164">
        <v>3349.94</v>
      </c>
    </row>
    <row r="165" spans="1:4" x14ac:dyDescent="0.3">
      <c r="A165" s="78" t="s">
        <v>28</v>
      </c>
      <c r="B165" s="78"/>
      <c r="C165" s="16">
        <v>46151</v>
      </c>
      <c r="D165">
        <v>1968.99</v>
      </c>
    </row>
    <row r="166" spans="1:4" x14ac:dyDescent="0.3">
      <c r="A166" s="78" t="s">
        <v>29</v>
      </c>
      <c r="B166" s="78"/>
      <c r="C166" s="16">
        <v>46151</v>
      </c>
      <c r="D166">
        <v>901.34</v>
      </c>
    </row>
    <row r="167" spans="1:4" x14ac:dyDescent="0.3">
      <c r="A167" s="78" t="s">
        <v>30</v>
      </c>
      <c r="B167" s="78"/>
      <c r="C167" s="16">
        <v>46151</v>
      </c>
      <c r="D167">
        <v>1444.08</v>
      </c>
    </row>
    <row r="168" spans="1:4" x14ac:dyDescent="0.3">
      <c r="A168" s="78" t="s">
        <v>31</v>
      </c>
      <c r="B168" s="78"/>
      <c r="C168" s="16">
        <v>46151</v>
      </c>
      <c r="D168">
        <v>20592.599999999962</v>
      </c>
    </row>
    <row r="169" spans="1:4" x14ac:dyDescent="0.3">
      <c r="A169" s="78" t="s">
        <v>32</v>
      </c>
      <c r="B169" s="78"/>
      <c r="C169" s="16">
        <v>46151</v>
      </c>
      <c r="D169">
        <v>15120.060000000001</v>
      </c>
    </row>
    <row r="170" spans="1:4" x14ac:dyDescent="0.3">
      <c r="A170" s="78" t="s">
        <v>33</v>
      </c>
      <c r="B170" s="78"/>
      <c r="C170" s="16">
        <v>46151</v>
      </c>
      <c r="D170">
        <v>31323.39</v>
      </c>
    </row>
    <row r="171" spans="1:4" x14ac:dyDescent="0.3">
      <c r="A171" s="78" t="s">
        <v>34</v>
      </c>
      <c r="B171" s="78"/>
      <c r="C171" s="16">
        <v>46151</v>
      </c>
      <c r="D171">
        <v>345</v>
      </c>
    </row>
    <row r="172" spans="1:4" x14ac:dyDescent="0.3">
      <c r="A172" s="78" t="s">
        <v>35</v>
      </c>
      <c r="B172" s="78"/>
      <c r="C172" s="16">
        <v>46151</v>
      </c>
      <c r="D172">
        <v>23782.25</v>
      </c>
    </row>
    <row r="173" spans="1:4" x14ac:dyDescent="0.3">
      <c r="A173" s="78" t="s">
        <v>17</v>
      </c>
      <c r="B173" s="78"/>
      <c r="C173" s="16">
        <v>46152</v>
      </c>
      <c r="D173">
        <v>512927.75000000023</v>
      </c>
    </row>
    <row r="174" spans="1:4" x14ac:dyDescent="0.3">
      <c r="A174" s="78" t="s">
        <v>18</v>
      </c>
      <c r="B174" s="78"/>
      <c r="C174" s="16">
        <v>46152</v>
      </c>
      <c r="D174">
        <v>58840.089999999938</v>
      </c>
    </row>
    <row r="175" spans="1:4" x14ac:dyDescent="0.3">
      <c r="A175" s="78" t="s">
        <v>19</v>
      </c>
      <c r="B175" s="78"/>
      <c r="C175" s="16">
        <v>46152</v>
      </c>
      <c r="D175">
        <v>1669.89</v>
      </c>
    </row>
    <row r="176" spans="1:4" x14ac:dyDescent="0.3">
      <c r="A176" s="78" t="s">
        <v>20</v>
      </c>
      <c r="B176" s="78"/>
      <c r="C176" s="16">
        <v>46152</v>
      </c>
      <c r="D176">
        <v>792366.49999999988</v>
      </c>
    </row>
    <row r="177" spans="1:4" x14ac:dyDescent="0.3">
      <c r="A177" s="78" t="s">
        <v>21</v>
      </c>
      <c r="B177" s="78"/>
      <c r="C177" s="16">
        <v>46152</v>
      </c>
      <c r="D177">
        <v>923830.41999999923</v>
      </c>
    </row>
    <row r="178" spans="1:4" x14ac:dyDescent="0.3">
      <c r="A178" s="78" t="s">
        <v>22</v>
      </c>
      <c r="B178" s="78"/>
      <c r="C178" s="16">
        <v>46152</v>
      </c>
      <c r="D178">
        <v>121511.38</v>
      </c>
    </row>
    <row r="179" spans="1:4" x14ac:dyDescent="0.3">
      <c r="A179" s="78" t="s">
        <v>23</v>
      </c>
      <c r="B179" s="78"/>
      <c r="C179" s="16">
        <v>46152</v>
      </c>
      <c r="D179">
        <v>13088.589999999997</v>
      </c>
    </row>
    <row r="180" spans="1:4" x14ac:dyDescent="0.3">
      <c r="A180" s="78" t="s">
        <v>24</v>
      </c>
      <c r="B180" s="78"/>
      <c r="C180" s="16">
        <v>46152</v>
      </c>
      <c r="D180">
        <v>3768.83</v>
      </c>
    </row>
    <row r="181" spans="1:4" x14ac:dyDescent="0.3">
      <c r="A181" s="78" t="s">
        <v>25</v>
      </c>
      <c r="B181" s="78"/>
      <c r="C181" s="16">
        <v>46152</v>
      </c>
      <c r="D181">
        <v>114.3</v>
      </c>
    </row>
    <row r="182" spans="1:4" x14ac:dyDescent="0.3">
      <c r="A182" s="78" t="s">
        <v>26</v>
      </c>
      <c r="B182" s="78"/>
      <c r="C182" s="16">
        <v>46152</v>
      </c>
      <c r="D182">
        <v>2267.7200000000003</v>
      </c>
    </row>
    <row r="183" spans="1:4" x14ac:dyDescent="0.3">
      <c r="A183" s="78" t="s">
        <v>27</v>
      </c>
      <c r="B183" s="78"/>
      <c r="C183" s="16">
        <v>46152</v>
      </c>
      <c r="D183">
        <v>3349.94</v>
      </c>
    </row>
    <row r="184" spans="1:4" x14ac:dyDescent="0.3">
      <c r="A184" s="78" t="s">
        <v>28</v>
      </c>
      <c r="B184" s="78"/>
      <c r="C184" s="16">
        <v>46152</v>
      </c>
      <c r="D184">
        <v>1968.99</v>
      </c>
    </row>
    <row r="185" spans="1:4" x14ac:dyDescent="0.3">
      <c r="A185" s="78" t="s">
        <v>29</v>
      </c>
      <c r="B185" s="78"/>
      <c r="C185" s="16">
        <v>46152</v>
      </c>
      <c r="D185">
        <v>901.34</v>
      </c>
    </row>
    <row r="186" spans="1:4" x14ac:dyDescent="0.3">
      <c r="A186" s="78" t="s">
        <v>30</v>
      </c>
      <c r="B186" s="78"/>
      <c r="C186" s="16">
        <v>46152</v>
      </c>
      <c r="D186">
        <v>1444.08</v>
      </c>
    </row>
    <row r="187" spans="1:4" x14ac:dyDescent="0.3">
      <c r="A187" s="78" t="s">
        <v>31</v>
      </c>
      <c r="B187" s="78"/>
      <c r="C187" s="16">
        <v>46152</v>
      </c>
      <c r="D187">
        <v>20592.599999999962</v>
      </c>
    </row>
    <row r="188" spans="1:4" x14ac:dyDescent="0.3">
      <c r="A188" s="78" t="s">
        <v>32</v>
      </c>
      <c r="B188" s="78"/>
      <c r="C188" s="16">
        <v>46152</v>
      </c>
      <c r="D188">
        <v>15120.060000000001</v>
      </c>
    </row>
    <row r="189" spans="1:4" x14ac:dyDescent="0.3">
      <c r="A189" s="78" t="s">
        <v>33</v>
      </c>
      <c r="B189" s="78"/>
      <c r="C189" s="16">
        <v>46152</v>
      </c>
      <c r="D189">
        <v>31323.39</v>
      </c>
    </row>
    <row r="190" spans="1:4" x14ac:dyDescent="0.3">
      <c r="A190" s="78" t="s">
        <v>34</v>
      </c>
      <c r="B190" s="78"/>
      <c r="C190" s="16">
        <v>46152</v>
      </c>
      <c r="D190">
        <v>345</v>
      </c>
    </row>
    <row r="191" spans="1:4" x14ac:dyDescent="0.3">
      <c r="A191" s="78" t="s">
        <v>35</v>
      </c>
      <c r="B191" s="78"/>
      <c r="C191" s="16">
        <v>46152</v>
      </c>
      <c r="D191">
        <v>23782.25</v>
      </c>
    </row>
    <row r="192" spans="1:4" x14ac:dyDescent="0.3">
      <c r="A192" s="78" t="s">
        <v>17</v>
      </c>
      <c r="B192" s="78"/>
      <c r="C192" s="16">
        <v>46153</v>
      </c>
      <c r="D192">
        <v>512927.75000000023</v>
      </c>
    </row>
    <row r="193" spans="1:4" x14ac:dyDescent="0.3">
      <c r="A193" s="78" t="s">
        <v>18</v>
      </c>
      <c r="B193" s="78"/>
      <c r="C193" s="16">
        <v>46153</v>
      </c>
      <c r="D193">
        <v>58840.089999999938</v>
      </c>
    </row>
    <row r="194" spans="1:4" x14ac:dyDescent="0.3">
      <c r="A194" s="78" t="s">
        <v>19</v>
      </c>
      <c r="B194" s="78"/>
      <c r="C194" s="16">
        <v>46153</v>
      </c>
      <c r="D194">
        <v>1669.89</v>
      </c>
    </row>
    <row r="195" spans="1:4" x14ac:dyDescent="0.3">
      <c r="A195" s="78" t="s">
        <v>20</v>
      </c>
      <c r="B195" s="78"/>
      <c r="C195" s="16">
        <v>46153</v>
      </c>
      <c r="D195">
        <v>1368366.5</v>
      </c>
    </row>
    <row r="196" spans="1:4" x14ac:dyDescent="0.3">
      <c r="A196" s="78" t="s">
        <v>21</v>
      </c>
      <c r="B196" s="78"/>
      <c r="C196" s="16">
        <v>46153</v>
      </c>
      <c r="D196">
        <v>1162513.7699999993</v>
      </c>
    </row>
    <row r="197" spans="1:4" x14ac:dyDescent="0.3">
      <c r="A197" s="78" t="s">
        <v>22</v>
      </c>
      <c r="B197" s="78"/>
      <c r="C197" s="16">
        <v>46153</v>
      </c>
      <c r="D197">
        <v>121511.38</v>
      </c>
    </row>
    <row r="198" spans="1:4" x14ac:dyDescent="0.3">
      <c r="A198" s="78" t="s">
        <v>23</v>
      </c>
      <c r="B198" s="78"/>
      <c r="C198" s="16">
        <v>46153</v>
      </c>
      <c r="D198">
        <v>13088.589999999997</v>
      </c>
    </row>
    <row r="199" spans="1:4" x14ac:dyDescent="0.3">
      <c r="A199" s="78" t="s">
        <v>24</v>
      </c>
      <c r="B199" s="78"/>
      <c r="C199" s="16">
        <v>46153</v>
      </c>
      <c r="D199">
        <v>3768.83</v>
      </c>
    </row>
    <row r="200" spans="1:4" x14ac:dyDescent="0.3">
      <c r="A200" s="78" t="s">
        <v>25</v>
      </c>
      <c r="B200" s="78"/>
      <c r="C200" s="16">
        <v>46153</v>
      </c>
      <c r="D200">
        <v>114.3</v>
      </c>
    </row>
    <row r="201" spans="1:4" x14ac:dyDescent="0.3">
      <c r="A201" s="78" t="s">
        <v>26</v>
      </c>
      <c r="B201" s="78"/>
      <c r="C201" s="16">
        <v>46153</v>
      </c>
      <c r="D201">
        <v>2267.7200000000003</v>
      </c>
    </row>
    <row r="202" spans="1:4" x14ac:dyDescent="0.3">
      <c r="A202" s="78" t="s">
        <v>27</v>
      </c>
      <c r="B202" s="78"/>
      <c r="C202" s="16">
        <v>46153</v>
      </c>
      <c r="D202">
        <v>3349.94</v>
      </c>
    </row>
    <row r="203" spans="1:4" x14ac:dyDescent="0.3">
      <c r="A203" s="78" t="s">
        <v>28</v>
      </c>
      <c r="B203" s="78"/>
      <c r="C203" s="16">
        <v>46153</v>
      </c>
      <c r="D203">
        <v>1968.99</v>
      </c>
    </row>
    <row r="204" spans="1:4" x14ac:dyDescent="0.3">
      <c r="A204" s="78" t="s">
        <v>29</v>
      </c>
      <c r="B204" s="78"/>
      <c r="C204" s="16">
        <v>46153</v>
      </c>
      <c r="D204">
        <v>901.34</v>
      </c>
    </row>
    <row r="205" spans="1:4" x14ac:dyDescent="0.3">
      <c r="A205" s="78" t="s">
        <v>30</v>
      </c>
      <c r="B205" s="78"/>
      <c r="C205" s="16">
        <v>46153</v>
      </c>
      <c r="D205">
        <v>1444.08</v>
      </c>
    </row>
    <row r="206" spans="1:4" x14ac:dyDescent="0.3">
      <c r="A206" s="78" t="s">
        <v>31</v>
      </c>
      <c r="B206" s="78"/>
      <c r="C206" s="16">
        <v>46153</v>
      </c>
      <c r="D206">
        <v>19092.599999999962</v>
      </c>
    </row>
    <row r="207" spans="1:4" x14ac:dyDescent="0.3">
      <c r="A207" s="78" t="s">
        <v>32</v>
      </c>
      <c r="B207" s="78"/>
      <c r="C207" s="16">
        <v>46153</v>
      </c>
      <c r="D207">
        <v>15120.060000000001</v>
      </c>
    </row>
    <row r="208" spans="1:4" x14ac:dyDescent="0.3">
      <c r="A208" s="78" t="s">
        <v>33</v>
      </c>
      <c r="B208" s="78"/>
      <c r="C208" s="16">
        <v>46153</v>
      </c>
      <c r="D208">
        <v>31323.39</v>
      </c>
    </row>
    <row r="209" spans="1:4" x14ac:dyDescent="0.3">
      <c r="A209" s="78" t="s">
        <v>34</v>
      </c>
      <c r="B209" s="78"/>
      <c r="C209" s="16">
        <v>46153</v>
      </c>
      <c r="D209">
        <v>345</v>
      </c>
    </row>
    <row r="210" spans="1:4" x14ac:dyDescent="0.3">
      <c r="A210" s="78" t="s">
        <v>35</v>
      </c>
      <c r="B210" s="78"/>
      <c r="C210" s="16">
        <v>46153</v>
      </c>
      <c r="D210">
        <v>16956.59</v>
      </c>
    </row>
    <row r="211" spans="1:4" x14ac:dyDescent="0.3">
      <c r="A211" s="78" t="s">
        <v>17</v>
      </c>
      <c r="B211" s="78"/>
      <c r="C211" s="16">
        <v>46154</v>
      </c>
      <c r="D211">
        <v>606714.4700000002</v>
      </c>
    </row>
    <row r="212" spans="1:4" x14ac:dyDescent="0.3">
      <c r="A212" s="78" t="s">
        <v>18</v>
      </c>
      <c r="B212" s="78"/>
      <c r="C212" s="16">
        <v>46154</v>
      </c>
      <c r="D212">
        <v>58840.089999999938</v>
      </c>
    </row>
    <row r="213" spans="1:4" x14ac:dyDescent="0.3">
      <c r="A213" s="78" t="s">
        <v>19</v>
      </c>
      <c r="B213" s="78"/>
      <c r="C213" s="16">
        <v>46154</v>
      </c>
      <c r="D213">
        <v>1669.89</v>
      </c>
    </row>
    <row r="214" spans="1:4" x14ac:dyDescent="0.3">
      <c r="A214" s="78" t="s">
        <v>20</v>
      </c>
      <c r="B214" s="78"/>
      <c r="C214" s="16">
        <v>46154</v>
      </c>
      <c r="D214">
        <v>1226185.8999999999</v>
      </c>
    </row>
    <row r="215" spans="1:4" x14ac:dyDescent="0.3">
      <c r="A215" s="78" t="s">
        <v>21</v>
      </c>
      <c r="B215" s="78"/>
      <c r="C215" s="16">
        <v>46154</v>
      </c>
      <c r="D215">
        <v>1162404.8599999992</v>
      </c>
    </row>
    <row r="216" spans="1:4" x14ac:dyDescent="0.3">
      <c r="A216" s="78" t="s">
        <v>22</v>
      </c>
      <c r="B216" s="78"/>
      <c r="C216" s="16">
        <v>46154</v>
      </c>
      <c r="D216">
        <v>121511.38</v>
      </c>
    </row>
    <row r="217" spans="1:4" x14ac:dyDescent="0.3">
      <c r="A217" s="78" t="s">
        <v>23</v>
      </c>
      <c r="B217" s="78"/>
      <c r="C217" s="16">
        <v>46154</v>
      </c>
      <c r="D217">
        <v>13088.589999999997</v>
      </c>
    </row>
    <row r="218" spans="1:4" x14ac:dyDescent="0.3">
      <c r="A218" s="78" t="s">
        <v>24</v>
      </c>
      <c r="B218" s="78"/>
      <c r="C218" s="16">
        <v>46154</v>
      </c>
      <c r="D218">
        <v>3768.83</v>
      </c>
    </row>
    <row r="219" spans="1:4" x14ac:dyDescent="0.3">
      <c r="A219" s="78" t="s">
        <v>25</v>
      </c>
      <c r="B219" s="78"/>
      <c r="C219" s="16">
        <v>46154</v>
      </c>
      <c r="D219">
        <v>114.3</v>
      </c>
    </row>
    <row r="220" spans="1:4" x14ac:dyDescent="0.3">
      <c r="A220" s="78" t="s">
        <v>26</v>
      </c>
      <c r="B220" s="78"/>
      <c r="C220" s="16">
        <v>46154</v>
      </c>
      <c r="D220">
        <v>2267.7200000000003</v>
      </c>
    </row>
    <row r="221" spans="1:4" x14ac:dyDescent="0.3">
      <c r="A221" s="78" t="s">
        <v>27</v>
      </c>
      <c r="B221" s="78"/>
      <c r="C221" s="16">
        <v>46154</v>
      </c>
      <c r="D221">
        <v>3349.94</v>
      </c>
    </row>
    <row r="222" spans="1:4" x14ac:dyDescent="0.3">
      <c r="A222" s="78" t="s">
        <v>28</v>
      </c>
      <c r="B222" s="78"/>
      <c r="C222" s="16">
        <v>46154</v>
      </c>
      <c r="D222">
        <v>1968.99</v>
      </c>
    </row>
    <row r="223" spans="1:4" x14ac:dyDescent="0.3">
      <c r="A223" s="78" t="s">
        <v>29</v>
      </c>
      <c r="B223" s="78"/>
      <c r="C223" s="16">
        <v>46154</v>
      </c>
      <c r="D223">
        <v>901.34</v>
      </c>
    </row>
    <row r="224" spans="1:4" x14ac:dyDescent="0.3">
      <c r="A224" s="78" t="s">
        <v>30</v>
      </c>
      <c r="B224" s="78"/>
      <c r="C224" s="16">
        <v>46154</v>
      </c>
      <c r="D224">
        <v>1444.08</v>
      </c>
    </row>
    <row r="225" spans="1:4" x14ac:dyDescent="0.3">
      <c r="A225" s="78" t="s">
        <v>31</v>
      </c>
      <c r="B225" s="78"/>
      <c r="C225" s="16">
        <v>46154</v>
      </c>
      <c r="D225">
        <v>19092.599999999962</v>
      </c>
    </row>
    <row r="226" spans="1:4" x14ac:dyDescent="0.3">
      <c r="A226" s="78" t="s">
        <v>32</v>
      </c>
      <c r="B226" s="78"/>
      <c r="C226" s="16">
        <v>46154</v>
      </c>
      <c r="D226">
        <v>15120.060000000001</v>
      </c>
    </row>
    <row r="227" spans="1:4" x14ac:dyDescent="0.3">
      <c r="A227" s="78" t="s">
        <v>33</v>
      </c>
      <c r="B227" s="78"/>
      <c r="C227" s="16">
        <v>46154</v>
      </c>
      <c r="D227">
        <v>31323.39</v>
      </c>
    </row>
    <row r="228" spans="1:4" x14ac:dyDescent="0.3">
      <c r="A228" s="78" t="s">
        <v>34</v>
      </c>
      <c r="B228" s="78"/>
      <c r="C228" s="16">
        <v>46154</v>
      </c>
      <c r="D228">
        <v>345</v>
      </c>
    </row>
    <row r="229" spans="1:4" x14ac:dyDescent="0.3">
      <c r="A229" s="78" t="s">
        <v>35</v>
      </c>
      <c r="B229" s="78"/>
      <c r="C229" s="16">
        <v>46154</v>
      </c>
      <c r="D229">
        <v>16741.59</v>
      </c>
    </row>
    <row r="230" spans="1:4" x14ac:dyDescent="0.3">
      <c r="A230" s="78" t="s">
        <v>17</v>
      </c>
      <c r="B230" s="78"/>
      <c r="C230" s="16">
        <v>46155</v>
      </c>
      <c r="D230">
        <v>606714.4700000002</v>
      </c>
    </row>
    <row r="231" spans="1:4" x14ac:dyDescent="0.3">
      <c r="A231" s="78" t="s">
        <v>18</v>
      </c>
      <c r="B231" s="78"/>
      <c r="C231" s="16">
        <v>46155</v>
      </c>
      <c r="D231">
        <v>58840.089999999938</v>
      </c>
    </row>
    <row r="232" spans="1:4" x14ac:dyDescent="0.3">
      <c r="A232" s="78" t="s">
        <v>19</v>
      </c>
      <c r="B232" s="78"/>
      <c r="C232" s="16">
        <v>46155</v>
      </c>
      <c r="D232">
        <v>1669.89</v>
      </c>
    </row>
    <row r="233" spans="1:4" x14ac:dyDescent="0.3">
      <c r="A233" s="78" t="s">
        <v>20</v>
      </c>
      <c r="B233" s="78"/>
      <c r="C233" s="16">
        <v>46155</v>
      </c>
      <c r="D233">
        <v>1242679.67</v>
      </c>
    </row>
    <row r="234" spans="1:4" x14ac:dyDescent="0.3">
      <c r="A234" s="78" t="s">
        <v>21</v>
      </c>
      <c r="B234" s="78"/>
      <c r="C234" s="16">
        <v>46155</v>
      </c>
      <c r="D234">
        <v>1162404.8599999992</v>
      </c>
    </row>
    <row r="235" spans="1:4" x14ac:dyDescent="0.3">
      <c r="A235" s="78" t="s">
        <v>22</v>
      </c>
      <c r="B235" s="78"/>
      <c r="C235" s="16">
        <v>46155</v>
      </c>
      <c r="D235">
        <v>121511.38</v>
      </c>
    </row>
    <row r="236" spans="1:4" x14ac:dyDescent="0.3">
      <c r="A236" s="78" t="s">
        <v>23</v>
      </c>
      <c r="B236" s="78"/>
      <c r="C236" s="16">
        <v>46155</v>
      </c>
      <c r="D236">
        <v>13090.369999999997</v>
      </c>
    </row>
    <row r="237" spans="1:4" x14ac:dyDescent="0.3">
      <c r="A237" s="78" t="s">
        <v>24</v>
      </c>
      <c r="B237" s="78"/>
      <c r="C237" s="16">
        <v>46155</v>
      </c>
      <c r="D237">
        <v>2498.3999999999996</v>
      </c>
    </row>
    <row r="238" spans="1:4" x14ac:dyDescent="0.3">
      <c r="A238" s="78" t="s">
        <v>25</v>
      </c>
      <c r="B238" s="78"/>
      <c r="C238" s="16">
        <v>46155</v>
      </c>
      <c r="D238">
        <v>114.3</v>
      </c>
    </row>
    <row r="239" spans="1:4" x14ac:dyDescent="0.3">
      <c r="A239" s="78" t="s">
        <v>26</v>
      </c>
      <c r="B239" s="78"/>
      <c r="C239" s="16">
        <v>46155</v>
      </c>
      <c r="D239">
        <v>2267.7200000000003</v>
      </c>
    </row>
    <row r="240" spans="1:4" x14ac:dyDescent="0.3">
      <c r="A240" s="78" t="s">
        <v>27</v>
      </c>
      <c r="B240" s="78"/>
      <c r="C240" s="16">
        <v>46155</v>
      </c>
      <c r="D240">
        <v>3349.94</v>
      </c>
    </row>
    <row r="241" spans="1:4" x14ac:dyDescent="0.3">
      <c r="A241" s="78" t="s">
        <v>28</v>
      </c>
      <c r="B241" s="78"/>
      <c r="C241" s="16">
        <v>46155</v>
      </c>
      <c r="D241">
        <v>1968.99</v>
      </c>
    </row>
    <row r="242" spans="1:4" x14ac:dyDescent="0.3">
      <c r="A242" s="78" t="s">
        <v>29</v>
      </c>
      <c r="B242" s="78"/>
      <c r="C242" s="16">
        <v>46155</v>
      </c>
      <c r="D242">
        <v>901.34</v>
      </c>
    </row>
    <row r="243" spans="1:4" x14ac:dyDescent="0.3">
      <c r="A243" s="78" t="s">
        <v>30</v>
      </c>
      <c r="B243" s="78"/>
      <c r="C243" s="16">
        <v>46155</v>
      </c>
      <c r="D243">
        <v>1444.08</v>
      </c>
    </row>
    <row r="244" spans="1:4" x14ac:dyDescent="0.3">
      <c r="A244" s="78" t="s">
        <v>31</v>
      </c>
      <c r="B244" s="78"/>
      <c r="C244" s="16">
        <v>46155</v>
      </c>
      <c r="D244">
        <v>18242.599999999962</v>
      </c>
    </row>
    <row r="245" spans="1:4" x14ac:dyDescent="0.3">
      <c r="A245" s="78" t="s">
        <v>32</v>
      </c>
      <c r="B245" s="78"/>
      <c r="C245" s="16">
        <v>46155</v>
      </c>
      <c r="D245">
        <v>15120.060000000001</v>
      </c>
    </row>
    <row r="246" spans="1:4" x14ac:dyDescent="0.3">
      <c r="A246" s="78" t="s">
        <v>33</v>
      </c>
      <c r="B246" s="78"/>
      <c r="C246" s="16">
        <v>46155</v>
      </c>
      <c r="D246">
        <v>31323.39</v>
      </c>
    </row>
    <row r="247" spans="1:4" x14ac:dyDescent="0.3">
      <c r="A247" s="78" t="s">
        <v>34</v>
      </c>
      <c r="B247" s="78"/>
      <c r="C247" s="16">
        <v>46155</v>
      </c>
      <c r="D247">
        <v>345</v>
      </c>
    </row>
    <row r="248" spans="1:4" x14ac:dyDescent="0.3">
      <c r="A248" s="78" t="s">
        <v>35</v>
      </c>
      <c r="B248" s="78"/>
      <c r="C248" s="16">
        <v>46155</v>
      </c>
      <c r="D248">
        <v>16741.59</v>
      </c>
    </row>
    <row r="249" spans="1:4" x14ac:dyDescent="0.3">
      <c r="A249" s="78" t="s">
        <v>17</v>
      </c>
      <c r="B249" s="78"/>
      <c r="C249" s="16">
        <v>46156</v>
      </c>
      <c r="D249">
        <v>165752.81000000023</v>
      </c>
    </row>
    <row r="250" spans="1:4" x14ac:dyDescent="0.3">
      <c r="A250" s="78" t="s">
        <v>18</v>
      </c>
      <c r="B250" s="78"/>
      <c r="C250" s="16">
        <v>46156</v>
      </c>
      <c r="D250">
        <v>59760.159999999938</v>
      </c>
    </row>
    <row r="251" spans="1:4" x14ac:dyDescent="0.3">
      <c r="A251" s="78" t="s">
        <v>19</v>
      </c>
      <c r="B251" s="78"/>
      <c r="C251" s="16">
        <v>46156</v>
      </c>
      <c r="D251">
        <v>1669.89</v>
      </c>
    </row>
    <row r="252" spans="1:4" x14ac:dyDescent="0.3">
      <c r="A252" s="78" t="s">
        <v>20</v>
      </c>
      <c r="B252" s="78"/>
      <c r="C252" s="16">
        <v>46156</v>
      </c>
      <c r="D252">
        <v>832679.66999999981</v>
      </c>
    </row>
    <row r="253" spans="1:4" x14ac:dyDescent="0.3">
      <c r="A253" s="78" t="s">
        <v>21</v>
      </c>
      <c r="B253" s="78"/>
      <c r="C253" s="16">
        <v>46156</v>
      </c>
      <c r="D253">
        <v>952193.18999999925</v>
      </c>
    </row>
    <row r="254" spans="1:4" x14ac:dyDescent="0.3">
      <c r="A254" s="78" t="s">
        <v>22</v>
      </c>
      <c r="B254" s="78"/>
      <c r="C254" s="16">
        <v>46156</v>
      </c>
      <c r="D254">
        <v>121511.38</v>
      </c>
    </row>
    <row r="255" spans="1:4" x14ac:dyDescent="0.3">
      <c r="A255" s="78" t="s">
        <v>23</v>
      </c>
      <c r="B255" s="78"/>
      <c r="C255" s="16">
        <v>46156</v>
      </c>
      <c r="D255">
        <v>13090.369999999997</v>
      </c>
    </row>
    <row r="256" spans="1:4" x14ac:dyDescent="0.3">
      <c r="A256" s="78" t="s">
        <v>24</v>
      </c>
      <c r="B256" s="78"/>
      <c r="C256" s="16">
        <v>46156</v>
      </c>
      <c r="D256">
        <v>2498.3999999999996</v>
      </c>
    </row>
    <row r="257" spans="1:4" x14ac:dyDescent="0.3">
      <c r="A257" s="78" t="s">
        <v>25</v>
      </c>
      <c r="B257" s="78"/>
      <c r="C257" s="16">
        <v>46156</v>
      </c>
      <c r="D257">
        <v>114.3</v>
      </c>
    </row>
    <row r="258" spans="1:4" x14ac:dyDescent="0.3">
      <c r="A258" s="78" t="s">
        <v>26</v>
      </c>
      <c r="B258" s="78"/>
      <c r="C258" s="16">
        <v>46156</v>
      </c>
      <c r="D258">
        <v>2267.7200000000003</v>
      </c>
    </row>
    <row r="259" spans="1:4" x14ac:dyDescent="0.3">
      <c r="A259" s="78" t="s">
        <v>27</v>
      </c>
      <c r="B259" s="78"/>
      <c r="C259" s="16">
        <v>46156</v>
      </c>
      <c r="D259">
        <v>3349.94</v>
      </c>
    </row>
    <row r="260" spans="1:4" x14ac:dyDescent="0.3">
      <c r="A260" s="78" t="s">
        <v>28</v>
      </c>
      <c r="B260" s="78"/>
      <c r="C260" s="16">
        <v>46156</v>
      </c>
      <c r="D260">
        <v>1968.99</v>
      </c>
    </row>
    <row r="261" spans="1:4" x14ac:dyDescent="0.3">
      <c r="A261" s="78" t="s">
        <v>29</v>
      </c>
      <c r="B261" s="78"/>
      <c r="C261" s="16">
        <v>46156</v>
      </c>
      <c r="D261">
        <v>901.34</v>
      </c>
    </row>
    <row r="262" spans="1:4" x14ac:dyDescent="0.3">
      <c r="A262" s="78" t="s">
        <v>30</v>
      </c>
      <c r="B262" s="78"/>
      <c r="C262" s="16">
        <v>46156</v>
      </c>
      <c r="D262">
        <v>1444.08</v>
      </c>
    </row>
    <row r="263" spans="1:4" x14ac:dyDescent="0.3">
      <c r="A263" s="78" t="s">
        <v>31</v>
      </c>
      <c r="B263" s="78"/>
      <c r="C263" s="16">
        <v>46156</v>
      </c>
      <c r="D263">
        <v>18242.599999999962</v>
      </c>
    </row>
    <row r="264" spans="1:4" x14ac:dyDescent="0.3">
      <c r="A264" s="78" t="s">
        <v>32</v>
      </c>
      <c r="B264" s="78"/>
      <c r="C264" s="16">
        <v>46156</v>
      </c>
      <c r="D264">
        <v>15120.060000000001</v>
      </c>
    </row>
    <row r="265" spans="1:4" x14ac:dyDescent="0.3">
      <c r="A265" s="78" t="s">
        <v>33</v>
      </c>
      <c r="B265" s="78"/>
      <c r="C265" s="16">
        <v>46156</v>
      </c>
      <c r="D265">
        <v>31323.39</v>
      </c>
    </row>
    <row r="266" spans="1:4" x14ac:dyDescent="0.3">
      <c r="A266" s="78" t="s">
        <v>34</v>
      </c>
      <c r="B266" s="78"/>
      <c r="C266" s="16">
        <v>46156</v>
      </c>
      <c r="D266">
        <v>345</v>
      </c>
    </row>
    <row r="267" spans="1:4" x14ac:dyDescent="0.3">
      <c r="A267" s="78" t="s">
        <v>35</v>
      </c>
      <c r="B267" s="78"/>
      <c r="C267" s="16">
        <v>46156</v>
      </c>
      <c r="D267">
        <v>14226.59</v>
      </c>
    </row>
    <row r="268" spans="1:4" x14ac:dyDescent="0.3">
      <c r="A268" s="78" t="s">
        <v>17</v>
      </c>
      <c r="B268" s="78"/>
      <c r="C268" s="16">
        <v>46157</v>
      </c>
      <c r="D268">
        <v>165752.81000000023</v>
      </c>
    </row>
    <row r="269" spans="1:4" x14ac:dyDescent="0.3">
      <c r="A269" s="78" t="s">
        <v>18</v>
      </c>
      <c r="B269" s="78"/>
      <c r="C269" s="16">
        <v>46157</v>
      </c>
      <c r="D269">
        <v>59760.159999999938</v>
      </c>
    </row>
    <row r="270" spans="1:4" x14ac:dyDescent="0.3">
      <c r="A270" s="78" t="s">
        <v>19</v>
      </c>
      <c r="B270" s="78"/>
      <c r="C270" s="16">
        <v>46157</v>
      </c>
      <c r="D270">
        <v>1669.89</v>
      </c>
    </row>
    <row r="271" spans="1:4" x14ac:dyDescent="0.3">
      <c r="A271" s="78" t="s">
        <v>20</v>
      </c>
      <c r="B271" s="78"/>
      <c r="C271" s="16">
        <v>46157</v>
      </c>
      <c r="D271">
        <v>832076.20999999985</v>
      </c>
    </row>
    <row r="272" spans="1:4" x14ac:dyDescent="0.3">
      <c r="A272" s="78" t="s">
        <v>21</v>
      </c>
      <c r="B272" s="78"/>
      <c r="C272" s="16">
        <v>46157</v>
      </c>
      <c r="D272">
        <v>952163.77999999933</v>
      </c>
    </row>
    <row r="273" spans="1:4" x14ac:dyDescent="0.3">
      <c r="A273" s="78" t="s">
        <v>22</v>
      </c>
      <c r="B273" s="78"/>
      <c r="C273" s="16">
        <v>46157</v>
      </c>
      <c r="D273">
        <v>121511.38</v>
      </c>
    </row>
    <row r="274" spans="1:4" x14ac:dyDescent="0.3">
      <c r="A274" s="78" t="s">
        <v>23</v>
      </c>
      <c r="B274" s="78"/>
      <c r="C274" s="16">
        <v>46157</v>
      </c>
      <c r="D274">
        <v>13090.369999999997</v>
      </c>
    </row>
    <row r="275" spans="1:4" x14ac:dyDescent="0.3">
      <c r="A275" s="78" t="s">
        <v>24</v>
      </c>
      <c r="B275" s="78"/>
      <c r="C275" s="16">
        <v>46157</v>
      </c>
      <c r="D275">
        <v>2498.3999999999996</v>
      </c>
    </row>
    <row r="276" spans="1:4" x14ac:dyDescent="0.3">
      <c r="A276" s="78" t="s">
        <v>25</v>
      </c>
      <c r="B276" s="78"/>
      <c r="C276" s="16">
        <v>46157</v>
      </c>
      <c r="D276">
        <v>114.3</v>
      </c>
    </row>
    <row r="277" spans="1:4" x14ac:dyDescent="0.3">
      <c r="A277" s="78" t="s">
        <v>26</v>
      </c>
      <c r="B277" s="78"/>
      <c r="C277" s="16">
        <v>46157</v>
      </c>
      <c r="D277">
        <v>2267.7200000000003</v>
      </c>
    </row>
    <row r="278" spans="1:4" x14ac:dyDescent="0.3">
      <c r="A278" s="78" t="s">
        <v>27</v>
      </c>
      <c r="B278" s="78"/>
      <c r="C278" s="16">
        <v>46157</v>
      </c>
      <c r="D278">
        <v>3349.94</v>
      </c>
    </row>
    <row r="279" spans="1:4" x14ac:dyDescent="0.3">
      <c r="A279" s="78" t="s">
        <v>28</v>
      </c>
      <c r="B279" s="78"/>
      <c r="C279" s="16">
        <v>46157</v>
      </c>
      <c r="D279">
        <v>1968.99</v>
      </c>
    </row>
    <row r="280" spans="1:4" x14ac:dyDescent="0.3">
      <c r="A280" s="78" t="s">
        <v>29</v>
      </c>
      <c r="B280" s="78"/>
      <c r="C280" s="16">
        <v>46157</v>
      </c>
      <c r="D280">
        <v>901.34</v>
      </c>
    </row>
    <row r="281" spans="1:4" x14ac:dyDescent="0.3">
      <c r="A281" s="78" t="s">
        <v>30</v>
      </c>
      <c r="B281" s="78"/>
      <c r="C281" s="16">
        <v>46157</v>
      </c>
      <c r="D281">
        <v>1444.08</v>
      </c>
    </row>
    <row r="282" spans="1:4" x14ac:dyDescent="0.3">
      <c r="A282" s="78" t="s">
        <v>31</v>
      </c>
      <c r="B282" s="78"/>
      <c r="C282" s="16">
        <v>46157</v>
      </c>
      <c r="D282">
        <v>18242.599999999962</v>
      </c>
    </row>
    <row r="283" spans="1:4" x14ac:dyDescent="0.3">
      <c r="A283" s="78" t="s">
        <v>32</v>
      </c>
      <c r="B283" s="78"/>
      <c r="C283" s="16">
        <v>46157</v>
      </c>
      <c r="D283">
        <v>15120.060000000001</v>
      </c>
    </row>
    <row r="284" spans="1:4" x14ac:dyDescent="0.3">
      <c r="A284" s="78" t="s">
        <v>33</v>
      </c>
      <c r="B284" s="78"/>
      <c r="C284" s="16">
        <v>46157</v>
      </c>
      <c r="D284">
        <v>27011.27</v>
      </c>
    </row>
    <row r="285" spans="1:4" x14ac:dyDescent="0.3">
      <c r="A285" s="78" t="s">
        <v>34</v>
      </c>
      <c r="B285" s="78"/>
      <c r="C285" s="16">
        <v>46157</v>
      </c>
      <c r="D285">
        <v>345</v>
      </c>
    </row>
    <row r="286" spans="1:4" x14ac:dyDescent="0.3">
      <c r="A286" s="78" t="s">
        <v>35</v>
      </c>
      <c r="B286" s="78"/>
      <c r="C286" s="16">
        <v>46157</v>
      </c>
      <c r="D286">
        <v>14176.59</v>
      </c>
    </row>
    <row r="287" spans="1:4" x14ac:dyDescent="0.3">
      <c r="A287" s="78" t="s">
        <v>17</v>
      </c>
      <c r="B287" s="78"/>
      <c r="C287" s="16">
        <v>46158</v>
      </c>
      <c r="D287">
        <v>165752.81000000023</v>
      </c>
    </row>
    <row r="288" spans="1:4" x14ac:dyDescent="0.3">
      <c r="A288" s="78" t="s">
        <v>18</v>
      </c>
      <c r="B288" s="78"/>
      <c r="C288" s="16">
        <v>46158</v>
      </c>
      <c r="D288">
        <v>59760.159999999938</v>
      </c>
    </row>
    <row r="289" spans="1:4" x14ac:dyDescent="0.3">
      <c r="A289" s="78" t="s">
        <v>19</v>
      </c>
      <c r="B289" s="78"/>
      <c r="C289" s="16">
        <v>46158</v>
      </c>
      <c r="D289">
        <v>1669.89</v>
      </c>
    </row>
    <row r="290" spans="1:4" x14ac:dyDescent="0.3">
      <c r="A290" s="78" t="s">
        <v>20</v>
      </c>
      <c r="B290" s="78"/>
      <c r="C290" s="16">
        <v>46158</v>
      </c>
      <c r="D290">
        <v>832076.20999999985</v>
      </c>
    </row>
    <row r="291" spans="1:4" x14ac:dyDescent="0.3">
      <c r="A291" s="78" t="s">
        <v>21</v>
      </c>
      <c r="B291" s="78"/>
      <c r="C291" s="16">
        <v>46158</v>
      </c>
      <c r="D291">
        <v>952163.77999999933</v>
      </c>
    </row>
    <row r="292" spans="1:4" x14ac:dyDescent="0.3">
      <c r="A292" s="78" t="s">
        <v>22</v>
      </c>
      <c r="B292" s="78"/>
      <c r="C292" s="16">
        <v>46158</v>
      </c>
      <c r="D292">
        <v>121511.38</v>
      </c>
    </row>
    <row r="293" spans="1:4" x14ac:dyDescent="0.3">
      <c r="A293" s="78" t="s">
        <v>23</v>
      </c>
      <c r="B293" s="78"/>
      <c r="C293" s="16">
        <v>46158</v>
      </c>
      <c r="D293">
        <v>13090.369999999997</v>
      </c>
    </row>
    <row r="294" spans="1:4" x14ac:dyDescent="0.3">
      <c r="A294" s="78" t="s">
        <v>24</v>
      </c>
      <c r="B294" s="78"/>
      <c r="C294" s="16">
        <v>46158</v>
      </c>
      <c r="D294">
        <v>2498.3999999999996</v>
      </c>
    </row>
    <row r="295" spans="1:4" x14ac:dyDescent="0.3">
      <c r="A295" s="78" t="s">
        <v>25</v>
      </c>
      <c r="B295" s="78"/>
      <c r="C295" s="16">
        <v>46158</v>
      </c>
      <c r="D295">
        <v>114.3</v>
      </c>
    </row>
    <row r="296" spans="1:4" x14ac:dyDescent="0.3">
      <c r="A296" s="78" t="s">
        <v>26</v>
      </c>
      <c r="B296" s="78"/>
      <c r="C296" s="16">
        <v>46158</v>
      </c>
      <c r="D296">
        <v>2267.7200000000003</v>
      </c>
    </row>
    <row r="297" spans="1:4" x14ac:dyDescent="0.3">
      <c r="A297" s="78" t="s">
        <v>27</v>
      </c>
      <c r="B297" s="78"/>
      <c r="C297" s="16">
        <v>46158</v>
      </c>
      <c r="D297">
        <v>3349.94</v>
      </c>
    </row>
    <row r="298" spans="1:4" x14ac:dyDescent="0.3">
      <c r="A298" s="78" t="s">
        <v>28</v>
      </c>
      <c r="B298" s="78"/>
      <c r="C298" s="16">
        <v>46158</v>
      </c>
      <c r="D298">
        <v>1968.99</v>
      </c>
    </row>
    <row r="299" spans="1:4" x14ac:dyDescent="0.3">
      <c r="A299" s="78" t="s">
        <v>29</v>
      </c>
      <c r="B299" s="78"/>
      <c r="C299" s="16">
        <v>46158</v>
      </c>
      <c r="D299">
        <v>901.34</v>
      </c>
    </row>
    <row r="300" spans="1:4" x14ac:dyDescent="0.3">
      <c r="A300" s="78" t="s">
        <v>30</v>
      </c>
      <c r="B300" s="78"/>
      <c r="C300" s="16">
        <v>46158</v>
      </c>
      <c r="D300">
        <v>1444.08</v>
      </c>
    </row>
    <row r="301" spans="1:4" x14ac:dyDescent="0.3">
      <c r="A301" s="78" t="s">
        <v>31</v>
      </c>
      <c r="B301" s="78"/>
      <c r="C301" s="16">
        <v>46158</v>
      </c>
      <c r="D301">
        <v>18242.599999999962</v>
      </c>
    </row>
    <row r="302" spans="1:4" x14ac:dyDescent="0.3">
      <c r="A302" s="78" t="s">
        <v>32</v>
      </c>
      <c r="B302" s="78"/>
      <c r="C302" s="16">
        <v>46158</v>
      </c>
      <c r="D302">
        <v>15120.060000000001</v>
      </c>
    </row>
    <row r="303" spans="1:4" x14ac:dyDescent="0.3">
      <c r="A303" s="78" t="s">
        <v>33</v>
      </c>
      <c r="B303" s="78"/>
      <c r="C303" s="16">
        <v>46158</v>
      </c>
      <c r="D303">
        <v>27011.27</v>
      </c>
    </row>
    <row r="304" spans="1:4" x14ac:dyDescent="0.3">
      <c r="A304" s="78" t="s">
        <v>34</v>
      </c>
      <c r="B304" s="78"/>
      <c r="C304" s="16">
        <v>46158</v>
      </c>
      <c r="D304">
        <v>345</v>
      </c>
    </row>
    <row r="305" spans="1:4" x14ac:dyDescent="0.3">
      <c r="A305" s="78" t="s">
        <v>35</v>
      </c>
      <c r="B305" s="78"/>
      <c r="C305" s="16">
        <v>46158</v>
      </c>
      <c r="D305">
        <v>14176.59</v>
      </c>
    </row>
    <row r="306" spans="1:4" x14ac:dyDescent="0.3">
      <c r="A306" s="78" t="s">
        <v>17</v>
      </c>
      <c r="B306" s="78"/>
      <c r="C306" s="16">
        <v>46159</v>
      </c>
      <c r="D306">
        <v>165752.81000000023</v>
      </c>
    </row>
    <row r="307" spans="1:4" x14ac:dyDescent="0.3">
      <c r="A307" s="78" t="s">
        <v>18</v>
      </c>
      <c r="B307" s="78"/>
      <c r="C307" s="16">
        <v>46159</v>
      </c>
      <c r="D307">
        <v>59760.159999999938</v>
      </c>
    </row>
    <row r="308" spans="1:4" x14ac:dyDescent="0.3">
      <c r="A308" s="78" t="s">
        <v>19</v>
      </c>
      <c r="B308" s="78"/>
      <c r="C308" s="16">
        <v>46159</v>
      </c>
      <c r="D308">
        <v>1669.89</v>
      </c>
    </row>
    <row r="309" spans="1:4" x14ac:dyDescent="0.3">
      <c r="A309" s="78" t="s">
        <v>20</v>
      </c>
      <c r="B309" s="78"/>
      <c r="C309" s="16">
        <v>46159</v>
      </c>
      <c r="D309">
        <v>832076.20999999985</v>
      </c>
    </row>
    <row r="310" spans="1:4" x14ac:dyDescent="0.3">
      <c r="A310" s="78" t="s">
        <v>21</v>
      </c>
      <c r="B310" s="78"/>
      <c r="C310" s="16">
        <v>46159</v>
      </c>
      <c r="D310">
        <v>952163.77999999933</v>
      </c>
    </row>
    <row r="311" spans="1:4" x14ac:dyDescent="0.3">
      <c r="A311" s="78" t="s">
        <v>22</v>
      </c>
      <c r="B311" s="78"/>
      <c r="C311" s="16">
        <v>46159</v>
      </c>
      <c r="D311">
        <v>121511.38</v>
      </c>
    </row>
    <row r="312" spans="1:4" x14ac:dyDescent="0.3">
      <c r="A312" s="78" t="s">
        <v>23</v>
      </c>
      <c r="B312" s="78"/>
      <c r="C312" s="16">
        <v>46159</v>
      </c>
      <c r="D312">
        <v>13090.369999999997</v>
      </c>
    </row>
    <row r="313" spans="1:4" x14ac:dyDescent="0.3">
      <c r="A313" s="78" t="s">
        <v>24</v>
      </c>
      <c r="B313" s="78"/>
      <c r="C313" s="16">
        <v>46159</v>
      </c>
      <c r="D313">
        <v>2498.3999999999996</v>
      </c>
    </row>
    <row r="314" spans="1:4" x14ac:dyDescent="0.3">
      <c r="A314" s="78" t="s">
        <v>25</v>
      </c>
      <c r="B314" s="78"/>
      <c r="C314" s="16">
        <v>46159</v>
      </c>
      <c r="D314">
        <v>114.3</v>
      </c>
    </row>
    <row r="315" spans="1:4" x14ac:dyDescent="0.3">
      <c r="A315" s="78" t="s">
        <v>26</v>
      </c>
      <c r="B315" s="78"/>
      <c r="C315" s="16">
        <v>46159</v>
      </c>
      <c r="D315">
        <v>2267.7200000000003</v>
      </c>
    </row>
    <row r="316" spans="1:4" x14ac:dyDescent="0.3">
      <c r="A316" s="78" t="s">
        <v>27</v>
      </c>
      <c r="B316" s="78"/>
      <c r="C316" s="16">
        <v>46159</v>
      </c>
      <c r="D316">
        <v>3349.94</v>
      </c>
    </row>
    <row r="317" spans="1:4" x14ac:dyDescent="0.3">
      <c r="A317" s="78" t="s">
        <v>28</v>
      </c>
      <c r="B317" s="78"/>
      <c r="C317" s="16">
        <v>46159</v>
      </c>
      <c r="D317">
        <v>1968.99</v>
      </c>
    </row>
    <row r="318" spans="1:4" x14ac:dyDescent="0.3">
      <c r="A318" s="78" t="s">
        <v>29</v>
      </c>
      <c r="B318" s="78"/>
      <c r="C318" s="16">
        <v>46159</v>
      </c>
      <c r="D318">
        <v>901.34</v>
      </c>
    </row>
    <row r="319" spans="1:4" x14ac:dyDescent="0.3">
      <c r="A319" s="78" t="s">
        <v>30</v>
      </c>
      <c r="B319" s="78"/>
      <c r="C319" s="16">
        <v>46159</v>
      </c>
      <c r="D319">
        <v>1444.08</v>
      </c>
    </row>
    <row r="320" spans="1:4" x14ac:dyDescent="0.3">
      <c r="A320" s="78" t="s">
        <v>31</v>
      </c>
      <c r="B320" s="78"/>
      <c r="C320" s="16">
        <v>46159</v>
      </c>
      <c r="D320">
        <v>18242.599999999962</v>
      </c>
    </row>
    <row r="321" spans="1:4" x14ac:dyDescent="0.3">
      <c r="A321" s="78" t="s">
        <v>32</v>
      </c>
      <c r="B321" s="78"/>
      <c r="C321" s="16">
        <v>46159</v>
      </c>
      <c r="D321">
        <v>15120.060000000001</v>
      </c>
    </row>
    <row r="322" spans="1:4" x14ac:dyDescent="0.3">
      <c r="A322" s="78" t="s">
        <v>33</v>
      </c>
      <c r="B322" s="78"/>
      <c r="C322" s="16">
        <v>46159</v>
      </c>
      <c r="D322">
        <v>27011.27</v>
      </c>
    </row>
    <row r="323" spans="1:4" x14ac:dyDescent="0.3">
      <c r="A323" s="78" t="s">
        <v>34</v>
      </c>
      <c r="B323" s="78"/>
      <c r="C323" s="16">
        <v>46159</v>
      </c>
      <c r="D323">
        <v>345</v>
      </c>
    </row>
    <row r="324" spans="1:4" x14ac:dyDescent="0.3">
      <c r="A324" s="78" t="s">
        <v>35</v>
      </c>
      <c r="B324" s="78"/>
      <c r="C324" s="16">
        <v>46159</v>
      </c>
      <c r="D324">
        <v>14176.59</v>
      </c>
    </row>
    <row r="325" spans="1:4" x14ac:dyDescent="0.3">
      <c r="A325" s="78" t="s">
        <v>17</v>
      </c>
      <c r="B325" s="78"/>
      <c r="C325" s="16">
        <v>46160</v>
      </c>
      <c r="D325">
        <v>165752.81000000023</v>
      </c>
    </row>
    <row r="326" spans="1:4" x14ac:dyDescent="0.3">
      <c r="A326" s="78" t="s">
        <v>18</v>
      </c>
      <c r="B326" s="78"/>
      <c r="C326" s="16">
        <v>46160</v>
      </c>
      <c r="D326">
        <v>59760.159999999938</v>
      </c>
    </row>
    <row r="327" spans="1:4" x14ac:dyDescent="0.3">
      <c r="A327" s="78" t="s">
        <v>19</v>
      </c>
      <c r="B327" s="78"/>
      <c r="C327" s="16">
        <v>46160</v>
      </c>
      <c r="D327">
        <v>1669.89</v>
      </c>
    </row>
    <row r="328" spans="1:4" x14ac:dyDescent="0.3">
      <c r="A328" s="78" t="s">
        <v>20</v>
      </c>
      <c r="B328" s="78"/>
      <c r="C328" s="16">
        <v>46160</v>
      </c>
      <c r="D328">
        <v>832076.20999999985</v>
      </c>
    </row>
    <row r="329" spans="1:4" x14ac:dyDescent="0.3">
      <c r="A329" s="78" t="s">
        <v>21</v>
      </c>
      <c r="B329" s="78"/>
      <c r="C329" s="16">
        <v>46160</v>
      </c>
      <c r="D329">
        <v>928713.30999999924</v>
      </c>
    </row>
    <row r="330" spans="1:4" x14ac:dyDescent="0.3">
      <c r="A330" s="78" t="s">
        <v>22</v>
      </c>
      <c r="B330" s="78"/>
      <c r="C330" s="16">
        <v>46160</v>
      </c>
      <c r="D330">
        <v>121511.38</v>
      </c>
    </row>
    <row r="331" spans="1:4" x14ac:dyDescent="0.3">
      <c r="A331" s="78" t="s">
        <v>23</v>
      </c>
      <c r="B331" s="78"/>
      <c r="C331" s="16">
        <v>46160</v>
      </c>
      <c r="D331">
        <v>13090.369999999997</v>
      </c>
    </row>
    <row r="332" spans="1:4" x14ac:dyDescent="0.3">
      <c r="A332" s="78" t="s">
        <v>24</v>
      </c>
      <c r="B332" s="78"/>
      <c r="C332" s="16">
        <v>46160</v>
      </c>
      <c r="D332">
        <v>2498.3999999999996</v>
      </c>
    </row>
    <row r="333" spans="1:4" x14ac:dyDescent="0.3">
      <c r="A333" s="78" t="s">
        <v>25</v>
      </c>
      <c r="B333" s="78"/>
      <c r="C333" s="16">
        <v>46160</v>
      </c>
      <c r="D333">
        <v>114.3</v>
      </c>
    </row>
    <row r="334" spans="1:4" x14ac:dyDescent="0.3">
      <c r="A334" s="78" t="s">
        <v>26</v>
      </c>
      <c r="B334" s="78"/>
      <c r="C334" s="16">
        <v>46160</v>
      </c>
      <c r="D334">
        <v>2267.7200000000003</v>
      </c>
    </row>
    <row r="335" spans="1:4" x14ac:dyDescent="0.3">
      <c r="A335" s="78" t="s">
        <v>27</v>
      </c>
      <c r="B335" s="78"/>
      <c r="C335" s="16">
        <v>46160</v>
      </c>
      <c r="D335">
        <v>3349.94</v>
      </c>
    </row>
    <row r="336" spans="1:4" x14ac:dyDescent="0.3">
      <c r="A336" s="78" t="s">
        <v>28</v>
      </c>
      <c r="B336" s="78"/>
      <c r="C336" s="16">
        <v>46160</v>
      </c>
      <c r="D336">
        <v>1968.99</v>
      </c>
    </row>
    <row r="337" spans="1:4" x14ac:dyDescent="0.3">
      <c r="A337" s="78" t="s">
        <v>29</v>
      </c>
      <c r="B337" s="78"/>
      <c r="C337" s="16">
        <v>46160</v>
      </c>
      <c r="D337">
        <v>901.34</v>
      </c>
    </row>
    <row r="338" spans="1:4" x14ac:dyDescent="0.3">
      <c r="A338" s="78" t="s">
        <v>30</v>
      </c>
      <c r="B338" s="78"/>
      <c r="C338" s="16">
        <v>46160</v>
      </c>
      <c r="D338">
        <v>1444.08</v>
      </c>
    </row>
    <row r="339" spans="1:4" x14ac:dyDescent="0.3">
      <c r="A339" s="78" t="s">
        <v>31</v>
      </c>
      <c r="B339" s="78"/>
      <c r="C339" s="16">
        <v>46160</v>
      </c>
      <c r="D339">
        <v>15463.59999999996</v>
      </c>
    </row>
    <row r="340" spans="1:4" x14ac:dyDescent="0.3">
      <c r="A340" s="78" t="s">
        <v>32</v>
      </c>
      <c r="B340" s="78"/>
      <c r="C340" s="16">
        <v>46160</v>
      </c>
      <c r="D340">
        <v>15120.060000000001</v>
      </c>
    </row>
    <row r="341" spans="1:4" x14ac:dyDescent="0.3">
      <c r="A341" s="78" t="s">
        <v>33</v>
      </c>
      <c r="B341" s="78"/>
      <c r="C341" s="16">
        <v>46160</v>
      </c>
      <c r="D341">
        <v>27006.27</v>
      </c>
    </row>
    <row r="342" spans="1:4" x14ac:dyDescent="0.3">
      <c r="A342" s="78" t="s">
        <v>34</v>
      </c>
      <c r="B342" s="78"/>
      <c r="C342" s="16">
        <v>46160</v>
      </c>
      <c r="D342">
        <v>345</v>
      </c>
    </row>
    <row r="343" spans="1:4" x14ac:dyDescent="0.3">
      <c r="A343" s="78" t="s">
        <v>35</v>
      </c>
      <c r="B343" s="78"/>
      <c r="C343" s="16">
        <v>46160</v>
      </c>
      <c r="D343">
        <v>13941.210000000001</v>
      </c>
    </row>
    <row r="344" spans="1:4" x14ac:dyDescent="0.3">
      <c r="A344" s="78" t="s">
        <v>17</v>
      </c>
      <c r="B344" s="78"/>
      <c r="C344" s="16">
        <v>46161</v>
      </c>
      <c r="D344">
        <v>815752.81000000029</v>
      </c>
    </row>
    <row r="345" spans="1:4" x14ac:dyDescent="0.3">
      <c r="A345" s="78" t="s">
        <v>18</v>
      </c>
      <c r="B345" s="78"/>
      <c r="C345" s="16">
        <v>46161</v>
      </c>
      <c r="D345">
        <v>59760.159999999938</v>
      </c>
    </row>
    <row r="346" spans="1:4" x14ac:dyDescent="0.3">
      <c r="A346" s="78" t="s">
        <v>19</v>
      </c>
      <c r="B346" s="78"/>
      <c r="C346" s="16">
        <v>46161</v>
      </c>
      <c r="D346">
        <v>1669.89</v>
      </c>
    </row>
    <row r="347" spans="1:4" x14ac:dyDescent="0.3">
      <c r="A347" s="78" t="s">
        <v>20</v>
      </c>
      <c r="B347" s="78"/>
      <c r="C347" s="16">
        <v>46161</v>
      </c>
      <c r="D347">
        <v>832076.20999999985</v>
      </c>
    </row>
    <row r="348" spans="1:4" x14ac:dyDescent="0.3">
      <c r="A348" s="78" t="s">
        <v>21</v>
      </c>
      <c r="B348" s="78"/>
      <c r="C348" s="16">
        <v>46161</v>
      </c>
      <c r="D348">
        <v>925592.77999999933</v>
      </c>
    </row>
    <row r="349" spans="1:4" x14ac:dyDescent="0.3">
      <c r="A349" s="78" t="s">
        <v>22</v>
      </c>
      <c r="B349" s="78"/>
      <c r="C349" s="16">
        <v>46161</v>
      </c>
      <c r="D349">
        <v>91511.38</v>
      </c>
    </row>
    <row r="350" spans="1:4" x14ac:dyDescent="0.3">
      <c r="A350" s="78" t="s">
        <v>23</v>
      </c>
      <c r="B350" s="78"/>
      <c r="C350" s="16">
        <v>46161</v>
      </c>
      <c r="D350">
        <v>13090.369999999997</v>
      </c>
    </row>
    <row r="351" spans="1:4" x14ac:dyDescent="0.3">
      <c r="A351" s="78" t="s">
        <v>24</v>
      </c>
      <c r="B351" s="78"/>
      <c r="C351" s="16">
        <v>46161</v>
      </c>
      <c r="D351">
        <v>2498.3999999999996</v>
      </c>
    </row>
    <row r="352" spans="1:4" x14ac:dyDescent="0.3">
      <c r="A352" s="78" t="s">
        <v>25</v>
      </c>
      <c r="B352" s="78"/>
      <c r="C352" s="16">
        <v>46161</v>
      </c>
      <c r="D352">
        <v>114.3</v>
      </c>
    </row>
    <row r="353" spans="1:4" x14ac:dyDescent="0.3">
      <c r="A353" s="78" t="s">
        <v>26</v>
      </c>
      <c r="B353" s="78"/>
      <c r="C353" s="16">
        <v>46161</v>
      </c>
      <c r="D353">
        <v>2267.7200000000003</v>
      </c>
    </row>
    <row r="354" spans="1:4" x14ac:dyDescent="0.3">
      <c r="A354" s="78" t="s">
        <v>27</v>
      </c>
      <c r="B354" s="78"/>
      <c r="C354" s="16">
        <v>46161</v>
      </c>
      <c r="D354">
        <v>3349.94</v>
      </c>
    </row>
    <row r="355" spans="1:4" x14ac:dyDescent="0.3">
      <c r="A355" s="78" t="s">
        <v>28</v>
      </c>
      <c r="B355" s="78"/>
      <c r="C355" s="16">
        <v>46161</v>
      </c>
      <c r="D355">
        <v>1968.99</v>
      </c>
    </row>
    <row r="356" spans="1:4" x14ac:dyDescent="0.3">
      <c r="A356" s="78" t="s">
        <v>29</v>
      </c>
      <c r="B356" s="78"/>
      <c r="C356" s="16">
        <v>46161</v>
      </c>
      <c r="D356">
        <v>901.34</v>
      </c>
    </row>
    <row r="357" spans="1:4" x14ac:dyDescent="0.3">
      <c r="A357" s="78" t="s">
        <v>30</v>
      </c>
      <c r="B357" s="78"/>
      <c r="C357" s="16">
        <v>46161</v>
      </c>
      <c r="D357">
        <v>1444.08</v>
      </c>
    </row>
    <row r="358" spans="1:4" x14ac:dyDescent="0.3">
      <c r="A358" s="78" t="s">
        <v>31</v>
      </c>
      <c r="B358" s="78"/>
      <c r="C358" s="16">
        <v>46161</v>
      </c>
      <c r="D358">
        <v>15463.59999999996</v>
      </c>
    </row>
    <row r="359" spans="1:4" x14ac:dyDescent="0.3">
      <c r="A359" s="78" t="s">
        <v>32</v>
      </c>
      <c r="B359" s="78"/>
      <c r="C359" s="16">
        <v>46161</v>
      </c>
      <c r="D359">
        <v>15120.060000000001</v>
      </c>
    </row>
    <row r="360" spans="1:4" x14ac:dyDescent="0.3">
      <c r="A360" s="78" t="s">
        <v>33</v>
      </c>
      <c r="B360" s="78"/>
      <c r="C360" s="16">
        <v>46161</v>
      </c>
      <c r="D360">
        <v>27006.27</v>
      </c>
    </row>
    <row r="361" spans="1:4" x14ac:dyDescent="0.3">
      <c r="A361" s="78" t="s">
        <v>34</v>
      </c>
      <c r="B361" s="78"/>
      <c r="C361" s="16">
        <v>46161</v>
      </c>
      <c r="D361">
        <v>345</v>
      </c>
    </row>
    <row r="362" spans="1:4" x14ac:dyDescent="0.3">
      <c r="A362" s="78" t="s">
        <v>35</v>
      </c>
      <c r="B362" s="78"/>
      <c r="C362" s="16">
        <v>46161</v>
      </c>
      <c r="D362">
        <v>18941.21</v>
      </c>
    </row>
    <row r="363" spans="1:4" x14ac:dyDescent="0.3">
      <c r="A363" s="78" t="s">
        <v>17</v>
      </c>
      <c r="B363" s="78"/>
      <c r="C363" s="16">
        <v>46162</v>
      </c>
      <c r="D363">
        <v>142321.80000000013</v>
      </c>
    </row>
    <row r="364" spans="1:4" x14ac:dyDescent="0.3">
      <c r="A364" s="78" t="s">
        <v>18</v>
      </c>
      <c r="B364" s="78"/>
      <c r="C364" s="16">
        <v>46162</v>
      </c>
      <c r="D364">
        <v>59760.159999999938</v>
      </c>
    </row>
    <row r="365" spans="1:4" x14ac:dyDescent="0.3">
      <c r="A365" s="78" t="s">
        <v>19</v>
      </c>
      <c r="B365" s="78"/>
      <c r="C365" s="16">
        <v>46162</v>
      </c>
      <c r="D365">
        <v>1669.89</v>
      </c>
    </row>
    <row r="366" spans="1:4" x14ac:dyDescent="0.3">
      <c r="A366" s="78" t="s">
        <v>20</v>
      </c>
      <c r="B366" s="78"/>
      <c r="C366" s="16">
        <v>46162</v>
      </c>
      <c r="D366">
        <v>832076.20999999985</v>
      </c>
    </row>
    <row r="367" spans="1:4" x14ac:dyDescent="0.3">
      <c r="A367" s="78" t="s">
        <v>21</v>
      </c>
      <c r="B367" s="78"/>
      <c r="C367" s="16">
        <v>46162</v>
      </c>
      <c r="D367">
        <v>981189.87999999931</v>
      </c>
    </row>
    <row r="368" spans="1:4" x14ac:dyDescent="0.3">
      <c r="A368" s="78" t="s">
        <v>22</v>
      </c>
      <c r="B368" s="78"/>
      <c r="C368" s="16">
        <v>46162</v>
      </c>
      <c r="D368">
        <v>141496.38</v>
      </c>
    </row>
    <row r="369" spans="1:4" x14ac:dyDescent="0.3">
      <c r="A369" s="78" t="s">
        <v>23</v>
      </c>
      <c r="B369" s="78"/>
      <c r="C369" s="16">
        <v>46162</v>
      </c>
      <c r="D369">
        <v>13090.369999999997</v>
      </c>
    </row>
    <row r="370" spans="1:4" x14ac:dyDescent="0.3">
      <c r="A370" s="78" t="s">
        <v>24</v>
      </c>
      <c r="B370" s="78"/>
      <c r="C370" s="16">
        <v>46162</v>
      </c>
      <c r="D370">
        <v>2498.3999999999996</v>
      </c>
    </row>
    <row r="371" spans="1:4" x14ac:dyDescent="0.3">
      <c r="A371" s="78" t="s">
        <v>25</v>
      </c>
      <c r="B371" s="78"/>
      <c r="C371" s="16">
        <v>46162</v>
      </c>
      <c r="D371">
        <v>114.3</v>
      </c>
    </row>
    <row r="372" spans="1:4" x14ac:dyDescent="0.3">
      <c r="A372" s="78" t="s">
        <v>26</v>
      </c>
      <c r="B372" s="78"/>
      <c r="C372" s="16">
        <v>46162</v>
      </c>
      <c r="D372">
        <v>2267.7200000000003</v>
      </c>
    </row>
    <row r="373" spans="1:4" x14ac:dyDescent="0.3">
      <c r="A373" s="78" t="s">
        <v>27</v>
      </c>
      <c r="B373" s="78"/>
      <c r="C373" s="16">
        <v>46162</v>
      </c>
      <c r="D373">
        <v>3349.94</v>
      </c>
    </row>
    <row r="374" spans="1:4" x14ac:dyDescent="0.3">
      <c r="A374" s="78" t="s">
        <v>28</v>
      </c>
      <c r="B374" s="78"/>
      <c r="C374" s="16">
        <v>46162</v>
      </c>
      <c r="D374">
        <v>1968.99</v>
      </c>
    </row>
    <row r="375" spans="1:4" x14ac:dyDescent="0.3">
      <c r="A375" s="78" t="s">
        <v>29</v>
      </c>
      <c r="B375" s="78"/>
      <c r="C375" s="16">
        <v>46162</v>
      </c>
      <c r="D375">
        <v>901.34</v>
      </c>
    </row>
    <row r="376" spans="1:4" x14ac:dyDescent="0.3">
      <c r="A376" s="78" t="s">
        <v>30</v>
      </c>
      <c r="B376" s="78"/>
      <c r="C376" s="16">
        <v>46162</v>
      </c>
      <c r="D376">
        <v>1444.08</v>
      </c>
    </row>
    <row r="377" spans="1:4" x14ac:dyDescent="0.3">
      <c r="A377" s="78" t="s">
        <v>31</v>
      </c>
      <c r="B377" s="78"/>
      <c r="C377" s="16">
        <v>46162</v>
      </c>
      <c r="D377">
        <v>15463.59999999996</v>
      </c>
    </row>
    <row r="378" spans="1:4" x14ac:dyDescent="0.3">
      <c r="A378" s="78" t="s">
        <v>32</v>
      </c>
      <c r="B378" s="78"/>
      <c r="C378" s="16">
        <v>46162</v>
      </c>
      <c r="D378">
        <v>15120.060000000001</v>
      </c>
    </row>
    <row r="379" spans="1:4" x14ac:dyDescent="0.3">
      <c r="A379" s="78" t="s">
        <v>33</v>
      </c>
      <c r="B379" s="78"/>
      <c r="C379" s="16">
        <v>46162</v>
      </c>
      <c r="D379">
        <v>29206.27</v>
      </c>
    </row>
    <row r="380" spans="1:4" x14ac:dyDescent="0.3">
      <c r="A380" s="78" t="s">
        <v>34</v>
      </c>
      <c r="B380" s="78"/>
      <c r="C380" s="16">
        <v>46162</v>
      </c>
      <c r="D380">
        <v>345</v>
      </c>
    </row>
    <row r="381" spans="1:4" x14ac:dyDescent="0.3">
      <c r="A381" s="78" t="s">
        <v>35</v>
      </c>
      <c r="B381" s="78"/>
      <c r="C381" s="16">
        <v>46162</v>
      </c>
      <c r="D381">
        <v>8168.0700000000006</v>
      </c>
    </row>
    <row r="382" spans="1:4" x14ac:dyDescent="0.3">
      <c r="A382" s="78" t="s">
        <v>17</v>
      </c>
      <c r="B382" s="78"/>
      <c r="C382" s="16">
        <v>46163</v>
      </c>
      <c r="D382">
        <v>142321.80000000013</v>
      </c>
    </row>
    <row r="383" spans="1:4" x14ac:dyDescent="0.3">
      <c r="A383" s="78" t="s">
        <v>18</v>
      </c>
      <c r="B383" s="78"/>
      <c r="C383" s="16">
        <v>46163</v>
      </c>
      <c r="D383">
        <v>659760.15999999992</v>
      </c>
    </row>
    <row r="384" spans="1:4" x14ac:dyDescent="0.3">
      <c r="A384" s="78" t="s">
        <v>19</v>
      </c>
      <c r="B384" s="78"/>
      <c r="C384" s="16">
        <v>46163</v>
      </c>
      <c r="D384">
        <v>1669.89</v>
      </c>
    </row>
    <row r="385" spans="1:4" x14ac:dyDescent="0.3">
      <c r="A385" s="78" t="s">
        <v>20</v>
      </c>
      <c r="B385" s="78"/>
      <c r="C385" s="16">
        <v>46163</v>
      </c>
      <c r="D385">
        <v>497076.20999999985</v>
      </c>
    </row>
    <row r="386" spans="1:4" x14ac:dyDescent="0.3">
      <c r="A386" s="78" t="s">
        <v>21</v>
      </c>
      <c r="B386" s="78"/>
      <c r="C386" s="16">
        <v>46163</v>
      </c>
      <c r="D386">
        <v>981189.87999999931</v>
      </c>
    </row>
    <row r="387" spans="1:4" x14ac:dyDescent="0.3">
      <c r="A387" s="78" t="s">
        <v>22</v>
      </c>
      <c r="B387" s="78"/>
      <c r="C387" s="16">
        <v>46163</v>
      </c>
      <c r="D387">
        <v>141496.38</v>
      </c>
    </row>
    <row r="388" spans="1:4" x14ac:dyDescent="0.3">
      <c r="A388" s="78" t="s">
        <v>23</v>
      </c>
      <c r="B388" s="78"/>
      <c r="C388" s="16">
        <v>46163</v>
      </c>
      <c r="D388">
        <v>88090.37</v>
      </c>
    </row>
    <row r="389" spans="1:4" x14ac:dyDescent="0.3">
      <c r="A389" s="78" t="s">
        <v>24</v>
      </c>
      <c r="B389" s="78"/>
      <c r="C389" s="16">
        <v>46163</v>
      </c>
      <c r="D389">
        <v>2498.3999999999996</v>
      </c>
    </row>
    <row r="390" spans="1:4" x14ac:dyDescent="0.3">
      <c r="A390" s="78" t="s">
        <v>25</v>
      </c>
      <c r="B390" s="78"/>
      <c r="C390" s="16">
        <v>46163</v>
      </c>
      <c r="D390">
        <v>114.3</v>
      </c>
    </row>
    <row r="391" spans="1:4" x14ac:dyDescent="0.3">
      <c r="A391" s="78" t="s">
        <v>26</v>
      </c>
      <c r="B391" s="78"/>
      <c r="C391" s="16">
        <v>46163</v>
      </c>
      <c r="D391">
        <v>2267.7200000000003</v>
      </c>
    </row>
    <row r="392" spans="1:4" x14ac:dyDescent="0.3">
      <c r="A392" s="78" t="s">
        <v>27</v>
      </c>
      <c r="B392" s="78"/>
      <c r="C392" s="16">
        <v>46163</v>
      </c>
      <c r="D392">
        <v>3349.94</v>
      </c>
    </row>
    <row r="393" spans="1:4" x14ac:dyDescent="0.3">
      <c r="A393" s="78" t="s">
        <v>28</v>
      </c>
      <c r="B393" s="78"/>
      <c r="C393" s="16">
        <v>46163</v>
      </c>
      <c r="D393">
        <v>1968.99</v>
      </c>
    </row>
    <row r="394" spans="1:4" x14ac:dyDescent="0.3">
      <c r="A394" s="78" t="s">
        <v>29</v>
      </c>
      <c r="B394" s="78"/>
      <c r="C394" s="16">
        <v>46163</v>
      </c>
      <c r="D394">
        <v>901.34</v>
      </c>
    </row>
    <row r="395" spans="1:4" x14ac:dyDescent="0.3">
      <c r="A395" s="78" t="s">
        <v>30</v>
      </c>
      <c r="B395" s="78"/>
      <c r="C395" s="16">
        <v>46163</v>
      </c>
      <c r="D395">
        <v>1444.08</v>
      </c>
    </row>
    <row r="396" spans="1:4" x14ac:dyDescent="0.3">
      <c r="A396" s="78" t="s">
        <v>31</v>
      </c>
      <c r="B396" s="78"/>
      <c r="C396" s="16">
        <v>46163</v>
      </c>
      <c r="D396">
        <v>15463.59999999996</v>
      </c>
    </row>
    <row r="397" spans="1:4" x14ac:dyDescent="0.3">
      <c r="A397" s="78" t="s">
        <v>32</v>
      </c>
      <c r="B397" s="78"/>
      <c r="C397" s="16">
        <v>46163</v>
      </c>
      <c r="D397">
        <v>15120.060000000001</v>
      </c>
    </row>
    <row r="398" spans="1:4" x14ac:dyDescent="0.3">
      <c r="A398" s="78" t="s">
        <v>33</v>
      </c>
      <c r="B398" s="78"/>
      <c r="C398" s="16">
        <v>46163</v>
      </c>
      <c r="D398">
        <v>29206.27</v>
      </c>
    </row>
    <row r="399" spans="1:4" x14ac:dyDescent="0.3">
      <c r="A399" s="78" t="s">
        <v>34</v>
      </c>
      <c r="B399" s="78"/>
      <c r="C399" s="16">
        <v>46163</v>
      </c>
      <c r="D399">
        <v>345</v>
      </c>
    </row>
    <row r="400" spans="1:4" x14ac:dyDescent="0.3">
      <c r="A400" s="78" t="s">
        <v>35</v>
      </c>
      <c r="B400" s="78"/>
      <c r="C400" s="16">
        <v>46163</v>
      </c>
      <c r="D400">
        <v>8168.0700000000006</v>
      </c>
    </row>
    <row r="401" spans="1:4" x14ac:dyDescent="0.3">
      <c r="A401" s="78" t="s">
        <v>17</v>
      </c>
      <c r="B401" s="78"/>
      <c r="C401" s="16">
        <v>46164</v>
      </c>
      <c r="D401">
        <v>142321.80000000013</v>
      </c>
    </row>
    <row r="402" spans="1:4" x14ac:dyDescent="0.3">
      <c r="A402" s="78" t="s">
        <v>18</v>
      </c>
      <c r="B402" s="78"/>
      <c r="C402" s="16">
        <v>46164</v>
      </c>
      <c r="D402">
        <v>659760.15999999992</v>
      </c>
    </row>
    <row r="403" spans="1:4" x14ac:dyDescent="0.3">
      <c r="A403" s="78" t="s">
        <v>19</v>
      </c>
      <c r="B403" s="78"/>
      <c r="C403" s="16">
        <v>46164</v>
      </c>
      <c r="D403">
        <v>1669.89</v>
      </c>
    </row>
    <row r="404" spans="1:4" x14ac:dyDescent="0.3">
      <c r="A404" s="78" t="s">
        <v>20</v>
      </c>
      <c r="B404" s="78"/>
      <c r="C404" s="16">
        <v>46164</v>
      </c>
      <c r="D404">
        <v>497076.20999999985</v>
      </c>
    </row>
    <row r="405" spans="1:4" x14ac:dyDescent="0.3">
      <c r="A405" s="78" t="s">
        <v>21</v>
      </c>
      <c r="B405" s="78"/>
      <c r="C405" s="16">
        <v>46164</v>
      </c>
      <c r="D405">
        <v>980426.88999999932</v>
      </c>
    </row>
    <row r="406" spans="1:4" x14ac:dyDescent="0.3">
      <c r="A406" s="78" t="s">
        <v>22</v>
      </c>
      <c r="B406" s="78"/>
      <c r="C406" s="16">
        <v>46164</v>
      </c>
      <c r="D406">
        <v>141496.38</v>
      </c>
    </row>
    <row r="407" spans="1:4" x14ac:dyDescent="0.3">
      <c r="A407" s="78" t="s">
        <v>23</v>
      </c>
      <c r="B407" s="78"/>
      <c r="C407" s="16">
        <v>46164</v>
      </c>
      <c r="D407">
        <v>88090.37</v>
      </c>
    </row>
    <row r="408" spans="1:4" x14ac:dyDescent="0.3">
      <c r="A408" s="78" t="s">
        <v>24</v>
      </c>
      <c r="B408" s="78"/>
      <c r="C408" s="16">
        <v>46164</v>
      </c>
      <c r="D408">
        <v>2498.3999999999996</v>
      </c>
    </row>
    <row r="409" spans="1:4" x14ac:dyDescent="0.3">
      <c r="A409" s="78" t="s">
        <v>25</v>
      </c>
      <c r="B409" s="78"/>
      <c r="C409" s="16">
        <v>46164</v>
      </c>
      <c r="D409">
        <v>114.3</v>
      </c>
    </row>
    <row r="410" spans="1:4" x14ac:dyDescent="0.3">
      <c r="A410" s="78" t="s">
        <v>26</v>
      </c>
      <c r="B410" s="78"/>
      <c r="C410" s="16">
        <v>46164</v>
      </c>
      <c r="D410">
        <v>2267.7200000000003</v>
      </c>
    </row>
    <row r="411" spans="1:4" x14ac:dyDescent="0.3">
      <c r="A411" s="78" t="s">
        <v>27</v>
      </c>
      <c r="B411" s="78"/>
      <c r="C411" s="16">
        <v>46164</v>
      </c>
      <c r="D411">
        <v>3349.94</v>
      </c>
    </row>
    <row r="412" spans="1:4" x14ac:dyDescent="0.3">
      <c r="A412" s="78" t="s">
        <v>28</v>
      </c>
      <c r="B412" s="78"/>
      <c r="C412" s="16">
        <v>46164</v>
      </c>
      <c r="D412">
        <v>1968.99</v>
      </c>
    </row>
    <row r="413" spans="1:4" x14ac:dyDescent="0.3">
      <c r="A413" s="78" t="s">
        <v>29</v>
      </c>
      <c r="B413" s="78"/>
      <c r="C413" s="16">
        <v>46164</v>
      </c>
      <c r="D413">
        <v>901.34</v>
      </c>
    </row>
    <row r="414" spans="1:4" x14ac:dyDescent="0.3">
      <c r="A414" s="78" t="s">
        <v>30</v>
      </c>
      <c r="B414" s="78"/>
      <c r="C414" s="16">
        <v>46164</v>
      </c>
      <c r="D414">
        <v>1444.08</v>
      </c>
    </row>
    <row r="415" spans="1:4" x14ac:dyDescent="0.3">
      <c r="A415" s="78" t="s">
        <v>31</v>
      </c>
      <c r="B415" s="78"/>
      <c r="C415" s="16">
        <v>46164</v>
      </c>
      <c r="D415">
        <v>15463.59999999996</v>
      </c>
    </row>
    <row r="416" spans="1:4" x14ac:dyDescent="0.3">
      <c r="A416" s="78" t="s">
        <v>32</v>
      </c>
      <c r="B416" s="78"/>
      <c r="C416" s="16">
        <v>46164</v>
      </c>
      <c r="D416">
        <v>15120.060000000001</v>
      </c>
    </row>
    <row r="417" spans="1:4" x14ac:dyDescent="0.3">
      <c r="A417" s="78" t="s">
        <v>33</v>
      </c>
      <c r="B417" s="78"/>
      <c r="C417" s="16">
        <v>46164</v>
      </c>
      <c r="D417">
        <v>29206.27</v>
      </c>
    </row>
    <row r="418" spans="1:4" x14ac:dyDescent="0.3">
      <c r="A418" s="78" t="s">
        <v>34</v>
      </c>
      <c r="B418" s="78"/>
      <c r="C418" s="16">
        <v>46164</v>
      </c>
      <c r="D418">
        <v>345</v>
      </c>
    </row>
    <row r="419" spans="1:4" x14ac:dyDescent="0.3">
      <c r="A419" s="78" t="s">
        <v>35</v>
      </c>
      <c r="B419" s="78"/>
      <c r="C419" s="16">
        <v>46164</v>
      </c>
      <c r="D419">
        <v>8168.0700000000006</v>
      </c>
    </row>
    <row r="420" spans="1:4" x14ac:dyDescent="0.3">
      <c r="A420" s="78" t="s">
        <v>17</v>
      </c>
      <c r="B420" s="78"/>
      <c r="C420" s="16">
        <v>46165</v>
      </c>
      <c r="D420">
        <v>142321.80000000013</v>
      </c>
    </row>
    <row r="421" spans="1:4" x14ac:dyDescent="0.3">
      <c r="A421" s="78" t="s">
        <v>18</v>
      </c>
      <c r="B421" s="78"/>
      <c r="C421" s="16">
        <v>46165</v>
      </c>
      <c r="D421">
        <v>659760.15999999992</v>
      </c>
    </row>
    <row r="422" spans="1:4" x14ac:dyDescent="0.3">
      <c r="A422" s="78" t="s">
        <v>19</v>
      </c>
      <c r="B422" s="78"/>
      <c r="C422" s="16">
        <v>46165</v>
      </c>
      <c r="D422">
        <v>1669.89</v>
      </c>
    </row>
    <row r="423" spans="1:4" x14ac:dyDescent="0.3">
      <c r="A423" s="78" t="s">
        <v>20</v>
      </c>
      <c r="B423" s="78"/>
      <c r="C423" s="16">
        <v>46165</v>
      </c>
      <c r="D423">
        <v>497076.20999999985</v>
      </c>
    </row>
    <row r="424" spans="1:4" x14ac:dyDescent="0.3">
      <c r="A424" s="78" t="s">
        <v>21</v>
      </c>
      <c r="B424" s="78"/>
      <c r="C424" s="16">
        <v>46165</v>
      </c>
      <c r="D424">
        <v>980426.88999999932</v>
      </c>
    </row>
    <row r="425" spans="1:4" x14ac:dyDescent="0.3">
      <c r="A425" s="78" t="s">
        <v>22</v>
      </c>
      <c r="B425" s="78"/>
      <c r="C425" s="16">
        <v>46165</v>
      </c>
      <c r="D425">
        <v>141496.38</v>
      </c>
    </row>
    <row r="426" spans="1:4" x14ac:dyDescent="0.3">
      <c r="A426" s="78" t="s">
        <v>23</v>
      </c>
      <c r="B426" s="78"/>
      <c r="C426" s="16">
        <v>46165</v>
      </c>
      <c r="D426">
        <v>88090.37</v>
      </c>
    </row>
    <row r="427" spans="1:4" x14ac:dyDescent="0.3">
      <c r="A427" s="78" t="s">
        <v>24</v>
      </c>
      <c r="B427" s="78"/>
      <c r="C427" s="16">
        <v>46165</v>
      </c>
      <c r="D427">
        <v>2498.3999999999996</v>
      </c>
    </row>
    <row r="428" spans="1:4" x14ac:dyDescent="0.3">
      <c r="A428" s="78" t="s">
        <v>25</v>
      </c>
      <c r="B428" s="78"/>
      <c r="C428" s="16">
        <v>46165</v>
      </c>
      <c r="D428">
        <v>114.3</v>
      </c>
    </row>
    <row r="429" spans="1:4" x14ac:dyDescent="0.3">
      <c r="A429" s="78" t="s">
        <v>26</v>
      </c>
      <c r="B429" s="78"/>
      <c r="C429" s="16">
        <v>46165</v>
      </c>
      <c r="D429">
        <v>2267.7200000000003</v>
      </c>
    </row>
    <row r="430" spans="1:4" x14ac:dyDescent="0.3">
      <c r="A430" s="78" t="s">
        <v>27</v>
      </c>
      <c r="B430" s="78"/>
      <c r="C430" s="16">
        <v>46165</v>
      </c>
      <c r="D430">
        <v>3349.94</v>
      </c>
    </row>
    <row r="431" spans="1:4" x14ac:dyDescent="0.3">
      <c r="A431" s="78" t="s">
        <v>28</v>
      </c>
      <c r="B431" s="78"/>
      <c r="C431" s="16">
        <v>46165</v>
      </c>
      <c r="D431">
        <v>1968.99</v>
      </c>
    </row>
    <row r="432" spans="1:4" x14ac:dyDescent="0.3">
      <c r="A432" s="78" t="s">
        <v>29</v>
      </c>
      <c r="B432" s="78"/>
      <c r="C432" s="16">
        <v>46165</v>
      </c>
      <c r="D432">
        <v>901.34</v>
      </c>
    </row>
    <row r="433" spans="1:4" x14ac:dyDescent="0.3">
      <c r="A433" s="78" t="s">
        <v>30</v>
      </c>
      <c r="B433" s="78"/>
      <c r="C433" s="16">
        <v>46165</v>
      </c>
      <c r="D433">
        <v>1444.08</v>
      </c>
    </row>
    <row r="434" spans="1:4" x14ac:dyDescent="0.3">
      <c r="A434" s="78" t="s">
        <v>31</v>
      </c>
      <c r="B434" s="78"/>
      <c r="C434" s="16">
        <v>46165</v>
      </c>
      <c r="D434">
        <v>15463.59999999996</v>
      </c>
    </row>
    <row r="435" spans="1:4" x14ac:dyDescent="0.3">
      <c r="A435" s="78" t="s">
        <v>32</v>
      </c>
      <c r="B435" s="78"/>
      <c r="C435" s="16">
        <v>46165</v>
      </c>
      <c r="D435">
        <v>15120.060000000001</v>
      </c>
    </row>
    <row r="436" spans="1:4" x14ac:dyDescent="0.3">
      <c r="A436" s="78" t="s">
        <v>33</v>
      </c>
      <c r="B436" s="78"/>
      <c r="C436" s="16">
        <v>46165</v>
      </c>
      <c r="D436">
        <v>29206.27</v>
      </c>
    </row>
    <row r="437" spans="1:4" x14ac:dyDescent="0.3">
      <c r="A437" s="78" t="s">
        <v>34</v>
      </c>
      <c r="B437" s="78"/>
      <c r="C437" s="16">
        <v>46165</v>
      </c>
      <c r="D437">
        <v>345</v>
      </c>
    </row>
    <row r="438" spans="1:4" x14ac:dyDescent="0.3">
      <c r="A438" s="78" t="s">
        <v>35</v>
      </c>
      <c r="B438" s="78"/>
      <c r="C438" s="16">
        <v>46165</v>
      </c>
      <c r="D438">
        <v>8168.0700000000006</v>
      </c>
    </row>
    <row r="439" spans="1:4" x14ac:dyDescent="0.3">
      <c r="A439" s="78" t="s">
        <v>17</v>
      </c>
      <c r="B439" s="78"/>
      <c r="C439" s="16">
        <v>46166</v>
      </c>
      <c r="D439">
        <v>142321.80000000013</v>
      </c>
    </row>
    <row r="440" spans="1:4" x14ac:dyDescent="0.3">
      <c r="A440" s="78" t="s">
        <v>18</v>
      </c>
      <c r="B440" s="78"/>
      <c r="C440" s="16">
        <v>46166</v>
      </c>
      <c r="D440">
        <v>659760.15999999992</v>
      </c>
    </row>
    <row r="441" spans="1:4" x14ac:dyDescent="0.3">
      <c r="A441" s="78" t="s">
        <v>19</v>
      </c>
      <c r="B441" s="78"/>
      <c r="C441" s="16">
        <v>46166</v>
      </c>
      <c r="D441">
        <v>1669.89</v>
      </c>
    </row>
    <row r="442" spans="1:4" x14ac:dyDescent="0.3">
      <c r="A442" s="78" t="s">
        <v>20</v>
      </c>
      <c r="B442" s="78"/>
      <c r="C442" s="16">
        <v>46166</v>
      </c>
      <c r="D442">
        <v>497076.20999999985</v>
      </c>
    </row>
    <row r="443" spans="1:4" x14ac:dyDescent="0.3">
      <c r="A443" s="78" t="s">
        <v>21</v>
      </c>
      <c r="B443" s="78"/>
      <c r="C443" s="16">
        <v>46166</v>
      </c>
      <c r="D443">
        <v>980426.88999999932</v>
      </c>
    </row>
    <row r="444" spans="1:4" x14ac:dyDescent="0.3">
      <c r="A444" s="78" t="s">
        <v>22</v>
      </c>
      <c r="B444" s="78"/>
      <c r="C444" s="16">
        <v>46166</v>
      </c>
      <c r="D444">
        <v>141496.38</v>
      </c>
    </row>
    <row r="445" spans="1:4" x14ac:dyDescent="0.3">
      <c r="A445" s="78" t="s">
        <v>23</v>
      </c>
      <c r="B445" s="78"/>
      <c r="C445" s="16">
        <v>46166</v>
      </c>
      <c r="D445">
        <v>88090.37</v>
      </c>
    </row>
    <row r="446" spans="1:4" x14ac:dyDescent="0.3">
      <c r="A446" s="78" t="s">
        <v>24</v>
      </c>
      <c r="B446" s="78"/>
      <c r="C446" s="16">
        <v>46166</v>
      </c>
      <c r="D446">
        <v>2498.3999999999996</v>
      </c>
    </row>
    <row r="447" spans="1:4" x14ac:dyDescent="0.3">
      <c r="A447" s="78" t="s">
        <v>25</v>
      </c>
      <c r="B447" s="78"/>
      <c r="C447" s="16">
        <v>46166</v>
      </c>
      <c r="D447">
        <v>114.3</v>
      </c>
    </row>
    <row r="448" spans="1:4" x14ac:dyDescent="0.3">
      <c r="A448" s="78" t="s">
        <v>26</v>
      </c>
      <c r="B448" s="78"/>
      <c r="C448" s="16">
        <v>46166</v>
      </c>
      <c r="D448">
        <v>2267.7200000000003</v>
      </c>
    </row>
    <row r="449" spans="1:4" x14ac:dyDescent="0.3">
      <c r="A449" s="78" t="s">
        <v>27</v>
      </c>
      <c r="B449" s="78"/>
      <c r="C449" s="16">
        <v>46166</v>
      </c>
      <c r="D449">
        <v>3349.94</v>
      </c>
    </row>
    <row r="450" spans="1:4" x14ac:dyDescent="0.3">
      <c r="A450" s="78" t="s">
        <v>28</v>
      </c>
      <c r="B450" s="78"/>
      <c r="C450" s="16">
        <v>46166</v>
      </c>
      <c r="D450">
        <v>1968.99</v>
      </c>
    </row>
    <row r="451" spans="1:4" x14ac:dyDescent="0.3">
      <c r="A451" s="78" t="s">
        <v>29</v>
      </c>
      <c r="B451" s="78"/>
      <c r="C451" s="16">
        <v>46166</v>
      </c>
      <c r="D451">
        <v>901.34</v>
      </c>
    </row>
    <row r="452" spans="1:4" x14ac:dyDescent="0.3">
      <c r="A452" s="78" t="s">
        <v>30</v>
      </c>
      <c r="B452" s="78"/>
      <c r="C452" s="16">
        <v>46166</v>
      </c>
      <c r="D452">
        <v>1444.08</v>
      </c>
    </row>
    <row r="453" spans="1:4" x14ac:dyDescent="0.3">
      <c r="A453" s="78" t="s">
        <v>31</v>
      </c>
      <c r="B453" s="78"/>
      <c r="C453" s="16">
        <v>46166</v>
      </c>
      <c r="D453">
        <v>15463.59999999996</v>
      </c>
    </row>
    <row r="454" spans="1:4" x14ac:dyDescent="0.3">
      <c r="A454" s="78" t="s">
        <v>32</v>
      </c>
      <c r="B454" s="78"/>
      <c r="C454" s="16">
        <v>46166</v>
      </c>
      <c r="D454">
        <v>15120.060000000001</v>
      </c>
    </row>
    <row r="455" spans="1:4" x14ac:dyDescent="0.3">
      <c r="A455" s="78" t="s">
        <v>33</v>
      </c>
      <c r="B455" s="78"/>
      <c r="C455" s="16">
        <v>46166</v>
      </c>
      <c r="D455">
        <v>29206.27</v>
      </c>
    </row>
    <row r="456" spans="1:4" x14ac:dyDescent="0.3">
      <c r="A456" s="78" t="s">
        <v>34</v>
      </c>
      <c r="B456" s="78"/>
      <c r="C456" s="16">
        <v>46166</v>
      </c>
      <c r="D456">
        <v>345</v>
      </c>
    </row>
    <row r="457" spans="1:4" x14ac:dyDescent="0.3">
      <c r="A457" s="78" t="s">
        <v>35</v>
      </c>
      <c r="B457" s="78"/>
      <c r="C457" s="16">
        <v>46166</v>
      </c>
      <c r="D457">
        <v>8168.0700000000006</v>
      </c>
    </row>
    <row r="458" spans="1:4" x14ac:dyDescent="0.3">
      <c r="A458" s="78" t="s">
        <v>17</v>
      </c>
      <c r="B458" s="78"/>
      <c r="C458" s="16">
        <v>46167</v>
      </c>
      <c r="D458">
        <v>142321.80000000013</v>
      </c>
    </row>
    <row r="459" spans="1:4" x14ac:dyDescent="0.3">
      <c r="A459" s="78" t="s">
        <v>18</v>
      </c>
      <c r="B459" s="78"/>
      <c r="C459" s="16">
        <v>46167</v>
      </c>
      <c r="D459">
        <v>659760.15999999992</v>
      </c>
    </row>
    <row r="460" spans="1:4" x14ac:dyDescent="0.3">
      <c r="A460" s="78" t="s">
        <v>19</v>
      </c>
      <c r="B460" s="78"/>
      <c r="C460" s="16">
        <v>46167</v>
      </c>
      <c r="D460">
        <v>1669.89</v>
      </c>
    </row>
    <row r="461" spans="1:4" x14ac:dyDescent="0.3">
      <c r="A461" s="78" t="s">
        <v>20</v>
      </c>
      <c r="B461" s="78"/>
      <c r="C461" s="16">
        <v>46167</v>
      </c>
      <c r="D461">
        <v>497076.20999999985</v>
      </c>
    </row>
    <row r="462" spans="1:4" x14ac:dyDescent="0.3">
      <c r="A462" s="78" t="s">
        <v>21</v>
      </c>
      <c r="B462" s="78"/>
      <c r="C462" s="16">
        <v>46167</v>
      </c>
      <c r="D462">
        <v>980426.88999999932</v>
      </c>
    </row>
    <row r="463" spans="1:4" x14ac:dyDescent="0.3">
      <c r="A463" s="78" t="s">
        <v>22</v>
      </c>
      <c r="B463" s="78"/>
      <c r="C463" s="16">
        <v>46167</v>
      </c>
      <c r="D463">
        <v>141496.38</v>
      </c>
    </row>
    <row r="464" spans="1:4" x14ac:dyDescent="0.3">
      <c r="A464" s="78" t="s">
        <v>23</v>
      </c>
      <c r="B464" s="78"/>
      <c r="C464" s="16">
        <v>46167</v>
      </c>
      <c r="D464">
        <v>88090.37</v>
      </c>
    </row>
    <row r="465" spans="1:4" x14ac:dyDescent="0.3">
      <c r="A465" s="78" t="s">
        <v>24</v>
      </c>
      <c r="B465" s="78"/>
      <c r="C465" s="16">
        <v>46167</v>
      </c>
      <c r="D465">
        <v>2498.3999999999996</v>
      </c>
    </row>
    <row r="466" spans="1:4" x14ac:dyDescent="0.3">
      <c r="A466" s="78" t="s">
        <v>25</v>
      </c>
      <c r="B466" s="78"/>
      <c r="C466" s="16">
        <v>46167</v>
      </c>
      <c r="D466">
        <v>114.3</v>
      </c>
    </row>
    <row r="467" spans="1:4" x14ac:dyDescent="0.3">
      <c r="A467" s="78" t="s">
        <v>26</v>
      </c>
      <c r="B467" s="78"/>
      <c r="C467" s="16">
        <v>46167</v>
      </c>
      <c r="D467">
        <v>2267.7200000000003</v>
      </c>
    </row>
    <row r="468" spans="1:4" x14ac:dyDescent="0.3">
      <c r="A468" s="78" t="s">
        <v>27</v>
      </c>
      <c r="B468" s="78"/>
      <c r="C468" s="16">
        <v>46167</v>
      </c>
      <c r="D468">
        <v>3349.94</v>
      </c>
    </row>
    <row r="469" spans="1:4" x14ac:dyDescent="0.3">
      <c r="A469" s="78" t="s">
        <v>28</v>
      </c>
      <c r="B469" s="78"/>
      <c r="C469" s="16">
        <v>46167</v>
      </c>
      <c r="D469">
        <v>1968.99</v>
      </c>
    </row>
    <row r="470" spans="1:4" x14ac:dyDescent="0.3">
      <c r="A470" s="78" t="s">
        <v>29</v>
      </c>
      <c r="B470" s="78"/>
      <c r="C470" s="16">
        <v>46167</v>
      </c>
      <c r="D470">
        <v>901.34</v>
      </c>
    </row>
    <row r="471" spans="1:4" x14ac:dyDescent="0.3">
      <c r="A471" s="78" t="s">
        <v>30</v>
      </c>
      <c r="B471" s="78"/>
      <c r="C471" s="16">
        <v>46167</v>
      </c>
      <c r="D471">
        <v>1444.08</v>
      </c>
    </row>
    <row r="472" spans="1:4" x14ac:dyDescent="0.3">
      <c r="A472" s="78" t="s">
        <v>31</v>
      </c>
      <c r="B472" s="78"/>
      <c r="C472" s="16">
        <v>46167</v>
      </c>
      <c r="D472">
        <v>15463.59999999996</v>
      </c>
    </row>
    <row r="473" spans="1:4" x14ac:dyDescent="0.3">
      <c r="A473" s="78" t="s">
        <v>32</v>
      </c>
      <c r="B473" s="78"/>
      <c r="C473" s="16">
        <v>46167</v>
      </c>
      <c r="D473">
        <v>15120.060000000001</v>
      </c>
    </row>
    <row r="474" spans="1:4" x14ac:dyDescent="0.3">
      <c r="A474" s="78" t="s">
        <v>33</v>
      </c>
      <c r="B474" s="78"/>
      <c r="C474" s="16">
        <v>46167</v>
      </c>
      <c r="D474">
        <v>29206.27</v>
      </c>
    </row>
    <row r="475" spans="1:4" x14ac:dyDescent="0.3">
      <c r="A475" s="78" t="s">
        <v>34</v>
      </c>
      <c r="B475" s="78"/>
      <c r="C475" s="16">
        <v>46167</v>
      </c>
      <c r="D475">
        <v>345</v>
      </c>
    </row>
    <row r="476" spans="1:4" x14ac:dyDescent="0.3">
      <c r="A476" s="78" t="s">
        <v>35</v>
      </c>
      <c r="B476" s="78"/>
      <c r="C476" s="16">
        <v>46167</v>
      </c>
      <c r="D476">
        <v>8168.0700000000006</v>
      </c>
    </row>
    <row r="477" spans="1:4" x14ac:dyDescent="0.3">
      <c r="A477" s="78" t="s">
        <v>17</v>
      </c>
      <c r="B477" s="78"/>
      <c r="C477" s="16">
        <v>46168</v>
      </c>
      <c r="D477">
        <v>253154.33000000013</v>
      </c>
    </row>
    <row r="478" spans="1:4" x14ac:dyDescent="0.3">
      <c r="A478" s="78" t="s">
        <v>18</v>
      </c>
      <c r="B478" s="78"/>
      <c r="C478" s="16">
        <v>46168</v>
      </c>
      <c r="D478">
        <v>1259760.1600000001</v>
      </c>
    </row>
    <row r="479" spans="1:4" x14ac:dyDescent="0.3">
      <c r="A479" s="78" t="s">
        <v>19</v>
      </c>
      <c r="B479" s="78"/>
      <c r="C479" s="16">
        <v>46168</v>
      </c>
      <c r="D479">
        <v>1669.89</v>
      </c>
    </row>
    <row r="480" spans="1:4" x14ac:dyDescent="0.3">
      <c r="A480" s="78" t="s">
        <v>20</v>
      </c>
      <c r="B480" s="78"/>
      <c r="C480" s="16">
        <v>46168</v>
      </c>
      <c r="D480">
        <v>497076.20999999985</v>
      </c>
    </row>
    <row r="481" spans="1:4" x14ac:dyDescent="0.3">
      <c r="A481" s="78" t="s">
        <v>21</v>
      </c>
      <c r="B481" s="78"/>
      <c r="C481" s="16">
        <v>46168</v>
      </c>
      <c r="D481">
        <v>980426.88999999932</v>
      </c>
    </row>
    <row r="482" spans="1:4" x14ac:dyDescent="0.3">
      <c r="A482" s="78" t="s">
        <v>22</v>
      </c>
      <c r="B482" s="78"/>
      <c r="C482" s="16">
        <v>46168</v>
      </c>
      <c r="D482">
        <v>141496.38</v>
      </c>
    </row>
    <row r="483" spans="1:4" x14ac:dyDescent="0.3">
      <c r="A483" s="78" t="s">
        <v>23</v>
      </c>
      <c r="B483" s="78"/>
      <c r="C483" s="16">
        <v>46168</v>
      </c>
      <c r="D483">
        <v>88090.37</v>
      </c>
    </row>
    <row r="484" spans="1:4" x14ac:dyDescent="0.3">
      <c r="A484" s="78" t="s">
        <v>24</v>
      </c>
      <c r="B484" s="78"/>
      <c r="C484" s="16">
        <v>46168</v>
      </c>
      <c r="D484">
        <v>2498.3999999999996</v>
      </c>
    </row>
    <row r="485" spans="1:4" x14ac:dyDescent="0.3">
      <c r="A485" s="78" t="s">
        <v>25</v>
      </c>
      <c r="B485" s="78"/>
      <c r="C485" s="16">
        <v>46168</v>
      </c>
      <c r="D485">
        <v>114.3</v>
      </c>
    </row>
    <row r="486" spans="1:4" x14ac:dyDescent="0.3">
      <c r="A486" s="78" t="s">
        <v>26</v>
      </c>
      <c r="B486" s="78"/>
      <c r="C486" s="16">
        <v>46168</v>
      </c>
      <c r="D486">
        <v>2267.7200000000003</v>
      </c>
    </row>
    <row r="487" spans="1:4" x14ac:dyDescent="0.3">
      <c r="A487" s="78" t="s">
        <v>27</v>
      </c>
      <c r="B487" s="78"/>
      <c r="C487" s="16">
        <v>46168</v>
      </c>
      <c r="D487">
        <v>3349.94</v>
      </c>
    </row>
    <row r="488" spans="1:4" x14ac:dyDescent="0.3">
      <c r="A488" s="78" t="s">
        <v>28</v>
      </c>
      <c r="B488" s="78"/>
      <c r="C488" s="16">
        <v>46168</v>
      </c>
      <c r="D488">
        <v>1968.99</v>
      </c>
    </row>
    <row r="489" spans="1:4" x14ac:dyDescent="0.3">
      <c r="A489" s="78" t="s">
        <v>29</v>
      </c>
      <c r="B489" s="78"/>
      <c r="C489" s="16">
        <v>46168</v>
      </c>
      <c r="D489">
        <v>901.34</v>
      </c>
    </row>
    <row r="490" spans="1:4" x14ac:dyDescent="0.3">
      <c r="A490" s="78" t="s">
        <v>30</v>
      </c>
      <c r="B490" s="78"/>
      <c r="C490" s="16">
        <v>46168</v>
      </c>
      <c r="D490">
        <v>1444.08</v>
      </c>
    </row>
    <row r="491" spans="1:4" x14ac:dyDescent="0.3">
      <c r="A491" s="78" t="s">
        <v>31</v>
      </c>
      <c r="B491" s="78"/>
      <c r="C491" s="16">
        <v>46168</v>
      </c>
      <c r="D491">
        <v>15463.59999999996</v>
      </c>
    </row>
    <row r="492" spans="1:4" x14ac:dyDescent="0.3">
      <c r="A492" s="78" t="s">
        <v>32</v>
      </c>
      <c r="B492" s="78"/>
      <c r="C492" s="16">
        <v>46168</v>
      </c>
      <c r="D492">
        <v>15120.060000000001</v>
      </c>
    </row>
    <row r="493" spans="1:4" x14ac:dyDescent="0.3">
      <c r="A493" s="78" t="s">
        <v>33</v>
      </c>
      <c r="B493" s="78"/>
      <c r="C493" s="16">
        <v>46168</v>
      </c>
      <c r="D493">
        <v>29206.27</v>
      </c>
    </row>
    <row r="494" spans="1:4" x14ac:dyDescent="0.3">
      <c r="A494" s="78" t="s">
        <v>34</v>
      </c>
      <c r="B494" s="78"/>
      <c r="C494" s="16">
        <v>46168</v>
      </c>
      <c r="D494">
        <v>345</v>
      </c>
    </row>
    <row r="495" spans="1:4" x14ac:dyDescent="0.3">
      <c r="A495" s="78" t="s">
        <v>35</v>
      </c>
      <c r="B495" s="78"/>
      <c r="C495" s="16">
        <v>46168</v>
      </c>
      <c r="D495">
        <v>8168.0700000000006</v>
      </c>
    </row>
    <row r="496" spans="1:4" x14ac:dyDescent="0.3">
      <c r="A496" s="78" t="s">
        <v>17</v>
      </c>
      <c r="B496" s="78"/>
      <c r="C496" s="16">
        <v>46169</v>
      </c>
      <c r="D496">
        <v>259371.70000000013</v>
      </c>
    </row>
    <row r="497" spans="1:4" x14ac:dyDescent="0.3">
      <c r="A497" s="78" t="s">
        <v>18</v>
      </c>
      <c r="B497" s="78"/>
      <c r="C497" s="16">
        <v>46169</v>
      </c>
      <c r="D497">
        <v>1259760.1600000001</v>
      </c>
    </row>
    <row r="498" spans="1:4" x14ac:dyDescent="0.3">
      <c r="A498" s="78" t="s">
        <v>19</v>
      </c>
      <c r="B498" s="78"/>
      <c r="C498" s="16">
        <v>46169</v>
      </c>
      <c r="D498">
        <v>1669.89</v>
      </c>
    </row>
    <row r="499" spans="1:4" x14ac:dyDescent="0.3">
      <c r="A499" s="78" t="s">
        <v>20</v>
      </c>
      <c r="B499" s="78"/>
      <c r="C499" s="16">
        <v>46169</v>
      </c>
      <c r="D499">
        <v>514616.73999999987</v>
      </c>
    </row>
    <row r="500" spans="1:4" x14ac:dyDescent="0.3">
      <c r="A500" s="78" t="s">
        <v>21</v>
      </c>
      <c r="B500" s="78"/>
      <c r="C500" s="16">
        <v>46169</v>
      </c>
      <c r="D500">
        <v>980426.88999999932</v>
      </c>
    </row>
    <row r="501" spans="1:4" x14ac:dyDescent="0.3">
      <c r="A501" s="78" t="s">
        <v>22</v>
      </c>
      <c r="B501" s="78"/>
      <c r="C501" s="16">
        <v>46169</v>
      </c>
      <c r="D501">
        <v>131496.38</v>
      </c>
    </row>
    <row r="502" spans="1:4" x14ac:dyDescent="0.3">
      <c r="A502" s="78" t="s">
        <v>23</v>
      </c>
      <c r="B502" s="78"/>
      <c r="C502" s="16">
        <v>46169</v>
      </c>
      <c r="D502">
        <v>88090.37</v>
      </c>
    </row>
    <row r="503" spans="1:4" x14ac:dyDescent="0.3">
      <c r="A503" s="78" t="s">
        <v>24</v>
      </c>
      <c r="B503" s="78"/>
      <c r="C503" s="16">
        <v>46169</v>
      </c>
      <c r="D503">
        <v>2498.3999999999996</v>
      </c>
    </row>
    <row r="504" spans="1:4" x14ac:dyDescent="0.3">
      <c r="A504" s="78" t="s">
        <v>25</v>
      </c>
      <c r="B504" s="78"/>
      <c r="C504" s="16">
        <v>46169</v>
      </c>
      <c r="D504">
        <v>114.3</v>
      </c>
    </row>
    <row r="505" spans="1:4" x14ac:dyDescent="0.3">
      <c r="A505" s="78" t="s">
        <v>26</v>
      </c>
      <c r="B505" s="78"/>
      <c r="C505" s="16">
        <v>46169</v>
      </c>
      <c r="D505">
        <v>2267.7200000000003</v>
      </c>
    </row>
    <row r="506" spans="1:4" x14ac:dyDescent="0.3">
      <c r="A506" s="78" t="s">
        <v>27</v>
      </c>
      <c r="B506" s="78"/>
      <c r="C506" s="16">
        <v>46169</v>
      </c>
      <c r="D506">
        <v>3349.94</v>
      </c>
    </row>
    <row r="507" spans="1:4" x14ac:dyDescent="0.3">
      <c r="A507" s="78" t="s">
        <v>28</v>
      </c>
      <c r="B507" s="78"/>
      <c r="C507" s="16">
        <v>46169</v>
      </c>
      <c r="D507">
        <v>1968.99</v>
      </c>
    </row>
    <row r="508" spans="1:4" x14ac:dyDescent="0.3">
      <c r="A508" s="78" t="s">
        <v>29</v>
      </c>
      <c r="B508" s="78"/>
      <c r="C508" s="16">
        <v>46169</v>
      </c>
      <c r="D508">
        <v>901.34</v>
      </c>
    </row>
    <row r="509" spans="1:4" x14ac:dyDescent="0.3">
      <c r="A509" s="78" t="s">
        <v>30</v>
      </c>
      <c r="B509" s="78"/>
      <c r="C509" s="16">
        <v>46169</v>
      </c>
      <c r="D509">
        <v>1444.08</v>
      </c>
    </row>
    <row r="510" spans="1:4" x14ac:dyDescent="0.3">
      <c r="A510" s="78" t="s">
        <v>31</v>
      </c>
      <c r="B510" s="78"/>
      <c r="C510" s="16">
        <v>46169</v>
      </c>
      <c r="D510">
        <v>15463.59999999996</v>
      </c>
    </row>
    <row r="511" spans="1:4" x14ac:dyDescent="0.3">
      <c r="A511" s="78" t="s">
        <v>32</v>
      </c>
      <c r="B511" s="78"/>
      <c r="C511" s="16">
        <v>46169</v>
      </c>
      <c r="D511">
        <v>15120.060000000001</v>
      </c>
    </row>
    <row r="512" spans="1:4" x14ac:dyDescent="0.3">
      <c r="A512" s="78" t="s">
        <v>33</v>
      </c>
      <c r="B512" s="78"/>
      <c r="C512" s="16">
        <v>46169</v>
      </c>
      <c r="D512">
        <v>33606.270000000004</v>
      </c>
    </row>
    <row r="513" spans="1:4" x14ac:dyDescent="0.3">
      <c r="A513" s="78" t="s">
        <v>34</v>
      </c>
      <c r="B513" s="78"/>
      <c r="C513" s="16">
        <v>46169</v>
      </c>
      <c r="D513">
        <v>345</v>
      </c>
    </row>
    <row r="514" spans="1:4" x14ac:dyDescent="0.3">
      <c r="A514" s="78" t="s">
        <v>35</v>
      </c>
      <c r="B514" s="78"/>
      <c r="C514" s="16">
        <v>46169</v>
      </c>
      <c r="D514">
        <v>17588.03</v>
      </c>
    </row>
    <row r="515" spans="1:4" x14ac:dyDescent="0.3">
      <c r="A515" s="78" t="s">
        <v>17</v>
      </c>
      <c r="B515" s="78"/>
      <c r="C515" s="16">
        <v>46170</v>
      </c>
      <c r="D515">
        <v>986983.19000000006</v>
      </c>
    </row>
    <row r="516" spans="1:4" x14ac:dyDescent="0.3">
      <c r="A516" s="78" t="s">
        <v>18</v>
      </c>
      <c r="B516" s="78"/>
      <c r="C516" s="16">
        <v>46170</v>
      </c>
      <c r="D516">
        <v>62397.280000000173</v>
      </c>
    </row>
    <row r="517" spans="1:4" x14ac:dyDescent="0.3">
      <c r="A517" s="78" t="s">
        <v>19</v>
      </c>
      <c r="B517" s="78"/>
      <c r="C517" s="16">
        <v>46170</v>
      </c>
      <c r="D517">
        <v>1669.89</v>
      </c>
    </row>
    <row r="518" spans="1:4" x14ac:dyDescent="0.3">
      <c r="A518" s="78" t="s">
        <v>20</v>
      </c>
      <c r="B518" s="78"/>
      <c r="C518" s="16">
        <v>46170</v>
      </c>
      <c r="D518">
        <v>376595.84999999986</v>
      </c>
    </row>
    <row r="519" spans="1:4" x14ac:dyDescent="0.3">
      <c r="A519" s="78" t="s">
        <v>21</v>
      </c>
      <c r="B519" s="78"/>
      <c r="C519" s="16">
        <v>46170</v>
      </c>
      <c r="D519">
        <v>1090396.4799999993</v>
      </c>
    </row>
    <row r="520" spans="1:4" x14ac:dyDescent="0.3">
      <c r="A520" s="78" t="s">
        <v>22</v>
      </c>
      <c r="B520" s="78"/>
      <c r="C520" s="16">
        <v>46170</v>
      </c>
      <c r="D520">
        <v>131496.38</v>
      </c>
    </row>
    <row r="521" spans="1:4" x14ac:dyDescent="0.3">
      <c r="A521" s="78" t="s">
        <v>23</v>
      </c>
      <c r="B521" s="78"/>
      <c r="C521" s="16">
        <v>46170</v>
      </c>
      <c r="D521">
        <v>88090.37</v>
      </c>
    </row>
    <row r="522" spans="1:4" x14ac:dyDescent="0.3">
      <c r="A522" s="78" t="s">
        <v>24</v>
      </c>
      <c r="B522" s="78"/>
      <c r="C522" s="16">
        <v>46170</v>
      </c>
      <c r="D522">
        <v>2498.3999999999996</v>
      </c>
    </row>
    <row r="523" spans="1:4" x14ac:dyDescent="0.3">
      <c r="A523" s="78" t="s">
        <v>25</v>
      </c>
      <c r="B523" s="78"/>
      <c r="C523" s="16">
        <v>46170</v>
      </c>
      <c r="D523">
        <v>114.3</v>
      </c>
    </row>
    <row r="524" spans="1:4" x14ac:dyDescent="0.3">
      <c r="A524" s="78" t="s">
        <v>26</v>
      </c>
      <c r="B524" s="78"/>
      <c r="C524" s="16">
        <v>46170</v>
      </c>
      <c r="D524">
        <v>2267.7200000000003</v>
      </c>
    </row>
    <row r="525" spans="1:4" x14ac:dyDescent="0.3">
      <c r="A525" s="78" t="s">
        <v>27</v>
      </c>
      <c r="B525" s="78"/>
      <c r="C525" s="16">
        <v>46170</v>
      </c>
      <c r="D525">
        <v>3349.94</v>
      </c>
    </row>
    <row r="526" spans="1:4" x14ac:dyDescent="0.3">
      <c r="A526" s="78" t="s">
        <v>28</v>
      </c>
      <c r="B526" s="78"/>
      <c r="C526" s="16">
        <v>46170</v>
      </c>
      <c r="D526">
        <v>1968.99</v>
      </c>
    </row>
    <row r="527" spans="1:4" x14ac:dyDescent="0.3">
      <c r="A527" s="78" t="s">
        <v>29</v>
      </c>
      <c r="B527" s="78"/>
      <c r="C527" s="16">
        <v>46170</v>
      </c>
      <c r="D527">
        <v>901.34</v>
      </c>
    </row>
    <row r="528" spans="1:4" x14ac:dyDescent="0.3">
      <c r="A528" s="78" t="s">
        <v>30</v>
      </c>
      <c r="B528" s="78"/>
      <c r="C528" s="16">
        <v>46170</v>
      </c>
      <c r="D528">
        <v>1444.08</v>
      </c>
    </row>
    <row r="529" spans="1:4" x14ac:dyDescent="0.3">
      <c r="A529" s="78" t="s">
        <v>31</v>
      </c>
      <c r="B529" s="78"/>
      <c r="C529" s="16">
        <v>46170</v>
      </c>
      <c r="D529">
        <v>35463.599999999962</v>
      </c>
    </row>
    <row r="530" spans="1:4" x14ac:dyDescent="0.3">
      <c r="A530" s="78" t="s">
        <v>32</v>
      </c>
      <c r="B530" s="78"/>
      <c r="C530" s="16">
        <v>46170</v>
      </c>
      <c r="D530">
        <v>15120.060000000001</v>
      </c>
    </row>
    <row r="531" spans="1:4" x14ac:dyDescent="0.3">
      <c r="A531" s="78" t="s">
        <v>33</v>
      </c>
      <c r="B531" s="78"/>
      <c r="C531" s="16">
        <v>46170</v>
      </c>
      <c r="D531">
        <v>33606.270000000004</v>
      </c>
    </row>
    <row r="532" spans="1:4" x14ac:dyDescent="0.3">
      <c r="A532" s="78" t="s">
        <v>34</v>
      </c>
      <c r="B532" s="78"/>
      <c r="C532" s="16">
        <v>46170</v>
      </c>
      <c r="D532">
        <v>345</v>
      </c>
    </row>
    <row r="533" spans="1:4" x14ac:dyDescent="0.3">
      <c r="A533" s="78" t="s">
        <v>35</v>
      </c>
      <c r="B533" s="78"/>
      <c r="C533" s="16">
        <v>46170</v>
      </c>
      <c r="D533">
        <v>9076.2400000000016</v>
      </c>
    </row>
    <row r="534" spans="1:4" x14ac:dyDescent="0.3">
      <c r="A534" s="78" t="s">
        <v>17</v>
      </c>
      <c r="B534" s="78"/>
      <c r="C534" s="16">
        <v>46171</v>
      </c>
      <c r="D534">
        <v>983394.14000000013</v>
      </c>
    </row>
    <row r="535" spans="1:4" x14ac:dyDescent="0.3">
      <c r="A535" s="78" t="s">
        <v>18</v>
      </c>
      <c r="B535" s="78"/>
      <c r="C535" s="16">
        <v>46171</v>
      </c>
      <c r="D535">
        <v>62397.280000000173</v>
      </c>
    </row>
    <row r="536" spans="1:4" x14ac:dyDescent="0.3">
      <c r="A536" s="78" t="s">
        <v>19</v>
      </c>
      <c r="B536" s="78"/>
      <c r="C536" s="16">
        <v>46171</v>
      </c>
      <c r="D536">
        <v>1669.89</v>
      </c>
    </row>
    <row r="537" spans="1:4" x14ac:dyDescent="0.3">
      <c r="A537" s="78" t="s">
        <v>20</v>
      </c>
      <c r="B537" s="78"/>
      <c r="C537" s="16">
        <v>46171</v>
      </c>
      <c r="D537">
        <v>424853.11999999988</v>
      </c>
    </row>
    <row r="538" spans="1:4" x14ac:dyDescent="0.3">
      <c r="A538" s="78" t="s">
        <v>21</v>
      </c>
      <c r="B538" s="78"/>
      <c r="C538" s="16">
        <v>46171</v>
      </c>
      <c r="D538">
        <v>1015901.6699999992</v>
      </c>
    </row>
    <row r="539" spans="1:4" x14ac:dyDescent="0.3">
      <c r="A539" s="78" t="s">
        <v>22</v>
      </c>
      <c r="B539" s="78"/>
      <c r="C539" s="16">
        <v>46171</v>
      </c>
      <c r="D539">
        <v>131496.38</v>
      </c>
    </row>
    <row r="540" spans="1:4" x14ac:dyDescent="0.3">
      <c r="A540" s="78" t="s">
        <v>23</v>
      </c>
      <c r="B540" s="78"/>
      <c r="C540" s="16">
        <v>46171</v>
      </c>
      <c r="D540">
        <v>88090.37</v>
      </c>
    </row>
    <row r="541" spans="1:4" x14ac:dyDescent="0.3">
      <c r="A541" s="78" t="s">
        <v>24</v>
      </c>
      <c r="B541" s="78"/>
      <c r="C541" s="16">
        <v>46171</v>
      </c>
      <c r="D541">
        <v>1227.9699999999998</v>
      </c>
    </row>
    <row r="542" spans="1:4" x14ac:dyDescent="0.3">
      <c r="A542" s="78" t="s">
        <v>25</v>
      </c>
      <c r="B542" s="78"/>
      <c r="C542" s="16">
        <v>46171</v>
      </c>
      <c r="D542">
        <v>114.3</v>
      </c>
    </row>
    <row r="543" spans="1:4" x14ac:dyDescent="0.3">
      <c r="A543" s="78" t="s">
        <v>26</v>
      </c>
      <c r="B543" s="78"/>
      <c r="C543" s="16">
        <v>46171</v>
      </c>
      <c r="D543">
        <v>2267.7200000000003</v>
      </c>
    </row>
    <row r="544" spans="1:4" x14ac:dyDescent="0.3">
      <c r="A544" s="78" t="s">
        <v>27</v>
      </c>
      <c r="B544" s="78"/>
      <c r="C544" s="16">
        <v>46171</v>
      </c>
      <c r="D544">
        <v>3349.94</v>
      </c>
    </row>
    <row r="545" spans="1:4" x14ac:dyDescent="0.3">
      <c r="A545" s="78" t="s">
        <v>28</v>
      </c>
      <c r="B545" s="78"/>
      <c r="C545" s="16">
        <v>46171</v>
      </c>
      <c r="D545">
        <v>1968.99</v>
      </c>
    </row>
    <row r="546" spans="1:4" x14ac:dyDescent="0.3">
      <c r="A546" s="78" t="s">
        <v>29</v>
      </c>
      <c r="B546" s="78"/>
      <c r="C546" s="16">
        <v>46171</v>
      </c>
      <c r="D546">
        <v>901.34</v>
      </c>
    </row>
    <row r="547" spans="1:4" x14ac:dyDescent="0.3">
      <c r="A547" s="78" t="s">
        <v>30</v>
      </c>
      <c r="B547" s="78"/>
      <c r="C547" s="16">
        <v>46171</v>
      </c>
      <c r="D547">
        <v>1444.08</v>
      </c>
    </row>
    <row r="548" spans="1:4" x14ac:dyDescent="0.3">
      <c r="A548" s="78" t="s">
        <v>31</v>
      </c>
      <c r="B548" s="78"/>
      <c r="C548" s="16">
        <v>46171</v>
      </c>
      <c r="D548">
        <v>35448.599999999962</v>
      </c>
    </row>
    <row r="549" spans="1:4" x14ac:dyDescent="0.3">
      <c r="A549" s="78" t="s">
        <v>32</v>
      </c>
      <c r="B549" s="78"/>
      <c r="C549" s="16">
        <v>46171</v>
      </c>
      <c r="D549">
        <v>15120.060000000001</v>
      </c>
    </row>
    <row r="550" spans="1:4" x14ac:dyDescent="0.3">
      <c r="A550" s="78" t="s">
        <v>33</v>
      </c>
      <c r="B550" s="78"/>
      <c r="C550" s="16">
        <v>46171</v>
      </c>
      <c r="D550">
        <v>33606.270000000004</v>
      </c>
    </row>
    <row r="551" spans="1:4" x14ac:dyDescent="0.3">
      <c r="A551" s="78" t="s">
        <v>34</v>
      </c>
      <c r="B551" s="78"/>
      <c r="C551" s="16">
        <v>46171</v>
      </c>
      <c r="D551">
        <v>345</v>
      </c>
    </row>
    <row r="552" spans="1:4" x14ac:dyDescent="0.3">
      <c r="A552" s="78" t="s">
        <v>35</v>
      </c>
      <c r="B552" s="78"/>
      <c r="C552" s="16">
        <v>46171</v>
      </c>
      <c r="D552">
        <v>9076.2400000000016</v>
      </c>
    </row>
    <row r="553" spans="1:4" x14ac:dyDescent="0.3">
      <c r="A553" s="78" t="s">
        <v>17</v>
      </c>
      <c r="B553" s="78"/>
      <c r="C553" s="16">
        <v>46172</v>
      </c>
      <c r="D553">
        <v>983394.14000000013</v>
      </c>
    </row>
    <row r="554" spans="1:4" x14ac:dyDescent="0.3">
      <c r="A554" s="78" t="s">
        <v>18</v>
      </c>
      <c r="B554" s="78"/>
      <c r="C554" s="16">
        <v>46172</v>
      </c>
      <c r="D554">
        <v>62397.280000000173</v>
      </c>
    </row>
    <row r="555" spans="1:4" x14ac:dyDescent="0.3">
      <c r="A555" s="78" t="s">
        <v>19</v>
      </c>
      <c r="B555" s="78"/>
      <c r="C555" s="16">
        <v>46172</v>
      </c>
      <c r="D555">
        <v>1669.89</v>
      </c>
    </row>
    <row r="556" spans="1:4" x14ac:dyDescent="0.3">
      <c r="A556" s="78" t="s">
        <v>20</v>
      </c>
      <c r="B556" s="78"/>
      <c r="C556" s="16">
        <v>46172</v>
      </c>
      <c r="D556">
        <v>424853.11999999988</v>
      </c>
    </row>
    <row r="557" spans="1:4" x14ac:dyDescent="0.3">
      <c r="A557" s="78" t="s">
        <v>21</v>
      </c>
      <c r="B557" s="78"/>
      <c r="C557" s="16">
        <v>46172</v>
      </c>
      <c r="D557">
        <v>1015901.6699999992</v>
      </c>
    </row>
    <row r="558" spans="1:4" x14ac:dyDescent="0.3">
      <c r="A558" s="78" t="s">
        <v>22</v>
      </c>
      <c r="B558" s="78"/>
      <c r="C558" s="16">
        <v>46172</v>
      </c>
      <c r="D558">
        <v>131496.38</v>
      </c>
    </row>
    <row r="559" spans="1:4" x14ac:dyDescent="0.3">
      <c r="A559" s="78" t="s">
        <v>23</v>
      </c>
      <c r="B559" s="78"/>
      <c r="C559" s="16">
        <v>46172</v>
      </c>
      <c r="D559">
        <v>88090.37</v>
      </c>
    </row>
    <row r="560" spans="1:4" x14ac:dyDescent="0.3">
      <c r="A560" s="78" t="s">
        <v>24</v>
      </c>
      <c r="B560" s="78"/>
      <c r="C560" s="16">
        <v>46172</v>
      </c>
      <c r="D560">
        <v>1227.9699999999998</v>
      </c>
    </row>
    <row r="561" spans="1:4" x14ac:dyDescent="0.3">
      <c r="A561" s="78" t="s">
        <v>25</v>
      </c>
      <c r="B561" s="78"/>
      <c r="C561" s="16">
        <v>46172</v>
      </c>
      <c r="D561">
        <v>114.3</v>
      </c>
    </row>
    <row r="562" spans="1:4" x14ac:dyDescent="0.3">
      <c r="A562" s="78" t="s">
        <v>26</v>
      </c>
      <c r="B562" s="78"/>
      <c r="C562" s="16">
        <v>46172</v>
      </c>
      <c r="D562">
        <v>2267.7200000000003</v>
      </c>
    </row>
    <row r="563" spans="1:4" x14ac:dyDescent="0.3">
      <c r="A563" s="78" t="s">
        <v>27</v>
      </c>
      <c r="B563" s="78"/>
      <c r="C563" s="16">
        <v>46172</v>
      </c>
      <c r="D563">
        <v>3349.94</v>
      </c>
    </row>
    <row r="564" spans="1:4" x14ac:dyDescent="0.3">
      <c r="A564" s="78" t="s">
        <v>28</v>
      </c>
      <c r="B564" s="78"/>
      <c r="C564" s="16">
        <v>46172</v>
      </c>
      <c r="D564">
        <v>1968.99</v>
      </c>
    </row>
    <row r="565" spans="1:4" x14ac:dyDescent="0.3">
      <c r="A565" s="78" t="s">
        <v>29</v>
      </c>
      <c r="B565" s="78"/>
      <c r="C565" s="16">
        <v>46172</v>
      </c>
      <c r="D565">
        <v>901.34</v>
      </c>
    </row>
    <row r="566" spans="1:4" x14ac:dyDescent="0.3">
      <c r="A566" s="78" t="s">
        <v>30</v>
      </c>
      <c r="B566" s="78"/>
      <c r="C566" s="16">
        <v>46172</v>
      </c>
      <c r="D566">
        <v>1444.08</v>
      </c>
    </row>
    <row r="567" spans="1:4" x14ac:dyDescent="0.3">
      <c r="A567" s="78" t="s">
        <v>31</v>
      </c>
      <c r="B567" s="78"/>
      <c r="C567" s="16">
        <v>46172</v>
      </c>
      <c r="D567">
        <v>35448.599999999962</v>
      </c>
    </row>
    <row r="568" spans="1:4" x14ac:dyDescent="0.3">
      <c r="A568" s="78" t="s">
        <v>32</v>
      </c>
      <c r="B568" s="78"/>
      <c r="C568" s="16">
        <v>46172</v>
      </c>
      <c r="D568">
        <v>15120.060000000001</v>
      </c>
    </row>
    <row r="569" spans="1:4" x14ac:dyDescent="0.3">
      <c r="A569" s="78" t="s">
        <v>33</v>
      </c>
      <c r="B569" s="78"/>
      <c r="C569" s="16">
        <v>46172</v>
      </c>
      <c r="D569">
        <v>33606.270000000004</v>
      </c>
    </row>
    <row r="570" spans="1:4" x14ac:dyDescent="0.3">
      <c r="A570" s="78" t="s">
        <v>34</v>
      </c>
      <c r="B570" s="78"/>
      <c r="C570" s="16">
        <v>46172</v>
      </c>
      <c r="D570">
        <v>345</v>
      </c>
    </row>
    <row r="571" spans="1:4" x14ac:dyDescent="0.3">
      <c r="A571" s="78" t="s">
        <v>35</v>
      </c>
      <c r="B571" s="78"/>
      <c r="C571" s="16">
        <v>46172</v>
      </c>
      <c r="D571">
        <v>9076.2400000000016</v>
      </c>
    </row>
    <row r="572" spans="1:4" x14ac:dyDescent="0.3">
      <c r="A572" s="78" t="s">
        <v>17</v>
      </c>
      <c r="B572" s="78"/>
      <c r="C572" s="16">
        <v>46173</v>
      </c>
      <c r="D572">
        <v>983394.14000000013</v>
      </c>
    </row>
    <row r="573" spans="1:4" x14ac:dyDescent="0.3">
      <c r="A573" s="78" t="s">
        <v>18</v>
      </c>
      <c r="B573" s="78"/>
      <c r="C573" s="16">
        <v>46173</v>
      </c>
      <c r="D573">
        <v>62397.280000000173</v>
      </c>
    </row>
    <row r="574" spans="1:4" x14ac:dyDescent="0.3">
      <c r="A574" s="78" t="s">
        <v>19</v>
      </c>
      <c r="B574" s="78"/>
      <c r="C574" s="16">
        <v>46173</v>
      </c>
      <c r="D574">
        <v>1669.89</v>
      </c>
    </row>
    <row r="575" spans="1:4" x14ac:dyDescent="0.3">
      <c r="A575" s="78" t="s">
        <v>20</v>
      </c>
      <c r="B575" s="78"/>
      <c r="C575" s="16">
        <v>46173</v>
      </c>
      <c r="D575">
        <v>424853.11999999988</v>
      </c>
    </row>
    <row r="576" spans="1:4" x14ac:dyDescent="0.3">
      <c r="A576" s="78" t="s">
        <v>21</v>
      </c>
      <c r="B576" s="78"/>
      <c r="C576" s="16">
        <v>46173</v>
      </c>
      <c r="D576">
        <v>1015901.6699999992</v>
      </c>
    </row>
    <row r="577" spans="1:4" x14ac:dyDescent="0.3">
      <c r="A577" s="78" t="s">
        <v>22</v>
      </c>
      <c r="B577" s="78"/>
      <c r="C577" s="16">
        <v>46173</v>
      </c>
      <c r="D577">
        <v>131496.38</v>
      </c>
    </row>
    <row r="578" spans="1:4" x14ac:dyDescent="0.3">
      <c r="A578" s="78" t="s">
        <v>23</v>
      </c>
      <c r="B578" s="78"/>
      <c r="C578" s="16">
        <v>46173</v>
      </c>
      <c r="D578">
        <v>88090.37</v>
      </c>
    </row>
    <row r="579" spans="1:4" x14ac:dyDescent="0.3">
      <c r="A579" s="78" t="s">
        <v>24</v>
      </c>
      <c r="B579" s="78"/>
      <c r="C579" s="16">
        <v>46173</v>
      </c>
      <c r="D579">
        <v>1227.9699999999998</v>
      </c>
    </row>
    <row r="580" spans="1:4" x14ac:dyDescent="0.3">
      <c r="A580" s="78" t="s">
        <v>25</v>
      </c>
      <c r="B580" s="78"/>
      <c r="C580" s="16">
        <v>46173</v>
      </c>
      <c r="D580">
        <v>114.3</v>
      </c>
    </row>
    <row r="581" spans="1:4" x14ac:dyDescent="0.3">
      <c r="A581" s="78" t="s">
        <v>26</v>
      </c>
      <c r="B581" s="78"/>
      <c r="C581" s="16">
        <v>46173</v>
      </c>
      <c r="D581">
        <v>2267.7200000000003</v>
      </c>
    </row>
    <row r="582" spans="1:4" x14ac:dyDescent="0.3">
      <c r="A582" s="78" t="s">
        <v>27</v>
      </c>
      <c r="B582" s="78"/>
      <c r="C582" s="16">
        <v>46173</v>
      </c>
      <c r="D582">
        <v>3349.94</v>
      </c>
    </row>
    <row r="583" spans="1:4" x14ac:dyDescent="0.3">
      <c r="A583" s="78" t="s">
        <v>28</v>
      </c>
      <c r="B583" s="78"/>
      <c r="C583" s="16">
        <v>46173</v>
      </c>
      <c r="D583">
        <v>1968.99</v>
      </c>
    </row>
    <row r="584" spans="1:4" x14ac:dyDescent="0.3">
      <c r="A584" s="78" t="s">
        <v>29</v>
      </c>
      <c r="B584" s="78"/>
      <c r="C584" s="16">
        <v>46173</v>
      </c>
      <c r="D584">
        <v>901.34</v>
      </c>
    </row>
    <row r="585" spans="1:4" x14ac:dyDescent="0.3">
      <c r="A585" s="78" t="s">
        <v>30</v>
      </c>
      <c r="B585" s="78"/>
      <c r="C585" s="16">
        <v>46173</v>
      </c>
      <c r="D585">
        <v>1444.08</v>
      </c>
    </row>
    <row r="586" spans="1:4" x14ac:dyDescent="0.3">
      <c r="A586" s="78" t="s">
        <v>31</v>
      </c>
      <c r="B586" s="78"/>
      <c r="C586" s="16">
        <v>46173</v>
      </c>
      <c r="D586">
        <v>35448.599999999962</v>
      </c>
    </row>
    <row r="587" spans="1:4" x14ac:dyDescent="0.3">
      <c r="A587" s="78" t="s">
        <v>32</v>
      </c>
      <c r="B587" s="78"/>
      <c r="C587" s="16">
        <v>46173</v>
      </c>
      <c r="D587">
        <v>15120.060000000001</v>
      </c>
    </row>
    <row r="588" spans="1:4" x14ac:dyDescent="0.3">
      <c r="A588" s="78" t="s">
        <v>33</v>
      </c>
      <c r="B588" s="78"/>
      <c r="C588" s="16">
        <v>46173</v>
      </c>
      <c r="D588">
        <v>33606.270000000004</v>
      </c>
    </row>
    <row r="589" spans="1:4" x14ac:dyDescent="0.3">
      <c r="A589" s="78" t="s">
        <v>34</v>
      </c>
      <c r="B589" s="78"/>
      <c r="C589" s="16">
        <v>46173</v>
      </c>
      <c r="D589">
        <v>345</v>
      </c>
    </row>
    <row r="590" spans="1:4" x14ac:dyDescent="0.3">
      <c r="A590" s="78" t="s">
        <v>35</v>
      </c>
      <c r="B590" s="78"/>
      <c r="C590" s="16">
        <v>46173</v>
      </c>
      <c r="D590">
        <v>9076.2400000000016</v>
      </c>
    </row>
    <row r="591" spans="1:4" x14ac:dyDescent="0.3">
      <c r="A591" s="78" t="s">
        <v>17</v>
      </c>
      <c r="B591" s="78"/>
      <c r="C591" s="16">
        <v>46174</v>
      </c>
      <c r="D591">
        <v>1064727.47</v>
      </c>
    </row>
    <row r="592" spans="1:4" x14ac:dyDescent="0.3">
      <c r="A592" s="78" t="s">
        <v>18</v>
      </c>
      <c r="B592" s="78"/>
      <c r="C592" s="16">
        <v>46174</v>
      </c>
      <c r="D592">
        <v>69376.390000000174</v>
      </c>
    </row>
    <row r="593" spans="1:4" x14ac:dyDescent="0.3">
      <c r="A593" s="78" t="s">
        <v>19</v>
      </c>
      <c r="B593" s="78"/>
      <c r="C593" s="16">
        <v>46174</v>
      </c>
      <c r="D593">
        <v>1669.89</v>
      </c>
    </row>
    <row r="594" spans="1:4" x14ac:dyDescent="0.3">
      <c r="A594" s="78" t="s">
        <v>20</v>
      </c>
      <c r="B594" s="78"/>
      <c r="C594" s="16">
        <v>46174</v>
      </c>
      <c r="D594">
        <v>635892.87999999989</v>
      </c>
    </row>
    <row r="595" spans="1:4" x14ac:dyDescent="0.3">
      <c r="A595" s="78" t="s">
        <v>21</v>
      </c>
      <c r="B595" s="78"/>
      <c r="C595" s="16">
        <v>46174</v>
      </c>
      <c r="D595">
        <v>1030143.7899999993</v>
      </c>
    </row>
    <row r="596" spans="1:4" x14ac:dyDescent="0.3">
      <c r="A596" s="78" t="s">
        <v>22</v>
      </c>
      <c r="B596" s="78"/>
      <c r="C596" s="16">
        <v>46174</v>
      </c>
      <c r="D596">
        <v>131496.38</v>
      </c>
    </row>
    <row r="597" spans="1:4" x14ac:dyDescent="0.3">
      <c r="A597" s="78" t="s">
        <v>23</v>
      </c>
      <c r="B597" s="78"/>
      <c r="C597" s="16">
        <v>46174</v>
      </c>
      <c r="D597">
        <v>88090.37</v>
      </c>
    </row>
    <row r="598" spans="1:4" x14ac:dyDescent="0.3">
      <c r="A598" s="78" t="s">
        <v>24</v>
      </c>
      <c r="B598" s="78"/>
      <c r="C598" s="16">
        <v>46174</v>
      </c>
      <c r="D598">
        <v>511.15999999999985</v>
      </c>
    </row>
    <row r="599" spans="1:4" x14ac:dyDescent="0.3">
      <c r="A599" s="78" t="s">
        <v>25</v>
      </c>
      <c r="B599" s="78"/>
      <c r="C599" s="16">
        <v>46174</v>
      </c>
      <c r="D599">
        <v>84.35</v>
      </c>
    </row>
    <row r="600" spans="1:4" x14ac:dyDescent="0.3">
      <c r="A600" s="78" t="s">
        <v>26</v>
      </c>
      <c r="B600" s="78"/>
      <c r="C600" s="16">
        <v>46174</v>
      </c>
      <c r="D600">
        <v>2237.77</v>
      </c>
    </row>
    <row r="601" spans="1:4" x14ac:dyDescent="0.3">
      <c r="A601" s="78" t="s">
        <v>27</v>
      </c>
      <c r="B601" s="78"/>
      <c r="C601" s="16">
        <v>46174</v>
      </c>
      <c r="D601">
        <v>3349.94</v>
      </c>
    </row>
    <row r="602" spans="1:4" x14ac:dyDescent="0.3">
      <c r="A602" s="78" t="s">
        <v>28</v>
      </c>
      <c r="B602" s="78"/>
      <c r="C602" s="16">
        <v>46174</v>
      </c>
      <c r="D602">
        <v>1968.99</v>
      </c>
    </row>
    <row r="603" spans="1:4" x14ac:dyDescent="0.3">
      <c r="A603" s="78" t="s">
        <v>29</v>
      </c>
      <c r="B603" s="78"/>
      <c r="C603" s="16">
        <v>46174</v>
      </c>
      <c r="D603">
        <v>901.34</v>
      </c>
    </row>
    <row r="604" spans="1:4" x14ac:dyDescent="0.3">
      <c r="A604" s="78" t="s">
        <v>30</v>
      </c>
      <c r="B604" s="78"/>
      <c r="C604" s="16">
        <v>46174</v>
      </c>
      <c r="D604">
        <v>1428.08</v>
      </c>
    </row>
    <row r="605" spans="1:4" x14ac:dyDescent="0.3">
      <c r="A605" s="78" t="s">
        <v>31</v>
      </c>
      <c r="B605" s="78"/>
      <c r="C605" s="16">
        <v>46174</v>
      </c>
      <c r="D605">
        <v>26416.26999999996</v>
      </c>
    </row>
    <row r="606" spans="1:4" x14ac:dyDescent="0.3">
      <c r="A606" s="78" t="s">
        <v>32</v>
      </c>
      <c r="B606" s="78"/>
      <c r="C606" s="16">
        <v>46174</v>
      </c>
      <c r="D606">
        <v>5321.4300000000021</v>
      </c>
    </row>
    <row r="607" spans="1:4" x14ac:dyDescent="0.3">
      <c r="A607" s="78" t="s">
        <v>33</v>
      </c>
      <c r="B607" s="78"/>
      <c r="C607" s="16">
        <v>46174</v>
      </c>
      <c r="D607">
        <v>24833.23</v>
      </c>
    </row>
    <row r="608" spans="1:4" x14ac:dyDescent="0.3">
      <c r="A608" s="78" t="s">
        <v>34</v>
      </c>
      <c r="B608" s="78"/>
      <c r="C608" s="16">
        <v>46174</v>
      </c>
      <c r="D608">
        <v>345</v>
      </c>
    </row>
    <row r="609" spans="1:4" x14ac:dyDescent="0.3">
      <c r="A609" s="78" t="s">
        <v>35</v>
      </c>
      <c r="B609" s="78"/>
      <c r="C609" s="16">
        <v>46174</v>
      </c>
      <c r="D609">
        <v>12117.82</v>
      </c>
    </row>
    <row r="610" spans="1:4" x14ac:dyDescent="0.3">
      <c r="A610" s="78" t="s">
        <v>17</v>
      </c>
      <c r="B610" s="78"/>
      <c r="C610" s="16">
        <v>46175</v>
      </c>
      <c r="D610">
        <v>1064727.47</v>
      </c>
    </row>
    <row r="611" spans="1:4" x14ac:dyDescent="0.3">
      <c r="A611" s="78" t="s">
        <v>18</v>
      </c>
      <c r="B611" s="78"/>
      <c r="C611" s="16">
        <v>46175</v>
      </c>
      <c r="D611">
        <v>69376.390000000174</v>
      </c>
    </row>
    <row r="612" spans="1:4" x14ac:dyDescent="0.3">
      <c r="A612" s="78" t="s">
        <v>19</v>
      </c>
      <c r="B612" s="78"/>
      <c r="C612" s="16">
        <v>46175</v>
      </c>
      <c r="D612">
        <v>1669.89</v>
      </c>
    </row>
    <row r="613" spans="1:4" x14ac:dyDescent="0.3">
      <c r="A613" s="78" t="s">
        <v>20</v>
      </c>
      <c r="B613" s="78"/>
      <c r="C613" s="16">
        <v>46175</v>
      </c>
      <c r="D613">
        <v>635892.87999999989</v>
      </c>
    </row>
    <row r="614" spans="1:4" x14ac:dyDescent="0.3">
      <c r="A614" s="78" t="s">
        <v>21</v>
      </c>
      <c r="B614" s="78"/>
      <c r="C614" s="16">
        <v>46175</v>
      </c>
      <c r="D614">
        <v>1030143.7899999993</v>
      </c>
    </row>
    <row r="615" spans="1:4" x14ac:dyDescent="0.3">
      <c r="A615" s="78" t="s">
        <v>22</v>
      </c>
      <c r="B615" s="78"/>
      <c r="C615" s="16">
        <v>46175</v>
      </c>
      <c r="D615">
        <v>131496.38</v>
      </c>
    </row>
    <row r="616" spans="1:4" x14ac:dyDescent="0.3">
      <c r="A616" s="78" t="s">
        <v>23</v>
      </c>
      <c r="B616" s="78"/>
      <c r="C616" s="16">
        <v>46175</v>
      </c>
      <c r="D616">
        <v>88090.37</v>
      </c>
    </row>
    <row r="617" spans="1:4" x14ac:dyDescent="0.3">
      <c r="A617" s="78" t="s">
        <v>24</v>
      </c>
      <c r="B617" s="78"/>
      <c r="C617" s="16">
        <v>46175</v>
      </c>
      <c r="D617">
        <v>511.15999999999985</v>
      </c>
    </row>
    <row r="618" spans="1:4" x14ac:dyDescent="0.3">
      <c r="A618" s="78" t="s">
        <v>25</v>
      </c>
      <c r="B618" s="78"/>
      <c r="C618" s="16">
        <v>46175</v>
      </c>
      <c r="D618">
        <v>84.35</v>
      </c>
    </row>
    <row r="619" spans="1:4" x14ac:dyDescent="0.3">
      <c r="A619" s="78" t="s">
        <v>26</v>
      </c>
      <c r="B619" s="78"/>
      <c r="C619" s="16">
        <v>46175</v>
      </c>
      <c r="D619">
        <v>2237.77</v>
      </c>
    </row>
    <row r="620" spans="1:4" x14ac:dyDescent="0.3">
      <c r="A620" s="78" t="s">
        <v>27</v>
      </c>
      <c r="B620" s="78"/>
      <c r="C620" s="16">
        <v>46175</v>
      </c>
      <c r="D620">
        <v>3349.94</v>
      </c>
    </row>
    <row r="621" spans="1:4" x14ac:dyDescent="0.3">
      <c r="A621" s="78" t="s">
        <v>28</v>
      </c>
      <c r="B621" s="78"/>
      <c r="C621" s="16">
        <v>46175</v>
      </c>
      <c r="D621">
        <v>1968.99</v>
      </c>
    </row>
    <row r="622" spans="1:4" x14ac:dyDescent="0.3">
      <c r="A622" s="78" t="s">
        <v>29</v>
      </c>
      <c r="B622" s="78"/>
      <c r="C622" s="16">
        <v>46175</v>
      </c>
      <c r="D622">
        <v>901.34</v>
      </c>
    </row>
    <row r="623" spans="1:4" x14ac:dyDescent="0.3">
      <c r="A623" s="78" t="s">
        <v>30</v>
      </c>
      <c r="B623" s="78"/>
      <c r="C623" s="16">
        <v>46175</v>
      </c>
      <c r="D623">
        <v>1428.08</v>
      </c>
    </row>
    <row r="624" spans="1:4" x14ac:dyDescent="0.3">
      <c r="A624" s="78" t="s">
        <v>31</v>
      </c>
      <c r="B624" s="78"/>
      <c r="C624" s="16">
        <v>46175</v>
      </c>
      <c r="D624">
        <v>25789.969999999961</v>
      </c>
    </row>
    <row r="625" spans="1:4" x14ac:dyDescent="0.3">
      <c r="A625" s="78" t="s">
        <v>32</v>
      </c>
      <c r="B625" s="78"/>
      <c r="C625" s="16">
        <v>46175</v>
      </c>
      <c r="D625">
        <v>5321.4300000000021</v>
      </c>
    </row>
    <row r="626" spans="1:4" x14ac:dyDescent="0.3">
      <c r="A626" s="78" t="s">
        <v>33</v>
      </c>
      <c r="B626" s="78"/>
      <c r="C626" s="16">
        <v>46175</v>
      </c>
      <c r="D626">
        <v>24833.23</v>
      </c>
    </row>
    <row r="627" spans="1:4" x14ac:dyDescent="0.3">
      <c r="A627" s="78" t="s">
        <v>34</v>
      </c>
      <c r="B627" s="78"/>
      <c r="C627" s="16">
        <v>46175</v>
      </c>
      <c r="D627">
        <v>345</v>
      </c>
    </row>
    <row r="628" spans="1:4" x14ac:dyDescent="0.3">
      <c r="A628" s="78" t="s">
        <v>35</v>
      </c>
      <c r="B628" s="78"/>
      <c r="C628" s="16">
        <v>46175</v>
      </c>
      <c r="D628">
        <v>8808.2400000000016</v>
      </c>
    </row>
    <row r="629" spans="1:4" x14ac:dyDescent="0.3">
      <c r="A629" s="78" t="s">
        <v>17</v>
      </c>
      <c r="B629" s="78"/>
      <c r="C629" s="16">
        <v>46176</v>
      </c>
      <c r="D629">
        <v>1064727.47</v>
      </c>
    </row>
    <row r="630" spans="1:4" x14ac:dyDescent="0.3">
      <c r="A630" s="78" t="s">
        <v>18</v>
      </c>
      <c r="B630" s="78"/>
      <c r="C630" s="16">
        <v>46176</v>
      </c>
      <c r="D630">
        <v>69376.390000000174</v>
      </c>
    </row>
    <row r="631" spans="1:4" x14ac:dyDescent="0.3">
      <c r="A631" s="78" t="s">
        <v>19</v>
      </c>
      <c r="B631" s="78"/>
      <c r="C631" s="16">
        <v>46176</v>
      </c>
      <c r="D631">
        <v>1669.89</v>
      </c>
    </row>
    <row r="632" spans="1:4" x14ac:dyDescent="0.3">
      <c r="A632" s="78" t="s">
        <v>20</v>
      </c>
      <c r="B632" s="78"/>
      <c r="C632" s="16">
        <v>46176</v>
      </c>
      <c r="D632">
        <v>635892.87999999989</v>
      </c>
    </row>
    <row r="633" spans="1:4" x14ac:dyDescent="0.3">
      <c r="A633" s="78" t="s">
        <v>21</v>
      </c>
      <c r="B633" s="78"/>
      <c r="C633" s="16">
        <v>46176</v>
      </c>
      <c r="D633">
        <v>1029853.7799999993</v>
      </c>
    </row>
    <row r="634" spans="1:4" x14ac:dyDescent="0.3">
      <c r="A634" s="78" t="s">
        <v>22</v>
      </c>
      <c r="B634" s="78"/>
      <c r="C634" s="16">
        <v>46176</v>
      </c>
      <c r="D634">
        <v>125496.38</v>
      </c>
    </row>
    <row r="635" spans="1:4" x14ac:dyDescent="0.3">
      <c r="A635" s="78" t="s">
        <v>23</v>
      </c>
      <c r="B635" s="78"/>
      <c r="C635" s="16">
        <v>46176</v>
      </c>
      <c r="D635">
        <v>88090.37</v>
      </c>
    </row>
    <row r="636" spans="1:4" x14ac:dyDescent="0.3">
      <c r="A636" s="78" t="s">
        <v>24</v>
      </c>
      <c r="B636" s="78"/>
      <c r="C636" s="16">
        <v>46176</v>
      </c>
      <c r="D636">
        <v>511.15999999999985</v>
      </c>
    </row>
    <row r="637" spans="1:4" x14ac:dyDescent="0.3">
      <c r="A637" s="78" t="s">
        <v>25</v>
      </c>
      <c r="B637" s="78"/>
      <c r="C637" s="16">
        <v>46176</v>
      </c>
      <c r="D637">
        <v>84.35</v>
      </c>
    </row>
    <row r="638" spans="1:4" x14ac:dyDescent="0.3">
      <c r="A638" s="78" t="s">
        <v>26</v>
      </c>
      <c r="B638" s="78"/>
      <c r="C638" s="16">
        <v>46176</v>
      </c>
      <c r="D638">
        <v>2237.77</v>
      </c>
    </row>
    <row r="639" spans="1:4" x14ac:dyDescent="0.3">
      <c r="A639" s="78" t="s">
        <v>27</v>
      </c>
      <c r="B639" s="78"/>
      <c r="C639" s="16">
        <v>46176</v>
      </c>
      <c r="D639">
        <v>3349.94</v>
      </c>
    </row>
    <row r="640" spans="1:4" x14ac:dyDescent="0.3">
      <c r="A640" s="78" t="s">
        <v>28</v>
      </c>
      <c r="B640" s="78"/>
      <c r="C640" s="16">
        <v>46176</v>
      </c>
      <c r="D640">
        <v>1968.99</v>
      </c>
    </row>
    <row r="641" spans="1:4" x14ac:dyDescent="0.3">
      <c r="A641" s="78" t="s">
        <v>29</v>
      </c>
      <c r="B641" s="78"/>
      <c r="C641" s="16">
        <v>46176</v>
      </c>
      <c r="D641">
        <v>901.34</v>
      </c>
    </row>
    <row r="642" spans="1:4" x14ac:dyDescent="0.3">
      <c r="A642" s="78" t="s">
        <v>30</v>
      </c>
      <c r="B642" s="78"/>
      <c r="C642" s="16">
        <v>46176</v>
      </c>
      <c r="D642">
        <v>1428.08</v>
      </c>
    </row>
    <row r="643" spans="1:4" x14ac:dyDescent="0.3">
      <c r="A643" s="78" t="s">
        <v>31</v>
      </c>
      <c r="B643" s="78"/>
      <c r="C643" s="16">
        <v>46176</v>
      </c>
      <c r="D643">
        <v>25789.969999999961</v>
      </c>
    </row>
    <row r="644" spans="1:4" x14ac:dyDescent="0.3">
      <c r="A644" s="78" t="s">
        <v>32</v>
      </c>
      <c r="B644" s="78"/>
      <c r="C644" s="16">
        <v>46176</v>
      </c>
      <c r="D644">
        <v>5321.4300000000021</v>
      </c>
    </row>
    <row r="645" spans="1:4" x14ac:dyDescent="0.3">
      <c r="A645" s="78" t="s">
        <v>33</v>
      </c>
      <c r="B645" s="78"/>
      <c r="C645" s="16">
        <v>46176</v>
      </c>
      <c r="D645">
        <v>24833.23</v>
      </c>
    </row>
    <row r="646" spans="1:4" x14ac:dyDescent="0.3">
      <c r="A646" s="78" t="s">
        <v>34</v>
      </c>
      <c r="B646" s="78"/>
      <c r="C646" s="16">
        <v>46176</v>
      </c>
      <c r="D646">
        <v>345</v>
      </c>
    </row>
    <row r="647" spans="1:4" x14ac:dyDescent="0.3">
      <c r="A647" s="78" t="s">
        <v>35</v>
      </c>
      <c r="B647" s="78"/>
      <c r="C647" s="16">
        <v>46176</v>
      </c>
      <c r="D647">
        <v>8808.2400000000016</v>
      </c>
    </row>
    <row r="648" spans="1:4" x14ac:dyDescent="0.3">
      <c r="A648" s="78" t="s">
        <v>17</v>
      </c>
      <c r="B648" s="78"/>
      <c r="C648" s="16">
        <v>46177</v>
      </c>
      <c r="D648">
        <v>814727.47000000009</v>
      </c>
    </row>
    <row r="649" spans="1:4" x14ac:dyDescent="0.3">
      <c r="A649" s="78" t="s">
        <v>18</v>
      </c>
      <c r="B649" s="78"/>
      <c r="C649" s="16">
        <v>46177</v>
      </c>
      <c r="D649">
        <v>69376.390000000174</v>
      </c>
    </row>
    <row r="650" spans="1:4" x14ac:dyDescent="0.3">
      <c r="A650" s="78" t="s">
        <v>19</v>
      </c>
      <c r="B650" s="78"/>
      <c r="C650" s="16">
        <v>46177</v>
      </c>
      <c r="D650">
        <v>1669.89</v>
      </c>
    </row>
    <row r="651" spans="1:4" x14ac:dyDescent="0.3">
      <c r="A651" s="78" t="s">
        <v>20</v>
      </c>
      <c r="B651" s="78"/>
      <c r="C651" s="16">
        <v>46177</v>
      </c>
      <c r="D651">
        <v>560584.99999999988</v>
      </c>
    </row>
    <row r="652" spans="1:4" x14ac:dyDescent="0.3">
      <c r="A652" s="78" t="s">
        <v>21</v>
      </c>
      <c r="B652" s="78"/>
      <c r="C652" s="16">
        <v>46177</v>
      </c>
      <c r="D652">
        <v>1185956.5699999994</v>
      </c>
    </row>
    <row r="653" spans="1:4" x14ac:dyDescent="0.3">
      <c r="A653" s="78" t="s">
        <v>22</v>
      </c>
      <c r="B653" s="78"/>
      <c r="C653" s="16">
        <v>46177</v>
      </c>
      <c r="D653">
        <v>116496.38</v>
      </c>
    </row>
    <row r="654" spans="1:4" x14ac:dyDescent="0.3">
      <c r="A654" s="78" t="s">
        <v>23</v>
      </c>
      <c r="B654" s="78"/>
      <c r="C654" s="16">
        <v>46177</v>
      </c>
      <c r="D654">
        <v>88090.37</v>
      </c>
    </row>
    <row r="655" spans="1:4" x14ac:dyDescent="0.3">
      <c r="A655" s="78" t="s">
        <v>24</v>
      </c>
      <c r="B655" s="78"/>
      <c r="C655" s="16">
        <v>46177</v>
      </c>
      <c r="D655">
        <v>511.15999999999985</v>
      </c>
    </row>
    <row r="656" spans="1:4" x14ac:dyDescent="0.3">
      <c r="A656" s="78" t="s">
        <v>25</v>
      </c>
      <c r="B656" s="78"/>
      <c r="C656" s="16">
        <v>46177</v>
      </c>
      <c r="D656">
        <v>84.35</v>
      </c>
    </row>
    <row r="657" spans="1:4" x14ac:dyDescent="0.3">
      <c r="A657" s="78" t="s">
        <v>26</v>
      </c>
      <c r="B657" s="78"/>
      <c r="C657" s="16">
        <v>46177</v>
      </c>
      <c r="D657">
        <v>2237.77</v>
      </c>
    </row>
    <row r="658" spans="1:4" x14ac:dyDescent="0.3">
      <c r="A658" s="78" t="s">
        <v>27</v>
      </c>
      <c r="B658" s="78"/>
      <c r="C658" s="16">
        <v>46177</v>
      </c>
      <c r="D658">
        <v>3349.94</v>
      </c>
    </row>
    <row r="659" spans="1:4" x14ac:dyDescent="0.3">
      <c r="A659" s="78" t="s">
        <v>28</v>
      </c>
      <c r="B659" s="78"/>
      <c r="C659" s="16">
        <v>46177</v>
      </c>
      <c r="D659">
        <v>1968.99</v>
      </c>
    </row>
    <row r="660" spans="1:4" x14ac:dyDescent="0.3">
      <c r="A660" s="78" t="s">
        <v>29</v>
      </c>
      <c r="B660" s="78"/>
      <c r="C660" s="16">
        <v>46177</v>
      </c>
      <c r="D660">
        <v>382.69000000000005</v>
      </c>
    </row>
    <row r="661" spans="1:4" x14ac:dyDescent="0.3">
      <c r="A661" s="78" t="s">
        <v>30</v>
      </c>
      <c r="B661" s="78"/>
      <c r="C661" s="16">
        <v>46177</v>
      </c>
      <c r="D661">
        <v>1428.08</v>
      </c>
    </row>
    <row r="662" spans="1:4" x14ac:dyDescent="0.3">
      <c r="A662" s="78" t="s">
        <v>31</v>
      </c>
      <c r="B662" s="78"/>
      <c r="C662" s="16">
        <v>46177</v>
      </c>
      <c r="D662">
        <v>25789.969999999961</v>
      </c>
    </row>
    <row r="663" spans="1:4" x14ac:dyDescent="0.3">
      <c r="A663" s="78" t="s">
        <v>32</v>
      </c>
      <c r="B663" s="78"/>
      <c r="C663" s="16">
        <v>46177</v>
      </c>
      <c r="D663">
        <v>5321.4300000000021</v>
      </c>
    </row>
    <row r="664" spans="1:4" x14ac:dyDescent="0.3">
      <c r="A664" s="78" t="s">
        <v>33</v>
      </c>
      <c r="B664" s="78"/>
      <c r="C664" s="16">
        <v>46177</v>
      </c>
      <c r="D664">
        <v>24833.23</v>
      </c>
    </row>
    <row r="665" spans="1:4" x14ac:dyDescent="0.3">
      <c r="A665" s="78" t="s">
        <v>34</v>
      </c>
      <c r="B665" s="78"/>
      <c r="C665" s="16">
        <v>46177</v>
      </c>
      <c r="D665">
        <v>345</v>
      </c>
    </row>
    <row r="666" spans="1:4" x14ac:dyDescent="0.3">
      <c r="A666" s="78" t="s">
        <v>35</v>
      </c>
      <c r="B666" s="78"/>
      <c r="C666" s="16">
        <v>46177</v>
      </c>
      <c r="D666">
        <v>7716.0900000000038</v>
      </c>
    </row>
    <row r="667" spans="1:4" x14ac:dyDescent="0.3">
      <c r="A667" s="78" t="s">
        <v>17</v>
      </c>
      <c r="B667" s="78"/>
      <c r="C667" s="16">
        <v>46178</v>
      </c>
      <c r="D667">
        <v>814727.47000000009</v>
      </c>
    </row>
    <row r="668" spans="1:4" x14ac:dyDescent="0.3">
      <c r="A668" s="78" t="s">
        <v>18</v>
      </c>
      <c r="B668" s="78"/>
      <c r="C668" s="16">
        <v>46178</v>
      </c>
      <c r="D668">
        <v>69376.390000000174</v>
      </c>
    </row>
    <row r="669" spans="1:4" x14ac:dyDescent="0.3">
      <c r="A669" s="78" t="s">
        <v>19</v>
      </c>
      <c r="B669" s="78"/>
      <c r="C669" s="16">
        <v>46178</v>
      </c>
      <c r="D669">
        <v>1669.89</v>
      </c>
    </row>
    <row r="670" spans="1:4" x14ac:dyDescent="0.3">
      <c r="A670" s="78" t="s">
        <v>20</v>
      </c>
      <c r="B670" s="78"/>
      <c r="C670" s="16">
        <v>46178</v>
      </c>
      <c r="D670">
        <v>560584.99999999988</v>
      </c>
    </row>
    <row r="671" spans="1:4" x14ac:dyDescent="0.3">
      <c r="A671" s="78" t="s">
        <v>21</v>
      </c>
      <c r="B671" s="78"/>
      <c r="C671" s="16">
        <v>46178</v>
      </c>
      <c r="D671">
        <v>1178270.4399999992</v>
      </c>
    </row>
    <row r="672" spans="1:4" x14ac:dyDescent="0.3">
      <c r="A672" s="78" t="s">
        <v>22</v>
      </c>
      <c r="B672" s="78"/>
      <c r="C672" s="16">
        <v>46178</v>
      </c>
      <c r="D672">
        <v>116496.38</v>
      </c>
    </row>
    <row r="673" spans="1:4" x14ac:dyDescent="0.3">
      <c r="A673" s="78" t="s">
        <v>23</v>
      </c>
      <c r="B673" s="78"/>
      <c r="C673" s="16">
        <v>46178</v>
      </c>
      <c r="D673">
        <v>88090.37</v>
      </c>
    </row>
    <row r="674" spans="1:4" x14ac:dyDescent="0.3">
      <c r="A674" s="78" t="s">
        <v>24</v>
      </c>
      <c r="B674" s="78"/>
      <c r="C674" s="16">
        <v>46178</v>
      </c>
      <c r="D674">
        <v>511.15999999999985</v>
      </c>
    </row>
    <row r="675" spans="1:4" x14ac:dyDescent="0.3">
      <c r="A675" s="78" t="s">
        <v>25</v>
      </c>
      <c r="B675" s="78"/>
      <c r="C675" s="16">
        <v>46178</v>
      </c>
      <c r="D675">
        <v>84.35</v>
      </c>
    </row>
    <row r="676" spans="1:4" x14ac:dyDescent="0.3">
      <c r="A676" s="78" t="s">
        <v>26</v>
      </c>
      <c r="B676" s="78"/>
      <c r="C676" s="16">
        <v>46178</v>
      </c>
      <c r="D676">
        <v>2237.77</v>
      </c>
    </row>
    <row r="677" spans="1:4" x14ac:dyDescent="0.3">
      <c r="A677" s="78" t="s">
        <v>27</v>
      </c>
      <c r="B677" s="78"/>
      <c r="C677" s="16">
        <v>46178</v>
      </c>
      <c r="D677">
        <v>3349.94</v>
      </c>
    </row>
    <row r="678" spans="1:4" x14ac:dyDescent="0.3">
      <c r="A678" s="78" t="s">
        <v>28</v>
      </c>
      <c r="B678" s="78"/>
      <c r="C678" s="16">
        <v>46178</v>
      </c>
      <c r="D678">
        <v>1968.99</v>
      </c>
    </row>
    <row r="679" spans="1:4" x14ac:dyDescent="0.3">
      <c r="A679" s="78" t="s">
        <v>29</v>
      </c>
      <c r="B679" s="78"/>
      <c r="C679" s="16">
        <v>46178</v>
      </c>
      <c r="D679">
        <v>382.69000000000005</v>
      </c>
    </row>
    <row r="680" spans="1:4" x14ac:dyDescent="0.3">
      <c r="A680" s="78" t="s">
        <v>30</v>
      </c>
      <c r="B680" s="78"/>
      <c r="C680" s="16">
        <v>46178</v>
      </c>
      <c r="D680">
        <v>1428.08</v>
      </c>
    </row>
    <row r="681" spans="1:4" x14ac:dyDescent="0.3">
      <c r="A681" s="78" t="s">
        <v>31</v>
      </c>
      <c r="B681" s="78"/>
      <c r="C681" s="16">
        <v>46178</v>
      </c>
      <c r="D681">
        <v>25789.969999999961</v>
      </c>
    </row>
    <row r="682" spans="1:4" x14ac:dyDescent="0.3">
      <c r="A682" s="78" t="s">
        <v>32</v>
      </c>
      <c r="B682" s="78"/>
      <c r="C682" s="16">
        <v>46178</v>
      </c>
      <c r="D682">
        <v>5321.4300000000021</v>
      </c>
    </row>
    <row r="683" spans="1:4" x14ac:dyDescent="0.3">
      <c r="A683" s="78" t="s">
        <v>33</v>
      </c>
      <c r="B683" s="78"/>
      <c r="C683" s="16">
        <v>46178</v>
      </c>
      <c r="D683">
        <v>24833.23</v>
      </c>
    </row>
    <row r="684" spans="1:4" x14ac:dyDescent="0.3">
      <c r="A684" s="78" t="s">
        <v>34</v>
      </c>
      <c r="B684" s="78"/>
      <c r="C684" s="16">
        <v>46178</v>
      </c>
      <c r="D684">
        <v>345</v>
      </c>
    </row>
    <row r="685" spans="1:4" x14ac:dyDescent="0.3">
      <c r="A685" s="78" t="s">
        <v>35</v>
      </c>
      <c r="B685" s="78"/>
      <c r="C685" s="16">
        <v>46178</v>
      </c>
      <c r="D685">
        <v>7716.0900000000038</v>
      </c>
    </row>
    <row r="686" spans="1:4" x14ac:dyDescent="0.3">
      <c r="A686" s="78" t="s">
        <v>17</v>
      </c>
      <c r="B686" s="78"/>
      <c r="C686" s="16">
        <v>46179</v>
      </c>
      <c r="D686">
        <v>814727.47000000009</v>
      </c>
    </row>
    <row r="687" spans="1:4" x14ac:dyDescent="0.3">
      <c r="A687" s="78" t="s">
        <v>18</v>
      </c>
      <c r="B687" s="78"/>
      <c r="C687" s="16">
        <v>46179</v>
      </c>
      <c r="D687">
        <v>69376.390000000174</v>
      </c>
    </row>
    <row r="688" spans="1:4" x14ac:dyDescent="0.3">
      <c r="A688" s="78" t="s">
        <v>19</v>
      </c>
      <c r="B688" s="78"/>
      <c r="C688" s="16">
        <v>46179</v>
      </c>
      <c r="D688">
        <v>1669.89</v>
      </c>
    </row>
    <row r="689" spans="1:4" x14ac:dyDescent="0.3">
      <c r="A689" s="78" t="s">
        <v>20</v>
      </c>
      <c r="B689" s="78"/>
      <c r="C689" s="16">
        <v>46179</v>
      </c>
      <c r="D689">
        <v>560584.99999999988</v>
      </c>
    </row>
    <row r="690" spans="1:4" x14ac:dyDescent="0.3">
      <c r="A690" s="78" t="s">
        <v>21</v>
      </c>
      <c r="B690" s="78"/>
      <c r="C690" s="16">
        <v>46179</v>
      </c>
      <c r="D690">
        <v>1178270.4399999992</v>
      </c>
    </row>
    <row r="691" spans="1:4" x14ac:dyDescent="0.3">
      <c r="A691" s="78" t="s">
        <v>22</v>
      </c>
      <c r="B691" s="78"/>
      <c r="C691" s="16">
        <v>46179</v>
      </c>
      <c r="D691">
        <v>116496.38</v>
      </c>
    </row>
    <row r="692" spans="1:4" x14ac:dyDescent="0.3">
      <c r="A692" s="78" t="s">
        <v>23</v>
      </c>
      <c r="B692" s="78"/>
      <c r="C692" s="16">
        <v>46179</v>
      </c>
      <c r="D692">
        <v>88090.37</v>
      </c>
    </row>
    <row r="693" spans="1:4" x14ac:dyDescent="0.3">
      <c r="A693" s="78" t="s">
        <v>24</v>
      </c>
      <c r="B693" s="78"/>
      <c r="C693" s="16">
        <v>46179</v>
      </c>
      <c r="D693">
        <v>511.15999999999985</v>
      </c>
    </row>
    <row r="694" spans="1:4" x14ac:dyDescent="0.3">
      <c r="A694" s="78" t="s">
        <v>25</v>
      </c>
      <c r="B694" s="78"/>
      <c r="C694" s="16">
        <v>46179</v>
      </c>
      <c r="D694">
        <v>84.35</v>
      </c>
    </row>
    <row r="695" spans="1:4" x14ac:dyDescent="0.3">
      <c r="A695" s="78" t="s">
        <v>26</v>
      </c>
      <c r="B695" s="78"/>
      <c r="C695" s="16">
        <v>46179</v>
      </c>
      <c r="D695">
        <v>2237.77</v>
      </c>
    </row>
    <row r="696" spans="1:4" x14ac:dyDescent="0.3">
      <c r="A696" s="78" t="s">
        <v>27</v>
      </c>
      <c r="B696" s="78"/>
      <c r="C696" s="16">
        <v>46179</v>
      </c>
      <c r="D696">
        <v>3349.94</v>
      </c>
    </row>
    <row r="697" spans="1:4" x14ac:dyDescent="0.3">
      <c r="A697" s="78" t="s">
        <v>28</v>
      </c>
      <c r="B697" s="78"/>
      <c r="C697" s="16">
        <v>46179</v>
      </c>
      <c r="D697">
        <v>1968.99</v>
      </c>
    </row>
    <row r="698" spans="1:4" x14ac:dyDescent="0.3">
      <c r="A698" s="78" t="s">
        <v>29</v>
      </c>
      <c r="B698" s="78"/>
      <c r="C698" s="16">
        <v>46179</v>
      </c>
      <c r="D698">
        <v>382.69000000000005</v>
      </c>
    </row>
    <row r="699" spans="1:4" x14ac:dyDescent="0.3">
      <c r="A699" s="78" t="s">
        <v>30</v>
      </c>
      <c r="B699" s="78"/>
      <c r="C699" s="16">
        <v>46179</v>
      </c>
      <c r="D699">
        <v>1428.08</v>
      </c>
    </row>
    <row r="700" spans="1:4" x14ac:dyDescent="0.3">
      <c r="A700" s="78" t="s">
        <v>31</v>
      </c>
      <c r="B700" s="78"/>
      <c r="C700" s="16">
        <v>46179</v>
      </c>
      <c r="D700">
        <v>25789.969999999961</v>
      </c>
    </row>
    <row r="701" spans="1:4" x14ac:dyDescent="0.3">
      <c r="A701" s="78" t="s">
        <v>32</v>
      </c>
      <c r="B701" s="78"/>
      <c r="C701" s="16">
        <v>46179</v>
      </c>
      <c r="D701">
        <v>5321.4300000000021</v>
      </c>
    </row>
    <row r="702" spans="1:4" x14ac:dyDescent="0.3">
      <c r="A702" s="78" t="s">
        <v>33</v>
      </c>
      <c r="B702" s="78"/>
      <c r="C702" s="16">
        <v>46179</v>
      </c>
      <c r="D702">
        <v>24833.23</v>
      </c>
    </row>
    <row r="703" spans="1:4" x14ac:dyDescent="0.3">
      <c r="A703" s="78" t="s">
        <v>34</v>
      </c>
      <c r="B703" s="78"/>
      <c r="C703" s="16">
        <v>46179</v>
      </c>
      <c r="D703">
        <v>345</v>
      </c>
    </row>
    <row r="704" spans="1:4" x14ac:dyDescent="0.3">
      <c r="A704" s="78" t="s">
        <v>35</v>
      </c>
      <c r="B704" s="78"/>
      <c r="C704" s="16">
        <v>46179</v>
      </c>
      <c r="D704">
        <v>7716.0900000000038</v>
      </c>
    </row>
    <row r="705" spans="1:4" x14ac:dyDescent="0.3">
      <c r="A705" s="78" t="s">
        <v>17</v>
      </c>
      <c r="B705" s="78"/>
      <c r="C705" s="16">
        <v>46180</v>
      </c>
      <c r="D705">
        <v>814727.47000000009</v>
      </c>
    </row>
    <row r="706" spans="1:4" x14ac:dyDescent="0.3">
      <c r="A706" s="78" t="s">
        <v>18</v>
      </c>
      <c r="B706" s="78"/>
      <c r="C706" s="16">
        <v>46180</v>
      </c>
      <c r="D706">
        <v>69376.390000000174</v>
      </c>
    </row>
    <row r="707" spans="1:4" x14ac:dyDescent="0.3">
      <c r="A707" s="78" t="s">
        <v>19</v>
      </c>
      <c r="B707" s="78"/>
      <c r="C707" s="16">
        <v>46180</v>
      </c>
      <c r="D707">
        <v>1669.89</v>
      </c>
    </row>
    <row r="708" spans="1:4" x14ac:dyDescent="0.3">
      <c r="A708" s="78" t="s">
        <v>20</v>
      </c>
      <c r="B708" s="78"/>
      <c r="C708" s="16">
        <v>46180</v>
      </c>
      <c r="D708">
        <v>560584.99999999988</v>
      </c>
    </row>
    <row r="709" spans="1:4" x14ac:dyDescent="0.3">
      <c r="A709" s="78" t="s">
        <v>21</v>
      </c>
      <c r="B709" s="78"/>
      <c r="C709" s="16">
        <v>46180</v>
      </c>
      <c r="D709">
        <v>1178270.4399999992</v>
      </c>
    </row>
    <row r="710" spans="1:4" x14ac:dyDescent="0.3">
      <c r="A710" s="78" t="s">
        <v>22</v>
      </c>
      <c r="B710" s="78"/>
      <c r="C710" s="16">
        <v>46180</v>
      </c>
      <c r="D710">
        <v>116496.38</v>
      </c>
    </row>
    <row r="711" spans="1:4" x14ac:dyDescent="0.3">
      <c r="A711" s="78" t="s">
        <v>23</v>
      </c>
      <c r="B711" s="78"/>
      <c r="C711" s="16">
        <v>46180</v>
      </c>
      <c r="D711">
        <v>88090.37</v>
      </c>
    </row>
    <row r="712" spans="1:4" x14ac:dyDescent="0.3">
      <c r="A712" s="78" t="s">
        <v>24</v>
      </c>
      <c r="B712" s="78"/>
      <c r="C712" s="16">
        <v>46180</v>
      </c>
      <c r="D712">
        <v>511.15999999999985</v>
      </c>
    </row>
    <row r="713" spans="1:4" x14ac:dyDescent="0.3">
      <c r="A713" s="78" t="s">
        <v>25</v>
      </c>
      <c r="B713" s="78"/>
      <c r="C713" s="16">
        <v>46180</v>
      </c>
      <c r="D713">
        <v>84.35</v>
      </c>
    </row>
    <row r="714" spans="1:4" x14ac:dyDescent="0.3">
      <c r="A714" s="78" t="s">
        <v>26</v>
      </c>
      <c r="B714" s="78"/>
      <c r="C714" s="16">
        <v>46180</v>
      </c>
      <c r="D714">
        <v>2237.77</v>
      </c>
    </row>
    <row r="715" spans="1:4" x14ac:dyDescent="0.3">
      <c r="A715" s="78" t="s">
        <v>27</v>
      </c>
      <c r="B715" s="78"/>
      <c r="C715" s="16">
        <v>46180</v>
      </c>
      <c r="D715">
        <v>3349.94</v>
      </c>
    </row>
    <row r="716" spans="1:4" x14ac:dyDescent="0.3">
      <c r="A716" s="78" t="s">
        <v>28</v>
      </c>
      <c r="B716" s="78"/>
      <c r="C716" s="16">
        <v>46180</v>
      </c>
      <c r="D716">
        <v>1968.99</v>
      </c>
    </row>
    <row r="717" spans="1:4" x14ac:dyDescent="0.3">
      <c r="A717" s="78" t="s">
        <v>29</v>
      </c>
      <c r="B717" s="78"/>
      <c r="C717" s="16">
        <v>46180</v>
      </c>
      <c r="D717">
        <v>382.69000000000005</v>
      </c>
    </row>
    <row r="718" spans="1:4" x14ac:dyDescent="0.3">
      <c r="A718" s="78" t="s">
        <v>30</v>
      </c>
      <c r="B718" s="78"/>
      <c r="C718" s="16">
        <v>46180</v>
      </c>
      <c r="D718">
        <v>1428.08</v>
      </c>
    </row>
    <row r="719" spans="1:4" x14ac:dyDescent="0.3">
      <c r="A719" s="78" t="s">
        <v>31</v>
      </c>
      <c r="B719" s="78"/>
      <c r="C719" s="16">
        <v>46180</v>
      </c>
      <c r="D719">
        <v>25789.969999999961</v>
      </c>
    </row>
    <row r="720" spans="1:4" x14ac:dyDescent="0.3">
      <c r="A720" s="78" t="s">
        <v>32</v>
      </c>
      <c r="B720" s="78"/>
      <c r="C720" s="16">
        <v>46180</v>
      </c>
      <c r="D720">
        <v>5321.4300000000021</v>
      </c>
    </row>
    <row r="721" spans="1:4" x14ac:dyDescent="0.3">
      <c r="A721" s="78" t="s">
        <v>33</v>
      </c>
      <c r="B721" s="78"/>
      <c r="C721" s="16">
        <v>46180</v>
      </c>
      <c r="D721">
        <v>24833.23</v>
      </c>
    </row>
    <row r="722" spans="1:4" x14ac:dyDescent="0.3">
      <c r="A722" s="78" t="s">
        <v>34</v>
      </c>
      <c r="B722" s="78"/>
      <c r="C722" s="16">
        <v>46180</v>
      </c>
      <c r="D722">
        <v>345</v>
      </c>
    </row>
    <row r="723" spans="1:4" x14ac:dyDescent="0.3">
      <c r="A723" s="78" t="s">
        <v>35</v>
      </c>
      <c r="B723" s="78"/>
      <c r="C723" s="16">
        <v>46180</v>
      </c>
      <c r="D723">
        <v>7716.0900000000038</v>
      </c>
    </row>
    <row r="724" spans="1:4" x14ac:dyDescent="0.3">
      <c r="A724" s="78" t="s">
        <v>17</v>
      </c>
      <c r="B724" s="78"/>
      <c r="C724" s="16">
        <v>46181</v>
      </c>
      <c r="D724">
        <v>814727.47000000009</v>
      </c>
    </row>
    <row r="725" spans="1:4" x14ac:dyDescent="0.3">
      <c r="A725" s="78" t="s">
        <v>18</v>
      </c>
      <c r="B725" s="78"/>
      <c r="C725" s="16">
        <v>46181</v>
      </c>
      <c r="D725">
        <v>69376.390000000174</v>
      </c>
    </row>
    <row r="726" spans="1:4" x14ac:dyDescent="0.3">
      <c r="A726" s="78" t="s">
        <v>19</v>
      </c>
      <c r="B726" s="78"/>
      <c r="C726" s="16">
        <v>46181</v>
      </c>
      <c r="D726">
        <v>1669.89</v>
      </c>
    </row>
    <row r="727" spans="1:4" x14ac:dyDescent="0.3">
      <c r="A727" s="78" t="s">
        <v>20</v>
      </c>
      <c r="B727" s="78"/>
      <c r="C727" s="16">
        <v>46181</v>
      </c>
      <c r="D727">
        <v>560584.99999999988</v>
      </c>
    </row>
    <row r="728" spans="1:4" x14ac:dyDescent="0.3">
      <c r="A728" s="78" t="s">
        <v>21</v>
      </c>
      <c r="B728" s="78"/>
      <c r="C728" s="16">
        <v>46181</v>
      </c>
      <c r="D728">
        <v>1178270.4399999992</v>
      </c>
    </row>
    <row r="729" spans="1:4" x14ac:dyDescent="0.3">
      <c r="A729" s="78" t="s">
        <v>22</v>
      </c>
      <c r="B729" s="78"/>
      <c r="C729" s="16">
        <v>46181</v>
      </c>
      <c r="D729">
        <v>116496.38</v>
      </c>
    </row>
    <row r="730" spans="1:4" x14ac:dyDescent="0.3">
      <c r="A730" s="78" t="s">
        <v>23</v>
      </c>
      <c r="B730" s="78"/>
      <c r="C730" s="16">
        <v>46181</v>
      </c>
      <c r="D730">
        <v>88090.37</v>
      </c>
    </row>
    <row r="731" spans="1:4" x14ac:dyDescent="0.3">
      <c r="A731" s="78" t="s">
        <v>24</v>
      </c>
      <c r="B731" s="78"/>
      <c r="C731" s="16">
        <v>46181</v>
      </c>
      <c r="D731">
        <v>511.15999999999985</v>
      </c>
    </row>
    <row r="732" spans="1:4" x14ac:dyDescent="0.3">
      <c r="A732" s="78" t="s">
        <v>25</v>
      </c>
      <c r="B732" s="78"/>
      <c r="C732" s="16">
        <v>46181</v>
      </c>
      <c r="D732">
        <v>84.35</v>
      </c>
    </row>
    <row r="733" spans="1:4" x14ac:dyDescent="0.3">
      <c r="A733" s="78" t="s">
        <v>26</v>
      </c>
      <c r="B733" s="78"/>
      <c r="C733" s="16">
        <v>46181</v>
      </c>
      <c r="D733">
        <v>2237.77</v>
      </c>
    </row>
    <row r="734" spans="1:4" x14ac:dyDescent="0.3">
      <c r="A734" s="78" t="s">
        <v>27</v>
      </c>
      <c r="B734" s="78"/>
      <c r="C734" s="16">
        <v>46181</v>
      </c>
      <c r="D734">
        <v>3349.94</v>
      </c>
    </row>
    <row r="735" spans="1:4" x14ac:dyDescent="0.3">
      <c r="A735" s="78" t="s">
        <v>28</v>
      </c>
      <c r="B735" s="78"/>
      <c r="C735" s="16">
        <v>46181</v>
      </c>
      <c r="D735">
        <v>1968.99</v>
      </c>
    </row>
    <row r="736" spans="1:4" x14ac:dyDescent="0.3">
      <c r="A736" s="78" t="s">
        <v>29</v>
      </c>
      <c r="B736" s="78"/>
      <c r="C736" s="16">
        <v>46181</v>
      </c>
      <c r="D736">
        <v>382.69000000000005</v>
      </c>
    </row>
    <row r="737" spans="1:4" x14ac:dyDescent="0.3">
      <c r="A737" s="78" t="s">
        <v>30</v>
      </c>
      <c r="B737" s="78"/>
      <c r="C737" s="16">
        <v>46181</v>
      </c>
      <c r="D737">
        <v>1428.08</v>
      </c>
    </row>
    <row r="738" spans="1:4" x14ac:dyDescent="0.3">
      <c r="A738" s="78" t="s">
        <v>31</v>
      </c>
      <c r="B738" s="78"/>
      <c r="C738" s="16">
        <v>46181</v>
      </c>
      <c r="D738">
        <v>25789.969999999961</v>
      </c>
    </row>
    <row r="739" spans="1:4" x14ac:dyDescent="0.3">
      <c r="A739" s="78" t="s">
        <v>32</v>
      </c>
      <c r="B739" s="78"/>
      <c r="C739" s="16">
        <v>46181</v>
      </c>
      <c r="D739">
        <v>5321.4300000000021</v>
      </c>
    </row>
    <row r="740" spans="1:4" x14ac:dyDescent="0.3">
      <c r="A740" s="78" t="s">
        <v>33</v>
      </c>
      <c r="B740" s="78"/>
      <c r="C740" s="16">
        <v>46181</v>
      </c>
      <c r="D740">
        <v>24833.23</v>
      </c>
    </row>
    <row r="741" spans="1:4" x14ac:dyDescent="0.3">
      <c r="A741" s="78" t="s">
        <v>34</v>
      </c>
      <c r="B741" s="78"/>
      <c r="C741" s="16">
        <v>46181</v>
      </c>
      <c r="D741">
        <v>345</v>
      </c>
    </row>
    <row r="742" spans="1:4" x14ac:dyDescent="0.3">
      <c r="A742" s="78" t="s">
        <v>35</v>
      </c>
      <c r="B742" s="78"/>
      <c r="C742" s="16">
        <v>46181</v>
      </c>
      <c r="D742">
        <v>6744.5000000000036</v>
      </c>
    </row>
    <row r="743" spans="1:4" x14ac:dyDescent="0.3">
      <c r="A743" s="78" t="s">
        <v>17</v>
      </c>
      <c r="B743" s="78"/>
      <c r="C743" s="16">
        <v>46182</v>
      </c>
      <c r="D743">
        <v>928714.62000000011</v>
      </c>
    </row>
    <row r="744" spans="1:4" x14ac:dyDescent="0.3">
      <c r="A744" s="78" t="s">
        <v>18</v>
      </c>
      <c r="B744" s="78"/>
      <c r="C744" s="16">
        <v>46182</v>
      </c>
      <c r="D744">
        <v>69376.390000000174</v>
      </c>
    </row>
    <row r="745" spans="1:4" x14ac:dyDescent="0.3">
      <c r="A745" s="78" t="s">
        <v>19</v>
      </c>
      <c r="B745" s="78"/>
      <c r="C745" s="16">
        <v>46182</v>
      </c>
      <c r="D745">
        <v>1669.89</v>
      </c>
    </row>
    <row r="746" spans="1:4" x14ac:dyDescent="0.3">
      <c r="A746" s="78" t="s">
        <v>20</v>
      </c>
      <c r="B746" s="78"/>
      <c r="C746" s="16">
        <v>46182</v>
      </c>
      <c r="D746">
        <v>560584.99999999988</v>
      </c>
    </row>
    <row r="747" spans="1:4" x14ac:dyDescent="0.3">
      <c r="A747" s="78" t="s">
        <v>21</v>
      </c>
      <c r="B747" s="78"/>
      <c r="C747" s="16">
        <v>46182</v>
      </c>
      <c r="D747">
        <v>1174516.1699999992</v>
      </c>
    </row>
    <row r="748" spans="1:4" x14ac:dyDescent="0.3">
      <c r="A748" s="78" t="s">
        <v>22</v>
      </c>
      <c r="B748" s="78"/>
      <c r="C748" s="16">
        <v>46182</v>
      </c>
      <c r="D748">
        <v>116496.38</v>
      </c>
    </row>
    <row r="749" spans="1:4" x14ac:dyDescent="0.3">
      <c r="A749" s="78" t="s">
        <v>23</v>
      </c>
      <c r="B749" s="78"/>
      <c r="C749" s="16">
        <v>46182</v>
      </c>
      <c r="D749">
        <v>88090.37</v>
      </c>
    </row>
    <row r="750" spans="1:4" x14ac:dyDescent="0.3">
      <c r="A750" s="78" t="s">
        <v>24</v>
      </c>
      <c r="B750" s="78"/>
      <c r="C750" s="16">
        <v>46182</v>
      </c>
      <c r="D750">
        <v>511.15999999999985</v>
      </c>
    </row>
    <row r="751" spans="1:4" x14ac:dyDescent="0.3">
      <c r="A751" s="78" t="s">
        <v>25</v>
      </c>
      <c r="B751" s="78"/>
      <c r="C751" s="16">
        <v>46182</v>
      </c>
      <c r="D751">
        <v>84.35</v>
      </c>
    </row>
    <row r="752" spans="1:4" x14ac:dyDescent="0.3">
      <c r="A752" s="78" t="s">
        <v>26</v>
      </c>
      <c r="B752" s="78"/>
      <c r="C752" s="16">
        <v>46182</v>
      </c>
      <c r="D752">
        <v>2237.77</v>
      </c>
    </row>
    <row r="753" spans="1:4" x14ac:dyDescent="0.3">
      <c r="A753" s="78" t="s">
        <v>27</v>
      </c>
      <c r="B753" s="78"/>
      <c r="C753" s="16">
        <v>46182</v>
      </c>
      <c r="D753">
        <v>3349.94</v>
      </c>
    </row>
    <row r="754" spans="1:4" x14ac:dyDescent="0.3">
      <c r="A754" s="78" t="s">
        <v>28</v>
      </c>
      <c r="B754" s="78"/>
      <c r="C754" s="16">
        <v>46182</v>
      </c>
      <c r="D754">
        <v>1968.99</v>
      </c>
    </row>
    <row r="755" spans="1:4" x14ac:dyDescent="0.3">
      <c r="A755" s="78" t="s">
        <v>29</v>
      </c>
      <c r="B755" s="78"/>
      <c r="C755" s="16">
        <v>46182</v>
      </c>
      <c r="D755">
        <v>382.69000000000005</v>
      </c>
    </row>
    <row r="756" spans="1:4" x14ac:dyDescent="0.3">
      <c r="A756" s="78" t="s">
        <v>30</v>
      </c>
      <c r="B756" s="78"/>
      <c r="C756" s="16">
        <v>46182</v>
      </c>
      <c r="D756">
        <v>1428.08</v>
      </c>
    </row>
    <row r="757" spans="1:4" x14ac:dyDescent="0.3">
      <c r="A757" s="78" t="s">
        <v>31</v>
      </c>
      <c r="B757" s="78"/>
      <c r="C757" s="16">
        <v>46182</v>
      </c>
      <c r="D757">
        <v>25789.969999999961</v>
      </c>
    </row>
    <row r="758" spans="1:4" x14ac:dyDescent="0.3">
      <c r="A758" s="78" t="s">
        <v>32</v>
      </c>
      <c r="B758" s="78"/>
      <c r="C758" s="16">
        <v>46182</v>
      </c>
      <c r="D758">
        <v>5321.4300000000021</v>
      </c>
    </row>
    <row r="759" spans="1:4" x14ac:dyDescent="0.3">
      <c r="A759" s="78" t="s">
        <v>33</v>
      </c>
      <c r="B759" s="78"/>
      <c r="C759" s="16">
        <v>46182</v>
      </c>
      <c r="D759">
        <v>24833.23</v>
      </c>
    </row>
    <row r="760" spans="1:4" x14ac:dyDescent="0.3">
      <c r="A760" s="78" t="s">
        <v>34</v>
      </c>
      <c r="B760" s="78"/>
      <c r="C760" s="16">
        <v>46182</v>
      </c>
      <c r="D760">
        <v>345</v>
      </c>
    </row>
    <row r="761" spans="1:4" x14ac:dyDescent="0.3">
      <c r="A761" s="78" t="s">
        <v>35</v>
      </c>
      <c r="B761" s="78"/>
      <c r="C761" s="16">
        <v>46182</v>
      </c>
      <c r="D761">
        <v>6583.0800000000036</v>
      </c>
    </row>
    <row r="762" spans="1:4" x14ac:dyDescent="0.3">
      <c r="A762" s="78" t="s">
        <v>17</v>
      </c>
      <c r="B762" s="78"/>
      <c r="C762" s="16">
        <v>46183</v>
      </c>
      <c r="D762">
        <v>2370079.2799999998</v>
      </c>
    </row>
    <row r="763" spans="1:4" x14ac:dyDescent="0.3">
      <c r="A763" s="78" t="s">
        <v>18</v>
      </c>
      <c r="B763" s="78"/>
      <c r="C763" s="16">
        <v>46183</v>
      </c>
      <c r="D763">
        <v>69376.390000000174</v>
      </c>
    </row>
    <row r="764" spans="1:4" x14ac:dyDescent="0.3">
      <c r="A764" s="78" t="s">
        <v>19</v>
      </c>
      <c r="B764" s="78"/>
      <c r="C764" s="16">
        <v>46183</v>
      </c>
      <c r="D764">
        <v>1669.89</v>
      </c>
    </row>
    <row r="765" spans="1:4" x14ac:dyDescent="0.3">
      <c r="A765" s="78" t="s">
        <v>20</v>
      </c>
      <c r="B765" s="78"/>
      <c r="C765" s="16">
        <v>46183</v>
      </c>
      <c r="D765">
        <v>575346.56999999983</v>
      </c>
    </row>
    <row r="766" spans="1:4" x14ac:dyDescent="0.3">
      <c r="A766" s="78" t="s">
        <v>21</v>
      </c>
      <c r="B766" s="78"/>
      <c r="C766" s="16">
        <v>46183</v>
      </c>
      <c r="D766">
        <v>1174516.1699999992</v>
      </c>
    </row>
    <row r="767" spans="1:4" x14ac:dyDescent="0.3">
      <c r="A767" s="78" t="s">
        <v>22</v>
      </c>
      <c r="B767" s="78"/>
      <c r="C767" s="16">
        <v>46183</v>
      </c>
      <c r="D767">
        <v>116496.38</v>
      </c>
    </row>
    <row r="768" spans="1:4" x14ac:dyDescent="0.3">
      <c r="A768" s="78" t="s">
        <v>23</v>
      </c>
      <c r="B768" s="78"/>
      <c r="C768" s="16">
        <v>46183</v>
      </c>
      <c r="D768">
        <v>88090.37</v>
      </c>
    </row>
    <row r="769" spans="1:4" x14ac:dyDescent="0.3">
      <c r="A769" s="78" t="s">
        <v>24</v>
      </c>
      <c r="B769" s="78"/>
      <c r="C769" s="16">
        <v>46183</v>
      </c>
      <c r="D769">
        <v>511.15999999999985</v>
      </c>
    </row>
    <row r="770" spans="1:4" x14ac:dyDescent="0.3">
      <c r="A770" s="78" t="s">
        <v>25</v>
      </c>
      <c r="B770" s="78"/>
      <c r="C770" s="16">
        <v>46183</v>
      </c>
      <c r="D770">
        <v>84.35</v>
      </c>
    </row>
    <row r="771" spans="1:4" x14ac:dyDescent="0.3">
      <c r="A771" s="78" t="s">
        <v>26</v>
      </c>
      <c r="B771" s="78"/>
      <c r="C771" s="16">
        <v>46183</v>
      </c>
      <c r="D771">
        <v>2237.77</v>
      </c>
    </row>
    <row r="772" spans="1:4" x14ac:dyDescent="0.3">
      <c r="A772" s="78" t="s">
        <v>27</v>
      </c>
      <c r="B772" s="78"/>
      <c r="C772" s="16">
        <v>46183</v>
      </c>
      <c r="D772">
        <v>3349.94</v>
      </c>
    </row>
    <row r="773" spans="1:4" x14ac:dyDescent="0.3">
      <c r="A773" s="78" t="s">
        <v>28</v>
      </c>
      <c r="B773" s="78"/>
      <c r="C773" s="16">
        <v>46183</v>
      </c>
      <c r="D773">
        <v>1968.99</v>
      </c>
    </row>
    <row r="774" spans="1:4" x14ac:dyDescent="0.3">
      <c r="A774" s="78" t="s">
        <v>29</v>
      </c>
      <c r="B774" s="78"/>
      <c r="C774" s="16">
        <v>46183</v>
      </c>
      <c r="D774">
        <v>382.69000000000005</v>
      </c>
    </row>
    <row r="775" spans="1:4" x14ac:dyDescent="0.3">
      <c r="A775" s="78" t="s">
        <v>30</v>
      </c>
      <c r="B775" s="78"/>
      <c r="C775" s="16">
        <v>46183</v>
      </c>
      <c r="D775">
        <v>1428.08</v>
      </c>
    </row>
    <row r="776" spans="1:4" x14ac:dyDescent="0.3">
      <c r="A776" s="78" t="s">
        <v>31</v>
      </c>
      <c r="B776" s="78"/>
      <c r="C776" s="16">
        <v>46183</v>
      </c>
      <c r="D776">
        <v>25789.969999999961</v>
      </c>
    </row>
    <row r="777" spans="1:4" x14ac:dyDescent="0.3">
      <c r="A777" s="78" t="s">
        <v>32</v>
      </c>
      <c r="B777" s="78"/>
      <c r="C777" s="16">
        <v>46183</v>
      </c>
      <c r="D777">
        <v>5321.4300000000021</v>
      </c>
    </row>
    <row r="778" spans="1:4" x14ac:dyDescent="0.3">
      <c r="A778" s="78" t="s">
        <v>33</v>
      </c>
      <c r="B778" s="78"/>
      <c r="C778" s="16">
        <v>46183</v>
      </c>
      <c r="D778">
        <v>24743.98</v>
      </c>
    </row>
    <row r="779" spans="1:4" x14ac:dyDescent="0.3">
      <c r="A779" s="78" t="s">
        <v>34</v>
      </c>
      <c r="B779" s="78"/>
      <c r="C779" s="16">
        <v>46183</v>
      </c>
      <c r="D779">
        <v>345</v>
      </c>
    </row>
    <row r="780" spans="1:4" x14ac:dyDescent="0.3">
      <c r="A780" s="78" t="s">
        <v>35</v>
      </c>
      <c r="B780" s="78"/>
      <c r="C780" s="16">
        <v>46183</v>
      </c>
      <c r="D780">
        <v>6583.0800000000036</v>
      </c>
    </row>
    <row r="781" spans="1:4" x14ac:dyDescent="0.3">
      <c r="A781" s="78" t="s">
        <v>17</v>
      </c>
      <c r="B781" s="78"/>
      <c r="C781" s="16">
        <v>46184</v>
      </c>
      <c r="D781">
        <v>1919118.1700000002</v>
      </c>
    </row>
    <row r="782" spans="1:4" x14ac:dyDescent="0.3">
      <c r="A782" s="78" t="s">
        <v>18</v>
      </c>
      <c r="B782" s="78"/>
      <c r="C782" s="16">
        <v>46184</v>
      </c>
      <c r="D782">
        <v>69376.390000000174</v>
      </c>
    </row>
    <row r="783" spans="1:4" x14ac:dyDescent="0.3">
      <c r="A783" s="78" t="s">
        <v>19</v>
      </c>
      <c r="B783" s="78"/>
      <c r="C783" s="16">
        <v>46184</v>
      </c>
      <c r="D783">
        <v>1669.89</v>
      </c>
    </row>
    <row r="784" spans="1:4" x14ac:dyDescent="0.3">
      <c r="A784" s="78" t="s">
        <v>20</v>
      </c>
      <c r="B784" s="78"/>
      <c r="C784" s="16">
        <v>46184</v>
      </c>
      <c r="D784">
        <v>395665.96999999986</v>
      </c>
    </row>
    <row r="785" spans="1:4" x14ac:dyDescent="0.3">
      <c r="A785" s="78" t="s">
        <v>21</v>
      </c>
      <c r="B785" s="78"/>
      <c r="C785" s="16">
        <v>46184</v>
      </c>
      <c r="D785">
        <v>808973.94999999925</v>
      </c>
    </row>
    <row r="786" spans="1:4" x14ac:dyDescent="0.3">
      <c r="A786" s="78" t="s">
        <v>22</v>
      </c>
      <c r="B786" s="78"/>
      <c r="C786" s="16">
        <v>46184</v>
      </c>
      <c r="D786">
        <v>116496.38</v>
      </c>
    </row>
    <row r="787" spans="1:4" x14ac:dyDescent="0.3">
      <c r="A787" s="78" t="s">
        <v>23</v>
      </c>
      <c r="B787" s="78"/>
      <c r="C787" s="16">
        <v>46184</v>
      </c>
      <c r="D787">
        <v>88090.37</v>
      </c>
    </row>
    <row r="788" spans="1:4" x14ac:dyDescent="0.3">
      <c r="A788" s="78" t="s">
        <v>24</v>
      </c>
      <c r="B788" s="78"/>
      <c r="C788" s="16">
        <v>46184</v>
      </c>
      <c r="D788">
        <v>511.15999999999985</v>
      </c>
    </row>
    <row r="789" spans="1:4" x14ac:dyDescent="0.3">
      <c r="A789" s="78" t="s">
        <v>25</v>
      </c>
      <c r="B789" s="78"/>
      <c r="C789" s="16">
        <v>46184</v>
      </c>
      <c r="D789">
        <v>84.35</v>
      </c>
    </row>
    <row r="790" spans="1:4" x14ac:dyDescent="0.3">
      <c r="A790" s="78" t="s">
        <v>26</v>
      </c>
      <c r="B790" s="78"/>
      <c r="C790" s="16">
        <v>46184</v>
      </c>
      <c r="D790">
        <v>2237.77</v>
      </c>
    </row>
    <row r="791" spans="1:4" x14ac:dyDescent="0.3">
      <c r="A791" s="78" t="s">
        <v>27</v>
      </c>
      <c r="B791" s="78"/>
      <c r="C791" s="16">
        <v>46184</v>
      </c>
      <c r="D791">
        <v>3349.94</v>
      </c>
    </row>
    <row r="792" spans="1:4" x14ac:dyDescent="0.3">
      <c r="A792" s="78" t="s">
        <v>28</v>
      </c>
      <c r="B792" s="78"/>
      <c r="C792" s="16">
        <v>46184</v>
      </c>
      <c r="D792">
        <v>1968.99</v>
      </c>
    </row>
    <row r="793" spans="1:4" x14ac:dyDescent="0.3">
      <c r="A793" s="78" t="s">
        <v>29</v>
      </c>
      <c r="B793" s="78"/>
      <c r="C793" s="16">
        <v>46184</v>
      </c>
      <c r="D793">
        <v>382.69000000000005</v>
      </c>
    </row>
    <row r="794" spans="1:4" x14ac:dyDescent="0.3">
      <c r="A794" s="78" t="s">
        <v>30</v>
      </c>
      <c r="B794" s="78"/>
      <c r="C794" s="16">
        <v>46184</v>
      </c>
      <c r="D794">
        <v>1428.08</v>
      </c>
    </row>
    <row r="795" spans="1:4" x14ac:dyDescent="0.3">
      <c r="A795" s="78" t="s">
        <v>31</v>
      </c>
      <c r="B795" s="78"/>
      <c r="C795" s="16">
        <v>46184</v>
      </c>
      <c r="D795">
        <v>25789.969999999961</v>
      </c>
    </row>
    <row r="796" spans="1:4" x14ac:dyDescent="0.3">
      <c r="A796" s="78" t="s">
        <v>32</v>
      </c>
      <c r="B796" s="78"/>
      <c r="C796" s="16">
        <v>46184</v>
      </c>
      <c r="D796">
        <v>5321.4300000000021</v>
      </c>
    </row>
    <row r="797" spans="1:4" x14ac:dyDescent="0.3">
      <c r="A797" s="78" t="s">
        <v>33</v>
      </c>
      <c r="B797" s="78"/>
      <c r="C797" s="16">
        <v>46184</v>
      </c>
      <c r="D797">
        <v>24743.98</v>
      </c>
    </row>
    <row r="798" spans="1:4" x14ac:dyDescent="0.3">
      <c r="A798" s="78" t="s">
        <v>34</v>
      </c>
      <c r="B798" s="78"/>
      <c r="C798" s="16">
        <v>46184</v>
      </c>
      <c r="D798">
        <v>345</v>
      </c>
    </row>
    <row r="799" spans="1:4" x14ac:dyDescent="0.3">
      <c r="A799" s="78" t="s">
        <v>35</v>
      </c>
      <c r="B799" s="78"/>
      <c r="C799" s="16">
        <v>46184</v>
      </c>
      <c r="D799">
        <v>54068.08</v>
      </c>
    </row>
    <row r="800" spans="1:4" x14ac:dyDescent="0.3">
      <c r="A800" s="78" t="s">
        <v>17</v>
      </c>
      <c r="B800" s="78"/>
      <c r="C800" s="16">
        <v>46185</v>
      </c>
      <c r="D800">
        <v>1919118.1700000002</v>
      </c>
    </row>
    <row r="801" spans="1:4" x14ac:dyDescent="0.3">
      <c r="A801" s="78" t="s">
        <v>18</v>
      </c>
      <c r="B801" s="78"/>
      <c r="C801" s="16">
        <v>46185</v>
      </c>
      <c r="D801">
        <v>69376.390000000174</v>
      </c>
    </row>
    <row r="802" spans="1:4" x14ac:dyDescent="0.3">
      <c r="A802" s="78" t="s">
        <v>19</v>
      </c>
      <c r="B802" s="78"/>
      <c r="C802" s="16">
        <v>46185</v>
      </c>
      <c r="D802">
        <v>1669.89</v>
      </c>
    </row>
    <row r="803" spans="1:4" x14ac:dyDescent="0.3">
      <c r="A803" s="78" t="s">
        <v>20</v>
      </c>
      <c r="B803" s="78"/>
      <c r="C803" s="16">
        <v>46185</v>
      </c>
      <c r="D803">
        <v>395665.96999999986</v>
      </c>
    </row>
    <row r="804" spans="1:4" x14ac:dyDescent="0.3">
      <c r="A804" s="78" t="s">
        <v>21</v>
      </c>
      <c r="B804" s="78"/>
      <c r="C804" s="16">
        <v>46185</v>
      </c>
      <c r="D804">
        <v>3777590.9499999997</v>
      </c>
    </row>
    <row r="805" spans="1:4" x14ac:dyDescent="0.3">
      <c r="A805" s="78" t="s">
        <v>22</v>
      </c>
      <c r="B805" s="78"/>
      <c r="C805" s="16">
        <v>46185</v>
      </c>
      <c r="D805">
        <v>116496.38</v>
      </c>
    </row>
    <row r="806" spans="1:4" x14ac:dyDescent="0.3">
      <c r="A806" s="78" t="s">
        <v>23</v>
      </c>
      <c r="B806" s="78"/>
      <c r="C806" s="16">
        <v>46185</v>
      </c>
      <c r="D806">
        <v>88090.37</v>
      </c>
    </row>
    <row r="807" spans="1:4" x14ac:dyDescent="0.3">
      <c r="A807" s="78" t="s">
        <v>24</v>
      </c>
      <c r="B807" s="78"/>
      <c r="C807" s="16">
        <v>46185</v>
      </c>
      <c r="D807">
        <v>511.15999999999985</v>
      </c>
    </row>
    <row r="808" spans="1:4" x14ac:dyDescent="0.3">
      <c r="A808" s="78" t="s">
        <v>25</v>
      </c>
      <c r="B808" s="78"/>
      <c r="C808" s="16">
        <v>46185</v>
      </c>
      <c r="D808">
        <v>84.35</v>
      </c>
    </row>
    <row r="809" spans="1:4" x14ac:dyDescent="0.3">
      <c r="A809" s="78" t="s">
        <v>26</v>
      </c>
      <c r="B809" s="78"/>
      <c r="C809" s="16">
        <v>46185</v>
      </c>
      <c r="D809">
        <v>2237.77</v>
      </c>
    </row>
    <row r="810" spans="1:4" x14ac:dyDescent="0.3">
      <c r="A810" s="78" t="s">
        <v>27</v>
      </c>
      <c r="B810" s="78"/>
      <c r="C810" s="16">
        <v>46185</v>
      </c>
      <c r="D810">
        <v>3349.94</v>
      </c>
    </row>
    <row r="811" spans="1:4" x14ac:dyDescent="0.3">
      <c r="A811" s="78" t="s">
        <v>28</v>
      </c>
      <c r="B811" s="78"/>
      <c r="C811" s="16">
        <v>46185</v>
      </c>
      <c r="D811">
        <v>1968.99</v>
      </c>
    </row>
    <row r="812" spans="1:4" x14ac:dyDescent="0.3">
      <c r="A812" s="78" t="s">
        <v>29</v>
      </c>
      <c r="B812" s="78"/>
      <c r="C812" s="16">
        <v>46185</v>
      </c>
      <c r="D812">
        <v>382.69000000000005</v>
      </c>
    </row>
    <row r="813" spans="1:4" x14ac:dyDescent="0.3">
      <c r="A813" s="78" t="s">
        <v>30</v>
      </c>
      <c r="B813" s="78"/>
      <c r="C813" s="16">
        <v>46185</v>
      </c>
      <c r="D813">
        <v>1428.08</v>
      </c>
    </row>
    <row r="814" spans="1:4" x14ac:dyDescent="0.3">
      <c r="A814" s="78" t="s">
        <v>31</v>
      </c>
      <c r="B814" s="78"/>
      <c r="C814" s="16">
        <v>46185</v>
      </c>
      <c r="D814">
        <v>27789.969999999961</v>
      </c>
    </row>
    <row r="815" spans="1:4" x14ac:dyDescent="0.3">
      <c r="A815" s="78" t="s">
        <v>32</v>
      </c>
      <c r="B815" s="78"/>
      <c r="C815" s="16">
        <v>46185</v>
      </c>
      <c r="D815">
        <v>5321.4300000000021</v>
      </c>
    </row>
    <row r="816" spans="1:4" x14ac:dyDescent="0.3">
      <c r="A816" s="78" t="s">
        <v>33</v>
      </c>
      <c r="B816" s="78"/>
      <c r="C816" s="16">
        <v>46185</v>
      </c>
      <c r="D816">
        <v>24484.85</v>
      </c>
    </row>
    <row r="817" spans="1:4" x14ac:dyDescent="0.3">
      <c r="A817" s="78" t="s">
        <v>34</v>
      </c>
      <c r="B817" s="78"/>
      <c r="C817" s="16">
        <v>46185</v>
      </c>
      <c r="D817">
        <v>345</v>
      </c>
    </row>
    <row r="818" spans="1:4" x14ac:dyDescent="0.3">
      <c r="A818" s="78" t="s">
        <v>35</v>
      </c>
      <c r="B818" s="78"/>
      <c r="C818" s="16">
        <v>46185</v>
      </c>
      <c r="D818">
        <v>54068.08</v>
      </c>
    </row>
    <row r="819" spans="1:4" x14ac:dyDescent="0.3">
      <c r="A819" s="78" t="s">
        <v>17</v>
      </c>
      <c r="B819" s="78"/>
      <c r="C819" s="16">
        <v>46186</v>
      </c>
      <c r="D819">
        <v>1919118.1700000002</v>
      </c>
    </row>
    <row r="820" spans="1:4" x14ac:dyDescent="0.3">
      <c r="A820" s="78" t="s">
        <v>18</v>
      </c>
      <c r="B820" s="78"/>
      <c r="C820" s="16">
        <v>46186</v>
      </c>
      <c r="D820">
        <v>69376.390000000174</v>
      </c>
    </row>
    <row r="821" spans="1:4" x14ac:dyDescent="0.3">
      <c r="A821" s="78" t="s">
        <v>19</v>
      </c>
      <c r="B821" s="78"/>
      <c r="C821" s="16">
        <v>46186</v>
      </c>
      <c r="D821">
        <v>1669.89</v>
      </c>
    </row>
    <row r="822" spans="1:4" x14ac:dyDescent="0.3">
      <c r="A822" s="78" t="s">
        <v>20</v>
      </c>
      <c r="B822" s="78"/>
      <c r="C822" s="16">
        <v>46186</v>
      </c>
      <c r="D822">
        <v>395665.96999999986</v>
      </c>
    </row>
    <row r="823" spans="1:4" x14ac:dyDescent="0.3">
      <c r="A823" s="78" t="s">
        <v>21</v>
      </c>
      <c r="B823" s="78"/>
      <c r="C823" s="16">
        <v>46186</v>
      </c>
      <c r="D823">
        <v>3777590.9499999997</v>
      </c>
    </row>
    <row r="824" spans="1:4" x14ac:dyDescent="0.3">
      <c r="A824" s="78" t="s">
        <v>22</v>
      </c>
      <c r="B824" s="78"/>
      <c r="C824" s="16">
        <v>46186</v>
      </c>
      <c r="D824">
        <v>116496.38</v>
      </c>
    </row>
    <row r="825" spans="1:4" x14ac:dyDescent="0.3">
      <c r="A825" s="78" t="s">
        <v>23</v>
      </c>
      <c r="B825" s="78"/>
      <c r="C825" s="16">
        <v>46186</v>
      </c>
      <c r="D825">
        <v>88090.37</v>
      </c>
    </row>
    <row r="826" spans="1:4" x14ac:dyDescent="0.3">
      <c r="A826" s="78" t="s">
        <v>24</v>
      </c>
      <c r="B826" s="78"/>
      <c r="C826" s="16">
        <v>46186</v>
      </c>
      <c r="D826">
        <v>511.15999999999985</v>
      </c>
    </row>
    <row r="827" spans="1:4" x14ac:dyDescent="0.3">
      <c r="A827" s="78" t="s">
        <v>25</v>
      </c>
      <c r="B827" s="78"/>
      <c r="C827" s="16">
        <v>46186</v>
      </c>
      <c r="D827">
        <v>84.35</v>
      </c>
    </row>
    <row r="828" spans="1:4" x14ac:dyDescent="0.3">
      <c r="A828" s="78" t="s">
        <v>26</v>
      </c>
      <c r="B828" s="78"/>
      <c r="C828" s="16">
        <v>46186</v>
      </c>
      <c r="D828">
        <v>2237.77</v>
      </c>
    </row>
    <row r="829" spans="1:4" x14ac:dyDescent="0.3">
      <c r="A829" s="78" t="s">
        <v>27</v>
      </c>
      <c r="B829" s="78"/>
      <c r="C829" s="16">
        <v>46186</v>
      </c>
      <c r="D829">
        <v>3349.94</v>
      </c>
    </row>
    <row r="830" spans="1:4" x14ac:dyDescent="0.3">
      <c r="A830" s="78" t="s">
        <v>28</v>
      </c>
      <c r="B830" s="78"/>
      <c r="C830" s="16">
        <v>46186</v>
      </c>
      <c r="D830">
        <v>1968.99</v>
      </c>
    </row>
    <row r="831" spans="1:4" x14ac:dyDescent="0.3">
      <c r="A831" s="78" t="s">
        <v>29</v>
      </c>
      <c r="B831" s="78"/>
      <c r="C831" s="16">
        <v>46186</v>
      </c>
      <c r="D831">
        <v>382.69000000000005</v>
      </c>
    </row>
    <row r="832" spans="1:4" x14ac:dyDescent="0.3">
      <c r="A832" s="78" t="s">
        <v>30</v>
      </c>
      <c r="B832" s="78"/>
      <c r="C832" s="16">
        <v>46186</v>
      </c>
      <c r="D832">
        <v>1428.08</v>
      </c>
    </row>
    <row r="833" spans="1:4" x14ac:dyDescent="0.3">
      <c r="A833" s="78" t="s">
        <v>31</v>
      </c>
      <c r="B833" s="78"/>
      <c r="C833" s="16">
        <v>46186</v>
      </c>
      <c r="D833">
        <v>27789.969999999961</v>
      </c>
    </row>
    <row r="834" spans="1:4" x14ac:dyDescent="0.3">
      <c r="A834" s="78" t="s">
        <v>32</v>
      </c>
      <c r="B834" s="78"/>
      <c r="C834" s="16">
        <v>46186</v>
      </c>
      <c r="D834">
        <v>5321.4300000000021</v>
      </c>
    </row>
    <row r="835" spans="1:4" x14ac:dyDescent="0.3">
      <c r="A835" s="78" t="s">
        <v>33</v>
      </c>
      <c r="B835" s="78"/>
      <c r="C835" s="16">
        <v>46186</v>
      </c>
      <c r="D835">
        <v>24484.85</v>
      </c>
    </row>
    <row r="836" spans="1:4" x14ac:dyDescent="0.3">
      <c r="A836" s="78" t="s">
        <v>34</v>
      </c>
      <c r="B836" s="78"/>
      <c r="C836" s="16">
        <v>46186</v>
      </c>
      <c r="D836">
        <v>345</v>
      </c>
    </row>
    <row r="837" spans="1:4" x14ac:dyDescent="0.3">
      <c r="A837" s="78" t="s">
        <v>35</v>
      </c>
      <c r="B837" s="78"/>
      <c r="C837" s="16">
        <v>46186</v>
      </c>
      <c r="D837">
        <v>54068.08</v>
      </c>
    </row>
    <row r="838" spans="1:4" x14ac:dyDescent="0.3">
      <c r="A838" s="78" t="s">
        <v>17</v>
      </c>
      <c r="B838" s="78"/>
      <c r="C838" s="16">
        <v>46187</v>
      </c>
      <c r="D838">
        <v>1919118.1700000002</v>
      </c>
    </row>
    <row r="839" spans="1:4" x14ac:dyDescent="0.3">
      <c r="A839" s="78" t="s">
        <v>18</v>
      </c>
      <c r="B839" s="78"/>
      <c r="C839" s="16">
        <v>46187</v>
      </c>
      <c r="D839">
        <v>69376.390000000174</v>
      </c>
    </row>
    <row r="840" spans="1:4" x14ac:dyDescent="0.3">
      <c r="A840" s="78" t="s">
        <v>19</v>
      </c>
      <c r="B840" s="78"/>
      <c r="C840" s="16">
        <v>46187</v>
      </c>
      <c r="D840">
        <v>1669.89</v>
      </c>
    </row>
    <row r="841" spans="1:4" x14ac:dyDescent="0.3">
      <c r="A841" s="78" t="s">
        <v>20</v>
      </c>
      <c r="B841" s="78"/>
      <c r="C841" s="16">
        <v>46187</v>
      </c>
      <c r="D841">
        <v>395665.96999999986</v>
      </c>
    </row>
    <row r="842" spans="1:4" x14ac:dyDescent="0.3">
      <c r="A842" s="78" t="s">
        <v>21</v>
      </c>
      <c r="B842" s="78"/>
      <c r="C842" s="16">
        <v>46187</v>
      </c>
      <c r="D842">
        <v>3777590.9499999997</v>
      </c>
    </row>
    <row r="843" spans="1:4" x14ac:dyDescent="0.3">
      <c r="A843" s="78" t="s">
        <v>22</v>
      </c>
      <c r="B843" s="78"/>
      <c r="C843" s="16">
        <v>46187</v>
      </c>
      <c r="D843">
        <v>116496.38</v>
      </c>
    </row>
    <row r="844" spans="1:4" x14ac:dyDescent="0.3">
      <c r="A844" s="78" t="s">
        <v>23</v>
      </c>
      <c r="B844" s="78"/>
      <c r="C844" s="16">
        <v>46187</v>
      </c>
      <c r="D844">
        <v>88090.37</v>
      </c>
    </row>
    <row r="845" spans="1:4" x14ac:dyDescent="0.3">
      <c r="A845" s="78" t="s">
        <v>24</v>
      </c>
      <c r="B845" s="78"/>
      <c r="C845" s="16">
        <v>46187</v>
      </c>
      <c r="D845">
        <v>511.15999999999985</v>
      </c>
    </row>
    <row r="846" spans="1:4" x14ac:dyDescent="0.3">
      <c r="A846" s="78" t="s">
        <v>25</v>
      </c>
      <c r="B846" s="78"/>
      <c r="C846" s="16">
        <v>46187</v>
      </c>
      <c r="D846">
        <v>84.35</v>
      </c>
    </row>
    <row r="847" spans="1:4" x14ac:dyDescent="0.3">
      <c r="A847" s="78" t="s">
        <v>26</v>
      </c>
      <c r="B847" s="78"/>
      <c r="C847" s="16">
        <v>46187</v>
      </c>
      <c r="D847">
        <v>2237.77</v>
      </c>
    </row>
    <row r="848" spans="1:4" x14ac:dyDescent="0.3">
      <c r="A848" s="78" t="s">
        <v>27</v>
      </c>
      <c r="B848" s="78"/>
      <c r="C848" s="16">
        <v>46187</v>
      </c>
      <c r="D848">
        <v>3349.94</v>
      </c>
    </row>
    <row r="849" spans="1:4" x14ac:dyDescent="0.3">
      <c r="A849" s="78" t="s">
        <v>28</v>
      </c>
      <c r="B849" s="78"/>
      <c r="C849" s="16">
        <v>46187</v>
      </c>
      <c r="D849">
        <v>1968.99</v>
      </c>
    </row>
    <row r="850" spans="1:4" x14ac:dyDescent="0.3">
      <c r="A850" s="78" t="s">
        <v>29</v>
      </c>
      <c r="B850" s="78"/>
      <c r="C850" s="16">
        <v>46187</v>
      </c>
      <c r="D850">
        <v>382.69000000000005</v>
      </c>
    </row>
    <row r="851" spans="1:4" x14ac:dyDescent="0.3">
      <c r="A851" s="78" t="s">
        <v>30</v>
      </c>
      <c r="B851" s="78"/>
      <c r="C851" s="16">
        <v>46187</v>
      </c>
      <c r="D851">
        <v>1428.08</v>
      </c>
    </row>
    <row r="852" spans="1:4" x14ac:dyDescent="0.3">
      <c r="A852" s="78" t="s">
        <v>31</v>
      </c>
      <c r="B852" s="78"/>
      <c r="C852" s="16">
        <v>46187</v>
      </c>
      <c r="D852">
        <v>27789.969999999961</v>
      </c>
    </row>
    <row r="853" spans="1:4" x14ac:dyDescent="0.3">
      <c r="A853" s="78" t="s">
        <v>32</v>
      </c>
      <c r="B853" s="78"/>
      <c r="C853" s="16">
        <v>46187</v>
      </c>
      <c r="D853">
        <v>5321.4300000000021</v>
      </c>
    </row>
    <row r="854" spans="1:4" x14ac:dyDescent="0.3">
      <c r="A854" s="78" t="s">
        <v>33</v>
      </c>
      <c r="B854" s="78"/>
      <c r="C854" s="16">
        <v>46187</v>
      </c>
      <c r="D854">
        <v>24484.85</v>
      </c>
    </row>
    <row r="855" spans="1:4" x14ac:dyDescent="0.3">
      <c r="A855" s="78" t="s">
        <v>34</v>
      </c>
      <c r="B855" s="78"/>
      <c r="C855" s="16">
        <v>46187</v>
      </c>
      <c r="D855">
        <v>345</v>
      </c>
    </row>
    <row r="856" spans="1:4" x14ac:dyDescent="0.3">
      <c r="A856" s="78" t="s">
        <v>35</v>
      </c>
      <c r="B856" s="78"/>
      <c r="C856" s="16">
        <v>46187</v>
      </c>
      <c r="D856">
        <v>54068.08</v>
      </c>
    </row>
    <row r="857" spans="1:4" x14ac:dyDescent="0.3">
      <c r="A857" s="78" t="s">
        <v>17</v>
      </c>
      <c r="B857" s="78"/>
      <c r="C857" s="16">
        <v>46188</v>
      </c>
      <c r="D857">
        <v>1067309.2700000003</v>
      </c>
    </row>
    <row r="858" spans="1:4" x14ac:dyDescent="0.3">
      <c r="A858" s="78" t="s">
        <v>18</v>
      </c>
      <c r="B858" s="78"/>
      <c r="C858" s="16">
        <v>46188</v>
      </c>
      <c r="D858">
        <v>69376.390000000174</v>
      </c>
    </row>
    <row r="859" spans="1:4" x14ac:dyDescent="0.3">
      <c r="A859" s="78" t="s">
        <v>19</v>
      </c>
      <c r="B859" s="78"/>
      <c r="C859" s="16">
        <v>46188</v>
      </c>
      <c r="D859">
        <v>1669.89</v>
      </c>
    </row>
    <row r="860" spans="1:4" x14ac:dyDescent="0.3">
      <c r="A860" s="78" t="s">
        <v>20</v>
      </c>
      <c r="B860" s="78"/>
      <c r="C860" s="16">
        <v>46188</v>
      </c>
      <c r="D860">
        <v>334944.56999999983</v>
      </c>
    </row>
    <row r="861" spans="1:4" x14ac:dyDescent="0.3">
      <c r="A861" s="78" t="s">
        <v>21</v>
      </c>
      <c r="B861" s="78"/>
      <c r="C861" s="16">
        <v>46188</v>
      </c>
      <c r="D861">
        <v>3345979.36</v>
      </c>
    </row>
    <row r="862" spans="1:4" x14ac:dyDescent="0.3">
      <c r="A862" s="78" t="s">
        <v>22</v>
      </c>
      <c r="B862" s="78"/>
      <c r="C862" s="16">
        <v>46188</v>
      </c>
      <c r="D862">
        <v>116496.38</v>
      </c>
    </row>
    <row r="863" spans="1:4" x14ac:dyDescent="0.3">
      <c r="A863" s="78" t="s">
        <v>23</v>
      </c>
      <c r="B863" s="78"/>
      <c r="C863" s="16">
        <v>46188</v>
      </c>
      <c r="D863">
        <v>88090.37</v>
      </c>
    </row>
    <row r="864" spans="1:4" x14ac:dyDescent="0.3">
      <c r="A864" s="78" t="s">
        <v>24</v>
      </c>
      <c r="B864" s="78"/>
      <c r="C864" s="16">
        <v>46188</v>
      </c>
      <c r="D864">
        <v>511.15999999999985</v>
      </c>
    </row>
    <row r="865" spans="1:4" x14ac:dyDescent="0.3">
      <c r="A865" s="78" t="s">
        <v>25</v>
      </c>
      <c r="B865" s="78"/>
      <c r="C865" s="16">
        <v>46188</v>
      </c>
      <c r="D865">
        <v>84.35</v>
      </c>
    </row>
    <row r="866" spans="1:4" x14ac:dyDescent="0.3">
      <c r="A866" s="78" t="s">
        <v>26</v>
      </c>
      <c r="B866" s="78"/>
      <c r="C866" s="16">
        <v>46188</v>
      </c>
      <c r="D866">
        <v>2237.77</v>
      </c>
    </row>
    <row r="867" spans="1:4" x14ac:dyDescent="0.3">
      <c r="A867" s="78" t="s">
        <v>27</v>
      </c>
      <c r="B867" s="78"/>
      <c r="C867" s="16">
        <v>46188</v>
      </c>
      <c r="D867">
        <v>3349.94</v>
      </c>
    </row>
    <row r="868" spans="1:4" x14ac:dyDescent="0.3">
      <c r="A868" s="78" t="s">
        <v>28</v>
      </c>
      <c r="B868" s="78"/>
      <c r="C868" s="16">
        <v>46188</v>
      </c>
      <c r="D868">
        <v>1968.99</v>
      </c>
    </row>
    <row r="869" spans="1:4" x14ac:dyDescent="0.3">
      <c r="A869" s="78" t="s">
        <v>29</v>
      </c>
      <c r="B869" s="78"/>
      <c r="C869" s="16">
        <v>46188</v>
      </c>
      <c r="D869">
        <v>382.69000000000005</v>
      </c>
    </row>
    <row r="870" spans="1:4" x14ac:dyDescent="0.3">
      <c r="A870" s="78" t="s">
        <v>30</v>
      </c>
      <c r="B870" s="78"/>
      <c r="C870" s="16">
        <v>46188</v>
      </c>
      <c r="D870">
        <v>1428.08</v>
      </c>
    </row>
    <row r="871" spans="1:4" x14ac:dyDescent="0.3">
      <c r="A871" s="78" t="s">
        <v>31</v>
      </c>
      <c r="B871" s="78"/>
      <c r="C871" s="16">
        <v>46188</v>
      </c>
      <c r="D871">
        <v>29789.969999999961</v>
      </c>
    </row>
    <row r="872" spans="1:4" x14ac:dyDescent="0.3">
      <c r="A872" s="78" t="s">
        <v>32</v>
      </c>
      <c r="B872" s="78"/>
      <c r="C872" s="16">
        <v>46188</v>
      </c>
      <c r="D872">
        <v>5321.4300000000021</v>
      </c>
    </row>
    <row r="873" spans="1:4" x14ac:dyDescent="0.3">
      <c r="A873" s="78" t="s">
        <v>33</v>
      </c>
      <c r="B873" s="78"/>
      <c r="C873" s="16">
        <v>46188</v>
      </c>
      <c r="D873">
        <v>20484.849999999999</v>
      </c>
    </row>
    <row r="874" spans="1:4" x14ac:dyDescent="0.3">
      <c r="A874" s="78" t="s">
        <v>34</v>
      </c>
      <c r="B874" s="78"/>
      <c r="C874" s="16">
        <v>46188</v>
      </c>
      <c r="D874">
        <v>345</v>
      </c>
    </row>
    <row r="875" spans="1:4" x14ac:dyDescent="0.3">
      <c r="A875" s="78" t="s">
        <v>35</v>
      </c>
      <c r="B875" s="78"/>
      <c r="C875" s="16">
        <v>46188</v>
      </c>
      <c r="D875">
        <v>54018.080000000002</v>
      </c>
    </row>
    <row r="876" spans="1:4" x14ac:dyDescent="0.3">
      <c r="A876" s="78" t="s">
        <v>17</v>
      </c>
      <c r="B876" s="78"/>
      <c r="C876" s="16">
        <v>46189</v>
      </c>
      <c r="D876">
        <v>1167692.0800000003</v>
      </c>
    </row>
    <row r="877" spans="1:4" x14ac:dyDescent="0.3">
      <c r="A877" s="78" t="s">
        <v>18</v>
      </c>
      <c r="B877" s="78"/>
      <c r="C877" s="16">
        <v>46189</v>
      </c>
      <c r="D877">
        <v>69376.390000000174</v>
      </c>
    </row>
    <row r="878" spans="1:4" x14ac:dyDescent="0.3">
      <c r="A878" s="78" t="s">
        <v>19</v>
      </c>
      <c r="B878" s="78"/>
      <c r="C878" s="16">
        <v>46189</v>
      </c>
      <c r="D878">
        <v>1669.89</v>
      </c>
    </row>
    <row r="879" spans="1:4" x14ac:dyDescent="0.3">
      <c r="A879" s="78" t="s">
        <v>20</v>
      </c>
      <c r="B879" s="78"/>
      <c r="C879" s="16">
        <v>46189</v>
      </c>
      <c r="D879">
        <v>334944.56999999983</v>
      </c>
    </row>
    <row r="880" spans="1:4" x14ac:dyDescent="0.3">
      <c r="A880" s="78" t="s">
        <v>21</v>
      </c>
      <c r="B880" s="78"/>
      <c r="C880" s="16">
        <v>46189</v>
      </c>
      <c r="D880">
        <v>3343489</v>
      </c>
    </row>
    <row r="881" spans="1:4" x14ac:dyDescent="0.3">
      <c r="A881" s="78" t="s">
        <v>22</v>
      </c>
      <c r="B881" s="78"/>
      <c r="C881" s="16">
        <v>46189</v>
      </c>
      <c r="D881">
        <v>116496.38</v>
      </c>
    </row>
    <row r="882" spans="1:4" x14ac:dyDescent="0.3">
      <c r="A882" s="78" t="s">
        <v>23</v>
      </c>
      <c r="B882" s="78"/>
      <c r="C882" s="16">
        <v>46189</v>
      </c>
      <c r="D882">
        <v>88090.37</v>
      </c>
    </row>
    <row r="883" spans="1:4" x14ac:dyDescent="0.3">
      <c r="A883" s="78" t="s">
        <v>24</v>
      </c>
      <c r="B883" s="78"/>
      <c r="C883" s="16">
        <v>46189</v>
      </c>
      <c r="D883">
        <v>511.15999999999985</v>
      </c>
    </row>
    <row r="884" spans="1:4" x14ac:dyDescent="0.3">
      <c r="A884" s="78" t="s">
        <v>25</v>
      </c>
      <c r="B884" s="78"/>
      <c r="C884" s="16">
        <v>46189</v>
      </c>
      <c r="D884">
        <v>84.35</v>
      </c>
    </row>
    <row r="885" spans="1:4" x14ac:dyDescent="0.3">
      <c r="A885" s="78" t="s">
        <v>26</v>
      </c>
      <c r="B885" s="78"/>
      <c r="C885" s="16">
        <v>46189</v>
      </c>
      <c r="D885">
        <v>2237.77</v>
      </c>
    </row>
    <row r="886" spans="1:4" x14ac:dyDescent="0.3">
      <c r="A886" s="78" t="s">
        <v>27</v>
      </c>
      <c r="B886" s="78"/>
      <c r="C886" s="16">
        <v>46189</v>
      </c>
      <c r="D886">
        <v>3349.94</v>
      </c>
    </row>
    <row r="887" spans="1:4" x14ac:dyDescent="0.3">
      <c r="A887" s="78" t="s">
        <v>28</v>
      </c>
      <c r="B887" s="78"/>
      <c r="C887" s="16">
        <v>46189</v>
      </c>
      <c r="D887">
        <v>1968.99</v>
      </c>
    </row>
    <row r="888" spans="1:4" x14ac:dyDescent="0.3">
      <c r="A888" s="78" t="s">
        <v>29</v>
      </c>
      <c r="B888" s="78"/>
      <c r="C888" s="16">
        <v>46189</v>
      </c>
      <c r="D888">
        <v>382.69000000000005</v>
      </c>
    </row>
    <row r="889" spans="1:4" x14ac:dyDescent="0.3">
      <c r="A889" s="78" t="s">
        <v>30</v>
      </c>
      <c r="B889" s="78"/>
      <c r="C889" s="16">
        <v>46189</v>
      </c>
      <c r="D889">
        <v>1428.08</v>
      </c>
    </row>
    <row r="890" spans="1:4" x14ac:dyDescent="0.3">
      <c r="A890" s="78" t="s">
        <v>31</v>
      </c>
      <c r="B890" s="78"/>
      <c r="C890" s="16">
        <v>46189</v>
      </c>
      <c r="D890">
        <v>29789.969999999961</v>
      </c>
    </row>
    <row r="891" spans="1:4" x14ac:dyDescent="0.3">
      <c r="A891" s="78" t="s">
        <v>32</v>
      </c>
      <c r="B891" s="78"/>
      <c r="C891" s="16">
        <v>46189</v>
      </c>
      <c r="D891">
        <v>20321.43</v>
      </c>
    </row>
    <row r="892" spans="1:4" x14ac:dyDescent="0.3">
      <c r="A892" s="78" t="s">
        <v>33</v>
      </c>
      <c r="B892" s="78"/>
      <c r="C892" s="16">
        <v>46189</v>
      </c>
      <c r="D892">
        <v>19811.349999999999</v>
      </c>
    </row>
    <row r="893" spans="1:4" x14ac:dyDescent="0.3">
      <c r="A893" s="78" t="s">
        <v>34</v>
      </c>
      <c r="B893" s="78"/>
      <c r="C893" s="16">
        <v>46189</v>
      </c>
      <c r="D893">
        <v>345</v>
      </c>
    </row>
    <row r="894" spans="1:4" x14ac:dyDescent="0.3">
      <c r="A894" s="78" t="s">
        <v>35</v>
      </c>
      <c r="B894" s="78"/>
      <c r="C894" s="16">
        <v>46189</v>
      </c>
      <c r="D894">
        <v>51334.36</v>
      </c>
    </row>
    <row r="895" spans="1:4" x14ac:dyDescent="0.3">
      <c r="A895" s="78" t="s">
        <v>17</v>
      </c>
      <c r="B895" s="78"/>
      <c r="C895" s="16">
        <v>46190</v>
      </c>
      <c r="D895">
        <v>1179692.0800000003</v>
      </c>
    </row>
    <row r="896" spans="1:4" x14ac:dyDescent="0.3">
      <c r="A896" s="78" t="s">
        <v>18</v>
      </c>
      <c r="B896" s="78"/>
      <c r="C896" s="16">
        <v>46190</v>
      </c>
      <c r="D896">
        <v>69376.390000000174</v>
      </c>
    </row>
    <row r="897" spans="1:4" x14ac:dyDescent="0.3">
      <c r="A897" s="78" t="s">
        <v>19</v>
      </c>
      <c r="B897" s="78"/>
      <c r="C897" s="16">
        <v>46190</v>
      </c>
      <c r="D897">
        <v>1669.89</v>
      </c>
    </row>
    <row r="898" spans="1:4" x14ac:dyDescent="0.3">
      <c r="A898" s="78" t="s">
        <v>20</v>
      </c>
      <c r="B898" s="78"/>
      <c r="C898" s="16">
        <v>46190</v>
      </c>
      <c r="D898">
        <v>334944.56999999983</v>
      </c>
    </row>
    <row r="899" spans="1:4" x14ac:dyDescent="0.3">
      <c r="A899" s="78" t="s">
        <v>21</v>
      </c>
      <c r="B899" s="78"/>
      <c r="C899" s="16">
        <v>46190</v>
      </c>
      <c r="D899">
        <v>3341105.51</v>
      </c>
    </row>
    <row r="900" spans="1:4" x14ac:dyDescent="0.3">
      <c r="A900" s="78" t="s">
        <v>22</v>
      </c>
      <c r="B900" s="78"/>
      <c r="C900" s="16">
        <v>46190</v>
      </c>
      <c r="D900">
        <v>116496.38</v>
      </c>
    </row>
    <row r="901" spans="1:4" x14ac:dyDescent="0.3">
      <c r="A901" s="78" t="s">
        <v>23</v>
      </c>
      <c r="B901" s="78"/>
      <c r="C901" s="16">
        <v>46190</v>
      </c>
      <c r="D901">
        <v>88090.37</v>
      </c>
    </row>
    <row r="902" spans="1:4" x14ac:dyDescent="0.3">
      <c r="A902" s="78" t="s">
        <v>24</v>
      </c>
      <c r="B902" s="78"/>
      <c r="C902" s="16">
        <v>46190</v>
      </c>
      <c r="D902">
        <v>511.15999999999985</v>
      </c>
    </row>
    <row r="903" spans="1:4" x14ac:dyDescent="0.3">
      <c r="A903" s="78" t="s">
        <v>25</v>
      </c>
      <c r="B903" s="78"/>
      <c r="C903" s="16">
        <v>46190</v>
      </c>
      <c r="D903">
        <v>84.35</v>
      </c>
    </row>
    <row r="904" spans="1:4" x14ac:dyDescent="0.3">
      <c r="A904" s="78" t="s">
        <v>26</v>
      </c>
      <c r="B904" s="78"/>
      <c r="C904" s="16">
        <v>46190</v>
      </c>
      <c r="D904">
        <v>2237.77</v>
      </c>
    </row>
    <row r="905" spans="1:4" x14ac:dyDescent="0.3">
      <c r="A905" s="78" t="s">
        <v>27</v>
      </c>
      <c r="B905" s="78"/>
      <c r="C905" s="16">
        <v>46190</v>
      </c>
      <c r="D905">
        <v>3349.94</v>
      </c>
    </row>
    <row r="906" spans="1:4" x14ac:dyDescent="0.3">
      <c r="A906" s="78" t="s">
        <v>28</v>
      </c>
      <c r="B906" s="78"/>
      <c r="C906" s="16">
        <v>46190</v>
      </c>
      <c r="D906">
        <v>1968.99</v>
      </c>
    </row>
    <row r="907" spans="1:4" x14ac:dyDescent="0.3">
      <c r="A907" s="78" t="s">
        <v>29</v>
      </c>
      <c r="B907" s="78"/>
      <c r="C907" s="16">
        <v>46190</v>
      </c>
      <c r="D907">
        <v>382.69000000000005</v>
      </c>
    </row>
    <row r="908" spans="1:4" x14ac:dyDescent="0.3">
      <c r="A908" s="78" t="s">
        <v>30</v>
      </c>
      <c r="B908" s="78"/>
      <c r="C908" s="16">
        <v>46190</v>
      </c>
      <c r="D908">
        <v>1428.08</v>
      </c>
    </row>
    <row r="909" spans="1:4" x14ac:dyDescent="0.3">
      <c r="A909" s="78" t="s">
        <v>31</v>
      </c>
      <c r="B909" s="78"/>
      <c r="C909" s="16">
        <v>46190</v>
      </c>
      <c r="D909">
        <v>29789.969999999961</v>
      </c>
    </row>
    <row r="910" spans="1:4" x14ac:dyDescent="0.3">
      <c r="A910" s="78" t="s">
        <v>32</v>
      </c>
      <c r="B910" s="78"/>
      <c r="C910" s="16">
        <v>46190</v>
      </c>
      <c r="D910">
        <v>20321.43</v>
      </c>
    </row>
    <row r="911" spans="1:4" x14ac:dyDescent="0.3">
      <c r="A911" s="78" t="s">
        <v>33</v>
      </c>
      <c r="B911" s="78"/>
      <c r="C911" s="16">
        <v>46190</v>
      </c>
      <c r="D911">
        <v>16681.349999999999</v>
      </c>
    </row>
    <row r="912" spans="1:4" x14ac:dyDescent="0.3">
      <c r="A912" s="78" t="s">
        <v>34</v>
      </c>
      <c r="B912" s="78"/>
      <c r="C912" s="16">
        <v>46190</v>
      </c>
      <c r="D912">
        <v>345</v>
      </c>
    </row>
    <row r="913" spans="1:4" x14ac:dyDescent="0.3">
      <c r="A913" s="78" t="s">
        <v>35</v>
      </c>
      <c r="B913" s="78"/>
      <c r="C913" s="16">
        <v>46190</v>
      </c>
      <c r="D913">
        <v>50334.36</v>
      </c>
    </row>
    <row r="914" spans="1:4" x14ac:dyDescent="0.3">
      <c r="A914" s="78" t="s">
        <v>17</v>
      </c>
      <c r="B914" s="78"/>
      <c r="C914" s="16">
        <v>46191</v>
      </c>
      <c r="D914">
        <v>1179692.0800000003</v>
      </c>
    </row>
    <row r="915" spans="1:4" x14ac:dyDescent="0.3">
      <c r="A915" s="78" t="s">
        <v>18</v>
      </c>
      <c r="B915" s="78"/>
      <c r="C915" s="16">
        <v>46191</v>
      </c>
      <c r="D915">
        <v>69376.390000000174</v>
      </c>
    </row>
    <row r="916" spans="1:4" x14ac:dyDescent="0.3">
      <c r="A916" s="78" t="s">
        <v>19</v>
      </c>
      <c r="B916" s="78"/>
      <c r="C916" s="16">
        <v>46191</v>
      </c>
      <c r="D916">
        <v>1669.89</v>
      </c>
    </row>
    <row r="917" spans="1:4" x14ac:dyDescent="0.3">
      <c r="A917" s="78" t="s">
        <v>20</v>
      </c>
      <c r="B917" s="78"/>
      <c r="C917" s="16">
        <v>46191</v>
      </c>
      <c r="D917">
        <v>334944.56999999983</v>
      </c>
    </row>
    <row r="918" spans="1:4" x14ac:dyDescent="0.3">
      <c r="A918" s="78" t="s">
        <v>21</v>
      </c>
      <c r="B918" s="78"/>
      <c r="C918" s="16">
        <v>46191</v>
      </c>
      <c r="D918">
        <v>3340938.8499999996</v>
      </c>
    </row>
    <row r="919" spans="1:4" x14ac:dyDescent="0.3">
      <c r="A919" s="78" t="s">
        <v>22</v>
      </c>
      <c r="B919" s="78"/>
      <c r="C919" s="16">
        <v>46191</v>
      </c>
      <c r="D919">
        <v>116496.38</v>
      </c>
    </row>
    <row r="920" spans="1:4" x14ac:dyDescent="0.3">
      <c r="A920" s="78" t="s">
        <v>23</v>
      </c>
      <c r="B920" s="78"/>
      <c r="C920" s="16">
        <v>46191</v>
      </c>
      <c r="D920">
        <v>88090.37</v>
      </c>
    </row>
    <row r="921" spans="1:4" x14ac:dyDescent="0.3">
      <c r="A921" s="78" t="s">
        <v>24</v>
      </c>
      <c r="B921" s="78"/>
      <c r="C921" s="16">
        <v>46191</v>
      </c>
      <c r="D921">
        <v>511.15999999999985</v>
      </c>
    </row>
    <row r="922" spans="1:4" x14ac:dyDescent="0.3">
      <c r="A922" s="78" t="s">
        <v>25</v>
      </c>
      <c r="B922" s="78"/>
      <c r="C922" s="16">
        <v>46191</v>
      </c>
      <c r="D922">
        <v>84.35</v>
      </c>
    </row>
    <row r="923" spans="1:4" x14ac:dyDescent="0.3">
      <c r="A923" s="78" t="s">
        <v>26</v>
      </c>
      <c r="B923" s="78"/>
      <c r="C923" s="16">
        <v>46191</v>
      </c>
      <c r="D923">
        <v>2237.77</v>
      </c>
    </row>
    <row r="924" spans="1:4" x14ac:dyDescent="0.3">
      <c r="A924" s="78" t="s">
        <v>27</v>
      </c>
      <c r="B924" s="78"/>
      <c r="C924" s="16">
        <v>46191</v>
      </c>
      <c r="D924">
        <v>3349.94</v>
      </c>
    </row>
    <row r="925" spans="1:4" x14ac:dyDescent="0.3">
      <c r="A925" s="78" t="s">
        <v>28</v>
      </c>
      <c r="B925" s="78"/>
      <c r="C925" s="16">
        <v>46191</v>
      </c>
      <c r="D925">
        <v>1968.99</v>
      </c>
    </row>
    <row r="926" spans="1:4" x14ac:dyDescent="0.3">
      <c r="A926" s="78" t="s">
        <v>29</v>
      </c>
      <c r="B926" s="78"/>
      <c r="C926" s="16">
        <v>46191</v>
      </c>
      <c r="D926">
        <v>382.69000000000005</v>
      </c>
    </row>
    <row r="927" spans="1:4" x14ac:dyDescent="0.3">
      <c r="A927" s="78" t="s">
        <v>30</v>
      </c>
      <c r="B927" s="78"/>
      <c r="C927" s="16">
        <v>46191</v>
      </c>
      <c r="D927">
        <v>1428.08</v>
      </c>
    </row>
    <row r="928" spans="1:4" x14ac:dyDescent="0.3">
      <c r="A928" s="78" t="s">
        <v>31</v>
      </c>
      <c r="B928" s="78"/>
      <c r="C928" s="16">
        <v>46191</v>
      </c>
      <c r="D928">
        <v>29789.969999999961</v>
      </c>
    </row>
    <row r="929" spans="1:4" x14ac:dyDescent="0.3">
      <c r="A929" s="78" t="s">
        <v>32</v>
      </c>
      <c r="B929" s="78"/>
      <c r="C929" s="16">
        <v>46191</v>
      </c>
      <c r="D929">
        <v>20321.43</v>
      </c>
    </row>
    <row r="930" spans="1:4" x14ac:dyDescent="0.3">
      <c r="A930" s="78" t="s">
        <v>33</v>
      </c>
      <c r="B930" s="78"/>
      <c r="C930" s="16">
        <v>46191</v>
      </c>
      <c r="D930">
        <v>16681.349999999999</v>
      </c>
    </row>
    <row r="931" spans="1:4" x14ac:dyDescent="0.3">
      <c r="A931" s="78" t="s">
        <v>34</v>
      </c>
      <c r="B931" s="78"/>
      <c r="C931" s="16">
        <v>46191</v>
      </c>
      <c r="D931">
        <v>345</v>
      </c>
    </row>
    <row r="932" spans="1:4" x14ac:dyDescent="0.3">
      <c r="A932" s="78" t="s">
        <v>35</v>
      </c>
      <c r="B932" s="78"/>
      <c r="C932" s="16">
        <v>46191</v>
      </c>
      <c r="D932">
        <v>50334.36</v>
      </c>
    </row>
    <row r="933" spans="1:4" x14ac:dyDescent="0.3">
      <c r="A933" s="78" t="s">
        <v>17</v>
      </c>
      <c r="B933" s="78"/>
      <c r="C933" s="16">
        <v>46192</v>
      </c>
      <c r="D933">
        <v>1179692.0800000003</v>
      </c>
    </row>
    <row r="934" spans="1:4" x14ac:dyDescent="0.3">
      <c r="A934" s="78" t="s">
        <v>18</v>
      </c>
      <c r="B934" s="78"/>
      <c r="C934" s="16">
        <v>46192</v>
      </c>
      <c r="D934">
        <v>69376.390000000174</v>
      </c>
    </row>
    <row r="935" spans="1:4" x14ac:dyDescent="0.3">
      <c r="A935" s="78" t="s">
        <v>19</v>
      </c>
      <c r="B935" s="78"/>
      <c r="C935" s="16">
        <v>46192</v>
      </c>
      <c r="D935">
        <v>1669.89</v>
      </c>
    </row>
    <row r="936" spans="1:4" x14ac:dyDescent="0.3">
      <c r="A936" s="78" t="s">
        <v>20</v>
      </c>
      <c r="B936" s="78"/>
      <c r="C936" s="16">
        <v>46192</v>
      </c>
      <c r="D936">
        <v>334944.56999999983</v>
      </c>
    </row>
    <row r="937" spans="1:4" x14ac:dyDescent="0.3">
      <c r="A937" s="78" t="s">
        <v>21</v>
      </c>
      <c r="B937" s="78"/>
      <c r="C937" s="16">
        <v>46192</v>
      </c>
      <c r="D937">
        <v>3340938.8499999996</v>
      </c>
    </row>
    <row r="938" spans="1:4" x14ac:dyDescent="0.3">
      <c r="A938" s="78" t="s">
        <v>22</v>
      </c>
      <c r="B938" s="78"/>
      <c r="C938" s="16">
        <v>46192</v>
      </c>
      <c r="D938">
        <v>116496.38</v>
      </c>
    </row>
    <row r="939" spans="1:4" x14ac:dyDescent="0.3">
      <c r="A939" s="78" t="s">
        <v>23</v>
      </c>
      <c r="B939" s="78"/>
      <c r="C939" s="16">
        <v>46192</v>
      </c>
      <c r="D939">
        <v>88090.37</v>
      </c>
    </row>
    <row r="940" spans="1:4" x14ac:dyDescent="0.3">
      <c r="A940" s="78" t="s">
        <v>24</v>
      </c>
      <c r="B940" s="78"/>
      <c r="C940" s="16">
        <v>46192</v>
      </c>
      <c r="D940">
        <v>511.15999999999985</v>
      </c>
    </row>
    <row r="941" spans="1:4" x14ac:dyDescent="0.3">
      <c r="A941" s="78" t="s">
        <v>25</v>
      </c>
      <c r="B941" s="78"/>
      <c r="C941" s="16">
        <v>46192</v>
      </c>
      <c r="D941">
        <v>84.35</v>
      </c>
    </row>
    <row r="942" spans="1:4" x14ac:dyDescent="0.3">
      <c r="A942" s="78" t="s">
        <v>26</v>
      </c>
      <c r="B942" s="78"/>
      <c r="C942" s="16">
        <v>46192</v>
      </c>
      <c r="D942">
        <v>2237.77</v>
      </c>
    </row>
    <row r="943" spans="1:4" x14ac:dyDescent="0.3">
      <c r="A943" s="78" t="s">
        <v>27</v>
      </c>
      <c r="B943" s="78"/>
      <c r="C943" s="16">
        <v>46192</v>
      </c>
      <c r="D943">
        <v>3349.94</v>
      </c>
    </row>
    <row r="944" spans="1:4" x14ac:dyDescent="0.3">
      <c r="A944" s="78" t="s">
        <v>28</v>
      </c>
      <c r="B944" s="78"/>
      <c r="C944" s="16">
        <v>46192</v>
      </c>
      <c r="D944">
        <v>1968.99</v>
      </c>
    </row>
    <row r="945" spans="1:4" x14ac:dyDescent="0.3">
      <c r="A945" s="78" t="s">
        <v>29</v>
      </c>
      <c r="B945" s="78"/>
      <c r="C945" s="16">
        <v>46192</v>
      </c>
      <c r="D945">
        <v>382.69000000000005</v>
      </c>
    </row>
    <row r="946" spans="1:4" x14ac:dyDescent="0.3">
      <c r="A946" s="78" t="s">
        <v>30</v>
      </c>
      <c r="B946" s="78"/>
      <c r="C946" s="16">
        <v>46192</v>
      </c>
      <c r="D946">
        <v>1428.08</v>
      </c>
    </row>
    <row r="947" spans="1:4" x14ac:dyDescent="0.3">
      <c r="A947" s="78" t="s">
        <v>31</v>
      </c>
      <c r="B947" s="78"/>
      <c r="C947" s="16">
        <v>46192</v>
      </c>
      <c r="D947">
        <v>29789.969999999961</v>
      </c>
    </row>
    <row r="948" spans="1:4" x14ac:dyDescent="0.3">
      <c r="A948" s="78" t="s">
        <v>32</v>
      </c>
      <c r="B948" s="78"/>
      <c r="C948" s="16">
        <v>46192</v>
      </c>
      <c r="D948">
        <v>20321.43</v>
      </c>
    </row>
    <row r="949" spans="1:4" x14ac:dyDescent="0.3">
      <c r="A949" s="78" t="s">
        <v>33</v>
      </c>
      <c r="B949" s="78"/>
      <c r="C949" s="16">
        <v>46192</v>
      </c>
      <c r="D949">
        <v>16681.349999999999</v>
      </c>
    </row>
    <row r="950" spans="1:4" x14ac:dyDescent="0.3">
      <c r="A950" s="78" t="s">
        <v>34</v>
      </c>
      <c r="B950" s="78"/>
      <c r="C950" s="16">
        <v>46192</v>
      </c>
      <c r="D950">
        <v>345</v>
      </c>
    </row>
    <row r="951" spans="1:4" x14ac:dyDescent="0.3">
      <c r="A951" s="78" t="s">
        <v>35</v>
      </c>
      <c r="B951" s="78"/>
      <c r="C951" s="16">
        <v>46192</v>
      </c>
      <c r="D951">
        <v>50334.36</v>
      </c>
    </row>
    <row r="952" spans="1:4" x14ac:dyDescent="0.3">
      <c r="A952" s="78" t="s">
        <v>17</v>
      </c>
      <c r="B952" s="78"/>
      <c r="C952" s="16">
        <v>46193</v>
      </c>
      <c r="D952">
        <v>1179692.0800000003</v>
      </c>
    </row>
    <row r="953" spans="1:4" x14ac:dyDescent="0.3">
      <c r="A953" s="78" t="s">
        <v>18</v>
      </c>
      <c r="B953" s="78"/>
      <c r="C953" s="16">
        <v>46193</v>
      </c>
      <c r="D953">
        <v>69376.390000000174</v>
      </c>
    </row>
    <row r="954" spans="1:4" x14ac:dyDescent="0.3">
      <c r="A954" s="78" t="s">
        <v>19</v>
      </c>
      <c r="B954" s="78"/>
      <c r="C954" s="16">
        <v>46193</v>
      </c>
      <c r="D954">
        <v>1669.89</v>
      </c>
    </row>
    <row r="955" spans="1:4" x14ac:dyDescent="0.3">
      <c r="A955" s="78" t="s">
        <v>20</v>
      </c>
      <c r="B955" s="78"/>
      <c r="C955" s="16">
        <v>46193</v>
      </c>
      <c r="D955">
        <v>334944.56999999983</v>
      </c>
    </row>
    <row r="956" spans="1:4" x14ac:dyDescent="0.3">
      <c r="A956" s="78" t="s">
        <v>21</v>
      </c>
      <c r="B956" s="78"/>
      <c r="C956" s="16">
        <v>46193</v>
      </c>
      <c r="D956">
        <v>3340938.8499999996</v>
      </c>
    </row>
    <row r="957" spans="1:4" x14ac:dyDescent="0.3">
      <c r="A957" s="78" t="s">
        <v>22</v>
      </c>
      <c r="B957" s="78"/>
      <c r="C957" s="16">
        <v>46193</v>
      </c>
      <c r="D957">
        <v>116496.38</v>
      </c>
    </row>
    <row r="958" spans="1:4" x14ac:dyDescent="0.3">
      <c r="A958" s="78" t="s">
        <v>23</v>
      </c>
      <c r="B958" s="78"/>
      <c r="C958" s="16">
        <v>46193</v>
      </c>
      <c r="D958">
        <v>88090.37</v>
      </c>
    </row>
    <row r="959" spans="1:4" x14ac:dyDescent="0.3">
      <c r="A959" s="78" t="s">
        <v>24</v>
      </c>
      <c r="B959" s="78"/>
      <c r="C959" s="16">
        <v>46193</v>
      </c>
      <c r="D959">
        <v>511.15999999999985</v>
      </c>
    </row>
    <row r="960" spans="1:4" x14ac:dyDescent="0.3">
      <c r="A960" s="78" t="s">
        <v>25</v>
      </c>
      <c r="B960" s="78"/>
      <c r="C960" s="16">
        <v>46193</v>
      </c>
      <c r="D960">
        <v>84.35</v>
      </c>
    </row>
    <row r="961" spans="1:4" x14ac:dyDescent="0.3">
      <c r="A961" s="78" t="s">
        <v>26</v>
      </c>
      <c r="B961" s="78"/>
      <c r="C961" s="16">
        <v>46193</v>
      </c>
      <c r="D961">
        <v>2237.77</v>
      </c>
    </row>
    <row r="962" spans="1:4" x14ac:dyDescent="0.3">
      <c r="A962" s="78" t="s">
        <v>27</v>
      </c>
      <c r="B962" s="78"/>
      <c r="C962" s="16">
        <v>46193</v>
      </c>
      <c r="D962">
        <v>3349.94</v>
      </c>
    </row>
    <row r="963" spans="1:4" x14ac:dyDescent="0.3">
      <c r="A963" s="78" t="s">
        <v>28</v>
      </c>
      <c r="B963" s="78"/>
      <c r="C963" s="16">
        <v>46193</v>
      </c>
      <c r="D963">
        <v>1968.99</v>
      </c>
    </row>
    <row r="964" spans="1:4" x14ac:dyDescent="0.3">
      <c r="A964" s="78" t="s">
        <v>29</v>
      </c>
      <c r="B964" s="78"/>
      <c r="C964" s="16">
        <v>46193</v>
      </c>
      <c r="D964">
        <v>382.69000000000005</v>
      </c>
    </row>
    <row r="965" spans="1:4" x14ac:dyDescent="0.3">
      <c r="A965" s="78" t="s">
        <v>30</v>
      </c>
      <c r="B965" s="78"/>
      <c r="C965" s="16">
        <v>46193</v>
      </c>
      <c r="D965">
        <v>1428.08</v>
      </c>
    </row>
    <row r="966" spans="1:4" x14ac:dyDescent="0.3">
      <c r="A966" s="78" t="s">
        <v>31</v>
      </c>
      <c r="B966" s="78"/>
      <c r="C966" s="16">
        <v>46193</v>
      </c>
      <c r="D966">
        <v>29789.969999999961</v>
      </c>
    </row>
    <row r="967" spans="1:4" x14ac:dyDescent="0.3">
      <c r="A967" s="78" t="s">
        <v>32</v>
      </c>
      <c r="B967" s="78"/>
      <c r="C967" s="16">
        <v>46193</v>
      </c>
      <c r="D967">
        <v>20321.43</v>
      </c>
    </row>
    <row r="968" spans="1:4" x14ac:dyDescent="0.3">
      <c r="A968" s="78" t="s">
        <v>33</v>
      </c>
      <c r="B968" s="78"/>
      <c r="C968" s="16">
        <v>46193</v>
      </c>
      <c r="D968">
        <v>16681.349999999999</v>
      </c>
    </row>
    <row r="969" spans="1:4" x14ac:dyDescent="0.3">
      <c r="A969" s="78" t="s">
        <v>34</v>
      </c>
      <c r="B969" s="78"/>
      <c r="C969" s="16">
        <v>46193</v>
      </c>
      <c r="D969">
        <v>345</v>
      </c>
    </row>
    <row r="970" spans="1:4" x14ac:dyDescent="0.3">
      <c r="A970" s="78" t="s">
        <v>35</v>
      </c>
      <c r="B970" s="78"/>
      <c r="C970" s="16">
        <v>46193</v>
      </c>
      <c r="D970">
        <v>50334.36</v>
      </c>
    </row>
    <row r="971" spans="1:4" x14ac:dyDescent="0.3">
      <c r="A971" s="78" t="s">
        <v>17</v>
      </c>
      <c r="B971" s="78"/>
      <c r="C971" s="16">
        <v>46194</v>
      </c>
      <c r="D971">
        <v>1179692.0800000003</v>
      </c>
    </row>
    <row r="972" spans="1:4" x14ac:dyDescent="0.3">
      <c r="A972" s="78" t="s">
        <v>18</v>
      </c>
      <c r="B972" s="78"/>
      <c r="C972" s="16">
        <v>46194</v>
      </c>
      <c r="D972">
        <v>69376.390000000174</v>
      </c>
    </row>
    <row r="973" spans="1:4" x14ac:dyDescent="0.3">
      <c r="A973" s="78" t="s">
        <v>19</v>
      </c>
      <c r="B973" s="78"/>
      <c r="C973" s="16">
        <v>46194</v>
      </c>
      <c r="D973">
        <v>1669.89</v>
      </c>
    </row>
    <row r="974" spans="1:4" x14ac:dyDescent="0.3">
      <c r="A974" s="78" t="s">
        <v>20</v>
      </c>
      <c r="B974" s="78"/>
      <c r="C974" s="16">
        <v>46194</v>
      </c>
      <c r="D974">
        <v>334944.56999999983</v>
      </c>
    </row>
    <row r="975" spans="1:4" x14ac:dyDescent="0.3">
      <c r="A975" s="78" t="s">
        <v>21</v>
      </c>
      <c r="B975" s="78"/>
      <c r="C975" s="16">
        <v>46194</v>
      </c>
      <c r="D975">
        <v>3340938.8499999996</v>
      </c>
    </row>
    <row r="976" spans="1:4" x14ac:dyDescent="0.3">
      <c r="A976" s="78" t="s">
        <v>22</v>
      </c>
      <c r="B976" s="78"/>
      <c r="C976" s="16">
        <v>46194</v>
      </c>
      <c r="D976">
        <v>116496.38</v>
      </c>
    </row>
    <row r="977" spans="1:4" x14ac:dyDescent="0.3">
      <c r="A977" s="78" t="s">
        <v>23</v>
      </c>
      <c r="B977" s="78"/>
      <c r="C977" s="16">
        <v>46194</v>
      </c>
      <c r="D977">
        <v>88090.37</v>
      </c>
    </row>
    <row r="978" spans="1:4" x14ac:dyDescent="0.3">
      <c r="A978" s="78" t="s">
        <v>24</v>
      </c>
      <c r="B978" s="78"/>
      <c r="C978" s="16">
        <v>46194</v>
      </c>
      <c r="D978">
        <v>511.15999999999985</v>
      </c>
    </row>
    <row r="979" spans="1:4" x14ac:dyDescent="0.3">
      <c r="A979" s="78" t="s">
        <v>25</v>
      </c>
      <c r="B979" s="78"/>
      <c r="C979" s="16">
        <v>46194</v>
      </c>
      <c r="D979">
        <v>84.35</v>
      </c>
    </row>
    <row r="980" spans="1:4" x14ac:dyDescent="0.3">
      <c r="A980" s="78" t="s">
        <v>26</v>
      </c>
      <c r="B980" s="78"/>
      <c r="C980" s="16">
        <v>46194</v>
      </c>
      <c r="D980">
        <v>2237.77</v>
      </c>
    </row>
    <row r="981" spans="1:4" x14ac:dyDescent="0.3">
      <c r="A981" s="78" t="s">
        <v>27</v>
      </c>
      <c r="B981" s="78"/>
      <c r="C981" s="16">
        <v>46194</v>
      </c>
      <c r="D981">
        <v>3349.94</v>
      </c>
    </row>
    <row r="982" spans="1:4" x14ac:dyDescent="0.3">
      <c r="A982" s="78" t="s">
        <v>28</v>
      </c>
      <c r="B982" s="78"/>
      <c r="C982" s="16">
        <v>46194</v>
      </c>
      <c r="D982">
        <v>1968.99</v>
      </c>
    </row>
    <row r="983" spans="1:4" x14ac:dyDescent="0.3">
      <c r="A983" s="78" t="s">
        <v>29</v>
      </c>
      <c r="B983" s="78"/>
      <c r="C983" s="16">
        <v>46194</v>
      </c>
      <c r="D983">
        <v>382.69000000000005</v>
      </c>
    </row>
    <row r="984" spans="1:4" x14ac:dyDescent="0.3">
      <c r="A984" s="78" t="s">
        <v>30</v>
      </c>
      <c r="B984" s="78"/>
      <c r="C984" s="16">
        <v>46194</v>
      </c>
      <c r="D984">
        <v>1428.08</v>
      </c>
    </row>
    <row r="985" spans="1:4" x14ac:dyDescent="0.3">
      <c r="A985" s="78" t="s">
        <v>31</v>
      </c>
      <c r="B985" s="78"/>
      <c r="C985" s="16">
        <v>46194</v>
      </c>
      <c r="D985">
        <v>29789.969999999961</v>
      </c>
    </row>
    <row r="986" spans="1:4" x14ac:dyDescent="0.3">
      <c r="A986" s="78" t="s">
        <v>32</v>
      </c>
      <c r="B986" s="78"/>
      <c r="C986" s="16">
        <v>46194</v>
      </c>
      <c r="D986">
        <v>20321.43</v>
      </c>
    </row>
    <row r="987" spans="1:4" x14ac:dyDescent="0.3">
      <c r="A987" s="78" t="s">
        <v>33</v>
      </c>
      <c r="B987" s="78"/>
      <c r="C987" s="16">
        <v>46194</v>
      </c>
      <c r="D987">
        <v>16681.349999999999</v>
      </c>
    </row>
    <row r="988" spans="1:4" x14ac:dyDescent="0.3">
      <c r="A988" s="78" t="s">
        <v>34</v>
      </c>
      <c r="B988" s="78"/>
      <c r="C988" s="16">
        <v>46194</v>
      </c>
      <c r="D988">
        <v>345</v>
      </c>
    </row>
    <row r="989" spans="1:4" x14ac:dyDescent="0.3">
      <c r="A989" s="78" t="s">
        <v>35</v>
      </c>
      <c r="B989" s="78"/>
      <c r="C989" s="16">
        <v>46194</v>
      </c>
      <c r="D989">
        <v>50334.36</v>
      </c>
    </row>
    <row r="990" spans="1:4" x14ac:dyDescent="0.3">
      <c r="A990" s="78" t="s">
        <v>17</v>
      </c>
      <c r="B990" s="78"/>
      <c r="C990" s="16">
        <v>46195</v>
      </c>
      <c r="D990">
        <v>7694665.4700000007</v>
      </c>
    </row>
    <row r="991" spans="1:4" x14ac:dyDescent="0.3">
      <c r="A991" s="78" t="s">
        <v>18</v>
      </c>
      <c r="B991" s="78"/>
      <c r="C991" s="16">
        <v>46195</v>
      </c>
      <c r="D991">
        <v>69376.390000000174</v>
      </c>
    </row>
    <row r="992" spans="1:4" x14ac:dyDescent="0.3">
      <c r="A992" s="78" t="s">
        <v>19</v>
      </c>
      <c r="B992" s="78"/>
      <c r="C992" s="16">
        <v>46195</v>
      </c>
      <c r="D992">
        <v>1669.89</v>
      </c>
    </row>
    <row r="993" spans="1:4" x14ac:dyDescent="0.3">
      <c r="A993" s="78" t="s">
        <v>20</v>
      </c>
      <c r="B993" s="78"/>
      <c r="C993" s="16">
        <v>46195</v>
      </c>
      <c r="D993">
        <v>334944.56999999983</v>
      </c>
    </row>
    <row r="994" spans="1:4" x14ac:dyDescent="0.3">
      <c r="A994" s="78" t="s">
        <v>21</v>
      </c>
      <c r="B994" s="78"/>
      <c r="C994" s="16">
        <v>46195</v>
      </c>
      <c r="D994">
        <v>3340110.8099999996</v>
      </c>
    </row>
    <row r="995" spans="1:4" x14ac:dyDescent="0.3">
      <c r="A995" s="78" t="s">
        <v>22</v>
      </c>
      <c r="B995" s="78"/>
      <c r="C995" s="16">
        <v>46195</v>
      </c>
      <c r="D995">
        <v>116496.38</v>
      </c>
    </row>
    <row r="996" spans="1:4" x14ac:dyDescent="0.3">
      <c r="A996" s="78" t="s">
        <v>23</v>
      </c>
      <c r="B996" s="78"/>
      <c r="C996" s="16">
        <v>46195</v>
      </c>
      <c r="D996">
        <v>88090.37</v>
      </c>
    </row>
    <row r="997" spans="1:4" x14ac:dyDescent="0.3">
      <c r="A997" s="78" t="s">
        <v>24</v>
      </c>
      <c r="B997" s="78"/>
      <c r="C997" s="16">
        <v>46195</v>
      </c>
      <c r="D997">
        <v>511.15999999999985</v>
      </c>
    </row>
    <row r="998" spans="1:4" x14ac:dyDescent="0.3">
      <c r="A998" s="78" t="s">
        <v>25</v>
      </c>
      <c r="B998" s="78"/>
      <c r="C998" s="16">
        <v>46195</v>
      </c>
      <c r="D998">
        <v>84.35</v>
      </c>
    </row>
    <row r="999" spans="1:4" x14ac:dyDescent="0.3">
      <c r="A999" s="78" t="s">
        <v>26</v>
      </c>
      <c r="B999" s="78"/>
      <c r="C999" s="16">
        <v>46195</v>
      </c>
      <c r="D999">
        <v>2237.77</v>
      </c>
    </row>
    <row r="1000" spans="1:4" x14ac:dyDescent="0.3">
      <c r="A1000" s="78" t="s">
        <v>27</v>
      </c>
      <c r="B1000" s="78"/>
      <c r="C1000" s="16">
        <v>46195</v>
      </c>
      <c r="D1000">
        <v>3349.94</v>
      </c>
    </row>
    <row r="1001" spans="1:4" x14ac:dyDescent="0.3">
      <c r="A1001" s="78" t="s">
        <v>28</v>
      </c>
      <c r="B1001" s="78"/>
      <c r="C1001" s="16">
        <v>46195</v>
      </c>
      <c r="D1001">
        <v>1968.99</v>
      </c>
    </row>
    <row r="1002" spans="1:4" x14ac:dyDescent="0.3">
      <c r="A1002" s="78" t="s">
        <v>29</v>
      </c>
      <c r="B1002" s="78"/>
      <c r="C1002" s="16">
        <v>46195</v>
      </c>
      <c r="D1002">
        <v>382.69000000000005</v>
      </c>
    </row>
    <row r="1003" spans="1:4" x14ac:dyDescent="0.3">
      <c r="A1003" s="78" t="s">
        <v>30</v>
      </c>
      <c r="B1003" s="78"/>
      <c r="C1003" s="16">
        <v>46195</v>
      </c>
      <c r="D1003">
        <v>1428.08</v>
      </c>
    </row>
    <row r="1004" spans="1:4" x14ac:dyDescent="0.3">
      <c r="A1004" s="78" t="s">
        <v>31</v>
      </c>
      <c r="B1004" s="78"/>
      <c r="C1004" s="16">
        <v>46195</v>
      </c>
      <c r="D1004">
        <v>31039.969999999961</v>
      </c>
    </row>
    <row r="1005" spans="1:4" x14ac:dyDescent="0.3">
      <c r="A1005" s="78" t="s">
        <v>32</v>
      </c>
      <c r="B1005" s="78"/>
      <c r="C1005" s="16">
        <v>46195</v>
      </c>
      <c r="D1005">
        <v>20321.43</v>
      </c>
    </row>
    <row r="1006" spans="1:4" x14ac:dyDescent="0.3">
      <c r="A1006" s="78" t="s">
        <v>33</v>
      </c>
      <c r="B1006" s="78"/>
      <c r="C1006" s="16">
        <v>46195</v>
      </c>
      <c r="D1006">
        <v>16681.349999999999</v>
      </c>
    </row>
    <row r="1007" spans="1:4" x14ac:dyDescent="0.3">
      <c r="A1007" s="78" t="s">
        <v>34</v>
      </c>
      <c r="B1007" s="78"/>
      <c r="C1007" s="16">
        <v>46195</v>
      </c>
      <c r="D1007">
        <v>345</v>
      </c>
    </row>
    <row r="1008" spans="1:4" x14ac:dyDescent="0.3">
      <c r="A1008" s="78" t="s">
        <v>35</v>
      </c>
      <c r="B1008" s="78"/>
      <c r="C1008" s="16">
        <v>46195</v>
      </c>
      <c r="D1008">
        <v>50109.68</v>
      </c>
    </row>
    <row r="1009" spans="1:4" x14ac:dyDescent="0.3">
      <c r="A1009" s="78" t="s">
        <v>17</v>
      </c>
      <c r="B1009" s="78"/>
      <c r="C1009" s="16">
        <v>46196</v>
      </c>
      <c r="D1009">
        <v>7757074.9200000009</v>
      </c>
    </row>
    <row r="1010" spans="1:4" x14ac:dyDescent="0.3">
      <c r="A1010" s="78" t="s">
        <v>18</v>
      </c>
      <c r="B1010" s="78"/>
      <c r="C1010" s="16">
        <v>46196</v>
      </c>
      <c r="D1010">
        <v>69376.390000000174</v>
      </c>
    </row>
    <row r="1011" spans="1:4" x14ac:dyDescent="0.3">
      <c r="A1011" s="78" t="s">
        <v>19</v>
      </c>
      <c r="B1011" s="78"/>
      <c r="C1011" s="16">
        <v>46196</v>
      </c>
      <c r="D1011">
        <v>1669.89</v>
      </c>
    </row>
    <row r="1012" spans="1:4" x14ac:dyDescent="0.3">
      <c r="A1012" s="78" t="s">
        <v>20</v>
      </c>
      <c r="B1012" s="78"/>
      <c r="C1012" s="16">
        <v>46196</v>
      </c>
      <c r="D1012">
        <v>334944.56999999983</v>
      </c>
    </row>
    <row r="1013" spans="1:4" x14ac:dyDescent="0.3">
      <c r="A1013" s="78" t="s">
        <v>21</v>
      </c>
      <c r="B1013" s="78"/>
      <c r="C1013" s="16">
        <v>46196</v>
      </c>
      <c r="D1013">
        <v>3340110.8099999996</v>
      </c>
    </row>
    <row r="1014" spans="1:4" x14ac:dyDescent="0.3">
      <c r="A1014" s="78" t="s">
        <v>22</v>
      </c>
      <c r="B1014" s="78"/>
      <c r="C1014" s="16">
        <v>46196</v>
      </c>
      <c r="D1014">
        <v>116496.38</v>
      </c>
    </row>
    <row r="1015" spans="1:4" x14ac:dyDescent="0.3">
      <c r="A1015" s="78" t="s">
        <v>23</v>
      </c>
      <c r="B1015" s="78"/>
      <c r="C1015" s="16">
        <v>46196</v>
      </c>
      <c r="D1015">
        <v>88090.37</v>
      </c>
    </row>
    <row r="1016" spans="1:4" x14ac:dyDescent="0.3">
      <c r="A1016" s="78" t="s">
        <v>24</v>
      </c>
      <c r="B1016" s="78"/>
      <c r="C1016" s="16">
        <v>46196</v>
      </c>
      <c r="D1016">
        <v>511.15999999999985</v>
      </c>
    </row>
    <row r="1017" spans="1:4" x14ac:dyDescent="0.3">
      <c r="A1017" s="78" t="s">
        <v>25</v>
      </c>
      <c r="B1017" s="78"/>
      <c r="C1017" s="16">
        <v>46196</v>
      </c>
      <c r="D1017">
        <v>84.35</v>
      </c>
    </row>
    <row r="1018" spans="1:4" x14ac:dyDescent="0.3">
      <c r="A1018" s="78" t="s">
        <v>26</v>
      </c>
      <c r="B1018" s="78"/>
      <c r="C1018" s="16">
        <v>46196</v>
      </c>
      <c r="D1018">
        <v>2237.77</v>
      </c>
    </row>
    <row r="1019" spans="1:4" x14ac:dyDescent="0.3">
      <c r="A1019" s="78" t="s">
        <v>27</v>
      </c>
      <c r="B1019" s="78"/>
      <c r="C1019" s="16">
        <v>46196</v>
      </c>
      <c r="D1019">
        <v>3349.94</v>
      </c>
    </row>
    <row r="1020" spans="1:4" x14ac:dyDescent="0.3">
      <c r="A1020" s="78" t="s">
        <v>28</v>
      </c>
      <c r="B1020" s="78"/>
      <c r="C1020" s="16">
        <v>46196</v>
      </c>
      <c r="D1020">
        <v>1968.99</v>
      </c>
    </row>
    <row r="1021" spans="1:4" x14ac:dyDescent="0.3">
      <c r="A1021" s="78" t="s">
        <v>29</v>
      </c>
      <c r="B1021" s="78"/>
      <c r="C1021" s="16">
        <v>46196</v>
      </c>
      <c r="D1021">
        <v>382.69000000000005</v>
      </c>
    </row>
    <row r="1022" spans="1:4" x14ac:dyDescent="0.3">
      <c r="A1022" s="78" t="s">
        <v>30</v>
      </c>
      <c r="B1022" s="78"/>
      <c r="C1022" s="16">
        <v>46196</v>
      </c>
      <c r="D1022">
        <v>1428.08</v>
      </c>
    </row>
    <row r="1023" spans="1:4" x14ac:dyDescent="0.3">
      <c r="A1023" s="78" t="s">
        <v>31</v>
      </c>
      <c r="B1023" s="78"/>
      <c r="C1023" s="16">
        <v>46196</v>
      </c>
      <c r="D1023">
        <v>31039.969999999961</v>
      </c>
    </row>
    <row r="1024" spans="1:4" x14ac:dyDescent="0.3">
      <c r="A1024" s="78" t="s">
        <v>32</v>
      </c>
      <c r="B1024" s="78"/>
      <c r="C1024" s="16">
        <v>46196</v>
      </c>
      <c r="D1024">
        <v>20321.43</v>
      </c>
    </row>
    <row r="1025" spans="1:4" x14ac:dyDescent="0.3">
      <c r="A1025" s="78" t="s">
        <v>33</v>
      </c>
      <c r="B1025" s="78"/>
      <c r="C1025" s="16">
        <v>46196</v>
      </c>
      <c r="D1025">
        <v>16681.349999999999</v>
      </c>
    </row>
    <row r="1026" spans="1:4" x14ac:dyDescent="0.3">
      <c r="A1026" s="78" t="s">
        <v>34</v>
      </c>
      <c r="B1026" s="78"/>
      <c r="C1026" s="16">
        <v>46196</v>
      </c>
      <c r="D1026">
        <v>345</v>
      </c>
    </row>
    <row r="1027" spans="1:4" x14ac:dyDescent="0.3">
      <c r="A1027" s="78" t="s">
        <v>35</v>
      </c>
      <c r="B1027" s="78"/>
      <c r="C1027" s="16">
        <v>46196</v>
      </c>
      <c r="D1027">
        <v>49981.31</v>
      </c>
    </row>
    <row r="1028" spans="1:4" x14ac:dyDescent="0.3">
      <c r="A1028" s="78" t="s">
        <v>17</v>
      </c>
      <c r="B1028" s="78"/>
      <c r="C1028" s="16">
        <v>46197</v>
      </c>
      <c r="D1028">
        <v>7824144.040000001</v>
      </c>
    </row>
    <row r="1029" spans="1:4" x14ac:dyDescent="0.3">
      <c r="A1029" s="78" t="s">
        <v>18</v>
      </c>
      <c r="B1029" s="78"/>
      <c r="C1029" s="16">
        <v>46197</v>
      </c>
      <c r="D1029">
        <v>72386.190000000177</v>
      </c>
    </row>
    <row r="1030" spans="1:4" x14ac:dyDescent="0.3">
      <c r="A1030" s="78" t="s">
        <v>19</v>
      </c>
      <c r="B1030" s="78"/>
      <c r="C1030" s="16">
        <v>46197</v>
      </c>
      <c r="D1030">
        <v>1669.89</v>
      </c>
    </row>
    <row r="1031" spans="1:4" x14ac:dyDescent="0.3">
      <c r="A1031" s="78" t="s">
        <v>20</v>
      </c>
      <c r="B1031" s="78"/>
      <c r="C1031" s="16">
        <v>46197</v>
      </c>
      <c r="D1031">
        <v>363806.48999999987</v>
      </c>
    </row>
    <row r="1032" spans="1:4" x14ac:dyDescent="0.3">
      <c r="A1032" s="78" t="s">
        <v>21</v>
      </c>
      <c r="B1032" s="78"/>
      <c r="C1032" s="16">
        <v>46197</v>
      </c>
      <c r="D1032">
        <v>3340110.8099999996</v>
      </c>
    </row>
    <row r="1033" spans="1:4" x14ac:dyDescent="0.3">
      <c r="A1033" s="78" t="s">
        <v>22</v>
      </c>
      <c r="B1033" s="78"/>
      <c r="C1033" s="16">
        <v>46197</v>
      </c>
      <c r="D1033">
        <v>116496.38</v>
      </c>
    </row>
    <row r="1034" spans="1:4" x14ac:dyDescent="0.3">
      <c r="A1034" s="78" t="s">
        <v>23</v>
      </c>
      <c r="B1034" s="78"/>
      <c r="C1034" s="16">
        <v>46197</v>
      </c>
      <c r="D1034">
        <v>88090.37</v>
      </c>
    </row>
    <row r="1035" spans="1:4" x14ac:dyDescent="0.3">
      <c r="A1035" s="78" t="s">
        <v>24</v>
      </c>
      <c r="B1035" s="78"/>
      <c r="C1035" s="16">
        <v>46197</v>
      </c>
      <c r="D1035">
        <v>511.15999999999985</v>
      </c>
    </row>
    <row r="1036" spans="1:4" x14ac:dyDescent="0.3">
      <c r="A1036" s="78" t="s">
        <v>25</v>
      </c>
      <c r="B1036" s="78"/>
      <c r="C1036" s="16">
        <v>46197</v>
      </c>
      <c r="D1036">
        <v>84.35</v>
      </c>
    </row>
    <row r="1037" spans="1:4" x14ac:dyDescent="0.3">
      <c r="A1037" s="78" t="s">
        <v>26</v>
      </c>
      <c r="B1037" s="78"/>
      <c r="C1037" s="16">
        <v>46197</v>
      </c>
      <c r="D1037">
        <v>2237.77</v>
      </c>
    </row>
    <row r="1038" spans="1:4" x14ac:dyDescent="0.3">
      <c r="A1038" s="78" t="s">
        <v>27</v>
      </c>
      <c r="B1038" s="78"/>
      <c r="C1038" s="16">
        <v>46197</v>
      </c>
      <c r="D1038">
        <v>3349.94</v>
      </c>
    </row>
    <row r="1039" spans="1:4" x14ac:dyDescent="0.3">
      <c r="A1039" s="78" t="s">
        <v>28</v>
      </c>
      <c r="B1039" s="78"/>
      <c r="C1039" s="16">
        <v>46197</v>
      </c>
      <c r="D1039">
        <v>1968.99</v>
      </c>
    </row>
    <row r="1040" spans="1:4" x14ac:dyDescent="0.3">
      <c r="A1040" s="78" t="s">
        <v>29</v>
      </c>
      <c r="B1040" s="78"/>
      <c r="C1040" s="16">
        <v>46197</v>
      </c>
      <c r="D1040">
        <v>382.69000000000005</v>
      </c>
    </row>
    <row r="1041" spans="1:4" x14ac:dyDescent="0.3">
      <c r="A1041" s="78" t="s">
        <v>30</v>
      </c>
      <c r="B1041" s="78"/>
      <c r="C1041" s="16">
        <v>46197</v>
      </c>
      <c r="D1041">
        <v>1428.08</v>
      </c>
    </row>
    <row r="1042" spans="1:4" x14ac:dyDescent="0.3">
      <c r="A1042" s="78" t="s">
        <v>31</v>
      </c>
      <c r="B1042" s="78"/>
      <c r="C1042" s="16">
        <v>46197</v>
      </c>
      <c r="D1042">
        <v>31039.969999999961</v>
      </c>
    </row>
    <row r="1043" spans="1:4" x14ac:dyDescent="0.3">
      <c r="A1043" s="78" t="s">
        <v>32</v>
      </c>
      <c r="B1043" s="78"/>
      <c r="C1043" s="16">
        <v>46197</v>
      </c>
      <c r="D1043">
        <v>20321.43</v>
      </c>
    </row>
    <row r="1044" spans="1:4" x14ac:dyDescent="0.3">
      <c r="A1044" s="78" t="s">
        <v>33</v>
      </c>
      <c r="B1044" s="78"/>
      <c r="C1044" s="16">
        <v>46197</v>
      </c>
      <c r="D1044">
        <v>16681.349999999999</v>
      </c>
    </row>
    <row r="1045" spans="1:4" x14ac:dyDescent="0.3">
      <c r="A1045" s="78" t="s">
        <v>34</v>
      </c>
      <c r="B1045" s="78"/>
      <c r="C1045" s="16">
        <v>46197</v>
      </c>
      <c r="D1045">
        <v>345</v>
      </c>
    </row>
    <row r="1046" spans="1:4" x14ac:dyDescent="0.3">
      <c r="A1046" s="78" t="s">
        <v>35</v>
      </c>
      <c r="B1046" s="78"/>
      <c r="C1046" s="16">
        <v>46197</v>
      </c>
      <c r="D1046">
        <v>49981.31</v>
      </c>
    </row>
    <row r="1047" spans="1:4" x14ac:dyDescent="0.3">
      <c r="A1047" s="78" t="s">
        <v>17</v>
      </c>
      <c r="B1047" s="78"/>
      <c r="C1047" s="16">
        <v>46198</v>
      </c>
      <c r="D1047">
        <v>6380269.040000001</v>
      </c>
    </row>
    <row r="1048" spans="1:4" x14ac:dyDescent="0.3">
      <c r="A1048" s="78" t="s">
        <v>18</v>
      </c>
      <c r="B1048" s="78"/>
      <c r="C1048" s="16">
        <v>46198</v>
      </c>
      <c r="D1048">
        <v>72386.190000000177</v>
      </c>
    </row>
    <row r="1049" spans="1:4" x14ac:dyDescent="0.3">
      <c r="A1049" s="78" t="s">
        <v>19</v>
      </c>
      <c r="B1049" s="78"/>
      <c r="C1049" s="16">
        <v>46198</v>
      </c>
      <c r="D1049">
        <v>1669.89</v>
      </c>
    </row>
    <row r="1050" spans="1:4" x14ac:dyDescent="0.3">
      <c r="A1050" s="78" t="s">
        <v>20</v>
      </c>
      <c r="B1050" s="78"/>
      <c r="C1050" s="16">
        <v>46198</v>
      </c>
      <c r="D1050">
        <v>303806.48999999982</v>
      </c>
    </row>
    <row r="1051" spans="1:4" x14ac:dyDescent="0.3">
      <c r="A1051" s="78" t="s">
        <v>21</v>
      </c>
      <c r="B1051" s="78"/>
      <c r="C1051" s="16">
        <v>46198</v>
      </c>
      <c r="D1051">
        <v>1947394.8299999994</v>
      </c>
    </row>
    <row r="1052" spans="1:4" x14ac:dyDescent="0.3">
      <c r="A1052" s="78" t="s">
        <v>22</v>
      </c>
      <c r="B1052" s="78"/>
      <c r="C1052" s="16">
        <v>46198</v>
      </c>
      <c r="D1052">
        <v>1996496.38</v>
      </c>
    </row>
    <row r="1053" spans="1:4" x14ac:dyDescent="0.3">
      <c r="A1053" s="78" t="s">
        <v>23</v>
      </c>
      <c r="B1053" s="78"/>
      <c r="C1053" s="16">
        <v>46198</v>
      </c>
      <c r="D1053">
        <v>88090.37</v>
      </c>
    </row>
    <row r="1054" spans="1:4" x14ac:dyDescent="0.3">
      <c r="A1054" s="78" t="s">
        <v>24</v>
      </c>
      <c r="B1054" s="78"/>
      <c r="C1054" s="16">
        <v>46198</v>
      </c>
      <c r="D1054">
        <v>511.15999999999985</v>
      </c>
    </row>
    <row r="1055" spans="1:4" x14ac:dyDescent="0.3">
      <c r="A1055" s="78" t="s">
        <v>25</v>
      </c>
      <c r="B1055" s="78"/>
      <c r="C1055" s="16">
        <v>46198</v>
      </c>
      <c r="D1055">
        <v>84.35</v>
      </c>
    </row>
    <row r="1056" spans="1:4" x14ac:dyDescent="0.3">
      <c r="A1056" s="78" t="s">
        <v>26</v>
      </c>
      <c r="B1056" s="78"/>
      <c r="C1056" s="16">
        <v>46198</v>
      </c>
      <c r="D1056">
        <v>2237.77</v>
      </c>
    </row>
    <row r="1057" spans="1:4" x14ac:dyDescent="0.3">
      <c r="A1057" s="78" t="s">
        <v>27</v>
      </c>
      <c r="B1057" s="78"/>
      <c r="C1057" s="16">
        <v>46198</v>
      </c>
      <c r="D1057">
        <v>3349.94</v>
      </c>
    </row>
    <row r="1058" spans="1:4" x14ac:dyDescent="0.3">
      <c r="A1058" s="78" t="s">
        <v>28</v>
      </c>
      <c r="B1058" s="78"/>
      <c r="C1058" s="16">
        <v>46198</v>
      </c>
      <c r="D1058">
        <v>1968.99</v>
      </c>
    </row>
    <row r="1059" spans="1:4" x14ac:dyDescent="0.3">
      <c r="A1059" s="78" t="s">
        <v>29</v>
      </c>
      <c r="B1059" s="78"/>
      <c r="C1059" s="16">
        <v>46198</v>
      </c>
      <c r="D1059">
        <v>382.69000000000005</v>
      </c>
    </row>
    <row r="1060" spans="1:4" x14ac:dyDescent="0.3">
      <c r="A1060" s="78" t="s">
        <v>30</v>
      </c>
      <c r="B1060" s="78"/>
      <c r="C1060" s="16">
        <v>46198</v>
      </c>
      <c r="D1060">
        <v>1428.08</v>
      </c>
    </row>
    <row r="1061" spans="1:4" x14ac:dyDescent="0.3">
      <c r="A1061" s="78" t="s">
        <v>31</v>
      </c>
      <c r="B1061" s="78"/>
      <c r="C1061" s="16">
        <v>46198</v>
      </c>
      <c r="D1061">
        <v>31039.969999999961</v>
      </c>
    </row>
    <row r="1062" spans="1:4" x14ac:dyDescent="0.3">
      <c r="A1062" s="78" t="s">
        <v>32</v>
      </c>
      <c r="B1062" s="78"/>
      <c r="C1062" s="16">
        <v>46198</v>
      </c>
      <c r="D1062">
        <v>20321.43</v>
      </c>
    </row>
    <row r="1063" spans="1:4" x14ac:dyDescent="0.3">
      <c r="A1063" s="78" t="s">
        <v>33</v>
      </c>
      <c r="B1063" s="78"/>
      <c r="C1063" s="16">
        <v>46198</v>
      </c>
      <c r="D1063">
        <v>28473.599999999999</v>
      </c>
    </row>
    <row r="1064" spans="1:4" x14ac:dyDescent="0.3">
      <c r="A1064" s="78" t="s">
        <v>34</v>
      </c>
      <c r="B1064" s="78"/>
      <c r="C1064" s="16">
        <v>46198</v>
      </c>
      <c r="D1064">
        <v>345</v>
      </c>
    </row>
    <row r="1065" spans="1:4" x14ac:dyDescent="0.3">
      <c r="A1065" s="78" t="s">
        <v>35</v>
      </c>
      <c r="B1065" s="78"/>
      <c r="C1065" s="16">
        <v>46198</v>
      </c>
      <c r="D1065">
        <v>38025.43</v>
      </c>
    </row>
    <row r="1066" spans="1:4" x14ac:dyDescent="0.3">
      <c r="A1066" s="78" t="s">
        <v>17</v>
      </c>
      <c r="B1066" s="78"/>
      <c r="C1066" s="16">
        <v>46199</v>
      </c>
      <c r="D1066">
        <v>6369389.040000001</v>
      </c>
    </row>
    <row r="1067" spans="1:4" x14ac:dyDescent="0.3">
      <c r="A1067" s="78" t="s">
        <v>18</v>
      </c>
      <c r="B1067" s="78"/>
      <c r="C1067" s="16">
        <v>46199</v>
      </c>
      <c r="D1067">
        <v>72386.190000000177</v>
      </c>
    </row>
    <row r="1068" spans="1:4" x14ac:dyDescent="0.3">
      <c r="A1068" s="78" t="s">
        <v>19</v>
      </c>
      <c r="B1068" s="78"/>
      <c r="C1068" s="16">
        <v>46199</v>
      </c>
      <c r="D1068">
        <v>1669.89</v>
      </c>
    </row>
    <row r="1069" spans="1:4" x14ac:dyDescent="0.3">
      <c r="A1069" s="78" t="s">
        <v>20</v>
      </c>
      <c r="B1069" s="78"/>
      <c r="C1069" s="16">
        <v>46199</v>
      </c>
      <c r="D1069">
        <v>303806.48999999982</v>
      </c>
    </row>
    <row r="1070" spans="1:4" x14ac:dyDescent="0.3">
      <c r="A1070" s="78" t="s">
        <v>21</v>
      </c>
      <c r="B1070" s="78"/>
      <c r="C1070" s="16">
        <v>46199</v>
      </c>
      <c r="D1070">
        <v>1946631.8399999994</v>
      </c>
    </row>
    <row r="1071" spans="1:4" x14ac:dyDescent="0.3">
      <c r="A1071" s="78" t="s">
        <v>22</v>
      </c>
      <c r="B1071" s="78"/>
      <c r="C1071" s="16">
        <v>46199</v>
      </c>
      <c r="D1071">
        <v>1396496.38</v>
      </c>
    </row>
    <row r="1072" spans="1:4" x14ac:dyDescent="0.3">
      <c r="A1072" s="78" t="s">
        <v>23</v>
      </c>
      <c r="B1072" s="78"/>
      <c r="C1072" s="16">
        <v>46199</v>
      </c>
      <c r="D1072">
        <v>88090.37</v>
      </c>
    </row>
    <row r="1073" spans="1:4" x14ac:dyDescent="0.3">
      <c r="A1073" s="78" t="s">
        <v>24</v>
      </c>
      <c r="B1073" s="78"/>
      <c r="C1073" s="16">
        <v>46199</v>
      </c>
      <c r="D1073">
        <v>511.15999999999985</v>
      </c>
    </row>
    <row r="1074" spans="1:4" x14ac:dyDescent="0.3">
      <c r="A1074" s="78" t="s">
        <v>25</v>
      </c>
      <c r="B1074" s="78"/>
      <c r="C1074" s="16">
        <v>46199</v>
      </c>
      <c r="D1074">
        <v>84.35</v>
      </c>
    </row>
    <row r="1075" spans="1:4" x14ac:dyDescent="0.3">
      <c r="A1075" s="78" t="s">
        <v>26</v>
      </c>
      <c r="B1075" s="78"/>
      <c r="C1075" s="16">
        <v>46199</v>
      </c>
      <c r="D1075">
        <v>2237.77</v>
      </c>
    </row>
    <row r="1076" spans="1:4" x14ac:dyDescent="0.3">
      <c r="A1076" s="78" t="s">
        <v>27</v>
      </c>
      <c r="B1076" s="78"/>
      <c r="C1076" s="16">
        <v>46199</v>
      </c>
      <c r="D1076">
        <v>3349.94</v>
      </c>
    </row>
    <row r="1077" spans="1:4" x14ac:dyDescent="0.3">
      <c r="A1077" s="78" t="s">
        <v>28</v>
      </c>
      <c r="B1077" s="78"/>
      <c r="C1077" s="16">
        <v>46199</v>
      </c>
      <c r="D1077">
        <v>1968.99</v>
      </c>
    </row>
    <row r="1078" spans="1:4" x14ac:dyDescent="0.3">
      <c r="A1078" s="78" t="s">
        <v>29</v>
      </c>
      <c r="B1078" s="78"/>
      <c r="C1078" s="16">
        <v>46199</v>
      </c>
      <c r="D1078">
        <v>382.69000000000005</v>
      </c>
    </row>
    <row r="1079" spans="1:4" x14ac:dyDescent="0.3">
      <c r="A1079" s="78" t="s">
        <v>30</v>
      </c>
      <c r="B1079" s="78"/>
      <c r="C1079" s="16">
        <v>46199</v>
      </c>
      <c r="D1079">
        <v>1428.08</v>
      </c>
    </row>
    <row r="1080" spans="1:4" x14ac:dyDescent="0.3">
      <c r="A1080" s="78" t="s">
        <v>31</v>
      </c>
      <c r="B1080" s="78"/>
      <c r="C1080" s="16">
        <v>46199</v>
      </c>
      <c r="D1080">
        <v>31039.969999999961</v>
      </c>
    </row>
    <row r="1081" spans="1:4" x14ac:dyDescent="0.3">
      <c r="A1081" s="78" t="s">
        <v>32</v>
      </c>
      <c r="B1081" s="78"/>
      <c r="C1081" s="16">
        <v>46199</v>
      </c>
      <c r="D1081">
        <v>20321.43</v>
      </c>
    </row>
    <row r="1082" spans="1:4" x14ac:dyDescent="0.3">
      <c r="A1082" s="78" t="s">
        <v>33</v>
      </c>
      <c r="B1082" s="78"/>
      <c r="C1082" s="16">
        <v>46199</v>
      </c>
      <c r="D1082">
        <v>28458.6</v>
      </c>
    </row>
    <row r="1083" spans="1:4" x14ac:dyDescent="0.3">
      <c r="A1083" s="78" t="s">
        <v>34</v>
      </c>
      <c r="B1083" s="78"/>
      <c r="C1083" s="16">
        <v>46199</v>
      </c>
      <c r="D1083">
        <v>345</v>
      </c>
    </row>
    <row r="1084" spans="1:4" x14ac:dyDescent="0.3">
      <c r="A1084" s="78" t="s">
        <v>35</v>
      </c>
      <c r="B1084" s="78"/>
      <c r="C1084" s="16">
        <v>46199</v>
      </c>
      <c r="D1084">
        <v>29918.639999999999</v>
      </c>
    </row>
    <row r="1085" spans="1:4" x14ac:dyDescent="0.3">
      <c r="A1085" s="78" t="s">
        <v>17</v>
      </c>
      <c r="B1085" s="78"/>
      <c r="C1085" s="16">
        <v>46200</v>
      </c>
      <c r="D1085">
        <v>6369389.040000001</v>
      </c>
    </row>
    <row r="1086" spans="1:4" x14ac:dyDescent="0.3">
      <c r="A1086" s="78" t="s">
        <v>18</v>
      </c>
      <c r="B1086" s="78"/>
      <c r="C1086" s="16">
        <v>46200</v>
      </c>
      <c r="D1086">
        <v>72386.190000000177</v>
      </c>
    </row>
    <row r="1087" spans="1:4" x14ac:dyDescent="0.3">
      <c r="A1087" s="78" t="s">
        <v>19</v>
      </c>
      <c r="B1087" s="78"/>
      <c r="C1087" s="16">
        <v>46200</v>
      </c>
      <c r="D1087">
        <v>1669.89</v>
      </c>
    </row>
    <row r="1088" spans="1:4" x14ac:dyDescent="0.3">
      <c r="A1088" s="78" t="s">
        <v>20</v>
      </c>
      <c r="B1088" s="78"/>
      <c r="C1088" s="16">
        <v>46200</v>
      </c>
      <c r="D1088">
        <v>303806.48999999982</v>
      </c>
    </row>
    <row r="1089" spans="1:4" x14ac:dyDescent="0.3">
      <c r="A1089" s="78" t="s">
        <v>21</v>
      </c>
      <c r="B1089" s="78"/>
      <c r="C1089" s="16">
        <v>46200</v>
      </c>
      <c r="D1089">
        <v>1946631.8399999994</v>
      </c>
    </row>
    <row r="1090" spans="1:4" x14ac:dyDescent="0.3">
      <c r="A1090" s="78" t="s">
        <v>22</v>
      </c>
      <c r="B1090" s="78"/>
      <c r="C1090" s="16">
        <v>46200</v>
      </c>
      <c r="D1090">
        <v>1396496.38</v>
      </c>
    </row>
    <row r="1091" spans="1:4" x14ac:dyDescent="0.3">
      <c r="A1091" s="78" t="s">
        <v>23</v>
      </c>
      <c r="B1091" s="78"/>
      <c r="C1091" s="16">
        <v>46200</v>
      </c>
      <c r="D1091">
        <v>88090.37</v>
      </c>
    </row>
    <row r="1092" spans="1:4" x14ac:dyDescent="0.3">
      <c r="A1092" s="78" t="s">
        <v>24</v>
      </c>
      <c r="B1092" s="78"/>
      <c r="C1092" s="16">
        <v>46200</v>
      </c>
      <c r="D1092">
        <v>511.15999999999985</v>
      </c>
    </row>
    <row r="1093" spans="1:4" x14ac:dyDescent="0.3">
      <c r="A1093" s="78" t="s">
        <v>25</v>
      </c>
      <c r="B1093" s="78"/>
      <c r="C1093" s="16">
        <v>46200</v>
      </c>
      <c r="D1093">
        <v>84.35</v>
      </c>
    </row>
    <row r="1094" spans="1:4" x14ac:dyDescent="0.3">
      <c r="A1094" s="78" t="s">
        <v>26</v>
      </c>
      <c r="B1094" s="78"/>
      <c r="C1094" s="16">
        <v>46200</v>
      </c>
      <c r="D1094">
        <v>2237.77</v>
      </c>
    </row>
    <row r="1095" spans="1:4" x14ac:dyDescent="0.3">
      <c r="A1095" s="78" t="s">
        <v>27</v>
      </c>
      <c r="B1095" s="78"/>
      <c r="C1095" s="16">
        <v>46200</v>
      </c>
      <c r="D1095">
        <v>3349.94</v>
      </c>
    </row>
    <row r="1096" spans="1:4" x14ac:dyDescent="0.3">
      <c r="A1096" s="78" t="s">
        <v>28</v>
      </c>
      <c r="B1096" s="78"/>
      <c r="C1096" s="16">
        <v>46200</v>
      </c>
      <c r="D1096">
        <v>1968.99</v>
      </c>
    </row>
    <row r="1097" spans="1:4" x14ac:dyDescent="0.3">
      <c r="A1097" s="78" t="s">
        <v>29</v>
      </c>
      <c r="B1097" s="78"/>
      <c r="C1097" s="16">
        <v>46200</v>
      </c>
      <c r="D1097">
        <v>382.69000000000005</v>
      </c>
    </row>
    <row r="1098" spans="1:4" x14ac:dyDescent="0.3">
      <c r="A1098" s="78" t="s">
        <v>30</v>
      </c>
      <c r="B1098" s="78"/>
      <c r="C1098" s="16">
        <v>46200</v>
      </c>
      <c r="D1098">
        <v>1428.08</v>
      </c>
    </row>
    <row r="1099" spans="1:4" x14ac:dyDescent="0.3">
      <c r="A1099" s="78" t="s">
        <v>31</v>
      </c>
      <c r="B1099" s="78"/>
      <c r="C1099" s="16">
        <v>46200</v>
      </c>
      <c r="D1099">
        <v>31039.969999999961</v>
      </c>
    </row>
    <row r="1100" spans="1:4" x14ac:dyDescent="0.3">
      <c r="A1100" s="78" t="s">
        <v>32</v>
      </c>
      <c r="B1100" s="78"/>
      <c r="C1100" s="16">
        <v>46200</v>
      </c>
      <c r="D1100">
        <v>20321.43</v>
      </c>
    </row>
    <row r="1101" spans="1:4" x14ac:dyDescent="0.3">
      <c r="A1101" s="78" t="s">
        <v>33</v>
      </c>
      <c r="B1101" s="78"/>
      <c r="C1101" s="16">
        <v>46200</v>
      </c>
      <c r="D1101">
        <v>28458.6</v>
      </c>
    </row>
    <row r="1102" spans="1:4" x14ac:dyDescent="0.3">
      <c r="A1102" s="78" t="s">
        <v>34</v>
      </c>
      <c r="B1102" s="78"/>
      <c r="C1102" s="16">
        <v>46200</v>
      </c>
      <c r="D1102">
        <v>345</v>
      </c>
    </row>
    <row r="1103" spans="1:4" x14ac:dyDescent="0.3">
      <c r="A1103" s="78" t="s">
        <v>35</v>
      </c>
      <c r="B1103" s="78"/>
      <c r="C1103" s="16">
        <v>46200</v>
      </c>
      <c r="D1103">
        <v>29918.639999999999</v>
      </c>
    </row>
    <row r="1104" spans="1:4" x14ac:dyDescent="0.3">
      <c r="A1104" s="78" t="s">
        <v>17</v>
      </c>
      <c r="B1104" s="78"/>
      <c r="C1104" s="16">
        <v>46201</v>
      </c>
      <c r="D1104">
        <v>6369389.040000001</v>
      </c>
    </row>
    <row r="1105" spans="1:4" x14ac:dyDescent="0.3">
      <c r="A1105" s="78" t="s">
        <v>18</v>
      </c>
      <c r="B1105" s="78"/>
      <c r="C1105" s="16">
        <v>46201</v>
      </c>
      <c r="D1105">
        <v>72386.190000000177</v>
      </c>
    </row>
    <row r="1106" spans="1:4" x14ac:dyDescent="0.3">
      <c r="A1106" s="78" t="s">
        <v>19</v>
      </c>
      <c r="B1106" s="78"/>
      <c r="C1106" s="16">
        <v>46201</v>
      </c>
      <c r="D1106">
        <v>1669.89</v>
      </c>
    </row>
    <row r="1107" spans="1:4" x14ac:dyDescent="0.3">
      <c r="A1107" s="78" t="s">
        <v>20</v>
      </c>
      <c r="B1107" s="78"/>
      <c r="C1107" s="16">
        <v>46201</v>
      </c>
      <c r="D1107">
        <v>303806.48999999982</v>
      </c>
    </row>
    <row r="1108" spans="1:4" x14ac:dyDescent="0.3">
      <c r="A1108" s="78" t="s">
        <v>21</v>
      </c>
      <c r="B1108" s="78"/>
      <c r="C1108" s="16">
        <v>46201</v>
      </c>
      <c r="D1108">
        <v>1946631.8399999994</v>
      </c>
    </row>
    <row r="1109" spans="1:4" x14ac:dyDescent="0.3">
      <c r="A1109" s="78" t="s">
        <v>22</v>
      </c>
      <c r="B1109" s="78"/>
      <c r="C1109" s="16">
        <v>46201</v>
      </c>
      <c r="D1109">
        <v>1396496.38</v>
      </c>
    </row>
    <row r="1110" spans="1:4" x14ac:dyDescent="0.3">
      <c r="A1110" s="78" t="s">
        <v>23</v>
      </c>
      <c r="B1110" s="78"/>
      <c r="C1110" s="16">
        <v>46201</v>
      </c>
      <c r="D1110">
        <v>88090.37</v>
      </c>
    </row>
    <row r="1111" spans="1:4" x14ac:dyDescent="0.3">
      <c r="A1111" s="78" t="s">
        <v>24</v>
      </c>
      <c r="B1111" s="78"/>
      <c r="C1111" s="16">
        <v>46201</v>
      </c>
      <c r="D1111">
        <v>511.15999999999985</v>
      </c>
    </row>
    <row r="1112" spans="1:4" x14ac:dyDescent="0.3">
      <c r="A1112" s="78" t="s">
        <v>25</v>
      </c>
      <c r="B1112" s="78"/>
      <c r="C1112" s="16">
        <v>46201</v>
      </c>
      <c r="D1112">
        <v>84.35</v>
      </c>
    </row>
    <row r="1113" spans="1:4" x14ac:dyDescent="0.3">
      <c r="A1113" s="78" t="s">
        <v>26</v>
      </c>
      <c r="B1113" s="78"/>
      <c r="C1113" s="16">
        <v>46201</v>
      </c>
      <c r="D1113">
        <v>2237.77</v>
      </c>
    </row>
    <row r="1114" spans="1:4" x14ac:dyDescent="0.3">
      <c r="A1114" s="78" t="s">
        <v>27</v>
      </c>
      <c r="B1114" s="78"/>
      <c r="C1114" s="16">
        <v>46201</v>
      </c>
      <c r="D1114">
        <v>3349.94</v>
      </c>
    </row>
    <row r="1115" spans="1:4" x14ac:dyDescent="0.3">
      <c r="A1115" s="78" t="s">
        <v>28</v>
      </c>
      <c r="B1115" s="78"/>
      <c r="C1115" s="16">
        <v>46201</v>
      </c>
      <c r="D1115">
        <v>1968.99</v>
      </c>
    </row>
    <row r="1116" spans="1:4" x14ac:dyDescent="0.3">
      <c r="A1116" s="78" t="s">
        <v>29</v>
      </c>
      <c r="B1116" s="78"/>
      <c r="C1116" s="16">
        <v>46201</v>
      </c>
      <c r="D1116">
        <v>382.69000000000005</v>
      </c>
    </row>
    <row r="1117" spans="1:4" x14ac:dyDescent="0.3">
      <c r="A1117" s="78" t="s">
        <v>30</v>
      </c>
      <c r="B1117" s="78"/>
      <c r="C1117" s="16">
        <v>46201</v>
      </c>
      <c r="D1117">
        <v>1428.08</v>
      </c>
    </row>
    <row r="1118" spans="1:4" x14ac:dyDescent="0.3">
      <c r="A1118" s="78" t="s">
        <v>31</v>
      </c>
      <c r="B1118" s="78"/>
      <c r="C1118" s="16">
        <v>46201</v>
      </c>
      <c r="D1118">
        <v>31039.969999999961</v>
      </c>
    </row>
    <row r="1119" spans="1:4" x14ac:dyDescent="0.3">
      <c r="A1119" s="78" t="s">
        <v>32</v>
      </c>
      <c r="B1119" s="78"/>
      <c r="C1119" s="16">
        <v>46201</v>
      </c>
      <c r="D1119">
        <v>20321.43</v>
      </c>
    </row>
    <row r="1120" spans="1:4" x14ac:dyDescent="0.3">
      <c r="A1120" s="78" t="s">
        <v>33</v>
      </c>
      <c r="B1120" s="78"/>
      <c r="C1120" s="16">
        <v>46201</v>
      </c>
      <c r="D1120">
        <v>28458.6</v>
      </c>
    </row>
    <row r="1121" spans="1:4" x14ac:dyDescent="0.3">
      <c r="A1121" s="78" t="s">
        <v>34</v>
      </c>
      <c r="B1121" s="78"/>
      <c r="C1121" s="16">
        <v>46201</v>
      </c>
      <c r="D1121">
        <v>345</v>
      </c>
    </row>
    <row r="1122" spans="1:4" x14ac:dyDescent="0.3">
      <c r="A1122" s="78" t="s">
        <v>35</v>
      </c>
      <c r="B1122" s="78"/>
      <c r="C1122" s="16">
        <v>46201</v>
      </c>
      <c r="D1122">
        <v>29918.639999999999</v>
      </c>
    </row>
    <row r="1123" spans="1:4" x14ac:dyDescent="0.3">
      <c r="A1123" s="78" t="s">
        <v>17</v>
      </c>
      <c r="B1123" s="78"/>
      <c r="C1123" s="16">
        <v>46202</v>
      </c>
      <c r="D1123">
        <v>6380508.1400000015</v>
      </c>
    </row>
    <row r="1124" spans="1:4" x14ac:dyDescent="0.3">
      <c r="A1124" s="78" t="s">
        <v>18</v>
      </c>
      <c r="B1124" s="78"/>
      <c r="C1124" s="16">
        <v>46202</v>
      </c>
      <c r="D1124">
        <v>72386.190000000177</v>
      </c>
    </row>
    <row r="1125" spans="1:4" x14ac:dyDescent="0.3">
      <c r="A1125" s="78" t="s">
        <v>19</v>
      </c>
      <c r="B1125" s="78"/>
      <c r="C1125" s="16">
        <v>46202</v>
      </c>
      <c r="D1125">
        <v>1669.89</v>
      </c>
    </row>
    <row r="1126" spans="1:4" x14ac:dyDescent="0.3">
      <c r="A1126" s="78" t="s">
        <v>20</v>
      </c>
      <c r="B1126" s="78"/>
      <c r="C1126" s="16">
        <v>46202</v>
      </c>
      <c r="D1126">
        <v>320785.3899999999</v>
      </c>
    </row>
    <row r="1127" spans="1:4" x14ac:dyDescent="0.3">
      <c r="A1127" s="78" t="s">
        <v>21</v>
      </c>
      <c r="B1127" s="78"/>
      <c r="C1127" s="16">
        <v>46202</v>
      </c>
      <c r="D1127">
        <v>1782410.0399999993</v>
      </c>
    </row>
    <row r="1128" spans="1:4" x14ac:dyDescent="0.3">
      <c r="A1128" s="78" t="s">
        <v>22</v>
      </c>
      <c r="B1128" s="78"/>
      <c r="C1128" s="16">
        <v>46202</v>
      </c>
      <c r="D1128">
        <v>396496.38</v>
      </c>
    </row>
    <row r="1129" spans="1:4" x14ac:dyDescent="0.3">
      <c r="A1129" s="78" t="s">
        <v>23</v>
      </c>
      <c r="B1129" s="78"/>
      <c r="C1129" s="16">
        <v>46202</v>
      </c>
      <c r="D1129">
        <v>88090.37</v>
      </c>
    </row>
    <row r="1130" spans="1:4" x14ac:dyDescent="0.3">
      <c r="A1130" s="78" t="s">
        <v>24</v>
      </c>
      <c r="B1130" s="78"/>
      <c r="C1130" s="16">
        <v>46202</v>
      </c>
      <c r="D1130">
        <v>511.15999999999985</v>
      </c>
    </row>
    <row r="1131" spans="1:4" x14ac:dyDescent="0.3">
      <c r="A1131" s="78" t="s">
        <v>25</v>
      </c>
      <c r="B1131" s="78"/>
      <c r="C1131" s="16">
        <v>46202</v>
      </c>
      <c r="D1131">
        <v>84.35</v>
      </c>
    </row>
    <row r="1132" spans="1:4" x14ac:dyDescent="0.3">
      <c r="A1132" s="78" t="s">
        <v>26</v>
      </c>
      <c r="B1132" s="78"/>
      <c r="C1132" s="16">
        <v>46202</v>
      </c>
      <c r="D1132">
        <v>2237.77</v>
      </c>
    </row>
    <row r="1133" spans="1:4" x14ac:dyDescent="0.3">
      <c r="A1133" s="78" t="s">
        <v>27</v>
      </c>
      <c r="B1133" s="78"/>
      <c r="C1133" s="16">
        <v>46202</v>
      </c>
      <c r="D1133">
        <v>3349.94</v>
      </c>
    </row>
    <row r="1134" spans="1:4" x14ac:dyDescent="0.3">
      <c r="A1134" s="78" t="s">
        <v>28</v>
      </c>
      <c r="B1134" s="78"/>
      <c r="C1134" s="16">
        <v>46202</v>
      </c>
      <c r="D1134">
        <v>1968.99</v>
      </c>
    </row>
    <row r="1135" spans="1:4" x14ac:dyDescent="0.3">
      <c r="A1135" s="78" t="s">
        <v>29</v>
      </c>
      <c r="B1135" s="78"/>
      <c r="C1135" s="16">
        <v>46202</v>
      </c>
      <c r="D1135">
        <v>382.69000000000005</v>
      </c>
    </row>
    <row r="1136" spans="1:4" x14ac:dyDescent="0.3">
      <c r="A1136" s="78" t="s">
        <v>30</v>
      </c>
      <c r="B1136" s="78"/>
      <c r="C1136" s="16">
        <v>46202</v>
      </c>
      <c r="D1136">
        <v>1428.08</v>
      </c>
    </row>
    <row r="1137" spans="1:4" x14ac:dyDescent="0.3">
      <c r="A1137" s="78" t="s">
        <v>31</v>
      </c>
      <c r="B1137" s="78"/>
      <c r="C1137" s="16">
        <v>46202</v>
      </c>
      <c r="D1137">
        <v>31039.969999999961</v>
      </c>
    </row>
    <row r="1138" spans="1:4" x14ac:dyDescent="0.3">
      <c r="A1138" s="78" t="s">
        <v>32</v>
      </c>
      <c r="B1138" s="78"/>
      <c r="C1138" s="16">
        <v>46202</v>
      </c>
      <c r="D1138">
        <v>20321.43</v>
      </c>
    </row>
    <row r="1139" spans="1:4" x14ac:dyDescent="0.3">
      <c r="A1139" s="78" t="s">
        <v>33</v>
      </c>
      <c r="B1139" s="78"/>
      <c r="C1139" s="16">
        <v>46202</v>
      </c>
      <c r="D1139">
        <v>28458.6</v>
      </c>
    </row>
    <row r="1140" spans="1:4" x14ac:dyDescent="0.3">
      <c r="A1140" s="78" t="s">
        <v>34</v>
      </c>
      <c r="B1140" s="78"/>
      <c r="C1140" s="16">
        <v>46202</v>
      </c>
      <c r="D1140">
        <v>345</v>
      </c>
    </row>
    <row r="1141" spans="1:4" x14ac:dyDescent="0.3">
      <c r="A1141" s="78" t="s">
        <v>35</v>
      </c>
      <c r="B1141" s="78"/>
      <c r="C1141" s="16">
        <v>46202</v>
      </c>
      <c r="D1141">
        <v>23872.78</v>
      </c>
    </row>
    <row r="1142" spans="1:4" x14ac:dyDescent="0.3">
      <c r="A1142" s="78" t="s">
        <v>17</v>
      </c>
      <c r="B1142" s="78"/>
      <c r="C1142" s="16">
        <v>46203</v>
      </c>
      <c r="D1142">
        <v>6376919.080000001</v>
      </c>
    </row>
    <row r="1143" spans="1:4" x14ac:dyDescent="0.3">
      <c r="A1143" s="78" t="s">
        <v>18</v>
      </c>
      <c r="B1143" s="78"/>
      <c r="C1143" s="16">
        <v>46203</v>
      </c>
      <c r="D1143">
        <v>79139.680000000168</v>
      </c>
    </row>
    <row r="1144" spans="1:4" x14ac:dyDescent="0.3">
      <c r="A1144" s="78" t="s">
        <v>19</v>
      </c>
      <c r="B1144" s="78"/>
      <c r="C1144" s="16">
        <v>46203</v>
      </c>
      <c r="D1144">
        <v>1669.89</v>
      </c>
    </row>
    <row r="1145" spans="1:4" x14ac:dyDescent="0.3">
      <c r="A1145" s="78" t="s">
        <v>20</v>
      </c>
      <c r="B1145" s="78"/>
      <c r="C1145" s="16">
        <v>46203</v>
      </c>
      <c r="D1145">
        <v>320785.3899999999</v>
      </c>
    </row>
    <row r="1146" spans="1:4" x14ac:dyDescent="0.3">
      <c r="A1146" s="78" t="s">
        <v>21</v>
      </c>
      <c r="B1146" s="78"/>
      <c r="C1146" s="16">
        <v>46203</v>
      </c>
      <c r="D1146">
        <v>1710526.8499999994</v>
      </c>
    </row>
    <row r="1147" spans="1:4" x14ac:dyDescent="0.3">
      <c r="A1147" s="78" t="s">
        <v>22</v>
      </c>
      <c r="B1147" s="78"/>
      <c r="C1147" s="16">
        <v>46203</v>
      </c>
      <c r="D1147">
        <v>390496.38</v>
      </c>
    </row>
    <row r="1148" spans="1:4" x14ac:dyDescent="0.3">
      <c r="A1148" s="78" t="s">
        <v>23</v>
      </c>
      <c r="B1148" s="78"/>
      <c r="C1148" s="16">
        <v>46203</v>
      </c>
      <c r="D1148">
        <v>88090.37</v>
      </c>
    </row>
    <row r="1149" spans="1:4" x14ac:dyDescent="0.3">
      <c r="A1149" s="78" t="s">
        <v>24</v>
      </c>
      <c r="B1149" s="78"/>
      <c r="C1149" s="16">
        <v>46203</v>
      </c>
      <c r="D1149">
        <v>511.15999999999985</v>
      </c>
    </row>
    <row r="1150" spans="1:4" x14ac:dyDescent="0.3">
      <c r="A1150" s="78" t="s">
        <v>25</v>
      </c>
      <c r="B1150" s="78"/>
      <c r="C1150" s="16">
        <v>46203</v>
      </c>
      <c r="D1150">
        <v>84.35</v>
      </c>
    </row>
    <row r="1151" spans="1:4" x14ac:dyDescent="0.3">
      <c r="A1151" s="78" t="s">
        <v>26</v>
      </c>
      <c r="B1151" s="78"/>
      <c r="C1151" s="16">
        <v>46203</v>
      </c>
      <c r="D1151">
        <v>2237.77</v>
      </c>
    </row>
    <row r="1152" spans="1:4" x14ac:dyDescent="0.3">
      <c r="A1152" s="78" t="s">
        <v>27</v>
      </c>
      <c r="B1152" s="78"/>
      <c r="C1152" s="16">
        <v>46203</v>
      </c>
      <c r="D1152">
        <v>3349.94</v>
      </c>
    </row>
    <row r="1153" spans="1:4" x14ac:dyDescent="0.3">
      <c r="A1153" s="78" t="s">
        <v>28</v>
      </c>
      <c r="B1153" s="78"/>
      <c r="C1153" s="16">
        <v>46203</v>
      </c>
      <c r="D1153">
        <v>1968.99</v>
      </c>
    </row>
    <row r="1154" spans="1:4" x14ac:dyDescent="0.3">
      <c r="A1154" s="78" t="s">
        <v>29</v>
      </c>
      <c r="B1154" s="78"/>
      <c r="C1154" s="16">
        <v>46203</v>
      </c>
      <c r="D1154">
        <v>382.69000000000005</v>
      </c>
    </row>
    <row r="1155" spans="1:4" x14ac:dyDescent="0.3">
      <c r="A1155" s="78" t="s">
        <v>30</v>
      </c>
      <c r="B1155" s="78"/>
      <c r="C1155" s="16">
        <v>46203</v>
      </c>
      <c r="D1155">
        <v>1428.08</v>
      </c>
    </row>
    <row r="1156" spans="1:4" x14ac:dyDescent="0.3">
      <c r="A1156" s="78" t="s">
        <v>31</v>
      </c>
      <c r="B1156" s="78"/>
      <c r="C1156" s="16">
        <v>46203</v>
      </c>
      <c r="D1156">
        <v>31039.969999999961</v>
      </c>
    </row>
    <row r="1157" spans="1:4" x14ac:dyDescent="0.3">
      <c r="A1157" s="78" t="s">
        <v>32</v>
      </c>
      <c r="B1157" s="78"/>
      <c r="C1157" s="16">
        <v>46203</v>
      </c>
      <c r="D1157">
        <v>20321.43</v>
      </c>
    </row>
    <row r="1158" spans="1:4" x14ac:dyDescent="0.3">
      <c r="A1158" s="78" t="s">
        <v>33</v>
      </c>
      <c r="B1158" s="78"/>
      <c r="C1158" s="16">
        <v>46203</v>
      </c>
      <c r="D1158">
        <v>28458.6</v>
      </c>
    </row>
    <row r="1159" spans="1:4" x14ac:dyDescent="0.3">
      <c r="A1159" s="78" t="s">
        <v>34</v>
      </c>
      <c r="B1159" s="78"/>
      <c r="C1159" s="16">
        <v>46203</v>
      </c>
      <c r="D1159">
        <v>345</v>
      </c>
    </row>
    <row r="1160" spans="1:4" x14ac:dyDescent="0.3">
      <c r="A1160" s="78" t="s">
        <v>35</v>
      </c>
      <c r="B1160" s="78"/>
      <c r="C1160" s="16">
        <v>46203</v>
      </c>
      <c r="D1160">
        <v>23872.78</v>
      </c>
    </row>
    <row r="1161" spans="1:4" x14ac:dyDescent="0.3">
      <c r="A1161" s="78" t="s">
        <v>17</v>
      </c>
      <c r="B1161" s="78"/>
      <c r="C1161" s="16">
        <v>46204</v>
      </c>
      <c r="D1161">
        <v>6376919.080000001</v>
      </c>
    </row>
    <row r="1162" spans="1:4" x14ac:dyDescent="0.3">
      <c r="A1162" s="78" t="s">
        <v>18</v>
      </c>
      <c r="B1162" s="78"/>
      <c r="C1162" s="16">
        <v>46204</v>
      </c>
      <c r="D1162">
        <v>79139.680000000168</v>
      </c>
    </row>
    <row r="1163" spans="1:4" x14ac:dyDescent="0.3">
      <c r="A1163" s="78" t="s">
        <v>19</v>
      </c>
      <c r="B1163" s="78"/>
      <c r="C1163" s="16">
        <v>46204</v>
      </c>
      <c r="D1163">
        <v>1669.89</v>
      </c>
    </row>
    <row r="1164" spans="1:4" x14ac:dyDescent="0.3">
      <c r="A1164" s="78" t="s">
        <v>20</v>
      </c>
      <c r="B1164" s="78"/>
      <c r="C1164" s="16">
        <v>46204</v>
      </c>
      <c r="D1164">
        <v>338976.1399999999</v>
      </c>
    </row>
    <row r="1165" spans="1:4" x14ac:dyDescent="0.3">
      <c r="A1165" s="78" t="s">
        <v>21</v>
      </c>
      <c r="B1165" s="78"/>
      <c r="C1165" s="16">
        <v>46204</v>
      </c>
      <c r="D1165">
        <v>1710526.8499999994</v>
      </c>
    </row>
    <row r="1166" spans="1:4" x14ac:dyDescent="0.3">
      <c r="A1166" s="78" t="s">
        <v>22</v>
      </c>
      <c r="B1166" s="78"/>
      <c r="C1166" s="16">
        <v>46204</v>
      </c>
      <c r="D1166">
        <v>390496.38</v>
      </c>
    </row>
    <row r="1167" spans="1:4" x14ac:dyDescent="0.3">
      <c r="A1167" s="78" t="s">
        <v>23</v>
      </c>
      <c r="B1167" s="78"/>
      <c r="C1167" s="16">
        <v>46204</v>
      </c>
      <c r="D1167">
        <v>88090.37</v>
      </c>
    </row>
    <row r="1168" spans="1:4" x14ac:dyDescent="0.3">
      <c r="A1168" s="78" t="s">
        <v>24</v>
      </c>
      <c r="B1168" s="78"/>
      <c r="C1168" s="16">
        <v>46204</v>
      </c>
      <c r="D1168">
        <v>511.15999999999985</v>
      </c>
    </row>
    <row r="1169" spans="1:4" x14ac:dyDescent="0.3">
      <c r="A1169" s="78" t="s">
        <v>25</v>
      </c>
      <c r="B1169" s="78"/>
      <c r="C1169" s="16">
        <v>46204</v>
      </c>
      <c r="D1169">
        <v>54.400000000000006</v>
      </c>
    </row>
    <row r="1170" spans="1:4" x14ac:dyDescent="0.3">
      <c r="A1170" s="78" t="s">
        <v>26</v>
      </c>
      <c r="B1170" s="78"/>
      <c r="C1170" s="16">
        <v>46204</v>
      </c>
      <c r="D1170">
        <v>2207.8200000000002</v>
      </c>
    </row>
    <row r="1171" spans="1:4" x14ac:dyDescent="0.3">
      <c r="A1171" s="78" t="s">
        <v>27</v>
      </c>
      <c r="B1171" s="78"/>
      <c r="C1171" s="16">
        <v>46204</v>
      </c>
      <c r="D1171">
        <v>3349.94</v>
      </c>
    </row>
    <row r="1172" spans="1:4" x14ac:dyDescent="0.3">
      <c r="A1172" s="78" t="s">
        <v>28</v>
      </c>
      <c r="B1172" s="78"/>
      <c r="C1172" s="16">
        <v>46204</v>
      </c>
      <c r="D1172">
        <v>1968.99</v>
      </c>
    </row>
    <row r="1173" spans="1:4" x14ac:dyDescent="0.3">
      <c r="A1173" s="78" t="s">
        <v>29</v>
      </c>
      <c r="B1173" s="78"/>
      <c r="C1173" s="16">
        <v>46204</v>
      </c>
      <c r="D1173">
        <v>382.69000000000005</v>
      </c>
    </row>
    <row r="1174" spans="1:4" x14ac:dyDescent="0.3">
      <c r="A1174" s="78" t="s">
        <v>30</v>
      </c>
      <c r="B1174" s="78"/>
      <c r="C1174" s="16">
        <v>46204</v>
      </c>
      <c r="D1174">
        <v>1412.08</v>
      </c>
    </row>
    <row r="1175" spans="1:4" x14ac:dyDescent="0.3">
      <c r="A1175" s="78" t="s">
        <v>31</v>
      </c>
      <c r="B1175" s="78"/>
      <c r="C1175" s="16">
        <v>46204</v>
      </c>
      <c r="D1175">
        <v>22496.639999999959</v>
      </c>
    </row>
    <row r="1176" spans="1:4" x14ac:dyDescent="0.3">
      <c r="A1176" s="78" t="s">
        <v>32</v>
      </c>
      <c r="B1176" s="78"/>
      <c r="C1176" s="16">
        <v>46204</v>
      </c>
      <c r="D1176">
        <v>10522.800000000003</v>
      </c>
    </row>
    <row r="1177" spans="1:4" x14ac:dyDescent="0.3">
      <c r="A1177" s="78" t="s">
        <v>33</v>
      </c>
      <c r="B1177" s="78"/>
      <c r="C1177" s="16">
        <v>46204</v>
      </c>
      <c r="D1177">
        <v>19685.559999999998</v>
      </c>
    </row>
    <row r="1178" spans="1:4" x14ac:dyDescent="0.3">
      <c r="A1178" s="78" t="s">
        <v>34</v>
      </c>
      <c r="B1178" s="78"/>
      <c r="C1178" s="16">
        <v>46204</v>
      </c>
      <c r="D1178">
        <v>345</v>
      </c>
    </row>
    <row r="1179" spans="1:4" x14ac:dyDescent="0.3">
      <c r="A1179" s="78" t="s">
        <v>35</v>
      </c>
      <c r="B1179" s="78"/>
      <c r="C1179" s="16">
        <v>46204</v>
      </c>
      <c r="D1179">
        <v>23439.279999999999</v>
      </c>
    </row>
    <row r="1180" spans="1:4" x14ac:dyDescent="0.3">
      <c r="A1180" s="78" t="s">
        <v>17</v>
      </c>
      <c r="B1180" s="78"/>
      <c r="C1180" s="16">
        <v>46205</v>
      </c>
      <c r="D1180">
        <v>5673919.080000001</v>
      </c>
    </row>
    <row r="1181" spans="1:4" x14ac:dyDescent="0.3">
      <c r="A1181" s="78" t="s">
        <v>18</v>
      </c>
      <c r="B1181" s="78"/>
      <c r="C1181" s="16">
        <v>46205</v>
      </c>
      <c r="D1181">
        <v>79139.680000000168</v>
      </c>
    </row>
    <row r="1182" spans="1:4" x14ac:dyDescent="0.3">
      <c r="A1182" s="78" t="s">
        <v>19</v>
      </c>
      <c r="B1182" s="78"/>
      <c r="C1182" s="16">
        <v>46205</v>
      </c>
      <c r="D1182">
        <v>1669.89</v>
      </c>
    </row>
    <row r="1183" spans="1:4" x14ac:dyDescent="0.3">
      <c r="A1183" s="78" t="s">
        <v>20</v>
      </c>
      <c r="B1183" s="78"/>
      <c r="C1183" s="16">
        <v>46205</v>
      </c>
      <c r="D1183">
        <v>181515.38999999987</v>
      </c>
    </row>
    <row r="1184" spans="1:4" x14ac:dyDescent="0.3">
      <c r="A1184" s="78" t="s">
        <v>21</v>
      </c>
      <c r="B1184" s="78"/>
      <c r="C1184" s="16">
        <v>46205</v>
      </c>
      <c r="D1184">
        <v>1775806.9999999995</v>
      </c>
    </row>
    <row r="1185" spans="1:4" x14ac:dyDescent="0.3">
      <c r="A1185" s="78" t="s">
        <v>22</v>
      </c>
      <c r="B1185" s="78"/>
      <c r="C1185" s="16">
        <v>46205</v>
      </c>
      <c r="D1185">
        <v>220496.38</v>
      </c>
    </row>
    <row r="1186" spans="1:4" x14ac:dyDescent="0.3">
      <c r="A1186" s="78" t="s">
        <v>23</v>
      </c>
      <c r="B1186" s="78"/>
      <c r="C1186" s="16">
        <v>46205</v>
      </c>
      <c r="D1186">
        <v>88090.37</v>
      </c>
    </row>
    <row r="1187" spans="1:4" x14ac:dyDescent="0.3">
      <c r="A1187" s="78" t="s">
        <v>24</v>
      </c>
      <c r="B1187" s="78"/>
      <c r="C1187" s="16">
        <v>46205</v>
      </c>
      <c r="D1187">
        <v>511.15999999999985</v>
      </c>
    </row>
    <row r="1188" spans="1:4" x14ac:dyDescent="0.3">
      <c r="A1188" s="78" t="s">
        <v>25</v>
      </c>
      <c r="B1188" s="78"/>
      <c r="C1188" s="16">
        <v>46205</v>
      </c>
      <c r="D1188">
        <v>54.400000000000006</v>
      </c>
    </row>
    <row r="1189" spans="1:4" x14ac:dyDescent="0.3">
      <c r="A1189" s="78" t="s">
        <v>26</v>
      </c>
      <c r="B1189" s="78"/>
      <c r="C1189" s="16">
        <v>46205</v>
      </c>
      <c r="D1189">
        <v>2207.8200000000002</v>
      </c>
    </row>
    <row r="1190" spans="1:4" x14ac:dyDescent="0.3">
      <c r="A1190" s="78" t="s">
        <v>27</v>
      </c>
      <c r="B1190" s="78"/>
      <c r="C1190" s="16">
        <v>46205</v>
      </c>
      <c r="D1190">
        <v>3349.94</v>
      </c>
    </row>
    <row r="1191" spans="1:4" x14ac:dyDescent="0.3">
      <c r="A1191" s="78" t="s">
        <v>28</v>
      </c>
      <c r="B1191" s="78"/>
      <c r="C1191" s="16">
        <v>46205</v>
      </c>
      <c r="D1191">
        <v>1968.99</v>
      </c>
    </row>
    <row r="1192" spans="1:4" x14ac:dyDescent="0.3">
      <c r="A1192" s="78" t="s">
        <v>29</v>
      </c>
      <c r="B1192" s="78"/>
      <c r="C1192" s="16">
        <v>46205</v>
      </c>
      <c r="D1192">
        <v>382.69000000000005</v>
      </c>
    </row>
    <row r="1193" spans="1:4" x14ac:dyDescent="0.3">
      <c r="A1193" s="78" t="s">
        <v>30</v>
      </c>
      <c r="B1193" s="78"/>
      <c r="C1193" s="16">
        <v>46205</v>
      </c>
      <c r="D1193">
        <v>1412.08</v>
      </c>
    </row>
    <row r="1194" spans="1:4" x14ac:dyDescent="0.3">
      <c r="A1194" s="78" t="s">
        <v>31</v>
      </c>
      <c r="B1194" s="78"/>
      <c r="C1194" s="16">
        <v>46205</v>
      </c>
      <c r="D1194">
        <v>22496.639999999959</v>
      </c>
    </row>
    <row r="1195" spans="1:4" x14ac:dyDescent="0.3">
      <c r="A1195" s="78" t="s">
        <v>32</v>
      </c>
      <c r="B1195" s="78"/>
      <c r="C1195" s="16">
        <v>46205</v>
      </c>
      <c r="D1195">
        <v>10522.800000000003</v>
      </c>
    </row>
    <row r="1196" spans="1:4" x14ac:dyDescent="0.3">
      <c r="A1196" s="78" t="s">
        <v>33</v>
      </c>
      <c r="B1196" s="78"/>
      <c r="C1196" s="16">
        <v>46205</v>
      </c>
      <c r="D1196">
        <v>28485.559999999998</v>
      </c>
    </row>
    <row r="1197" spans="1:4" x14ac:dyDescent="0.3">
      <c r="A1197" s="78" t="s">
        <v>34</v>
      </c>
      <c r="B1197" s="78"/>
      <c r="C1197" s="16">
        <v>46205</v>
      </c>
      <c r="D1197">
        <v>345</v>
      </c>
    </row>
    <row r="1198" spans="1:4" x14ac:dyDescent="0.3">
      <c r="A1198" s="78" t="s">
        <v>35</v>
      </c>
      <c r="B1198" s="78"/>
      <c r="C1198" s="16">
        <v>46205</v>
      </c>
      <c r="D1198">
        <v>36241.22</v>
      </c>
    </row>
    <row r="1199" spans="1:4" x14ac:dyDescent="0.3">
      <c r="A1199" s="78" t="s">
        <v>17</v>
      </c>
      <c r="B1199" s="78"/>
      <c r="C1199" s="16">
        <v>46206</v>
      </c>
      <c r="D1199">
        <v>5673919.080000001</v>
      </c>
    </row>
    <row r="1200" spans="1:4" x14ac:dyDescent="0.3">
      <c r="A1200" s="78" t="s">
        <v>18</v>
      </c>
      <c r="B1200" s="78"/>
      <c r="C1200" s="16">
        <v>46206</v>
      </c>
      <c r="D1200">
        <v>79139.680000000168</v>
      </c>
    </row>
    <row r="1201" spans="1:4" x14ac:dyDescent="0.3">
      <c r="A1201" s="78" t="s">
        <v>19</v>
      </c>
      <c r="B1201" s="78"/>
      <c r="C1201" s="16">
        <v>46206</v>
      </c>
      <c r="D1201">
        <v>1669.89</v>
      </c>
    </row>
    <row r="1202" spans="1:4" x14ac:dyDescent="0.3">
      <c r="A1202" s="78" t="s">
        <v>20</v>
      </c>
      <c r="B1202" s="78"/>
      <c r="C1202" s="16">
        <v>46206</v>
      </c>
      <c r="D1202">
        <v>181515.38999999987</v>
      </c>
    </row>
    <row r="1203" spans="1:4" x14ac:dyDescent="0.3">
      <c r="A1203" s="78" t="s">
        <v>21</v>
      </c>
      <c r="B1203" s="78"/>
      <c r="C1203" s="16">
        <v>46206</v>
      </c>
      <c r="D1203">
        <v>1775806.9999999995</v>
      </c>
    </row>
    <row r="1204" spans="1:4" x14ac:dyDescent="0.3">
      <c r="A1204" s="78" t="s">
        <v>22</v>
      </c>
      <c r="B1204" s="78"/>
      <c r="C1204" s="16">
        <v>46206</v>
      </c>
      <c r="D1204">
        <v>220496.38</v>
      </c>
    </row>
    <row r="1205" spans="1:4" x14ac:dyDescent="0.3">
      <c r="A1205" s="78" t="s">
        <v>23</v>
      </c>
      <c r="B1205" s="78"/>
      <c r="C1205" s="16">
        <v>46206</v>
      </c>
      <c r="D1205">
        <v>88090.37</v>
      </c>
    </row>
    <row r="1206" spans="1:4" x14ac:dyDescent="0.3">
      <c r="A1206" s="78" t="s">
        <v>24</v>
      </c>
      <c r="B1206" s="78"/>
      <c r="C1206" s="16">
        <v>46206</v>
      </c>
      <c r="D1206">
        <v>471.15999999999985</v>
      </c>
    </row>
    <row r="1207" spans="1:4" x14ac:dyDescent="0.3">
      <c r="A1207" s="78" t="s">
        <v>25</v>
      </c>
      <c r="B1207" s="78"/>
      <c r="C1207" s="16">
        <v>46206</v>
      </c>
      <c r="D1207">
        <v>54.400000000000006</v>
      </c>
    </row>
    <row r="1208" spans="1:4" x14ac:dyDescent="0.3">
      <c r="A1208" s="78" t="s">
        <v>26</v>
      </c>
      <c r="B1208" s="78"/>
      <c r="C1208" s="16">
        <v>46206</v>
      </c>
      <c r="D1208">
        <v>2207.8200000000002</v>
      </c>
    </row>
    <row r="1209" spans="1:4" x14ac:dyDescent="0.3">
      <c r="A1209" s="78" t="s">
        <v>27</v>
      </c>
      <c r="B1209" s="78"/>
      <c r="C1209" s="16">
        <v>46206</v>
      </c>
      <c r="D1209">
        <v>3349.94</v>
      </c>
    </row>
    <row r="1210" spans="1:4" x14ac:dyDescent="0.3">
      <c r="A1210" s="78" t="s">
        <v>28</v>
      </c>
      <c r="B1210" s="78"/>
      <c r="C1210" s="16">
        <v>46206</v>
      </c>
      <c r="D1210">
        <v>1968.99</v>
      </c>
    </row>
    <row r="1211" spans="1:4" x14ac:dyDescent="0.3">
      <c r="A1211" s="78" t="s">
        <v>29</v>
      </c>
      <c r="B1211" s="78"/>
      <c r="C1211" s="16">
        <v>46206</v>
      </c>
      <c r="D1211">
        <v>382.69000000000005</v>
      </c>
    </row>
    <row r="1212" spans="1:4" x14ac:dyDescent="0.3">
      <c r="A1212" s="78" t="s">
        <v>30</v>
      </c>
      <c r="B1212" s="78"/>
      <c r="C1212" s="16">
        <v>46206</v>
      </c>
      <c r="D1212">
        <v>1412.08</v>
      </c>
    </row>
    <row r="1213" spans="1:4" x14ac:dyDescent="0.3">
      <c r="A1213" s="78" t="s">
        <v>31</v>
      </c>
      <c r="B1213" s="78"/>
      <c r="C1213" s="16">
        <v>46206</v>
      </c>
      <c r="D1213">
        <v>22496.639999999959</v>
      </c>
    </row>
    <row r="1214" spans="1:4" x14ac:dyDescent="0.3">
      <c r="A1214" s="78" t="s">
        <v>32</v>
      </c>
      <c r="B1214" s="78"/>
      <c r="C1214" s="16">
        <v>46206</v>
      </c>
      <c r="D1214">
        <v>10522.800000000003</v>
      </c>
    </row>
    <row r="1215" spans="1:4" x14ac:dyDescent="0.3">
      <c r="A1215" s="78" t="s">
        <v>33</v>
      </c>
      <c r="B1215" s="78"/>
      <c r="C1215" s="16">
        <v>46206</v>
      </c>
      <c r="D1215">
        <v>28485.559999999998</v>
      </c>
    </row>
    <row r="1216" spans="1:4" x14ac:dyDescent="0.3">
      <c r="A1216" s="78" t="s">
        <v>34</v>
      </c>
      <c r="B1216" s="78"/>
      <c r="C1216" s="16">
        <v>46206</v>
      </c>
      <c r="D1216">
        <v>345</v>
      </c>
    </row>
    <row r="1217" spans="1:4" x14ac:dyDescent="0.3">
      <c r="A1217" s="78" t="s">
        <v>35</v>
      </c>
      <c r="B1217" s="78"/>
      <c r="C1217" s="16">
        <v>46206</v>
      </c>
      <c r="D1217">
        <v>33119.040000000001</v>
      </c>
    </row>
    <row r="1218" spans="1:4" x14ac:dyDescent="0.3">
      <c r="A1218" s="78" t="s">
        <v>17</v>
      </c>
      <c r="B1218" s="78"/>
      <c r="C1218" s="16">
        <v>46207</v>
      </c>
      <c r="D1218">
        <v>5673919.080000001</v>
      </c>
    </row>
    <row r="1219" spans="1:4" x14ac:dyDescent="0.3">
      <c r="A1219" s="78" t="s">
        <v>18</v>
      </c>
      <c r="B1219" s="78"/>
      <c r="C1219" s="16">
        <v>46207</v>
      </c>
      <c r="D1219">
        <v>79139.680000000168</v>
      </c>
    </row>
    <row r="1220" spans="1:4" x14ac:dyDescent="0.3">
      <c r="A1220" s="78" t="s">
        <v>19</v>
      </c>
      <c r="B1220" s="78"/>
      <c r="C1220" s="16">
        <v>46207</v>
      </c>
      <c r="D1220">
        <v>1669.89</v>
      </c>
    </row>
    <row r="1221" spans="1:4" x14ac:dyDescent="0.3">
      <c r="A1221" s="78" t="s">
        <v>20</v>
      </c>
      <c r="B1221" s="78"/>
      <c r="C1221" s="16">
        <v>46207</v>
      </c>
      <c r="D1221">
        <v>181515.38999999987</v>
      </c>
    </row>
    <row r="1222" spans="1:4" x14ac:dyDescent="0.3">
      <c r="A1222" s="78" t="s">
        <v>21</v>
      </c>
      <c r="B1222" s="78"/>
      <c r="C1222" s="16">
        <v>46207</v>
      </c>
      <c r="D1222">
        <v>1775806.9999999995</v>
      </c>
    </row>
    <row r="1223" spans="1:4" x14ac:dyDescent="0.3">
      <c r="A1223" s="78" t="s">
        <v>22</v>
      </c>
      <c r="B1223" s="78"/>
      <c r="C1223" s="16">
        <v>46207</v>
      </c>
      <c r="D1223">
        <v>220496.38</v>
      </c>
    </row>
    <row r="1224" spans="1:4" x14ac:dyDescent="0.3">
      <c r="A1224" s="78" t="s">
        <v>23</v>
      </c>
      <c r="B1224" s="78"/>
      <c r="C1224" s="16">
        <v>46207</v>
      </c>
      <c r="D1224">
        <v>88090.37</v>
      </c>
    </row>
    <row r="1225" spans="1:4" x14ac:dyDescent="0.3">
      <c r="A1225" s="78" t="s">
        <v>24</v>
      </c>
      <c r="B1225" s="78"/>
      <c r="C1225" s="16">
        <v>46207</v>
      </c>
      <c r="D1225">
        <v>471.15999999999985</v>
      </c>
    </row>
    <row r="1226" spans="1:4" x14ac:dyDescent="0.3">
      <c r="A1226" s="78" t="s">
        <v>25</v>
      </c>
      <c r="B1226" s="78"/>
      <c r="C1226" s="16">
        <v>46207</v>
      </c>
      <c r="D1226">
        <v>54.400000000000006</v>
      </c>
    </row>
    <row r="1227" spans="1:4" x14ac:dyDescent="0.3">
      <c r="A1227" s="78" t="s">
        <v>26</v>
      </c>
      <c r="B1227" s="78"/>
      <c r="C1227" s="16">
        <v>46207</v>
      </c>
      <c r="D1227">
        <v>2207.8200000000002</v>
      </c>
    </row>
    <row r="1228" spans="1:4" x14ac:dyDescent="0.3">
      <c r="A1228" s="78" t="s">
        <v>27</v>
      </c>
      <c r="B1228" s="78"/>
      <c r="C1228" s="16">
        <v>46207</v>
      </c>
      <c r="D1228">
        <v>3349.94</v>
      </c>
    </row>
    <row r="1229" spans="1:4" x14ac:dyDescent="0.3">
      <c r="A1229" s="78" t="s">
        <v>28</v>
      </c>
      <c r="B1229" s="78"/>
      <c r="C1229" s="16">
        <v>46207</v>
      </c>
      <c r="D1229">
        <v>1968.99</v>
      </c>
    </row>
    <row r="1230" spans="1:4" x14ac:dyDescent="0.3">
      <c r="A1230" s="78" t="s">
        <v>29</v>
      </c>
      <c r="B1230" s="78"/>
      <c r="C1230" s="16">
        <v>46207</v>
      </c>
      <c r="D1230">
        <v>382.69000000000005</v>
      </c>
    </row>
    <row r="1231" spans="1:4" x14ac:dyDescent="0.3">
      <c r="A1231" s="78" t="s">
        <v>30</v>
      </c>
      <c r="B1231" s="78"/>
      <c r="C1231" s="16">
        <v>46207</v>
      </c>
      <c r="D1231">
        <v>1412.08</v>
      </c>
    </row>
    <row r="1232" spans="1:4" x14ac:dyDescent="0.3">
      <c r="A1232" s="78" t="s">
        <v>31</v>
      </c>
      <c r="B1232" s="78"/>
      <c r="C1232" s="16">
        <v>46207</v>
      </c>
      <c r="D1232">
        <v>22496.639999999959</v>
      </c>
    </row>
    <row r="1233" spans="1:4" x14ac:dyDescent="0.3">
      <c r="A1233" s="78" t="s">
        <v>32</v>
      </c>
      <c r="B1233" s="78"/>
      <c r="C1233" s="16">
        <v>46207</v>
      </c>
      <c r="D1233">
        <v>10522.800000000003</v>
      </c>
    </row>
    <row r="1234" spans="1:4" x14ac:dyDescent="0.3">
      <c r="A1234" s="78" t="s">
        <v>33</v>
      </c>
      <c r="B1234" s="78"/>
      <c r="C1234" s="16">
        <v>46207</v>
      </c>
      <c r="D1234">
        <v>28485.559999999998</v>
      </c>
    </row>
    <row r="1235" spans="1:4" x14ac:dyDescent="0.3">
      <c r="A1235" s="78" t="s">
        <v>34</v>
      </c>
      <c r="B1235" s="78"/>
      <c r="C1235" s="16">
        <v>46207</v>
      </c>
      <c r="D1235">
        <v>345</v>
      </c>
    </row>
    <row r="1236" spans="1:4" x14ac:dyDescent="0.3">
      <c r="A1236" s="78" t="s">
        <v>35</v>
      </c>
      <c r="B1236" s="78"/>
      <c r="C1236" s="16">
        <v>46207</v>
      </c>
      <c r="D1236">
        <v>33119.040000000001</v>
      </c>
    </row>
    <row r="1237" spans="1:4" x14ac:dyDescent="0.3">
      <c r="A1237" s="78" t="s">
        <v>17</v>
      </c>
      <c r="B1237" s="78"/>
      <c r="C1237" s="16">
        <v>46208</v>
      </c>
      <c r="D1237">
        <v>5673919.080000001</v>
      </c>
    </row>
    <row r="1238" spans="1:4" x14ac:dyDescent="0.3">
      <c r="A1238" s="78" t="s">
        <v>18</v>
      </c>
      <c r="B1238" s="78"/>
      <c r="C1238" s="16">
        <v>46208</v>
      </c>
      <c r="D1238">
        <v>79139.680000000168</v>
      </c>
    </row>
    <row r="1239" spans="1:4" x14ac:dyDescent="0.3">
      <c r="A1239" s="78" t="s">
        <v>19</v>
      </c>
      <c r="B1239" s="78"/>
      <c r="C1239" s="16">
        <v>46208</v>
      </c>
      <c r="D1239">
        <v>1669.89</v>
      </c>
    </row>
    <row r="1240" spans="1:4" x14ac:dyDescent="0.3">
      <c r="A1240" s="78" t="s">
        <v>20</v>
      </c>
      <c r="B1240" s="78"/>
      <c r="C1240" s="16">
        <v>46208</v>
      </c>
      <c r="D1240">
        <v>181515.38999999987</v>
      </c>
    </row>
    <row r="1241" spans="1:4" x14ac:dyDescent="0.3">
      <c r="A1241" s="78" t="s">
        <v>21</v>
      </c>
      <c r="B1241" s="78"/>
      <c r="C1241" s="16">
        <v>46208</v>
      </c>
      <c r="D1241">
        <v>1775806.9999999995</v>
      </c>
    </row>
    <row r="1242" spans="1:4" x14ac:dyDescent="0.3">
      <c r="A1242" s="78" t="s">
        <v>22</v>
      </c>
      <c r="B1242" s="78"/>
      <c r="C1242" s="16">
        <v>46208</v>
      </c>
      <c r="D1242">
        <v>220496.38</v>
      </c>
    </row>
    <row r="1243" spans="1:4" x14ac:dyDescent="0.3">
      <c r="A1243" s="78" t="s">
        <v>23</v>
      </c>
      <c r="B1243" s="78"/>
      <c r="C1243" s="16">
        <v>46208</v>
      </c>
      <c r="D1243">
        <v>88090.37</v>
      </c>
    </row>
    <row r="1244" spans="1:4" x14ac:dyDescent="0.3">
      <c r="A1244" s="78" t="s">
        <v>24</v>
      </c>
      <c r="B1244" s="78"/>
      <c r="C1244" s="16">
        <v>46208</v>
      </c>
      <c r="D1244">
        <v>471.15999999999985</v>
      </c>
    </row>
    <row r="1245" spans="1:4" x14ac:dyDescent="0.3">
      <c r="A1245" s="78" t="s">
        <v>25</v>
      </c>
      <c r="B1245" s="78"/>
      <c r="C1245" s="16">
        <v>46208</v>
      </c>
      <c r="D1245">
        <v>54.400000000000006</v>
      </c>
    </row>
    <row r="1246" spans="1:4" x14ac:dyDescent="0.3">
      <c r="A1246" s="78" t="s">
        <v>26</v>
      </c>
      <c r="B1246" s="78"/>
      <c r="C1246" s="16">
        <v>46208</v>
      </c>
      <c r="D1246">
        <v>2207.8200000000002</v>
      </c>
    </row>
    <row r="1247" spans="1:4" x14ac:dyDescent="0.3">
      <c r="A1247" s="78" t="s">
        <v>27</v>
      </c>
      <c r="B1247" s="78"/>
      <c r="C1247" s="16">
        <v>46208</v>
      </c>
      <c r="D1247">
        <v>3349.94</v>
      </c>
    </row>
    <row r="1248" spans="1:4" x14ac:dyDescent="0.3">
      <c r="A1248" s="78" t="s">
        <v>28</v>
      </c>
      <c r="B1248" s="78"/>
      <c r="C1248" s="16">
        <v>46208</v>
      </c>
      <c r="D1248">
        <v>1968.99</v>
      </c>
    </row>
    <row r="1249" spans="1:4" x14ac:dyDescent="0.3">
      <c r="A1249" s="78" t="s">
        <v>29</v>
      </c>
      <c r="B1249" s="78"/>
      <c r="C1249" s="16">
        <v>46208</v>
      </c>
      <c r="D1249">
        <v>382.69000000000005</v>
      </c>
    </row>
    <row r="1250" spans="1:4" x14ac:dyDescent="0.3">
      <c r="A1250" s="78" t="s">
        <v>30</v>
      </c>
      <c r="B1250" s="78"/>
      <c r="C1250" s="16">
        <v>46208</v>
      </c>
      <c r="D1250">
        <v>1412.08</v>
      </c>
    </row>
    <row r="1251" spans="1:4" x14ac:dyDescent="0.3">
      <c r="A1251" s="78" t="s">
        <v>31</v>
      </c>
      <c r="B1251" s="78"/>
      <c r="C1251" s="16">
        <v>46208</v>
      </c>
      <c r="D1251">
        <v>22496.639999999959</v>
      </c>
    </row>
    <row r="1252" spans="1:4" x14ac:dyDescent="0.3">
      <c r="A1252" s="78" t="s">
        <v>32</v>
      </c>
      <c r="B1252" s="78"/>
      <c r="C1252" s="16">
        <v>46208</v>
      </c>
      <c r="D1252">
        <v>10522.800000000003</v>
      </c>
    </row>
    <row r="1253" spans="1:4" x14ac:dyDescent="0.3">
      <c r="A1253" s="78" t="s">
        <v>33</v>
      </c>
      <c r="B1253" s="78"/>
      <c r="C1253" s="16">
        <v>46208</v>
      </c>
      <c r="D1253">
        <v>28485.559999999998</v>
      </c>
    </row>
    <row r="1254" spans="1:4" x14ac:dyDescent="0.3">
      <c r="A1254" s="78" t="s">
        <v>34</v>
      </c>
      <c r="B1254" s="78"/>
      <c r="C1254" s="16">
        <v>46208</v>
      </c>
      <c r="D1254">
        <v>345</v>
      </c>
    </row>
    <row r="1255" spans="1:4" x14ac:dyDescent="0.3">
      <c r="A1255" s="78" t="s">
        <v>35</v>
      </c>
      <c r="B1255" s="78"/>
      <c r="C1255" s="16">
        <v>46208</v>
      </c>
      <c r="D1255">
        <v>33119.040000000001</v>
      </c>
    </row>
    <row r="1256" spans="1:4" x14ac:dyDescent="0.3">
      <c r="A1256" s="78" t="s">
        <v>17</v>
      </c>
      <c r="B1256" s="78"/>
      <c r="C1256" s="16">
        <v>46209</v>
      </c>
      <c r="D1256">
        <v>5673919.080000001</v>
      </c>
    </row>
    <row r="1257" spans="1:4" x14ac:dyDescent="0.3">
      <c r="A1257" s="78" t="s">
        <v>18</v>
      </c>
      <c r="B1257" s="78"/>
      <c r="C1257" s="16">
        <v>46209</v>
      </c>
      <c r="D1257">
        <v>79139.680000000168</v>
      </c>
    </row>
    <row r="1258" spans="1:4" x14ac:dyDescent="0.3">
      <c r="A1258" s="78" t="s">
        <v>19</v>
      </c>
      <c r="B1258" s="78"/>
      <c r="C1258" s="16">
        <v>46209</v>
      </c>
      <c r="D1258">
        <v>1669.89</v>
      </c>
    </row>
    <row r="1259" spans="1:4" x14ac:dyDescent="0.3">
      <c r="A1259" s="78" t="s">
        <v>20</v>
      </c>
      <c r="B1259" s="78"/>
      <c r="C1259" s="16">
        <v>46209</v>
      </c>
      <c r="D1259">
        <v>181515.38999999987</v>
      </c>
    </row>
    <row r="1260" spans="1:4" x14ac:dyDescent="0.3">
      <c r="A1260" s="78" t="s">
        <v>21</v>
      </c>
      <c r="B1260" s="78"/>
      <c r="C1260" s="16">
        <v>46209</v>
      </c>
      <c r="D1260">
        <v>1775268.5799999994</v>
      </c>
    </row>
    <row r="1261" spans="1:4" x14ac:dyDescent="0.3">
      <c r="A1261" s="78" t="s">
        <v>22</v>
      </c>
      <c r="B1261" s="78"/>
      <c r="C1261" s="16">
        <v>46209</v>
      </c>
      <c r="D1261">
        <v>220496.38</v>
      </c>
    </row>
    <row r="1262" spans="1:4" x14ac:dyDescent="0.3">
      <c r="A1262" s="78" t="s">
        <v>23</v>
      </c>
      <c r="B1262" s="78"/>
      <c r="C1262" s="16">
        <v>46209</v>
      </c>
      <c r="D1262">
        <v>88090.37</v>
      </c>
    </row>
    <row r="1263" spans="1:4" x14ac:dyDescent="0.3">
      <c r="A1263" s="78" t="s">
        <v>24</v>
      </c>
      <c r="B1263" s="78"/>
      <c r="C1263" s="16">
        <v>46209</v>
      </c>
      <c r="D1263">
        <v>471.15999999999985</v>
      </c>
    </row>
    <row r="1264" spans="1:4" x14ac:dyDescent="0.3">
      <c r="A1264" s="78" t="s">
        <v>25</v>
      </c>
      <c r="B1264" s="78"/>
      <c r="C1264" s="16">
        <v>46209</v>
      </c>
      <c r="D1264">
        <v>54.400000000000006</v>
      </c>
    </row>
    <row r="1265" spans="1:4" x14ac:dyDescent="0.3">
      <c r="A1265" s="78" t="s">
        <v>26</v>
      </c>
      <c r="B1265" s="78"/>
      <c r="C1265" s="16">
        <v>46209</v>
      </c>
      <c r="D1265">
        <v>2207.8200000000002</v>
      </c>
    </row>
    <row r="1266" spans="1:4" x14ac:dyDescent="0.3">
      <c r="A1266" s="78" t="s">
        <v>27</v>
      </c>
      <c r="B1266" s="78"/>
      <c r="C1266" s="16">
        <v>46209</v>
      </c>
      <c r="D1266">
        <v>3349.94</v>
      </c>
    </row>
    <row r="1267" spans="1:4" x14ac:dyDescent="0.3">
      <c r="A1267" s="78" t="s">
        <v>28</v>
      </c>
      <c r="B1267" s="78"/>
      <c r="C1267" s="16">
        <v>46209</v>
      </c>
      <c r="D1267">
        <v>1968.99</v>
      </c>
    </row>
    <row r="1268" spans="1:4" x14ac:dyDescent="0.3">
      <c r="A1268" s="78" t="s">
        <v>29</v>
      </c>
      <c r="B1268" s="78"/>
      <c r="C1268" s="16">
        <v>46209</v>
      </c>
      <c r="D1268">
        <v>382.69000000000005</v>
      </c>
    </row>
    <row r="1269" spans="1:4" x14ac:dyDescent="0.3">
      <c r="A1269" s="78" t="s">
        <v>30</v>
      </c>
      <c r="B1269" s="78"/>
      <c r="C1269" s="16">
        <v>46209</v>
      </c>
      <c r="D1269">
        <v>1412.08</v>
      </c>
    </row>
    <row r="1270" spans="1:4" x14ac:dyDescent="0.3">
      <c r="A1270" s="78" t="s">
        <v>31</v>
      </c>
      <c r="B1270" s="78"/>
      <c r="C1270" s="16">
        <v>46209</v>
      </c>
      <c r="D1270">
        <v>22496.639999999959</v>
      </c>
    </row>
    <row r="1271" spans="1:4" x14ac:dyDescent="0.3">
      <c r="A1271" s="78" t="s">
        <v>32</v>
      </c>
      <c r="B1271" s="78"/>
      <c r="C1271" s="16">
        <v>46209</v>
      </c>
      <c r="D1271">
        <v>10522.800000000003</v>
      </c>
    </row>
    <row r="1272" spans="1:4" x14ac:dyDescent="0.3">
      <c r="A1272" s="78" t="s">
        <v>33</v>
      </c>
      <c r="B1272" s="78"/>
      <c r="C1272" s="16">
        <v>46209</v>
      </c>
      <c r="D1272">
        <v>28485.559999999998</v>
      </c>
    </row>
    <row r="1273" spans="1:4" x14ac:dyDescent="0.3">
      <c r="A1273" s="78" t="s">
        <v>34</v>
      </c>
      <c r="B1273" s="78"/>
      <c r="C1273" s="16">
        <v>46209</v>
      </c>
      <c r="D1273">
        <v>345</v>
      </c>
    </row>
    <row r="1274" spans="1:4" x14ac:dyDescent="0.3">
      <c r="A1274" s="78" t="s">
        <v>35</v>
      </c>
      <c r="B1274" s="78"/>
      <c r="C1274" s="16">
        <v>46209</v>
      </c>
      <c r="D1274">
        <v>15165.34</v>
      </c>
    </row>
    <row r="1275" spans="1:4" x14ac:dyDescent="0.3">
      <c r="A1275" s="78" t="s">
        <v>17</v>
      </c>
      <c r="B1275" s="78"/>
      <c r="C1275" s="16">
        <v>46210</v>
      </c>
      <c r="D1275">
        <v>5673919.080000001</v>
      </c>
    </row>
    <row r="1276" spans="1:4" x14ac:dyDescent="0.3">
      <c r="A1276" s="78" t="s">
        <v>18</v>
      </c>
      <c r="B1276" s="78"/>
      <c r="C1276" s="16">
        <v>46210</v>
      </c>
      <c r="D1276">
        <v>79139.680000000168</v>
      </c>
    </row>
    <row r="1277" spans="1:4" x14ac:dyDescent="0.3">
      <c r="A1277" s="78" t="s">
        <v>19</v>
      </c>
      <c r="B1277" s="78"/>
      <c r="C1277" s="16">
        <v>46210</v>
      </c>
      <c r="D1277">
        <v>1669.89</v>
      </c>
    </row>
    <row r="1278" spans="1:4" x14ac:dyDescent="0.3">
      <c r="A1278" s="78" t="s">
        <v>20</v>
      </c>
      <c r="B1278" s="78"/>
      <c r="C1278" s="16">
        <v>46210</v>
      </c>
      <c r="D1278">
        <v>181515.38999999987</v>
      </c>
    </row>
    <row r="1279" spans="1:4" x14ac:dyDescent="0.3">
      <c r="A1279" s="78" t="s">
        <v>21</v>
      </c>
      <c r="B1279" s="78"/>
      <c r="C1279" s="16">
        <v>46210</v>
      </c>
      <c r="D1279">
        <v>1775268.5799999994</v>
      </c>
    </row>
    <row r="1280" spans="1:4" x14ac:dyDescent="0.3">
      <c r="A1280" s="78" t="s">
        <v>22</v>
      </c>
      <c r="B1280" s="78"/>
      <c r="C1280" s="16">
        <v>46210</v>
      </c>
      <c r="D1280">
        <v>220496.38</v>
      </c>
    </row>
    <row r="1281" spans="1:4" x14ac:dyDescent="0.3">
      <c r="A1281" s="78" t="s">
        <v>23</v>
      </c>
      <c r="B1281" s="78"/>
      <c r="C1281" s="16">
        <v>46210</v>
      </c>
      <c r="D1281">
        <v>88090.37</v>
      </c>
    </row>
    <row r="1282" spans="1:4" x14ac:dyDescent="0.3">
      <c r="A1282" s="78" t="s">
        <v>24</v>
      </c>
      <c r="B1282" s="78"/>
      <c r="C1282" s="16">
        <v>46210</v>
      </c>
      <c r="D1282">
        <v>471.15999999999985</v>
      </c>
    </row>
    <row r="1283" spans="1:4" x14ac:dyDescent="0.3">
      <c r="A1283" s="78" t="s">
        <v>25</v>
      </c>
      <c r="B1283" s="78"/>
      <c r="C1283" s="16">
        <v>46210</v>
      </c>
      <c r="D1283">
        <v>54.400000000000006</v>
      </c>
    </row>
    <row r="1284" spans="1:4" x14ac:dyDescent="0.3">
      <c r="A1284" s="78" t="s">
        <v>26</v>
      </c>
      <c r="B1284" s="78"/>
      <c r="C1284" s="16">
        <v>46210</v>
      </c>
      <c r="D1284">
        <v>2207.8200000000002</v>
      </c>
    </row>
    <row r="1285" spans="1:4" x14ac:dyDescent="0.3">
      <c r="A1285" s="78" t="s">
        <v>27</v>
      </c>
      <c r="B1285" s="78"/>
      <c r="C1285" s="16">
        <v>46210</v>
      </c>
      <c r="D1285">
        <v>3349.94</v>
      </c>
    </row>
    <row r="1286" spans="1:4" x14ac:dyDescent="0.3">
      <c r="A1286" s="78" t="s">
        <v>28</v>
      </c>
      <c r="B1286" s="78"/>
      <c r="C1286" s="16">
        <v>46210</v>
      </c>
      <c r="D1286">
        <v>1968.99</v>
      </c>
    </row>
    <row r="1287" spans="1:4" x14ac:dyDescent="0.3">
      <c r="A1287" s="78" t="s">
        <v>29</v>
      </c>
      <c r="B1287" s="78"/>
      <c r="C1287" s="16">
        <v>46210</v>
      </c>
      <c r="D1287">
        <v>382.69000000000005</v>
      </c>
    </row>
    <row r="1288" spans="1:4" x14ac:dyDescent="0.3">
      <c r="A1288" s="78" t="s">
        <v>30</v>
      </c>
      <c r="B1288" s="78"/>
      <c r="C1288" s="16">
        <v>46210</v>
      </c>
      <c r="D1288">
        <v>1412.08</v>
      </c>
    </row>
    <row r="1289" spans="1:4" x14ac:dyDescent="0.3">
      <c r="A1289" s="78" t="s">
        <v>31</v>
      </c>
      <c r="B1289" s="78"/>
      <c r="C1289" s="16">
        <v>46210</v>
      </c>
      <c r="D1289">
        <v>22496.639999999959</v>
      </c>
    </row>
    <row r="1290" spans="1:4" x14ac:dyDescent="0.3">
      <c r="A1290" s="78" t="s">
        <v>32</v>
      </c>
      <c r="B1290" s="78"/>
      <c r="C1290" s="16">
        <v>46210</v>
      </c>
      <c r="D1290">
        <v>10522.800000000003</v>
      </c>
    </row>
    <row r="1291" spans="1:4" x14ac:dyDescent="0.3">
      <c r="A1291" s="78" t="s">
        <v>33</v>
      </c>
      <c r="B1291" s="78"/>
      <c r="C1291" s="16">
        <v>46210</v>
      </c>
      <c r="D1291">
        <v>28485.559999999998</v>
      </c>
    </row>
    <row r="1292" spans="1:4" x14ac:dyDescent="0.3">
      <c r="A1292" s="78" t="s">
        <v>34</v>
      </c>
      <c r="B1292" s="78"/>
      <c r="C1292" s="16">
        <v>46210</v>
      </c>
      <c r="D1292">
        <v>345</v>
      </c>
    </row>
    <row r="1293" spans="1:4" x14ac:dyDescent="0.3">
      <c r="A1293" s="78" t="s">
        <v>35</v>
      </c>
      <c r="B1293" s="78"/>
      <c r="C1293" s="16">
        <v>46210</v>
      </c>
      <c r="D1293">
        <v>14498.59</v>
      </c>
    </row>
    <row r="1294" spans="1:4" x14ac:dyDescent="0.3">
      <c r="A1294" s="78" t="s">
        <v>17</v>
      </c>
      <c r="B1294" s="78"/>
      <c r="C1294" s="16">
        <v>46211</v>
      </c>
      <c r="D1294">
        <v>5673919.080000001</v>
      </c>
    </row>
    <row r="1295" spans="1:4" x14ac:dyDescent="0.3">
      <c r="A1295" s="78" t="s">
        <v>18</v>
      </c>
      <c r="B1295" s="78"/>
      <c r="C1295" s="16">
        <v>46211</v>
      </c>
      <c r="D1295">
        <v>79139.680000000168</v>
      </c>
    </row>
    <row r="1296" spans="1:4" x14ac:dyDescent="0.3">
      <c r="A1296" s="78" t="s">
        <v>19</v>
      </c>
      <c r="B1296" s="78"/>
      <c r="C1296" s="16">
        <v>46211</v>
      </c>
      <c r="D1296">
        <v>1669.89</v>
      </c>
    </row>
    <row r="1297" spans="1:4" x14ac:dyDescent="0.3">
      <c r="A1297" s="78" t="s">
        <v>20</v>
      </c>
      <c r="B1297" s="78"/>
      <c r="C1297" s="16">
        <v>46211</v>
      </c>
      <c r="D1297">
        <v>181515.38999999987</v>
      </c>
    </row>
    <row r="1298" spans="1:4" x14ac:dyDescent="0.3">
      <c r="A1298" s="78" t="s">
        <v>21</v>
      </c>
      <c r="B1298" s="78"/>
      <c r="C1298" s="16">
        <v>46211</v>
      </c>
      <c r="D1298">
        <v>1765937.9599999995</v>
      </c>
    </row>
    <row r="1299" spans="1:4" x14ac:dyDescent="0.3">
      <c r="A1299" s="78" t="s">
        <v>22</v>
      </c>
      <c r="B1299" s="78"/>
      <c r="C1299" s="16">
        <v>46211</v>
      </c>
      <c r="D1299">
        <v>220496.38</v>
      </c>
    </row>
    <row r="1300" spans="1:4" x14ac:dyDescent="0.3">
      <c r="A1300" s="78" t="s">
        <v>23</v>
      </c>
      <c r="B1300" s="78"/>
      <c r="C1300" s="16">
        <v>46211</v>
      </c>
      <c r="D1300">
        <v>88090.37</v>
      </c>
    </row>
    <row r="1301" spans="1:4" x14ac:dyDescent="0.3">
      <c r="A1301" s="78" t="s">
        <v>24</v>
      </c>
      <c r="B1301" s="78"/>
      <c r="C1301" s="16">
        <v>46211</v>
      </c>
      <c r="D1301">
        <v>471.15999999999985</v>
      </c>
    </row>
    <row r="1302" spans="1:4" x14ac:dyDescent="0.3">
      <c r="A1302" s="78" t="s">
        <v>25</v>
      </c>
      <c r="B1302" s="78"/>
      <c r="C1302" s="16">
        <v>46211</v>
      </c>
      <c r="D1302">
        <v>54.400000000000006</v>
      </c>
    </row>
    <row r="1303" spans="1:4" x14ac:dyDescent="0.3">
      <c r="A1303" s="78" t="s">
        <v>26</v>
      </c>
      <c r="B1303" s="78"/>
      <c r="C1303" s="16">
        <v>46211</v>
      </c>
      <c r="D1303">
        <v>2207.8200000000002</v>
      </c>
    </row>
    <row r="1304" spans="1:4" x14ac:dyDescent="0.3">
      <c r="A1304" s="78" t="s">
        <v>27</v>
      </c>
      <c r="B1304" s="78"/>
      <c r="C1304" s="16">
        <v>46211</v>
      </c>
      <c r="D1304">
        <v>3334.94</v>
      </c>
    </row>
    <row r="1305" spans="1:4" x14ac:dyDescent="0.3">
      <c r="A1305" s="78" t="s">
        <v>28</v>
      </c>
      <c r="B1305" s="78"/>
      <c r="C1305" s="16">
        <v>46211</v>
      </c>
      <c r="D1305">
        <v>1968.99</v>
      </c>
    </row>
    <row r="1306" spans="1:4" x14ac:dyDescent="0.3">
      <c r="A1306" s="78" t="s">
        <v>29</v>
      </c>
      <c r="B1306" s="78"/>
      <c r="C1306" s="16">
        <v>46211</v>
      </c>
      <c r="D1306">
        <v>382.69000000000005</v>
      </c>
    </row>
    <row r="1307" spans="1:4" x14ac:dyDescent="0.3">
      <c r="A1307" s="78" t="s">
        <v>30</v>
      </c>
      <c r="B1307" s="78"/>
      <c r="C1307" s="16">
        <v>46211</v>
      </c>
      <c r="D1307">
        <v>1412.08</v>
      </c>
    </row>
    <row r="1308" spans="1:4" x14ac:dyDescent="0.3">
      <c r="A1308" s="78" t="s">
        <v>31</v>
      </c>
      <c r="B1308" s="78"/>
      <c r="C1308" s="16">
        <v>46211</v>
      </c>
      <c r="D1308">
        <v>22496.639999999959</v>
      </c>
    </row>
    <row r="1309" spans="1:4" x14ac:dyDescent="0.3">
      <c r="A1309" s="78" t="s">
        <v>32</v>
      </c>
      <c r="B1309" s="78"/>
      <c r="C1309" s="16">
        <v>46211</v>
      </c>
      <c r="D1309">
        <v>6522.8000000000029</v>
      </c>
    </row>
    <row r="1310" spans="1:4" x14ac:dyDescent="0.3">
      <c r="A1310" s="78" t="s">
        <v>33</v>
      </c>
      <c r="B1310" s="78"/>
      <c r="C1310" s="16">
        <v>46211</v>
      </c>
      <c r="D1310">
        <v>28485.559999999998</v>
      </c>
    </row>
    <row r="1311" spans="1:4" x14ac:dyDescent="0.3">
      <c r="A1311" s="78" t="s">
        <v>34</v>
      </c>
      <c r="B1311" s="78"/>
      <c r="C1311" s="16">
        <v>46211</v>
      </c>
      <c r="D1311">
        <v>345</v>
      </c>
    </row>
    <row r="1312" spans="1:4" x14ac:dyDescent="0.3">
      <c r="A1312" s="78" t="s">
        <v>35</v>
      </c>
      <c r="B1312" s="78"/>
      <c r="C1312" s="16">
        <v>46211</v>
      </c>
      <c r="D1312">
        <v>14498.59</v>
      </c>
    </row>
    <row r="1313" spans="1:4" x14ac:dyDescent="0.3">
      <c r="A1313" s="78" t="s">
        <v>17</v>
      </c>
      <c r="B1313" s="78"/>
      <c r="C1313" s="16">
        <v>46212</v>
      </c>
      <c r="D1313">
        <v>4459277.4100000011</v>
      </c>
    </row>
    <row r="1314" spans="1:4" x14ac:dyDescent="0.3">
      <c r="A1314" s="78" t="s">
        <v>18</v>
      </c>
      <c r="B1314" s="78"/>
      <c r="C1314" s="16">
        <v>46212</v>
      </c>
      <c r="D1314">
        <v>73157.680000000168</v>
      </c>
    </row>
    <row r="1315" spans="1:4" x14ac:dyDescent="0.3">
      <c r="A1315" s="78" t="s">
        <v>19</v>
      </c>
      <c r="B1315" s="78"/>
      <c r="C1315" s="16">
        <v>46212</v>
      </c>
      <c r="D1315">
        <v>1669.89</v>
      </c>
    </row>
    <row r="1316" spans="1:4" x14ac:dyDescent="0.3">
      <c r="A1316" s="78" t="s">
        <v>20</v>
      </c>
      <c r="B1316" s="78"/>
      <c r="C1316" s="16">
        <v>46212</v>
      </c>
      <c r="D1316">
        <v>121515.38999999987</v>
      </c>
    </row>
    <row r="1317" spans="1:4" x14ac:dyDescent="0.3">
      <c r="A1317" s="78" t="s">
        <v>21</v>
      </c>
      <c r="B1317" s="78"/>
      <c r="C1317" s="16">
        <v>46212</v>
      </c>
      <c r="D1317">
        <v>2133835.0599999996</v>
      </c>
    </row>
    <row r="1318" spans="1:4" x14ac:dyDescent="0.3">
      <c r="A1318" s="78" t="s">
        <v>22</v>
      </c>
      <c r="B1318" s="78"/>
      <c r="C1318" s="16">
        <v>46212</v>
      </c>
      <c r="D1318">
        <v>200496.38</v>
      </c>
    </row>
    <row r="1319" spans="1:4" x14ac:dyDescent="0.3">
      <c r="A1319" s="78" t="s">
        <v>23</v>
      </c>
      <c r="B1319" s="78"/>
      <c r="C1319" s="16">
        <v>46212</v>
      </c>
      <c r="D1319">
        <v>88090.37</v>
      </c>
    </row>
    <row r="1320" spans="1:4" x14ac:dyDescent="0.3">
      <c r="A1320" s="78" t="s">
        <v>24</v>
      </c>
      <c r="B1320" s="78"/>
      <c r="C1320" s="16">
        <v>46212</v>
      </c>
      <c r="D1320">
        <v>15130.45</v>
      </c>
    </row>
    <row r="1321" spans="1:4" x14ac:dyDescent="0.3">
      <c r="A1321" s="78" t="s">
        <v>25</v>
      </c>
      <c r="B1321" s="78"/>
      <c r="C1321" s="16">
        <v>46212</v>
      </c>
      <c r="D1321">
        <v>54.400000000000006</v>
      </c>
    </row>
    <row r="1322" spans="1:4" x14ac:dyDescent="0.3">
      <c r="A1322" s="78" t="s">
        <v>26</v>
      </c>
      <c r="B1322" s="78"/>
      <c r="C1322" s="16">
        <v>46212</v>
      </c>
      <c r="D1322">
        <v>2207.8200000000002</v>
      </c>
    </row>
    <row r="1323" spans="1:4" x14ac:dyDescent="0.3">
      <c r="A1323" s="78" t="s">
        <v>27</v>
      </c>
      <c r="B1323" s="78"/>
      <c r="C1323" s="16">
        <v>46212</v>
      </c>
      <c r="D1323">
        <v>1454604.72</v>
      </c>
    </row>
    <row r="1324" spans="1:4" x14ac:dyDescent="0.3">
      <c r="A1324" s="78" t="s">
        <v>28</v>
      </c>
      <c r="B1324" s="78"/>
      <c r="C1324" s="16">
        <v>46212</v>
      </c>
      <c r="D1324">
        <v>1968.99</v>
      </c>
    </row>
    <row r="1325" spans="1:4" x14ac:dyDescent="0.3">
      <c r="A1325" s="78" t="s">
        <v>29</v>
      </c>
      <c r="B1325" s="78"/>
      <c r="C1325" s="16">
        <v>46212</v>
      </c>
      <c r="D1325">
        <v>382.69000000000005</v>
      </c>
    </row>
    <row r="1326" spans="1:4" x14ac:dyDescent="0.3">
      <c r="A1326" s="78" t="s">
        <v>30</v>
      </c>
      <c r="B1326" s="78"/>
      <c r="C1326" s="16">
        <v>46212</v>
      </c>
      <c r="D1326">
        <v>1412.08</v>
      </c>
    </row>
    <row r="1327" spans="1:4" x14ac:dyDescent="0.3">
      <c r="A1327" s="78" t="s">
        <v>31</v>
      </c>
      <c r="B1327" s="78"/>
      <c r="C1327" s="16">
        <v>46212</v>
      </c>
      <c r="D1327">
        <v>22496.639999999959</v>
      </c>
    </row>
    <row r="1328" spans="1:4" x14ac:dyDescent="0.3">
      <c r="A1328" s="78" t="s">
        <v>32</v>
      </c>
      <c r="B1328" s="78"/>
      <c r="C1328" s="16">
        <v>46212</v>
      </c>
      <c r="D1328">
        <v>6522.8000000000029</v>
      </c>
    </row>
    <row r="1329" spans="1:4" x14ac:dyDescent="0.3">
      <c r="A1329" s="78" t="s">
        <v>33</v>
      </c>
      <c r="B1329" s="78"/>
      <c r="C1329" s="16">
        <v>46212</v>
      </c>
      <c r="D1329">
        <v>28485.559999999998</v>
      </c>
    </row>
    <row r="1330" spans="1:4" x14ac:dyDescent="0.3">
      <c r="A1330" s="78" t="s">
        <v>34</v>
      </c>
      <c r="B1330" s="78"/>
      <c r="C1330" s="16">
        <v>46212</v>
      </c>
      <c r="D1330">
        <v>345</v>
      </c>
    </row>
    <row r="1331" spans="1:4" x14ac:dyDescent="0.3">
      <c r="A1331" s="78" t="s">
        <v>35</v>
      </c>
      <c r="B1331" s="78"/>
      <c r="C1331" s="16">
        <v>46212</v>
      </c>
      <c r="D1331">
        <v>31900.120000000003</v>
      </c>
    </row>
    <row r="1332" spans="1:4" x14ac:dyDescent="0.3">
      <c r="A1332" s="78" t="s">
        <v>17</v>
      </c>
      <c r="B1332" s="78"/>
      <c r="C1332" s="16">
        <v>46213</v>
      </c>
      <c r="D1332">
        <v>4245089.080000001</v>
      </c>
    </row>
    <row r="1333" spans="1:4" x14ac:dyDescent="0.3">
      <c r="A1333" s="78" t="s">
        <v>18</v>
      </c>
      <c r="B1333" s="78"/>
      <c r="C1333" s="16">
        <v>46213</v>
      </c>
      <c r="D1333">
        <v>73157.680000000168</v>
      </c>
    </row>
    <row r="1334" spans="1:4" x14ac:dyDescent="0.3">
      <c r="A1334" s="78" t="s">
        <v>19</v>
      </c>
      <c r="B1334" s="78"/>
      <c r="C1334" s="16">
        <v>46213</v>
      </c>
      <c r="D1334">
        <v>1669.89</v>
      </c>
    </row>
    <row r="1335" spans="1:4" x14ac:dyDescent="0.3">
      <c r="A1335" s="78" t="s">
        <v>20</v>
      </c>
      <c r="B1335" s="78"/>
      <c r="C1335" s="16">
        <v>46213</v>
      </c>
      <c r="D1335">
        <v>121181.38999999987</v>
      </c>
    </row>
    <row r="1336" spans="1:4" x14ac:dyDescent="0.3">
      <c r="A1336" s="78" t="s">
        <v>21</v>
      </c>
      <c r="B1336" s="78"/>
      <c r="C1336" s="16">
        <v>46213</v>
      </c>
      <c r="D1336">
        <v>1935994.3899999992</v>
      </c>
    </row>
    <row r="1337" spans="1:4" x14ac:dyDescent="0.3">
      <c r="A1337" s="78" t="s">
        <v>22</v>
      </c>
      <c r="B1337" s="78"/>
      <c r="C1337" s="16">
        <v>46213</v>
      </c>
      <c r="D1337">
        <v>200496.38</v>
      </c>
    </row>
    <row r="1338" spans="1:4" x14ac:dyDescent="0.3">
      <c r="A1338" s="78" t="s">
        <v>23</v>
      </c>
      <c r="B1338" s="78"/>
      <c r="C1338" s="16">
        <v>46213</v>
      </c>
      <c r="D1338">
        <v>88090.37</v>
      </c>
    </row>
    <row r="1339" spans="1:4" x14ac:dyDescent="0.3">
      <c r="A1339" s="78" t="s">
        <v>24</v>
      </c>
      <c r="B1339" s="78"/>
      <c r="C1339" s="16">
        <v>46213</v>
      </c>
      <c r="D1339">
        <v>14580.45</v>
      </c>
    </row>
    <row r="1340" spans="1:4" x14ac:dyDescent="0.3">
      <c r="A1340" s="78" t="s">
        <v>25</v>
      </c>
      <c r="B1340" s="78"/>
      <c r="C1340" s="16">
        <v>46213</v>
      </c>
      <c r="D1340">
        <v>54.400000000000006</v>
      </c>
    </row>
    <row r="1341" spans="1:4" x14ac:dyDescent="0.3">
      <c r="A1341" s="78" t="s">
        <v>26</v>
      </c>
      <c r="B1341" s="78"/>
      <c r="C1341" s="16">
        <v>46213</v>
      </c>
      <c r="D1341">
        <v>2207.8200000000002</v>
      </c>
    </row>
    <row r="1342" spans="1:4" x14ac:dyDescent="0.3">
      <c r="A1342" s="78" t="s">
        <v>27</v>
      </c>
      <c r="B1342" s="78"/>
      <c r="C1342" s="16">
        <v>46213</v>
      </c>
      <c r="D1342">
        <v>1454589.72</v>
      </c>
    </row>
    <row r="1343" spans="1:4" x14ac:dyDescent="0.3">
      <c r="A1343" s="78" t="s">
        <v>28</v>
      </c>
      <c r="B1343" s="78"/>
      <c r="C1343" s="16">
        <v>46213</v>
      </c>
      <c r="D1343">
        <v>1968.99</v>
      </c>
    </row>
    <row r="1344" spans="1:4" x14ac:dyDescent="0.3">
      <c r="A1344" s="78" t="s">
        <v>29</v>
      </c>
      <c r="B1344" s="78"/>
      <c r="C1344" s="16">
        <v>46213</v>
      </c>
      <c r="D1344">
        <v>382.69000000000005</v>
      </c>
    </row>
    <row r="1345" spans="1:4" x14ac:dyDescent="0.3">
      <c r="A1345" s="78" t="s">
        <v>30</v>
      </c>
      <c r="B1345" s="78"/>
      <c r="C1345" s="16">
        <v>46213</v>
      </c>
      <c r="D1345">
        <v>1412.08</v>
      </c>
    </row>
    <row r="1346" spans="1:4" x14ac:dyDescent="0.3">
      <c r="A1346" s="78" t="s">
        <v>31</v>
      </c>
      <c r="B1346" s="78"/>
      <c r="C1346" s="16">
        <v>46213</v>
      </c>
      <c r="D1346">
        <v>22496.639999999959</v>
      </c>
    </row>
    <row r="1347" spans="1:4" x14ac:dyDescent="0.3">
      <c r="A1347" s="78" t="s">
        <v>32</v>
      </c>
      <c r="B1347" s="78"/>
      <c r="C1347" s="16">
        <v>46213</v>
      </c>
      <c r="D1347">
        <v>6522.8000000000029</v>
      </c>
    </row>
    <row r="1348" spans="1:4" x14ac:dyDescent="0.3">
      <c r="A1348" s="78" t="s">
        <v>33</v>
      </c>
      <c r="B1348" s="78"/>
      <c r="C1348" s="16">
        <v>46213</v>
      </c>
      <c r="D1348">
        <v>28485.559999999998</v>
      </c>
    </row>
    <row r="1349" spans="1:4" x14ac:dyDescent="0.3">
      <c r="A1349" s="78" t="s">
        <v>34</v>
      </c>
      <c r="B1349" s="78"/>
      <c r="C1349" s="16">
        <v>46213</v>
      </c>
      <c r="D1349">
        <v>345</v>
      </c>
    </row>
    <row r="1350" spans="1:4" x14ac:dyDescent="0.3">
      <c r="A1350" s="78" t="s">
        <v>35</v>
      </c>
      <c r="B1350" s="78"/>
      <c r="C1350" s="16">
        <v>46213</v>
      </c>
      <c r="D1350">
        <v>31900.120000000003</v>
      </c>
    </row>
    <row r="1351" spans="1:4" x14ac:dyDescent="0.3">
      <c r="A1351" s="78" t="s">
        <v>17</v>
      </c>
      <c r="B1351" s="78"/>
      <c r="C1351" s="16">
        <v>46214</v>
      </c>
      <c r="D1351">
        <v>4245089.080000001</v>
      </c>
    </row>
    <row r="1352" spans="1:4" x14ac:dyDescent="0.3">
      <c r="A1352" s="78" t="s">
        <v>18</v>
      </c>
      <c r="B1352" s="78"/>
      <c r="C1352" s="16">
        <v>46214</v>
      </c>
      <c r="D1352">
        <v>73157.680000000168</v>
      </c>
    </row>
    <row r="1353" spans="1:4" x14ac:dyDescent="0.3">
      <c r="A1353" s="78" t="s">
        <v>19</v>
      </c>
      <c r="B1353" s="78"/>
      <c r="C1353" s="16">
        <v>46214</v>
      </c>
      <c r="D1353">
        <v>1669.89</v>
      </c>
    </row>
    <row r="1354" spans="1:4" x14ac:dyDescent="0.3">
      <c r="A1354" s="78" t="s">
        <v>20</v>
      </c>
      <c r="B1354" s="78"/>
      <c r="C1354" s="16">
        <v>46214</v>
      </c>
      <c r="D1354">
        <v>121181.38999999987</v>
      </c>
    </row>
    <row r="1355" spans="1:4" x14ac:dyDescent="0.3">
      <c r="A1355" s="78" t="s">
        <v>21</v>
      </c>
      <c r="B1355" s="78"/>
      <c r="C1355" s="16">
        <v>46214</v>
      </c>
      <c r="D1355">
        <v>1935994.3899999992</v>
      </c>
    </row>
    <row r="1356" spans="1:4" x14ac:dyDescent="0.3">
      <c r="A1356" s="78" t="s">
        <v>22</v>
      </c>
      <c r="B1356" s="78"/>
      <c r="C1356" s="16">
        <v>46214</v>
      </c>
      <c r="D1356">
        <v>200496.38</v>
      </c>
    </row>
    <row r="1357" spans="1:4" x14ac:dyDescent="0.3">
      <c r="A1357" s="78" t="s">
        <v>23</v>
      </c>
      <c r="B1357" s="78"/>
      <c r="C1357" s="16">
        <v>46214</v>
      </c>
      <c r="D1357">
        <v>88090.37</v>
      </c>
    </row>
    <row r="1358" spans="1:4" x14ac:dyDescent="0.3">
      <c r="A1358" s="78" t="s">
        <v>24</v>
      </c>
      <c r="B1358" s="78"/>
      <c r="C1358" s="16">
        <v>46214</v>
      </c>
      <c r="D1358">
        <v>14580.45</v>
      </c>
    </row>
    <row r="1359" spans="1:4" x14ac:dyDescent="0.3">
      <c r="A1359" s="78" t="s">
        <v>25</v>
      </c>
      <c r="B1359" s="78"/>
      <c r="C1359" s="16">
        <v>46214</v>
      </c>
      <c r="D1359">
        <v>54.400000000000006</v>
      </c>
    </row>
    <row r="1360" spans="1:4" x14ac:dyDescent="0.3">
      <c r="A1360" s="78" t="s">
        <v>26</v>
      </c>
      <c r="B1360" s="78"/>
      <c r="C1360" s="16">
        <v>46214</v>
      </c>
      <c r="D1360">
        <v>2207.8200000000002</v>
      </c>
    </row>
    <row r="1361" spans="1:4" x14ac:dyDescent="0.3">
      <c r="A1361" s="78" t="s">
        <v>27</v>
      </c>
      <c r="B1361" s="78"/>
      <c r="C1361" s="16">
        <v>46214</v>
      </c>
      <c r="D1361">
        <v>1454589.72</v>
      </c>
    </row>
    <row r="1362" spans="1:4" x14ac:dyDescent="0.3">
      <c r="A1362" s="78" t="s">
        <v>28</v>
      </c>
      <c r="B1362" s="78"/>
      <c r="C1362" s="16">
        <v>46214</v>
      </c>
      <c r="D1362">
        <v>1968.99</v>
      </c>
    </row>
    <row r="1363" spans="1:4" x14ac:dyDescent="0.3">
      <c r="A1363" s="78" t="s">
        <v>29</v>
      </c>
      <c r="B1363" s="78"/>
      <c r="C1363" s="16">
        <v>46214</v>
      </c>
      <c r="D1363">
        <v>382.69000000000005</v>
      </c>
    </row>
    <row r="1364" spans="1:4" x14ac:dyDescent="0.3">
      <c r="A1364" s="78" t="s">
        <v>30</v>
      </c>
      <c r="B1364" s="78"/>
      <c r="C1364" s="16">
        <v>46214</v>
      </c>
      <c r="D1364">
        <v>1412.08</v>
      </c>
    </row>
    <row r="1365" spans="1:4" x14ac:dyDescent="0.3">
      <c r="A1365" s="78" t="s">
        <v>31</v>
      </c>
      <c r="B1365" s="78"/>
      <c r="C1365" s="16">
        <v>46214</v>
      </c>
      <c r="D1365">
        <v>22496.639999999959</v>
      </c>
    </row>
    <row r="1366" spans="1:4" x14ac:dyDescent="0.3">
      <c r="A1366" s="78" t="s">
        <v>32</v>
      </c>
      <c r="B1366" s="78"/>
      <c r="C1366" s="16">
        <v>46214</v>
      </c>
      <c r="D1366">
        <v>6522.8000000000029</v>
      </c>
    </row>
    <row r="1367" spans="1:4" x14ac:dyDescent="0.3">
      <c r="A1367" s="78" t="s">
        <v>33</v>
      </c>
      <c r="B1367" s="78"/>
      <c r="C1367" s="16">
        <v>46214</v>
      </c>
      <c r="D1367">
        <v>28485.559999999998</v>
      </c>
    </row>
    <row r="1368" spans="1:4" x14ac:dyDescent="0.3">
      <c r="A1368" s="78" t="s">
        <v>34</v>
      </c>
      <c r="B1368" s="78"/>
      <c r="C1368" s="16">
        <v>46214</v>
      </c>
      <c r="D1368">
        <v>345</v>
      </c>
    </row>
    <row r="1369" spans="1:4" x14ac:dyDescent="0.3">
      <c r="A1369" s="78" t="s">
        <v>35</v>
      </c>
      <c r="B1369" s="78"/>
      <c r="C1369" s="16">
        <v>46214</v>
      </c>
      <c r="D1369">
        <v>31900.120000000003</v>
      </c>
    </row>
    <row r="1370" spans="1:4" x14ac:dyDescent="0.3">
      <c r="A1370" s="78" t="s">
        <v>17</v>
      </c>
      <c r="B1370" s="78"/>
      <c r="C1370" s="16">
        <v>46215</v>
      </c>
      <c r="D1370">
        <v>4245089.080000001</v>
      </c>
    </row>
    <row r="1371" spans="1:4" x14ac:dyDescent="0.3">
      <c r="A1371" s="78" t="s">
        <v>18</v>
      </c>
      <c r="B1371" s="78"/>
      <c r="C1371" s="16">
        <v>46215</v>
      </c>
      <c r="D1371">
        <v>73157.680000000168</v>
      </c>
    </row>
    <row r="1372" spans="1:4" x14ac:dyDescent="0.3">
      <c r="A1372" s="78" t="s">
        <v>19</v>
      </c>
      <c r="B1372" s="78"/>
      <c r="C1372" s="16">
        <v>46215</v>
      </c>
      <c r="D1372">
        <v>1669.89</v>
      </c>
    </row>
    <row r="1373" spans="1:4" x14ac:dyDescent="0.3">
      <c r="A1373" s="78" t="s">
        <v>20</v>
      </c>
      <c r="B1373" s="78"/>
      <c r="C1373" s="16">
        <v>46215</v>
      </c>
      <c r="D1373">
        <v>121181.38999999987</v>
      </c>
    </row>
    <row r="1374" spans="1:4" x14ac:dyDescent="0.3">
      <c r="A1374" s="78" t="s">
        <v>21</v>
      </c>
      <c r="B1374" s="78"/>
      <c r="C1374" s="16">
        <v>46215</v>
      </c>
      <c r="D1374">
        <v>1935994.3899999992</v>
      </c>
    </row>
    <row r="1375" spans="1:4" x14ac:dyDescent="0.3">
      <c r="A1375" s="78" t="s">
        <v>22</v>
      </c>
      <c r="B1375" s="78"/>
      <c r="C1375" s="16">
        <v>46215</v>
      </c>
      <c r="D1375">
        <v>200496.38</v>
      </c>
    </row>
    <row r="1376" spans="1:4" x14ac:dyDescent="0.3">
      <c r="A1376" s="78" t="s">
        <v>23</v>
      </c>
      <c r="B1376" s="78"/>
      <c r="C1376" s="16">
        <v>46215</v>
      </c>
      <c r="D1376">
        <v>88090.37</v>
      </c>
    </row>
    <row r="1377" spans="1:4" x14ac:dyDescent="0.3">
      <c r="A1377" s="78" t="s">
        <v>24</v>
      </c>
      <c r="B1377" s="78"/>
      <c r="C1377" s="16">
        <v>46215</v>
      </c>
      <c r="D1377">
        <v>14580.45</v>
      </c>
    </row>
    <row r="1378" spans="1:4" x14ac:dyDescent="0.3">
      <c r="A1378" s="78" t="s">
        <v>25</v>
      </c>
      <c r="B1378" s="78"/>
      <c r="C1378" s="16">
        <v>46215</v>
      </c>
      <c r="D1378">
        <v>54.400000000000006</v>
      </c>
    </row>
    <row r="1379" spans="1:4" x14ac:dyDescent="0.3">
      <c r="A1379" s="78" t="s">
        <v>26</v>
      </c>
      <c r="B1379" s="78"/>
      <c r="C1379" s="16">
        <v>46215</v>
      </c>
      <c r="D1379">
        <v>2207.8200000000002</v>
      </c>
    </row>
    <row r="1380" spans="1:4" x14ac:dyDescent="0.3">
      <c r="A1380" s="78" t="s">
        <v>27</v>
      </c>
      <c r="B1380" s="78"/>
      <c r="C1380" s="16">
        <v>46215</v>
      </c>
      <c r="D1380">
        <v>1454589.72</v>
      </c>
    </row>
    <row r="1381" spans="1:4" x14ac:dyDescent="0.3">
      <c r="A1381" s="78" t="s">
        <v>28</v>
      </c>
      <c r="B1381" s="78"/>
      <c r="C1381" s="16">
        <v>46215</v>
      </c>
      <c r="D1381">
        <v>1968.99</v>
      </c>
    </row>
    <row r="1382" spans="1:4" x14ac:dyDescent="0.3">
      <c r="A1382" s="78" t="s">
        <v>29</v>
      </c>
      <c r="B1382" s="78"/>
      <c r="C1382" s="16">
        <v>46215</v>
      </c>
      <c r="D1382">
        <v>382.69000000000005</v>
      </c>
    </row>
    <row r="1383" spans="1:4" x14ac:dyDescent="0.3">
      <c r="A1383" s="78" t="s">
        <v>30</v>
      </c>
      <c r="B1383" s="78"/>
      <c r="C1383" s="16">
        <v>46215</v>
      </c>
      <c r="D1383">
        <v>1412.08</v>
      </c>
    </row>
    <row r="1384" spans="1:4" x14ac:dyDescent="0.3">
      <c r="A1384" s="78" t="s">
        <v>31</v>
      </c>
      <c r="B1384" s="78"/>
      <c r="C1384" s="16">
        <v>46215</v>
      </c>
      <c r="D1384">
        <v>22496.639999999959</v>
      </c>
    </row>
    <row r="1385" spans="1:4" x14ac:dyDescent="0.3">
      <c r="A1385" s="78" t="s">
        <v>32</v>
      </c>
      <c r="B1385" s="78"/>
      <c r="C1385" s="16">
        <v>46215</v>
      </c>
      <c r="D1385">
        <v>6522.8000000000029</v>
      </c>
    </row>
    <row r="1386" spans="1:4" x14ac:dyDescent="0.3">
      <c r="A1386" s="78" t="s">
        <v>33</v>
      </c>
      <c r="B1386" s="78"/>
      <c r="C1386" s="16">
        <v>46215</v>
      </c>
      <c r="D1386">
        <v>28485.559999999998</v>
      </c>
    </row>
    <row r="1387" spans="1:4" x14ac:dyDescent="0.3">
      <c r="A1387" s="78" t="s">
        <v>34</v>
      </c>
      <c r="B1387" s="78"/>
      <c r="C1387" s="16">
        <v>46215</v>
      </c>
      <c r="D1387">
        <v>345</v>
      </c>
    </row>
    <row r="1388" spans="1:4" x14ac:dyDescent="0.3">
      <c r="A1388" s="78" t="s">
        <v>35</v>
      </c>
      <c r="B1388" s="78"/>
      <c r="C1388" s="16">
        <v>46215</v>
      </c>
      <c r="D1388">
        <v>31900.120000000003</v>
      </c>
    </row>
    <row r="1389" spans="1:4" x14ac:dyDescent="0.3">
      <c r="A1389" s="78" t="s">
        <v>17</v>
      </c>
      <c r="B1389" s="78"/>
      <c r="C1389" s="16">
        <v>46216</v>
      </c>
      <c r="D1389">
        <v>4245089.080000001</v>
      </c>
    </row>
    <row r="1390" spans="1:4" x14ac:dyDescent="0.3">
      <c r="A1390" s="78" t="s">
        <v>18</v>
      </c>
      <c r="B1390" s="78"/>
      <c r="C1390" s="16">
        <v>46216</v>
      </c>
      <c r="D1390">
        <v>73157.680000000168</v>
      </c>
    </row>
    <row r="1391" spans="1:4" x14ac:dyDescent="0.3">
      <c r="A1391" s="78" t="s">
        <v>19</v>
      </c>
      <c r="B1391" s="78"/>
      <c r="C1391" s="16">
        <v>46216</v>
      </c>
      <c r="D1391">
        <v>1669.89</v>
      </c>
    </row>
    <row r="1392" spans="1:4" x14ac:dyDescent="0.3">
      <c r="A1392" s="78" t="s">
        <v>20</v>
      </c>
      <c r="B1392" s="78"/>
      <c r="C1392" s="16">
        <v>46216</v>
      </c>
      <c r="D1392">
        <v>121181.38999999987</v>
      </c>
    </row>
    <row r="1393" spans="1:4" x14ac:dyDescent="0.3">
      <c r="A1393" s="78" t="s">
        <v>21</v>
      </c>
      <c r="B1393" s="78"/>
      <c r="C1393" s="16">
        <v>46216</v>
      </c>
      <c r="D1393">
        <v>1935994.3899999992</v>
      </c>
    </row>
    <row r="1394" spans="1:4" x14ac:dyDescent="0.3">
      <c r="A1394" s="78" t="s">
        <v>22</v>
      </c>
      <c r="B1394" s="78"/>
      <c r="C1394" s="16">
        <v>46216</v>
      </c>
      <c r="D1394">
        <v>200496.38</v>
      </c>
    </row>
    <row r="1395" spans="1:4" x14ac:dyDescent="0.3">
      <c r="A1395" s="78" t="s">
        <v>23</v>
      </c>
      <c r="B1395" s="78"/>
      <c r="C1395" s="16">
        <v>46216</v>
      </c>
      <c r="D1395">
        <v>88090.37</v>
      </c>
    </row>
    <row r="1396" spans="1:4" x14ac:dyDescent="0.3">
      <c r="A1396" s="78" t="s">
        <v>24</v>
      </c>
      <c r="B1396" s="78"/>
      <c r="C1396" s="16">
        <v>46216</v>
      </c>
      <c r="D1396">
        <v>14580.45</v>
      </c>
    </row>
    <row r="1397" spans="1:4" x14ac:dyDescent="0.3">
      <c r="A1397" s="78" t="s">
        <v>25</v>
      </c>
      <c r="B1397" s="78"/>
      <c r="C1397" s="16">
        <v>46216</v>
      </c>
      <c r="D1397">
        <v>54.400000000000006</v>
      </c>
    </row>
    <row r="1398" spans="1:4" x14ac:dyDescent="0.3">
      <c r="A1398" s="78" t="s">
        <v>26</v>
      </c>
      <c r="B1398" s="78"/>
      <c r="C1398" s="16">
        <v>46216</v>
      </c>
      <c r="D1398">
        <v>2207.8200000000002</v>
      </c>
    </row>
    <row r="1399" spans="1:4" x14ac:dyDescent="0.3">
      <c r="A1399" s="78" t="s">
        <v>27</v>
      </c>
      <c r="B1399" s="78"/>
      <c r="C1399" s="16">
        <v>46216</v>
      </c>
      <c r="D1399">
        <v>1454589.72</v>
      </c>
    </row>
    <row r="1400" spans="1:4" x14ac:dyDescent="0.3">
      <c r="A1400" s="78" t="s">
        <v>28</v>
      </c>
      <c r="B1400" s="78"/>
      <c r="C1400" s="16">
        <v>46216</v>
      </c>
      <c r="D1400">
        <v>1968.99</v>
      </c>
    </row>
    <row r="1401" spans="1:4" x14ac:dyDescent="0.3">
      <c r="A1401" s="78" t="s">
        <v>29</v>
      </c>
      <c r="B1401" s="78"/>
      <c r="C1401" s="16">
        <v>46216</v>
      </c>
      <c r="D1401">
        <v>901.34</v>
      </c>
    </row>
    <row r="1402" spans="1:4" x14ac:dyDescent="0.3">
      <c r="A1402" s="78" t="s">
        <v>30</v>
      </c>
      <c r="B1402" s="78"/>
      <c r="C1402" s="16">
        <v>46216</v>
      </c>
      <c r="D1402">
        <v>1412.08</v>
      </c>
    </row>
    <row r="1403" spans="1:4" x14ac:dyDescent="0.3">
      <c r="A1403" s="78" t="s">
        <v>31</v>
      </c>
      <c r="B1403" s="78"/>
      <c r="C1403" s="16">
        <v>46216</v>
      </c>
      <c r="D1403">
        <v>22496.639999999959</v>
      </c>
    </row>
    <row r="1404" spans="1:4" x14ac:dyDescent="0.3">
      <c r="A1404" s="78" t="s">
        <v>32</v>
      </c>
      <c r="B1404" s="78"/>
      <c r="C1404" s="16">
        <v>46216</v>
      </c>
      <c r="D1404">
        <v>6522.8000000000029</v>
      </c>
    </row>
    <row r="1405" spans="1:4" x14ac:dyDescent="0.3">
      <c r="A1405" s="78" t="s">
        <v>33</v>
      </c>
      <c r="B1405" s="78"/>
      <c r="C1405" s="16">
        <v>46216</v>
      </c>
      <c r="D1405">
        <v>28485.559999999998</v>
      </c>
    </row>
    <row r="1406" spans="1:4" x14ac:dyDescent="0.3">
      <c r="A1406" s="78" t="s">
        <v>34</v>
      </c>
      <c r="B1406" s="78"/>
      <c r="C1406" s="16">
        <v>46216</v>
      </c>
      <c r="D1406">
        <v>345</v>
      </c>
    </row>
    <row r="1407" spans="1:4" x14ac:dyDescent="0.3">
      <c r="A1407" s="78" t="s">
        <v>35</v>
      </c>
      <c r="B1407" s="78"/>
      <c r="C1407" s="16">
        <v>46216</v>
      </c>
      <c r="D1407">
        <v>25198.240000000002</v>
      </c>
    </row>
    <row r="1408" spans="1:4" x14ac:dyDescent="0.3">
      <c r="A1408" s="78" t="s">
        <v>17</v>
      </c>
      <c r="B1408" s="78"/>
      <c r="C1408" s="16">
        <v>46217</v>
      </c>
      <c r="D1408">
        <v>3445089.0800000005</v>
      </c>
    </row>
    <row r="1409" spans="1:4" x14ac:dyDescent="0.3">
      <c r="A1409" s="78" t="s">
        <v>18</v>
      </c>
      <c r="B1409" s="78"/>
      <c r="C1409" s="16">
        <v>46217</v>
      </c>
      <c r="D1409">
        <v>73157.680000000168</v>
      </c>
    </row>
    <row r="1410" spans="1:4" x14ac:dyDescent="0.3">
      <c r="A1410" s="78" t="s">
        <v>19</v>
      </c>
      <c r="B1410" s="78"/>
      <c r="C1410" s="16">
        <v>46217</v>
      </c>
      <c r="D1410">
        <v>1669.89</v>
      </c>
    </row>
    <row r="1411" spans="1:4" x14ac:dyDescent="0.3">
      <c r="A1411" s="78" t="s">
        <v>20</v>
      </c>
      <c r="B1411" s="78"/>
      <c r="C1411" s="16">
        <v>46217</v>
      </c>
      <c r="D1411">
        <v>921181.38999999978</v>
      </c>
    </row>
    <row r="1412" spans="1:4" x14ac:dyDescent="0.3">
      <c r="A1412" s="78" t="s">
        <v>21</v>
      </c>
      <c r="B1412" s="78"/>
      <c r="C1412" s="16">
        <v>46217</v>
      </c>
      <c r="D1412">
        <v>1870785.0099999993</v>
      </c>
    </row>
    <row r="1413" spans="1:4" x14ac:dyDescent="0.3">
      <c r="A1413" s="78" t="s">
        <v>22</v>
      </c>
      <c r="B1413" s="78"/>
      <c r="C1413" s="16">
        <v>46217</v>
      </c>
      <c r="D1413">
        <v>200496.38</v>
      </c>
    </row>
    <row r="1414" spans="1:4" x14ac:dyDescent="0.3">
      <c r="A1414" s="78" t="s">
        <v>23</v>
      </c>
      <c r="B1414" s="78"/>
      <c r="C1414" s="16">
        <v>46217</v>
      </c>
      <c r="D1414">
        <v>88090.37</v>
      </c>
    </row>
    <row r="1415" spans="1:4" x14ac:dyDescent="0.3">
      <c r="A1415" s="78" t="s">
        <v>24</v>
      </c>
      <c r="B1415" s="78"/>
      <c r="C1415" s="16">
        <v>46217</v>
      </c>
      <c r="D1415">
        <v>14580.45</v>
      </c>
    </row>
    <row r="1416" spans="1:4" x14ac:dyDescent="0.3">
      <c r="A1416" s="78" t="s">
        <v>25</v>
      </c>
      <c r="B1416" s="78"/>
      <c r="C1416" s="16">
        <v>46217</v>
      </c>
      <c r="D1416">
        <v>54.400000000000006</v>
      </c>
    </row>
    <row r="1417" spans="1:4" x14ac:dyDescent="0.3">
      <c r="A1417" s="78" t="s">
        <v>26</v>
      </c>
      <c r="B1417" s="78"/>
      <c r="C1417" s="16">
        <v>46217</v>
      </c>
      <c r="D1417">
        <v>2207.8200000000002</v>
      </c>
    </row>
    <row r="1418" spans="1:4" x14ac:dyDescent="0.3">
      <c r="A1418" s="78" t="s">
        <v>27</v>
      </c>
      <c r="B1418" s="78"/>
      <c r="C1418" s="16">
        <v>46217</v>
      </c>
      <c r="D1418">
        <v>1454589.72</v>
      </c>
    </row>
    <row r="1419" spans="1:4" x14ac:dyDescent="0.3">
      <c r="A1419" s="78" t="s">
        <v>28</v>
      </c>
      <c r="B1419" s="78"/>
      <c r="C1419" s="16">
        <v>46217</v>
      </c>
      <c r="D1419">
        <v>1968.99</v>
      </c>
    </row>
    <row r="1420" spans="1:4" x14ac:dyDescent="0.3">
      <c r="A1420" s="78" t="s">
        <v>29</v>
      </c>
      <c r="B1420" s="78"/>
      <c r="C1420" s="16">
        <v>46217</v>
      </c>
      <c r="D1420">
        <v>901.34</v>
      </c>
    </row>
    <row r="1421" spans="1:4" x14ac:dyDescent="0.3">
      <c r="A1421" s="78" t="s">
        <v>30</v>
      </c>
      <c r="B1421" s="78"/>
      <c r="C1421" s="16">
        <v>46217</v>
      </c>
      <c r="D1421">
        <v>1412.08</v>
      </c>
    </row>
    <row r="1422" spans="1:4" x14ac:dyDescent="0.3">
      <c r="A1422" s="78" t="s">
        <v>31</v>
      </c>
      <c r="B1422" s="78"/>
      <c r="C1422" s="16">
        <v>46217</v>
      </c>
      <c r="D1422">
        <v>22347.56999999996</v>
      </c>
    </row>
    <row r="1423" spans="1:4" x14ac:dyDescent="0.3">
      <c r="A1423" s="78" t="s">
        <v>32</v>
      </c>
      <c r="B1423" s="78"/>
      <c r="C1423" s="16">
        <v>46217</v>
      </c>
      <c r="D1423">
        <v>6522.8000000000029</v>
      </c>
    </row>
    <row r="1424" spans="1:4" x14ac:dyDescent="0.3">
      <c r="A1424" s="78" t="s">
        <v>33</v>
      </c>
      <c r="B1424" s="78"/>
      <c r="C1424" s="16">
        <v>46217</v>
      </c>
      <c r="D1424">
        <v>28485.559999999998</v>
      </c>
    </row>
    <row r="1425" spans="1:4" x14ac:dyDescent="0.3">
      <c r="A1425" s="78" t="s">
        <v>34</v>
      </c>
      <c r="B1425" s="78"/>
      <c r="C1425" s="16">
        <v>46217</v>
      </c>
      <c r="D1425">
        <v>345</v>
      </c>
    </row>
    <row r="1426" spans="1:4" x14ac:dyDescent="0.3">
      <c r="A1426" s="78" t="s">
        <v>35</v>
      </c>
      <c r="B1426" s="78"/>
      <c r="C1426" s="16">
        <v>46217</v>
      </c>
      <c r="D1426">
        <v>25198.240000000002</v>
      </c>
    </row>
    <row r="1427" spans="1:4" x14ac:dyDescent="0.3">
      <c r="A1427" s="78" t="s">
        <v>17</v>
      </c>
      <c r="B1427" s="78"/>
      <c r="C1427" s="16">
        <v>46218</v>
      </c>
      <c r="D1427">
        <v>3445089.0800000005</v>
      </c>
    </row>
    <row r="1428" spans="1:4" x14ac:dyDescent="0.3">
      <c r="A1428" s="78" t="s">
        <v>18</v>
      </c>
      <c r="B1428" s="78"/>
      <c r="C1428" s="16">
        <v>46218</v>
      </c>
      <c r="D1428">
        <v>73157.680000000168</v>
      </c>
    </row>
    <row r="1429" spans="1:4" x14ac:dyDescent="0.3">
      <c r="A1429" s="78" t="s">
        <v>19</v>
      </c>
      <c r="B1429" s="78"/>
      <c r="C1429" s="16">
        <v>46218</v>
      </c>
      <c r="D1429">
        <v>1669.89</v>
      </c>
    </row>
    <row r="1430" spans="1:4" x14ac:dyDescent="0.3">
      <c r="A1430" s="78" t="s">
        <v>20</v>
      </c>
      <c r="B1430" s="78"/>
      <c r="C1430" s="16">
        <v>46218</v>
      </c>
      <c r="D1430">
        <v>920844.50999999978</v>
      </c>
    </row>
    <row r="1431" spans="1:4" x14ac:dyDescent="0.3">
      <c r="A1431" s="78" t="s">
        <v>21</v>
      </c>
      <c r="B1431" s="78"/>
      <c r="C1431" s="16">
        <v>46218</v>
      </c>
      <c r="D1431">
        <v>1870755.5699999994</v>
      </c>
    </row>
    <row r="1432" spans="1:4" x14ac:dyDescent="0.3">
      <c r="A1432" s="78" t="s">
        <v>22</v>
      </c>
      <c r="B1432" s="78"/>
      <c r="C1432" s="16">
        <v>46218</v>
      </c>
      <c r="D1432">
        <v>200496.38</v>
      </c>
    </row>
    <row r="1433" spans="1:4" x14ac:dyDescent="0.3">
      <c r="A1433" s="78" t="s">
        <v>23</v>
      </c>
      <c r="B1433" s="78"/>
      <c r="C1433" s="16">
        <v>46218</v>
      </c>
      <c r="D1433">
        <v>88090.37</v>
      </c>
    </row>
    <row r="1434" spans="1:4" x14ac:dyDescent="0.3">
      <c r="A1434" s="78" t="s">
        <v>24</v>
      </c>
      <c r="B1434" s="78"/>
      <c r="C1434" s="16">
        <v>46218</v>
      </c>
      <c r="D1434">
        <v>14580.45</v>
      </c>
    </row>
    <row r="1435" spans="1:4" x14ac:dyDescent="0.3">
      <c r="A1435" s="78" t="s">
        <v>25</v>
      </c>
      <c r="B1435" s="78"/>
      <c r="C1435" s="16">
        <v>46218</v>
      </c>
      <c r="D1435">
        <v>54.400000000000006</v>
      </c>
    </row>
    <row r="1436" spans="1:4" x14ac:dyDescent="0.3">
      <c r="A1436" s="78" t="s">
        <v>26</v>
      </c>
      <c r="B1436" s="78"/>
      <c r="C1436" s="16">
        <v>46218</v>
      </c>
      <c r="D1436">
        <v>2207.8200000000002</v>
      </c>
    </row>
    <row r="1437" spans="1:4" x14ac:dyDescent="0.3">
      <c r="A1437" s="78" t="s">
        <v>27</v>
      </c>
      <c r="B1437" s="78"/>
      <c r="C1437" s="16">
        <v>46218</v>
      </c>
      <c r="D1437">
        <v>1454589.72</v>
      </c>
    </row>
    <row r="1438" spans="1:4" x14ac:dyDescent="0.3">
      <c r="A1438" s="78" t="s">
        <v>28</v>
      </c>
      <c r="B1438" s="78"/>
      <c r="C1438" s="16">
        <v>46218</v>
      </c>
      <c r="D1438">
        <v>1968.99</v>
      </c>
    </row>
    <row r="1439" spans="1:4" x14ac:dyDescent="0.3">
      <c r="A1439" s="78" t="s">
        <v>29</v>
      </c>
      <c r="B1439" s="78"/>
      <c r="C1439" s="16">
        <v>46218</v>
      </c>
      <c r="D1439">
        <v>901.34</v>
      </c>
    </row>
    <row r="1440" spans="1:4" x14ac:dyDescent="0.3">
      <c r="A1440" s="78" t="s">
        <v>30</v>
      </c>
      <c r="B1440" s="78"/>
      <c r="C1440" s="16">
        <v>46218</v>
      </c>
      <c r="D1440">
        <v>1412.08</v>
      </c>
    </row>
    <row r="1441" spans="1:4" x14ac:dyDescent="0.3">
      <c r="A1441" s="78" t="s">
        <v>31</v>
      </c>
      <c r="B1441" s="78"/>
      <c r="C1441" s="16">
        <v>46218</v>
      </c>
      <c r="D1441">
        <v>22347.56999999996</v>
      </c>
    </row>
    <row r="1442" spans="1:4" x14ac:dyDescent="0.3">
      <c r="A1442" s="78" t="s">
        <v>32</v>
      </c>
      <c r="B1442" s="78"/>
      <c r="C1442" s="16">
        <v>46218</v>
      </c>
      <c r="D1442">
        <v>6522.8000000000029</v>
      </c>
    </row>
    <row r="1443" spans="1:4" x14ac:dyDescent="0.3">
      <c r="A1443" s="78" t="s">
        <v>33</v>
      </c>
      <c r="B1443" s="78"/>
      <c r="C1443" s="16">
        <v>46218</v>
      </c>
      <c r="D1443">
        <v>28485.559999999998</v>
      </c>
    </row>
    <row r="1444" spans="1:4" x14ac:dyDescent="0.3">
      <c r="A1444" s="78" t="s">
        <v>34</v>
      </c>
      <c r="B1444" s="78"/>
      <c r="C1444" s="16">
        <v>46218</v>
      </c>
      <c r="D1444">
        <v>345</v>
      </c>
    </row>
    <row r="1445" spans="1:4" x14ac:dyDescent="0.3">
      <c r="A1445" s="78" t="s">
        <v>35</v>
      </c>
      <c r="B1445" s="78"/>
      <c r="C1445" s="16">
        <v>46218</v>
      </c>
      <c r="D1445">
        <v>25023.24</v>
      </c>
    </row>
    <row r="1446" spans="1:4" x14ac:dyDescent="0.3">
      <c r="A1446" s="78" t="s">
        <v>17</v>
      </c>
      <c r="B1446" s="78"/>
      <c r="C1446" s="16">
        <v>46219</v>
      </c>
      <c r="D1446">
        <v>3191672.4000000008</v>
      </c>
    </row>
    <row r="1447" spans="1:4" x14ac:dyDescent="0.3">
      <c r="A1447" s="78" t="s">
        <v>18</v>
      </c>
      <c r="B1447" s="78"/>
      <c r="C1447" s="16">
        <v>46219</v>
      </c>
      <c r="D1447">
        <v>73157.680000000168</v>
      </c>
    </row>
    <row r="1448" spans="1:4" x14ac:dyDescent="0.3">
      <c r="A1448" s="78" t="s">
        <v>19</v>
      </c>
      <c r="B1448" s="78"/>
      <c r="C1448" s="16">
        <v>46219</v>
      </c>
      <c r="D1448">
        <v>1669.89</v>
      </c>
    </row>
    <row r="1449" spans="1:4" x14ac:dyDescent="0.3">
      <c r="A1449" s="78" t="s">
        <v>20</v>
      </c>
      <c r="B1449" s="78"/>
      <c r="C1449" s="16">
        <v>46219</v>
      </c>
      <c r="D1449">
        <v>860844.50999999978</v>
      </c>
    </row>
    <row r="1450" spans="1:4" x14ac:dyDescent="0.3">
      <c r="A1450" s="78" t="s">
        <v>21</v>
      </c>
      <c r="B1450" s="78"/>
      <c r="C1450" s="16">
        <v>46219</v>
      </c>
      <c r="D1450">
        <v>1692431.8699999994</v>
      </c>
    </row>
    <row r="1451" spans="1:4" x14ac:dyDescent="0.3">
      <c r="A1451" s="78" t="s">
        <v>22</v>
      </c>
      <c r="B1451" s="78"/>
      <c r="C1451" s="16">
        <v>46219</v>
      </c>
      <c r="D1451">
        <v>200496.38</v>
      </c>
    </row>
    <row r="1452" spans="1:4" x14ac:dyDescent="0.3">
      <c r="A1452" s="78" t="s">
        <v>23</v>
      </c>
      <c r="B1452" s="78"/>
      <c r="C1452" s="16">
        <v>46219</v>
      </c>
      <c r="D1452">
        <v>88090.37</v>
      </c>
    </row>
    <row r="1453" spans="1:4" x14ac:dyDescent="0.3">
      <c r="A1453" s="78" t="s">
        <v>24</v>
      </c>
      <c r="B1453" s="78"/>
      <c r="C1453" s="16">
        <v>46219</v>
      </c>
      <c r="D1453">
        <v>14580.45</v>
      </c>
    </row>
    <row r="1454" spans="1:4" x14ac:dyDescent="0.3">
      <c r="A1454" s="78" t="s">
        <v>25</v>
      </c>
      <c r="B1454" s="78"/>
      <c r="C1454" s="16">
        <v>46219</v>
      </c>
      <c r="D1454">
        <v>54.400000000000006</v>
      </c>
    </row>
    <row r="1455" spans="1:4" x14ac:dyDescent="0.3">
      <c r="A1455" s="78" t="s">
        <v>26</v>
      </c>
      <c r="B1455" s="78"/>
      <c r="C1455" s="16">
        <v>46219</v>
      </c>
      <c r="D1455">
        <v>2207.8200000000002</v>
      </c>
    </row>
    <row r="1456" spans="1:4" x14ac:dyDescent="0.3">
      <c r="A1456" s="78" t="s">
        <v>27</v>
      </c>
      <c r="B1456" s="78"/>
      <c r="C1456" s="16">
        <v>46219</v>
      </c>
      <c r="D1456">
        <v>1454589.72</v>
      </c>
    </row>
    <row r="1457" spans="1:4" x14ac:dyDescent="0.3">
      <c r="A1457" s="78" t="s">
        <v>28</v>
      </c>
      <c r="B1457" s="78"/>
      <c r="C1457" s="16">
        <v>46219</v>
      </c>
      <c r="D1457">
        <v>1968.99</v>
      </c>
    </row>
    <row r="1458" spans="1:4" x14ac:dyDescent="0.3">
      <c r="A1458" s="78" t="s">
        <v>29</v>
      </c>
      <c r="B1458" s="78"/>
      <c r="C1458" s="16">
        <v>46219</v>
      </c>
      <c r="D1458">
        <v>901.34</v>
      </c>
    </row>
    <row r="1459" spans="1:4" x14ac:dyDescent="0.3">
      <c r="A1459" s="78" t="s">
        <v>30</v>
      </c>
      <c r="B1459" s="78"/>
      <c r="C1459" s="16">
        <v>46219</v>
      </c>
      <c r="D1459">
        <v>1412.08</v>
      </c>
    </row>
    <row r="1460" spans="1:4" x14ac:dyDescent="0.3">
      <c r="A1460" s="78" t="s">
        <v>31</v>
      </c>
      <c r="B1460" s="78"/>
      <c r="C1460" s="16">
        <v>46219</v>
      </c>
      <c r="D1460">
        <v>22347.56999999996</v>
      </c>
    </row>
    <row r="1461" spans="1:4" x14ac:dyDescent="0.3">
      <c r="A1461" s="78" t="s">
        <v>32</v>
      </c>
      <c r="B1461" s="78"/>
      <c r="C1461" s="16">
        <v>46219</v>
      </c>
      <c r="D1461">
        <v>3522.8000000000029</v>
      </c>
    </row>
    <row r="1462" spans="1:4" x14ac:dyDescent="0.3">
      <c r="A1462" s="78" t="s">
        <v>33</v>
      </c>
      <c r="B1462" s="78"/>
      <c r="C1462" s="16">
        <v>46219</v>
      </c>
      <c r="D1462">
        <v>28485.559999999998</v>
      </c>
    </row>
    <row r="1463" spans="1:4" x14ac:dyDescent="0.3">
      <c r="A1463" s="78" t="s">
        <v>34</v>
      </c>
      <c r="B1463" s="78"/>
      <c r="C1463" s="16">
        <v>46219</v>
      </c>
      <c r="D1463">
        <v>345</v>
      </c>
    </row>
    <row r="1464" spans="1:4" x14ac:dyDescent="0.3">
      <c r="A1464" s="78" t="s">
        <v>35</v>
      </c>
      <c r="B1464" s="78"/>
      <c r="C1464" s="16">
        <v>46219</v>
      </c>
      <c r="D1464">
        <v>23978.850000000002</v>
      </c>
    </row>
    <row r="1465" spans="1:4" x14ac:dyDescent="0.3">
      <c r="A1465" s="78" t="s">
        <v>17</v>
      </c>
      <c r="B1465" s="78"/>
      <c r="C1465" s="16">
        <v>46220</v>
      </c>
      <c r="D1465">
        <v>3191672.4000000008</v>
      </c>
    </row>
    <row r="1466" spans="1:4" x14ac:dyDescent="0.3">
      <c r="A1466" s="78" t="s">
        <v>18</v>
      </c>
      <c r="B1466" s="78"/>
      <c r="C1466" s="16">
        <v>46220</v>
      </c>
      <c r="D1466">
        <v>73157.680000000168</v>
      </c>
    </row>
    <row r="1467" spans="1:4" x14ac:dyDescent="0.3">
      <c r="A1467" s="78" t="s">
        <v>19</v>
      </c>
      <c r="B1467" s="78"/>
      <c r="C1467" s="16">
        <v>46220</v>
      </c>
      <c r="D1467">
        <v>1669.89</v>
      </c>
    </row>
    <row r="1468" spans="1:4" x14ac:dyDescent="0.3">
      <c r="A1468" s="78" t="s">
        <v>20</v>
      </c>
      <c r="B1468" s="78"/>
      <c r="C1468" s="16">
        <v>46220</v>
      </c>
      <c r="D1468">
        <v>860844.50999999978</v>
      </c>
    </row>
    <row r="1469" spans="1:4" x14ac:dyDescent="0.3">
      <c r="A1469" s="78" t="s">
        <v>21</v>
      </c>
      <c r="B1469" s="78"/>
      <c r="C1469" s="16">
        <v>46220</v>
      </c>
      <c r="D1469">
        <v>1762431.8699999994</v>
      </c>
    </row>
    <row r="1470" spans="1:4" x14ac:dyDescent="0.3">
      <c r="A1470" s="78" t="s">
        <v>22</v>
      </c>
      <c r="B1470" s="78"/>
      <c r="C1470" s="16">
        <v>46220</v>
      </c>
      <c r="D1470">
        <v>200496.38</v>
      </c>
    </row>
    <row r="1471" spans="1:4" x14ac:dyDescent="0.3">
      <c r="A1471" s="78" t="s">
        <v>23</v>
      </c>
      <c r="B1471" s="78"/>
      <c r="C1471" s="16">
        <v>46220</v>
      </c>
      <c r="D1471">
        <v>88090.37</v>
      </c>
    </row>
    <row r="1472" spans="1:4" x14ac:dyDescent="0.3">
      <c r="A1472" s="78" t="s">
        <v>24</v>
      </c>
      <c r="B1472" s="78"/>
      <c r="C1472" s="16">
        <v>46220</v>
      </c>
      <c r="D1472">
        <v>14580.45</v>
      </c>
    </row>
    <row r="1473" spans="1:4" x14ac:dyDescent="0.3">
      <c r="A1473" s="78" t="s">
        <v>25</v>
      </c>
      <c r="B1473" s="78"/>
      <c r="C1473" s="16">
        <v>46220</v>
      </c>
      <c r="D1473">
        <v>54.400000000000006</v>
      </c>
    </row>
    <row r="1474" spans="1:4" x14ac:dyDescent="0.3">
      <c r="A1474" s="78" t="s">
        <v>26</v>
      </c>
      <c r="B1474" s="78"/>
      <c r="C1474" s="16">
        <v>46220</v>
      </c>
      <c r="D1474">
        <v>2207.8200000000002</v>
      </c>
    </row>
    <row r="1475" spans="1:4" x14ac:dyDescent="0.3">
      <c r="A1475" s="78" t="s">
        <v>27</v>
      </c>
      <c r="B1475" s="78"/>
      <c r="C1475" s="16">
        <v>46220</v>
      </c>
      <c r="D1475">
        <v>1454589.72</v>
      </c>
    </row>
    <row r="1476" spans="1:4" x14ac:dyDescent="0.3">
      <c r="A1476" s="78" t="s">
        <v>28</v>
      </c>
      <c r="B1476" s="78"/>
      <c r="C1476" s="16">
        <v>46220</v>
      </c>
      <c r="D1476">
        <v>1968.99</v>
      </c>
    </row>
    <row r="1477" spans="1:4" x14ac:dyDescent="0.3">
      <c r="A1477" s="78" t="s">
        <v>29</v>
      </c>
      <c r="B1477" s="78"/>
      <c r="C1477" s="16">
        <v>46220</v>
      </c>
      <c r="D1477">
        <v>901.34</v>
      </c>
    </row>
    <row r="1478" spans="1:4" x14ac:dyDescent="0.3">
      <c r="A1478" s="78" t="s">
        <v>30</v>
      </c>
      <c r="B1478" s="78"/>
      <c r="C1478" s="16">
        <v>46220</v>
      </c>
      <c r="D1478">
        <v>1412.08</v>
      </c>
    </row>
    <row r="1479" spans="1:4" x14ac:dyDescent="0.3">
      <c r="A1479" s="78" t="s">
        <v>31</v>
      </c>
      <c r="B1479" s="78"/>
      <c r="C1479" s="16">
        <v>46220</v>
      </c>
      <c r="D1479">
        <v>22347.56999999996</v>
      </c>
    </row>
    <row r="1480" spans="1:4" x14ac:dyDescent="0.3">
      <c r="A1480" s="78" t="s">
        <v>32</v>
      </c>
      <c r="B1480" s="78"/>
      <c r="C1480" s="16">
        <v>46220</v>
      </c>
      <c r="D1480">
        <v>3522.8000000000029</v>
      </c>
    </row>
    <row r="1481" spans="1:4" x14ac:dyDescent="0.3">
      <c r="A1481" s="78" t="s">
        <v>33</v>
      </c>
      <c r="B1481" s="78"/>
      <c r="C1481" s="16">
        <v>46220</v>
      </c>
      <c r="D1481">
        <v>28485.559999999998</v>
      </c>
    </row>
    <row r="1482" spans="1:4" x14ac:dyDescent="0.3">
      <c r="A1482" s="78" t="s">
        <v>34</v>
      </c>
      <c r="B1482" s="78"/>
      <c r="C1482" s="16">
        <v>46220</v>
      </c>
      <c r="D1482">
        <v>345</v>
      </c>
    </row>
    <row r="1483" spans="1:4" x14ac:dyDescent="0.3">
      <c r="A1483" s="78" t="s">
        <v>35</v>
      </c>
      <c r="B1483" s="78"/>
      <c r="C1483" s="16">
        <v>46220</v>
      </c>
      <c r="D1483">
        <v>16230.620000000003</v>
      </c>
    </row>
    <row r="1484" spans="1:4" x14ac:dyDescent="0.3">
      <c r="A1484" s="78" t="s">
        <v>17</v>
      </c>
      <c r="B1484" s="78"/>
      <c r="C1484" s="16">
        <v>46221</v>
      </c>
      <c r="D1484">
        <v>3191672.4000000008</v>
      </c>
    </row>
    <row r="1485" spans="1:4" x14ac:dyDescent="0.3">
      <c r="A1485" s="78" t="s">
        <v>18</v>
      </c>
      <c r="B1485" s="78"/>
      <c r="C1485" s="16">
        <v>46221</v>
      </c>
      <c r="D1485">
        <v>73157.680000000168</v>
      </c>
    </row>
    <row r="1486" spans="1:4" x14ac:dyDescent="0.3">
      <c r="A1486" s="78" t="s">
        <v>19</v>
      </c>
      <c r="B1486" s="78"/>
      <c r="C1486" s="16">
        <v>46221</v>
      </c>
      <c r="D1486">
        <v>1669.89</v>
      </c>
    </row>
    <row r="1487" spans="1:4" x14ac:dyDescent="0.3">
      <c r="A1487" s="78" t="s">
        <v>20</v>
      </c>
      <c r="B1487" s="78"/>
      <c r="C1487" s="16">
        <v>46221</v>
      </c>
      <c r="D1487">
        <v>860844.50999999978</v>
      </c>
    </row>
    <row r="1488" spans="1:4" x14ac:dyDescent="0.3">
      <c r="A1488" s="78" t="s">
        <v>21</v>
      </c>
      <c r="B1488" s="78"/>
      <c r="C1488" s="16">
        <v>46221</v>
      </c>
      <c r="D1488">
        <v>1762431.8699999994</v>
      </c>
    </row>
    <row r="1489" spans="1:4" x14ac:dyDescent="0.3">
      <c r="A1489" s="78" t="s">
        <v>22</v>
      </c>
      <c r="B1489" s="78"/>
      <c r="C1489" s="16">
        <v>46221</v>
      </c>
      <c r="D1489">
        <v>200496.38</v>
      </c>
    </row>
    <row r="1490" spans="1:4" x14ac:dyDescent="0.3">
      <c r="A1490" s="78" t="s">
        <v>23</v>
      </c>
      <c r="B1490" s="78"/>
      <c r="C1490" s="16">
        <v>46221</v>
      </c>
      <c r="D1490">
        <v>88090.37</v>
      </c>
    </row>
    <row r="1491" spans="1:4" x14ac:dyDescent="0.3">
      <c r="A1491" s="78" t="s">
        <v>24</v>
      </c>
      <c r="B1491" s="78"/>
      <c r="C1491" s="16">
        <v>46221</v>
      </c>
      <c r="D1491">
        <v>14580.45</v>
      </c>
    </row>
    <row r="1492" spans="1:4" x14ac:dyDescent="0.3">
      <c r="A1492" s="78" t="s">
        <v>25</v>
      </c>
      <c r="B1492" s="78"/>
      <c r="C1492" s="16">
        <v>46221</v>
      </c>
      <c r="D1492">
        <v>54.400000000000006</v>
      </c>
    </row>
    <row r="1493" spans="1:4" x14ac:dyDescent="0.3">
      <c r="A1493" s="78" t="s">
        <v>26</v>
      </c>
      <c r="B1493" s="78"/>
      <c r="C1493" s="16">
        <v>46221</v>
      </c>
      <c r="D1493">
        <v>2207.8200000000002</v>
      </c>
    </row>
    <row r="1494" spans="1:4" x14ac:dyDescent="0.3">
      <c r="A1494" s="78" t="s">
        <v>27</v>
      </c>
      <c r="B1494" s="78"/>
      <c r="C1494" s="16">
        <v>46221</v>
      </c>
      <c r="D1494">
        <v>1454589.72</v>
      </c>
    </row>
    <row r="1495" spans="1:4" x14ac:dyDescent="0.3">
      <c r="A1495" s="78" t="s">
        <v>28</v>
      </c>
      <c r="B1495" s="78"/>
      <c r="C1495" s="16">
        <v>46221</v>
      </c>
      <c r="D1495">
        <v>1968.99</v>
      </c>
    </row>
    <row r="1496" spans="1:4" x14ac:dyDescent="0.3">
      <c r="A1496" s="78" t="s">
        <v>29</v>
      </c>
      <c r="B1496" s="78"/>
      <c r="C1496" s="16">
        <v>46221</v>
      </c>
      <c r="D1496">
        <v>901.34</v>
      </c>
    </row>
    <row r="1497" spans="1:4" x14ac:dyDescent="0.3">
      <c r="A1497" s="78" t="s">
        <v>30</v>
      </c>
      <c r="B1497" s="78"/>
      <c r="C1497" s="16">
        <v>46221</v>
      </c>
      <c r="D1497">
        <v>1412.08</v>
      </c>
    </row>
    <row r="1498" spans="1:4" x14ac:dyDescent="0.3">
      <c r="A1498" s="78" t="s">
        <v>31</v>
      </c>
      <c r="B1498" s="78"/>
      <c r="C1498" s="16">
        <v>46221</v>
      </c>
      <c r="D1498">
        <v>22347.56999999996</v>
      </c>
    </row>
    <row r="1499" spans="1:4" x14ac:dyDescent="0.3">
      <c r="A1499" s="78" t="s">
        <v>32</v>
      </c>
      <c r="B1499" s="78"/>
      <c r="C1499" s="16">
        <v>46221</v>
      </c>
      <c r="D1499">
        <v>3522.8000000000029</v>
      </c>
    </row>
    <row r="1500" spans="1:4" x14ac:dyDescent="0.3">
      <c r="A1500" s="78" t="s">
        <v>33</v>
      </c>
      <c r="B1500" s="78"/>
      <c r="C1500" s="16">
        <v>46221</v>
      </c>
      <c r="D1500">
        <v>28485.559999999998</v>
      </c>
    </row>
    <row r="1501" spans="1:4" x14ac:dyDescent="0.3">
      <c r="A1501" s="78" t="s">
        <v>34</v>
      </c>
      <c r="B1501" s="78"/>
      <c r="C1501" s="16">
        <v>46221</v>
      </c>
      <c r="D1501">
        <v>345</v>
      </c>
    </row>
    <row r="1502" spans="1:4" x14ac:dyDescent="0.3">
      <c r="A1502" s="78" t="s">
        <v>35</v>
      </c>
      <c r="B1502" s="78"/>
      <c r="C1502" s="16">
        <v>46221</v>
      </c>
      <c r="D1502">
        <v>16230.620000000003</v>
      </c>
    </row>
    <row r="1503" spans="1:4" x14ac:dyDescent="0.3">
      <c r="A1503" s="78" t="s">
        <v>17</v>
      </c>
      <c r="B1503" s="78"/>
      <c r="C1503" s="16">
        <v>46222</v>
      </c>
      <c r="D1503">
        <v>3191672.4000000008</v>
      </c>
    </row>
    <row r="1504" spans="1:4" x14ac:dyDescent="0.3">
      <c r="A1504" s="78" t="s">
        <v>18</v>
      </c>
      <c r="B1504" s="78"/>
      <c r="C1504" s="16">
        <v>46222</v>
      </c>
      <c r="D1504">
        <v>73157.680000000168</v>
      </c>
    </row>
    <row r="1505" spans="1:4" x14ac:dyDescent="0.3">
      <c r="A1505" s="78" t="s">
        <v>19</v>
      </c>
      <c r="B1505" s="78"/>
      <c r="C1505" s="16">
        <v>46222</v>
      </c>
      <c r="D1505">
        <v>1669.89</v>
      </c>
    </row>
    <row r="1506" spans="1:4" x14ac:dyDescent="0.3">
      <c r="A1506" s="78" t="s">
        <v>20</v>
      </c>
      <c r="B1506" s="78"/>
      <c r="C1506" s="16">
        <v>46222</v>
      </c>
      <c r="D1506">
        <v>860844.50999999978</v>
      </c>
    </row>
    <row r="1507" spans="1:4" x14ac:dyDescent="0.3">
      <c r="A1507" s="78" t="s">
        <v>21</v>
      </c>
      <c r="B1507" s="78"/>
      <c r="C1507" s="16">
        <v>46222</v>
      </c>
      <c r="D1507">
        <v>1762431.8699999994</v>
      </c>
    </row>
    <row r="1508" spans="1:4" x14ac:dyDescent="0.3">
      <c r="A1508" s="78" t="s">
        <v>22</v>
      </c>
      <c r="B1508" s="78"/>
      <c r="C1508" s="16">
        <v>46222</v>
      </c>
      <c r="D1508">
        <v>200496.38</v>
      </c>
    </row>
    <row r="1509" spans="1:4" x14ac:dyDescent="0.3">
      <c r="A1509" s="78" t="s">
        <v>23</v>
      </c>
      <c r="B1509" s="78"/>
      <c r="C1509" s="16">
        <v>46222</v>
      </c>
      <c r="D1509">
        <v>88090.37</v>
      </c>
    </row>
    <row r="1510" spans="1:4" x14ac:dyDescent="0.3">
      <c r="A1510" s="78" t="s">
        <v>24</v>
      </c>
      <c r="B1510" s="78"/>
      <c r="C1510" s="16">
        <v>46222</v>
      </c>
      <c r="D1510">
        <v>14580.45</v>
      </c>
    </row>
    <row r="1511" spans="1:4" x14ac:dyDescent="0.3">
      <c r="A1511" s="78" t="s">
        <v>25</v>
      </c>
      <c r="B1511" s="78"/>
      <c r="C1511" s="16">
        <v>46222</v>
      </c>
      <c r="D1511">
        <v>54.400000000000006</v>
      </c>
    </row>
    <row r="1512" spans="1:4" x14ac:dyDescent="0.3">
      <c r="A1512" s="78" t="s">
        <v>26</v>
      </c>
      <c r="B1512" s="78"/>
      <c r="C1512" s="16">
        <v>46222</v>
      </c>
      <c r="D1512">
        <v>2207.8200000000002</v>
      </c>
    </row>
    <row r="1513" spans="1:4" x14ac:dyDescent="0.3">
      <c r="A1513" s="78" t="s">
        <v>27</v>
      </c>
      <c r="B1513" s="78"/>
      <c r="C1513" s="16">
        <v>46222</v>
      </c>
      <c r="D1513">
        <v>1454589.72</v>
      </c>
    </row>
    <row r="1514" spans="1:4" x14ac:dyDescent="0.3">
      <c r="A1514" s="78" t="s">
        <v>28</v>
      </c>
      <c r="B1514" s="78"/>
      <c r="C1514" s="16">
        <v>46222</v>
      </c>
      <c r="D1514">
        <v>1968.99</v>
      </c>
    </row>
    <row r="1515" spans="1:4" x14ac:dyDescent="0.3">
      <c r="A1515" s="78" t="s">
        <v>29</v>
      </c>
      <c r="B1515" s="78"/>
      <c r="C1515" s="16">
        <v>46222</v>
      </c>
      <c r="D1515">
        <v>901.34</v>
      </c>
    </row>
    <row r="1516" spans="1:4" x14ac:dyDescent="0.3">
      <c r="A1516" s="78" t="s">
        <v>30</v>
      </c>
      <c r="B1516" s="78"/>
      <c r="C1516" s="16">
        <v>46222</v>
      </c>
      <c r="D1516">
        <v>1412.08</v>
      </c>
    </row>
    <row r="1517" spans="1:4" x14ac:dyDescent="0.3">
      <c r="A1517" s="78" t="s">
        <v>31</v>
      </c>
      <c r="B1517" s="78"/>
      <c r="C1517" s="16">
        <v>46222</v>
      </c>
      <c r="D1517">
        <v>22347.56999999996</v>
      </c>
    </row>
    <row r="1518" spans="1:4" x14ac:dyDescent="0.3">
      <c r="A1518" s="78" t="s">
        <v>32</v>
      </c>
      <c r="B1518" s="78"/>
      <c r="C1518" s="16">
        <v>46222</v>
      </c>
      <c r="D1518">
        <v>3522.8000000000029</v>
      </c>
    </row>
    <row r="1519" spans="1:4" x14ac:dyDescent="0.3">
      <c r="A1519" s="78" t="s">
        <v>33</v>
      </c>
      <c r="B1519" s="78"/>
      <c r="C1519" s="16">
        <v>46222</v>
      </c>
      <c r="D1519">
        <v>28485.559999999998</v>
      </c>
    </row>
    <row r="1520" spans="1:4" x14ac:dyDescent="0.3">
      <c r="A1520" s="78" t="s">
        <v>34</v>
      </c>
      <c r="B1520" s="78"/>
      <c r="C1520" s="16">
        <v>46222</v>
      </c>
      <c r="D1520">
        <v>345</v>
      </c>
    </row>
    <row r="1521" spans="1:4" x14ac:dyDescent="0.3">
      <c r="A1521" s="78" t="s">
        <v>35</v>
      </c>
      <c r="B1521" s="78"/>
      <c r="C1521" s="16">
        <v>46222</v>
      </c>
      <c r="D1521">
        <v>16230.620000000003</v>
      </c>
    </row>
    <row r="1522" spans="1:4" x14ac:dyDescent="0.3">
      <c r="A1522" s="78" t="s">
        <v>17</v>
      </c>
      <c r="B1522" s="78"/>
      <c r="C1522" s="16">
        <v>46223</v>
      </c>
      <c r="D1522">
        <v>3191672.4000000008</v>
      </c>
    </row>
    <row r="1523" spans="1:4" x14ac:dyDescent="0.3">
      <c r="A1523" s="78" t="s">
        <v>18</v>
      </c>
      <c r="B1523" s="78"/>
      <c r="C1523" s="16">
        <v>46223</v>
      </c>
      <c r="D1523">
        <v>73157.680000000168</v>
      </c>
    </row>
    <row r="1524" spans="1:4" x14ac:dyDescent="0.3">
      <c r="A1524" s="78" t="s">
        <v>19</v>
      </c>
      <c r="B1524" s="78"/>
      <c r="C1524" s="16">
        <v>46223</v>
      </c>
      <c r="D1524">
        <v>1669.89</v>
      </c>
    </row>
    <row r="1525" spans="1:4" x14ac:dyDescent="0.3">
      <c r="A1525" s="78" t="s">
        <v>20</v>
      </c>
      <c r="B1525" s="78"/>
      <c r="C1525" s="16">
        <v>46223</v>
      </c>
      <c r="D1525">
        <v>860844.50999999978</v>
      </c>
    </row>
    <row r="1526" spans="1:4" x14ac:dyDescent="0.3">
      <c r="A1526" s="78" t="s">
        <v>21</v>
      </c>
      <c r="B1526" s="78"/>
      <c r="C1526" s="16">
        <v>46223</v>
      </c>
      <c r="D1526">
        <v>1758499.9899999993</v>
      </c>
    </row>
    <row r="1527" spans="1:4" x14ac:dyDescent="0.3">
      <c r="A1527" s="78" t="s">
        <v>22</v>
      </c>
      <c r="B1527" s="78"/>
      <c r="C1527" s="16">
        <v>46223</v>
      </c>
      <c r="D1527">
        <v>200496.38</v>
      </c>
    </row>
    <row r="1528" spans="1:4" x14ac:dyDescent="0.3">
      <c r="A1528" s="78" t="s">
        <v>23</v>
      </c>
      <c r="B1528" s="78"/>
      <c r="C1528" s="16">
        <v>46223</v>
      </c>
      <c r="D1528">
        <v>88090.37</v>
      </c>
    </row>
    <row r="1529" spans="1:4" x14ac:dyDescent="0.3">
      <c r="A1529" s="78" t="s">
        <v>24</v>
      </c>
      <c r="B1529" s="78"/>
      <c r="C1529" s="16">
        <v>46223</v>
      </c>
      <c r="D1529">
        <v>14580.45</v>
      </c>
    </row>
    <row r="1530" spans="1:4" x14ac:dyDescent="0.3">
      <c r="A1530" s="78" t="s">
        <v>25</v>
      </c>
      <c r="B1530" s="78"/>
      <c r="C1530" s="16">
        <v>46223</v>
      </c>
      <c r="D1530">
        <v>54.400000000000006</v>
      </c>
    </row>
    <row r="1531" spans="1:4" x14ac:dyDescent="0.3">
      <c r="A1531" s="78" t="s">
        <v>26</v>
      </c>
      <c r="B1531" s="78"/>
      <c r="C1531" s="16">
        <v>46223</v>
      </c>
      <c r="D1531">
        <v>2207.8200000000002</v>
      </c>
    </row>
    <row r="1532" spans="1:4" x14ac:dyDescent="0.3">
      <c r="A1532" s="78" t="s">
        <v>27</v>
      </c>
      <c r="B1532" s="78"/>
      <c r="C1532" s="16">
        <v>46223</v>
      </c>
      <c r="D1532">
        <v>1454589.72</v>
      </c>
    </row>
    <row r="1533" spans="1:4" x14ac:dyDescent="0.3">
      <c r="A1533" s="78" t="s">
        <v>28</v>
      </c>
      <c r="B1533" s="78"/>
      <c r="C1533" s="16">
        <v>46223</v>
      </c>
      <c r="D1533">
        <v>1968.99</v>
      </c>
    </row>
    <row r="1534" spans="1:4" x14ac:dyDescent="0.3">
      <c r="A1534" s="78" t="s">
        <v>29</v>
      </c>
      <c r="B1534" s="78"/>
      <c r="C1534" s="16">
        <v>46223</v>
      </c>
      <c r="D1534">
        <v>901.34</v>
      </c>
    </row>
    <row r="1535" spans="1:4" x14ac:dyDescent="0.3">
      <c r="A1535" s="78" t="s">
        <v>30</v>
      </c>
      <c r="B1535" s="78"/>
      <c r="C1535" s="16">
        <v>46223</v>
      </c>
      <c r="D1535">
        <v>1412.08</v>
      </c>
    </row>
    <row r="1536" spans="1:4" x14ac:dyDescent="0.3">
      <c r="A1536" s="78" t="s">
        <v>31</v>
      </c>
      <c r="B1536" s="78"/>
      <c r="C1536" s="16">
        <v>46223</v>
      </c>
      <c r="D1536">
        <v>22347.56999999996</v>
      </c>
    </row>
    <row r="1537" spans="1:4" x14ac:dyDescent="0.3">
      <c r="A1537" s="78" t="s">
        <v>32</v>
      </c>
      <c r="B1537" s="78"/>
      <c r="C1537" s="16">
        <v>46223</v>
      </c>
      <c r="D1537">
        <v>3522.8000000000029</v>
      </c>
    </row>
    <row r="1538" spans="1:4" x14ac:dyDescent="0.3">
      <c r="A1538" s="78" t="s">
        <v>33</v>
      </c>
      <c r="B1538" s="78"/>
      <c r="C1538" s="16">
        <v>46223</v>
      </c>
      <c r="D1538">
        <v>28485.559999999998</v>
      </c>
    </row>
    <row r="1539" spans="1:4" x14ac:dyDescent="0.3">
      <c r="A1539" s="78" t="s">
        <v>34</v>
      </c>
      <c r="B1539" s="78"/>
      <c r="C1539" s="16">
        <v>46223</v>
      </c>
      <c r="D1539">
        <v>345</v>
      </c>
    </row>
    <row r="1540" spans="1:4" x14ac:dyDescent="0.3">
      <c r="A1540" s="78" t="s">
        <v>35</v>
      </c>
      <c r="B1540" s="78"/>
      <c r="C1540" s="16">
        <v>46223</v>
      </c>
      <c r="D1540">
        <v>14097.480000000003</v>
      </c>
    </row>
    <row r="1541" spans="1:4" x14ac:dyDescent="0.3">
      <c r="A1541" s="78" t="s">
        <v>17</v>
      </c>
      <c r="B1541" s="78"/>
      <c r="C1541" s="16">
        <v>46224</v>
      </c>
      <c r="D1541">
        <v>3191672.4000000008</v>
      </c>
    </row>
    <row r="1542" spans="1:4" x14ac:dyDescent="0.3">
      <c r="A1542" s="78" t="s">
        <v>18</v>
      </c>
      <c r="B1542" s="78"/>
      <c r="C1542" s="16">
        <v>46224</v>
      </c>
      <c r="D1542">
        <v>73157.680000000168</v>
      </c>
    </row>
    <row r="1543" spans="1:4" x14ac:dyDescent="0.3">
      <c r="A1543" s="78" t="s">
        <v>19</v>
      </c>
      <c r="B1543" s="78"/>
      <c r="C1543" s="16">
        <v>46224</v>
      </c>
      <c r="D1543">
        <v>1669.89</v>
      </c>
    </row>
    <row r="1544" spans="1:4" x14ac:dyDescent="0.3">
      <c r="A1544" s="78" t="s">
        <v>20</v>
      </c>
      <c r="B1544" s="78"/>
      <c r="C1544" s="16">
        <v>46224</v>
      </c>
      <c r="D1544">
        <v>860844.50999999978</v>
      </c>
    </row>
    <row r="1545" spans="1:4" x14ac:dyDescent="0.3">
      <c r="A1545" s="78" t="s">
        <v>21</v>
      </c>
      <c r="B1545" s="78"/>
      <c r="C1545" s="16">
        <v>46224</v>
      </c>
      <c r="D1545">
        <v>1758499.9899999993</v>
      </c>
    </row>
    <row r="1546" spans="1:4" x14ac:dyDescent="0.3">
      <c r="A1546" s="78" t="s">
        <v>22</v>
      </c>
      <c r="B1546" s="78"/>
      <c r="C1546" s="16">
        <v>46224</v>
      </c>
      <c r="D1546">
        <v>200496.38</v>
      </c>
    </row>
    <row r="1547" spans="1:4" x14ac:dyDescent="0.3">
      <c r="A1547" s="78" t="s">
        <v>23</v>
      </c>
      <c r="B1547" s="78"/>
      <c r="C1547" s="16">
        <v>46224</v>
      </c>
      <c r="D1547">
        <v>88090.37</v>
      </c>
    </row>
    <row r="1548" spans="1:4" x14ac:dyDescent="0.3">
      <c r="A1548" s="78" t="s">
        <v>24</v>
      </c>
      <c r="B1548" s="78"/>
      <c r="C1548" s="16">
        <v>46224</v>
      </c>
      <c r="D1548">
        <v>14580.45</v>
      </c>
    </row>
    <row r="1549" spans="1:4" x14ac:dyDescent="0.3">
      <c r="A1549" s="78" t="s">
        <v>25</v>
      </c>
      <c r="B1549" s="78"/>
      <c r="C1549" s="16">
        <v>46224</v>
      </c>
      <c r="D1549">
        <v>54.400000000000006</v>
      </c>
    </row>
    <row r="1550" spans="1:4" x14ac:dyDescent="0.3">
      <c r="A1550" s="78" t="s">
        <v>26</v>
      </c>
      <c r="B1550" s="78"/>
      <c r="C1550" s="16">
        <v>46224</v>
      </c>
      <c r="D1550">
        <v>2207.8200000000002</v>
      </c>
    </row>
    <row r="1551" spans="1:4" x14ac:dyDescent="0.3">
      <c r="A1551" s="78" t="s">
        <v>27</v>
      </c>
      <c r="B1551" s="78"/>
      <c r="C1551" s="16">
        <v>46224</v>
      </c>
      <c r="D1551">
        <v>1454589.72</v>
      </c>
    </row>
    <row r="1552" spans="1:4" x14ac:dyDescent="0.3">
      <c r="A1552" s="78" t="s">
        <v>28</v>
      </c>
      <c r="B1552" s="78"/>
      <c r="C1552" s="16">
        <v>46224</v>
      </c>
      <c r="D1552">
        <v>1968.99</v>
      </c>
    </row>
    <row r="1553" spans="1:4" x14ac:dyDescent="0.3">
      <c r="A1553" s="78" t="s">
        <v>29</v>
      </c>
      <c r="B1553" s="78"/>
      <c r="C1553" s="16">
        <v>46224</v>
      </c>
      <c r="D1553">
        <v>901.34</v>
      </c>
    </row>
    <row r="1554" spans="1:4" x14ac:dyDescent="0.3">
      <c r="A1554" s="78" t="s">
        <v>30</v>
      </c>
      <c r="B1554" s="78"/>
      <c r="C1554" s="16">
        <v>46224</v>
      </c>
      <c r="D1554">
        <v>1412.08</v>
      </c>
    </row>
    <row r="1555" spans="1:4" x14ac:dyDescent="0.3">
      <c r="A1555" s="78" t="s">
        <v>31</v>
      </c>
      <c r="B1555" s="78"/>
      <c r="C1555" s="16">
        <v>46224</v>
      </c>
      <c r="D1555">
        <v>22347.56999999996</v>
      </c>
    </row>
    <row r="1556" spans="1:4" x14ac:dyDescent="0.3">
      <c r="A1556" s="78" t="s">
        <v>32</v>
      </c>
      <c r="B1556" s="78"/>
      <c r="C1556" s="16">
        <v>46224</v>
      </c>
      <c r="D1556">
        <v>3522.8000000000029</v>
      </c>
    </row>
    <row r="1557" spans="1:4" x14ac:dyDescent="0.3">
      <c r="A1557" s="78" t="s">
        <v>33</v>
      </c>
      <c r="B1557" s="78"/>
      <c r="C1557" s="16">
        <v>46224</v>
      </c>
      <c r="D1557">
        <v>28485.559999999998</v>
      </c>
    </row>
    <row r="1558" spans="1:4" x14ac:dyDescent="0.3">
      <c r="A1558" s="78" t="s">
        <v>34</v>
      </c>
      <c r="B1558" s="78"/>
      <c r="C1558" s="16">
        <v>46224</v>
      </c>
      <c r="D1558">
        <v>345</v>
      </c>
    </row>
    <row r="1559" spans="1:4" x14ac:dyDescent="0.3">
      <c r="A1559" s="78" t="s">
        <v>35</v>
      </c>
      <c r="B1559" s="78"/>
      <c r="C1559" s="16">
        <v>46224</v>
      </c>
      <c r="D1559">
        <v>13745.850000000002</v>
      </c>
    </row>
    <row r="1560" spans="1:4" x14ac:dyDescent="0.3">
      <c r="A1560" s="78" t="s">
        <v>17</v>
      </c>
      <c r="B1560" s="78"/>
      <c r="C1560" s="16">
        <v>46225</v>
      </c>
      <c r="D1560">
        <v>2337089.0700000008</v>
      </c>
    </row>
    <row r="1561" spans="1:4" x14ac:dyDescent="0.3">
      <c r="A1561" s="78" t="s">
        <v>18</v>
      </c>
      <c r="B1561" s="78"/>
      <c r="C1561" s="16">
        <v>46225</v>
      </c>
      <c r="D1561">
        <v>73157.680000000168</v>
      </c>
    </row>
    <row r="1562" spans="1:4" x14ac:dyDescent="0.3">
      <c r="A1562" s="78" t="s">
        <v>19</v>
      </c>
      <c r="B1562" s="78"/>
      <c r="C1562" s="16">
        <v>46225</v>
      </c>
      <c r="D1562">
        <v>1669.89</v>
      </c>
    </row>
    <row r="1563" spans="1:4" x14ac:dyDescent="0.3">
      <c r="A1563" s="78" t="s">
        <v>20</v>
      </c>
      <c r="B1563" s="78"/>
      <c r="C1563" s="16">
        <v>46225</v>
      </c>
      <c r="D1563">
        <v>833794.74999999977</v>
      </c>
    </row>
    <row r="1564" spans="1:4" x14ac:dyDescent="0.3">
      <c r="A1564" s="78" t="s">
        <v>21</v>
      </c>
      <c r="B1564" s="78"/>
      <c r="C1564" s="16">
        <v>46225</v>
      </c>
      <c r="D1564">
        <v>2037119.9899999995</v>
      </c>
    </row>
    <row r="1565" spans="1:4" x14ac:dyDescent="0.3">
      <c r="A1565" s="78" t="s">
        <v>22</v>
      </c>
      <c r="B1565" s="78"/>
      <c r="C1565" s="16">
        <v>46225</v>
      </c>
      <c r="D1565">
        <v>200496.38</v>
      </c>
    </row>
    <row r="1566" spans="1:4" x14ac:dyDescent="0.3">
      <c r="A1566" s="78" t="s">
        <v>23</v>
      </c>
      <c r="B1566" s="78"/>
      <c r="C1566" s="16">
        <v>46225</v>
      </c>
      <c r="D1566">
        <v>88090.37</v>
      </c>
    </row>
    <row r="1567" spans="1:4" x14ac:dyDescent="0.3">
      <c r="A1567" s="78" t="s">
        <v>24</v>
      </c>
      <c r="B1567" s="78"/>
      <c r="C1567" s="16">
        <v>46225</v>
      </c>
      <c r="D1567">
        <v>14580.45</v>
      </c>
    </row>
    <row r="1568" spans="1:4" x14ac:dyDescent="0.3">
      <c r="A1568" s="78" t="s">
        <v>25</v>
      </c>
      <c r="B1568" s="78"/>
      <c r="C1568" s="16">
        <v>46225</v>
      </c>
      <c r="D1568">
        <v>54.400000000000006</v>
      </c>
    </row>
    <row r="1569" spans="1:4" x14ac:dyDescent="0.3">
      <c r="A1569" s="78" t="s">
        <v>26</v>
      </c>
      <c r="B1569" s="78"/>
      <c r="C1569" s="16">
        <v>46225</v>
      </c>
      <c r="D1569">
        <v>2207.8200000000002</v>
      </c>
    </row>
    <row r="1570" spans="1:4" x14ac:dyDescent="0.3">
      <c r="A1570" s="78" t="s">
        <v>27</v>
      </c>
      <c r="B1570" s="78"/>
      <c r="C1570" s="16">
        <v>46225</v>
      </c>
      <c r="D1570">
        <v>1454589.72</v>
      </c>
    </row>
    <row r="1571" spans="1:4" x14ac:dyDescent="0.3">
      <c r="A1571" s="78" t="s">
        <v>28</v>
      </c>
      <c r="B1571" s="78"/>
      <c r="C1571" s="16">
        <v>46225</v>
      </c>
      <c r="D1571">
        <v>1968.99</v>
      </c>
    </row>
    <row r="1572" spans="1:4" x14ac:dyDescent="0.3">
      <c r="A1572" s="78" t="s">
        <v>29</v>
      </c>
      <c r="B1572" s="78"/>
      <c r="C1572" s="16">
        <v>46225</v>
      </c>
      <c r="D1572">
        <v>901.34</v>
      </c>
    </row>
    <row r="1573" spans="1:4" x14ac:dyDescent="0.3">
      <c r="A1573" s="78" t="s">
        <v>30</v>
      </c>
      <c r="B1573" s="78"/>
      <c r="C1573" s="16">
        <v>46225</v>
      </c>
      <c r="D1573">
        <v>1412.08</v>
      </c>
    </row>
    <row r="1574" spans="1:4" x14ac:dyDescent="0.3">
      <c r="A1574" s="78" t="s">
        <v>31</v>
      </c>
      <c r="B1574" s="78"/>
      <c r="C1574" s="16">
        <v>46225</v>
      </c>
      <c r="D1574">
        <v>22347.56999999996</v>
      </c>
    </row>
    <row r="1575" spans="1:4" x14ac:dyDescent="0.3">
      <c r="A1575" s="78" t="s">
        <v>32</v>
      </c>
      <c r="B1575" s="78"/>
      <c r="C1575" s="16">
        <v>46225</v>
      </c>
      <c r="D1575">
        <v>3522.8000000000029</v>
      </c>
    </row>
    <row r="1576" spans="1:4" x14ac:dyDescent="0.3">
      <c r="A1576" s="78" t="s">
        <v>33</v>
      </c>
      <c r="B1576" s="78"/>
      <c r="C1576" s="16">
        <v>46225</v>
      </c>
      <c r="D1576">
        <v>28485.559999999998</v>
      </c>
    </row>
    <row r="1577" spans="1:4" x14ac:dyDescent="0.3">
      <c r="A1577" s="78" t="s">
        <v>34</v>
      </c>
      <c r="B1577" s="78"/>
      <c r="C1577" s="16">
        <v>46225</v>
      </c>
      <c r="D1577">
        <v>345</v>
      </c>
    </row>
    <row r="1578" spans="1:4" x14ac:dyDescent="0.3">
      <c r="A1578" s="78" t="s">
        <v>35</v>
      </c>
      <c r="B1578" s="78"/>
      <c r="C1578" s="16">
        <v>46225</v>
      </c>
      <c r="D1578">
        <v>10252.290000000003</v>
      </c>
    </row>
    <row r="1579" spans="1:4" x14ac:dyDescent="0.3">
      <c r="A1579" s="78" t="s">
        <v>17</v>
      </c>
      <c r="B1579" s="78"/>
      <c r="C1579" s="16">
        <v>46226</v>
      </c>
      <c r="D1579">
        <v>2337084.0700000008</v>
      </c>
    </row>
    <row r="1580" spans="1:4" x14ac:dyDescent="0.3">
      <c r="A1580" s="78" t="s">
        <v>18</v>
      </c>
      <c r="B1580" s="78"/>
      <c r="C1580" s="16">
        <v>46226</v>
      </c>
      <c r="D1580">
        <v>73157.680000000168</v>
      </c>
    </row>
    <row r="1581" spans="1:4" x14ac:dyDescent="0.3">
      <c r="A1581" s="78" t="s">
        <v>19</v>
      </c>
      <c r="B1581" s="78"/>
      <c r="C1581" s="16">
        <v>46226</v>
      </c>
      <c r="D1581">
        <v>1669.89</v>
      </c>
    </row>
    <row r="1582" spans="1:4" x14ac:dyDescent="0.3">
      <c r="A1582" s="78" t="s">
        <v>20</v>
      </c>
      <c r="B1582" s="78"/>
      <c r="C1582" s="16">
        <v>46226</v>
      </c>
      <c r="D1582">
        <v>873784.44999999972</v>
      </c>
    </row>
    <row r="1583" spans="1:4" x14ac:dyDescent="0.3">
      <c r="A1583" s="78" t="s">
        <v>21</v>
      </c>
      <c r="B1583" s="78"/>
      <c r="C1583" s="16">
        <v>46226</v>
      </c>
      <c r="D1583">
        <v>2037119.9899999995</v>
      </c>
    </row>
    <row r="1584" spans="1:4" x14ac:dyDescent="0.3">
      <c r="A1584" s="78" t="s">
        <v>22</v>
      </c>
      <c r="B1584" s="78"/>
      <c r="C1584" s="16">
        <v>46226</v>
      </c>
      <c r="D1584">
        <v>200496.38</v>
      </c>
    </row>
    <row r="1585" spans="1:4" x14ac:dyDescent="0.3">
      <c r="A1585" s="78" t="s">
        <v>23</v>
      </c>
      <c r="B1585" s="78"/>
      <c r="C1585" s="16">
        <v>46226</v>
      </c>
      <c r="D1585">
        <v>88090.37</v>
      </c>
    </row>
    <row r="1586" spans="1:4" x14ac:dyDescent="0.3">
      <c r="A1586" s="78" t="s">
        <v>24</v>
      </c>
      <c r="B1586" s="78"/>
      <c r="C1586" s="16">
        <v>46226</v>
      </c>
      <c r="D1586">
        <v>14580.45</v>
      </c>
    </row>
    <row r="1587" spans="1:4" x14ac:dyDescent="0.3">
      <c r="A1587" s="78" t="s">
        <v>25</v>
      </c>
      <c r="B1587" s="78"/>
      <c r="C1587" s="16">
        <v>46226</v>
      </c>
      <c r="D1587">
        <v>54.400000000000006</v>
      </c>
    </row>
    <row r="1588" spans="1:4" x14ac:dyDescent="0.3">
      <c r="A1588" s="78" t="s">
        <v>26</v>
      </c>
      <c r="B1588" s="78"/>
      <c r="C1588" s="16">
        <v>46226</v>
      </c>
      <c r="D1588">
        <v>2207.8200000000002</v>
      </c>
    </row>
    <row r="1589" spans="1:4" x14ac:dyDescent="0.3">
      <c r="A1589" s="78" t="s">
        <v>27</v>
      </c>
      <c r="B1589" s="78"/>
      <c r="C1589" s="16">
        <v>46226</v>
      </c>
      <c r="D1589">
        <v>1454589.72</v>
      </c>
    </row>
    <row r="1590" spans="1:4" x14ac:dyDescent="0.3">
      <c r="A1590" s="78" t="s">
        <v>28</v>
      </c>
      <c r="B1590" s="78"/>
      <c r="C1590" s="16">
        <v>46226</v>
      </c>
      <c r="D1590">
        <v>1968.99</v>
      </c>
    </row>
    <row r="1591" spans="1:4" x14ac:dyDescent="0.3">
      <c r="A1591" s="78" t="s">
        <v>29</v>
      </c>
      <c r="B1591" s="78"/>
      <c r="C1591" s="16">
        <v>46226</v>
      </c>
      <c r="D1591">
        <v>901.34</v>
      </c>
    </row>
    <row r="1592" spans="1:4" x14ac:dyDescent="0.3">
      <c r="A1592" s="78" t="s">
        <v>30</v>
      </c>
      <c r="B1592" s="78"/>
      <c r="C1592" s="16">
        <v>46226</v>
      </c>
      <c r="D1592">
        <v>1412.08</v>
      </c>
    </row>
    <row r="1593" spans="1:4" x14ac:dyDescent="0.3">
      <c r="A1593" s="78" t="s">
        <v>31</v>
      </c>
      <c r="B1593" s="78"/>
      <c r="C1593" s="16">
        <v>46226</v>
      </c>
      <c r="D1593">
        <v>22347.56999999996</v>
      </c>
    </row>
    <row r="1594" spans="1:4" x14ac:dyDescent="0.3">
      <c r="A1594" s="78" t="s">
        <v>32</v>
      </c>
      <c r="B1594" s="78"/>
      <c r="C1594" s="16">
        <v>46226</v>
      </c>
      <c r="D1594">
        <v>18522.800000000003</v>
      </c>
    </row>
    <row r="1595" spans="1:4" x14ac:dyDescent="0.3">
      <c r="A1595" s="78" t="s">
        <v>33</v>
      </c>
      <c r="B1595" s="78"/>
      <c r="C1595" s="16">
        <v>46226</v>
      </c>
      <c r="D1595">
        <v>28485.559999999998</v>
      </c>
    </row>
    <row r="1596" spans="1:4" x14ac:dyDescent="0.3">
      <c r="A1596" s="78" t="s">
        <v>34</v>
      </c>
      <c r="B1596" s="78"/>
      <c r="C1596" s="16">
        <v>46226</v>
      </c>
      <c r="D1596">
        <v>345</v>
      </c>
    </row>
    <row r="1597" spans="1:4" x14ac:dyDescent="0.3">
      <c r="A1597" s="78" t="s">
        <v>35</v>
      </c>
      <c r="B1597" s="78"/>
      <c r="C1597" s="16">
        <v>46226</v>
      </c>
      <c r="D1597">
        <v>9958.7100000000028</v>
      </c>
    </row>
    <row r="1598" spans="1:4" x14ac:dyDescent="0.3">
      <c r="A1598" s="78" t="s">
        <v>17</v>
      </c>
      <c r="B1598" s="78"/>
      <c r="C1598" s="16">
        <v>46227</v>
      </c>
      <c r="D1598">
        <v>2337084.0700000008</v>
      </c>
    </row>
    <row r="1599" spans="1:4" x14ac:dyDescent="0.3">
      <c r="A1599" s="78" t="s">
        <v>18</v>
      </c>
      <c r="B1599" s="78"/>
      <c r="C1599" s="16">
        <v>46227</v>
      </c>
      <c r="D1599">
        <v>73157.680000000168</v>
      </c>
    </row>
    <row r="1600" spans="1:4" x14ac:dyDescent="0.3">
      <c r="A1600" s="78" t="s">
        <v>19</v>
      </c>
      <c r="B1600" s="78"/>
      <c r="C1600" s="16">
        <v>46227</v>
      </c>
      <c r="D1600">
        <v>1669.89</v>
      </c>
    </row>
    <row r="1601" spans="1:4" x14ac:dyDescent="0.3">
      <c r="A1601" s="78" t="s">
        <v>20</v>
      </c>
      <c r="B1601" s="78"/>
      <c r="C1601" s="16">
        <v>46227</v>
      </c>
      <c r="D1601">
        <v>873784.44999999972</v>
      </c>
    </row>
    <row r="1602" spans="1:4" x14ac:dyDescent="0.3">
      <c r="A1602" s="78" t="s">
        <v>21</v>
      </c>
      <c r="B1602" s="78"/>
      <c r="C1602" s="16">
        <v>46227</v>
      </c>
      <c r="D1602">
        <v>2037119.9899999995</v>
      </c>
    </row>
    <row r="1603" spans="1:4" x14ac:dyDescent="0.3">
      <c r="A1603" s="78" t="s">
        <v>22</v>
      </c>
      <c r="B1603" s="78"/>
      <c r="C1603" s="16">
        <v>46227</v>
      </c>
      <c r="D1603">
        <v>200496.38</v>
      </c>
    </row>
    <row r="1604" spans="1:4" x14ac:dyDescent="0.3">
      <c r="A1604" s="78" t="s">
        <v>23</v>
      </c>
      <c r="B1604" s="78"/>
      <c r="C1604" s="16">
        <v>46227</v>
      </c>
      <c r="D1604">
        <v>88090.37</v>
      </c>
    </row>
    <row r="1605" spans="1:4" x14ac:dyDescent="0.3">
      <c r="A1605" s="78" t="s">
        <v>24</v>
      </c>
      <c r="B1605" s="78"/>
      <c r="C1605" s="16">
        <v>46227</v>
      </c>
      <c r="D1605">
        <v>14580.45</v>
      </c>
    </row>
    <row r="1606" spans="1:4" x14ac:dyDescent="0.3">
      <c r="A1606" s="78" t="s">
        <v>25</v>
      </c>
      <c r="B1606" s="78"/>
      <c r="C1606" s="16">
        <v>46227</v>
      </c>
      <c r="D1606">
        <v>54.400000000000006</v>
      </c>
    </row>
    <row r="1607" spans="1:4" x14ac:dyDescent="0.3">
      <c r="A1607" s="78" t="s">
        <v>26</v>
      </c>
      <c r="B1607" s="78"/>
      <c r="C1607" s="16">
        <v>46227</v>
      </c>
      <c r="D1607">
        <v>2207.8200000000002</v>
      </c>
    </row>
    <row r="1608" spans="1:4" x14ac:dyDescent="0.3">
      <c r="A1608" s="78" t="s">
        <v>27</v>
      </c>
      <c r="B1608" s="78"/>
      <c r="C1608" s="16">
        <v>46227</v>
      </c>
      <c r="D1608">
        <v>1454589.72</v>
      </c>
    </row>
    <row r="1609" spans="1:4" x14ac:dyDescent="0.3">
      <c r="A1609" s="78" t="s">
        <v>28</v>
      </c>
      <c r="B1609" s="78"/>
      <c r="C1609" s="16">
        <v>46227</v>
      </c>
      <c r="D1609">
        <v>1968.99</v>
      </c>
    </row>
    <row r="1610" spans="1:4" x14ac:dyDescent="0.3">
      <c r="A1610" s="78" t="s">
        <v>29</v>
      </c>
      <c r="B1610" s="78"/>
      <c r="C1610" s="16">
        <v>46227</v>
      </c>
      <c r="D1610">
        <v>901.34</v>
      </c>
    </row>
    <row r="1611" spans="1:4" x14ac:dyDescent="0.3">
      <c r="A1611" s="78" t="s">
        <v>30</v>
      </c>
      <c r="B1611" s="78"/>
      <c r="C1611" s="16">
        <v>46227</v>
      </c>
      <c r="D1611">
        <v>1412.08</v>
      </c>
    </row>
    <row r="1612" spans="1:4" x14ac:dyDescent="0.3">
      <c r="A1612" s="78" t="s">
        <v>31</v>
      </c>
      <c r="B1612" s="78"/>
      <c r="C1612" s="16">
        <v>46227</v>
      </c>
      <c r="D1612">
        <v>22347.56999999996</v>
      </c>
    </row>
    <row r="1613" spans="1:4" x14ac:dyDescent="0.3">
      <c r="A1613" s="78" t="s">
        <v>32</v>
      </c>
      <c r="B1613" s="78"/>
      <c r="C1613" s="16">
        <v>46227</v>
      </c>
      <c r="D1613">
        <v>18522.800000000003</v>
      </c>
    </row>
    <row r="1614" spans="1:4" x14ac:dyDescent="0.3">
      <c r="A1614" s="78" t="s">
        <v>33</v>
      </c>
      <c r="B1614" s="78"/>
      <c r="C1614" s="16">
        <v>46227</v>
      </c>
      <c r="D1614">
        <v>28485.559999999998</v>
      </c>
    </row>
    <row r="1615" spans="1:4" x14ac:dyDescent="0.3">
      <c r="A1615" s="78" t="s">
        <v>34</v>
      </c>
      <c r="B1615" s="78"/>
      <c r="C1615" s="16">
        <v>46227</v>
      </c>
      <c r="D1615">
        <v>345</v>
      </c>
    </row>
    <row r="1616" spans="1:4" x14ac:dyDescent="0.3">
      <c r="A1616" s="78" t="s">
        <v>35</v>
      </c>
      <c r="B1616" s="78"/>
      <c r="C1616" s="16">
        <v>46227</v>
      </c>
      <c r="D1616">
        <v>9557.6300000000028</v>
      </c>
    </row>
    <row r="1617" spans="1:4" x14ac:dyDescent="0.3">
      <c r="A1617" s="78" t="s">
        <v>17</v>
      </c>
      <c r="B1617" s="78"/>
      <c r="C1617" s="16">
        <v>46228</v>
      </c>
      <c r="D1617">
        <v>2337084.0700000008</v>
      </c>
    </row>
    <row r="1618" spans="1:4" x14ac:dyDescent="0.3">
      <c r="A1618" s="78" t="s">
        <v>18</v>
      </c>
      <c r="B1618" s="78"/>
      <c r="C1618" s="16">
        <v>46228</v>
      </c>
      <c r="D1618">
        <v>73157.680000000168</v>
      </c>
    </row>
    <row r="1619" spans="1:4" x14ac:dyDescent="0.3">
      <c r="A1619" s="78" t="s">
        <v>19</v>
      </c>
      <c r="B1619" s="78"/>
      <c r="C1619" s="16">
        <v>46228</v>
      </c>
      <c r="D1619">
        <v>1669.89</v>
      </c>
    </row>
    <row r="1620" spans="1:4" x14ac:dyDescent="0.3">
      <c r="A1620" s="78" t="s">
        <v>20</v>
      </c>
      <c r="B1620" s="78"/>
      <c r="C1620" s="16">
        <v>46228</v>
      </c>
      <c r="D1620">
        <v>873784.44999999972</v>
      </c>
    </row>
    <row r="1621" spans="1:4" x14ac:dyDescent="0.3">
      <c r="A1621" s="78" t="s">
        <v>21</v>
      </c>
      <c r="B1621" s="78"/>
      <c r="C1621" s="16">
        <v>46228</v>
      </c>
      <c r="D1621">
        <v>2037119.9899999995</v>
      </c>
    </row>
    <row r="1622" spans="1:4" x14ac:dyDescent="0.3">
      <c r="A1622" s="78" t="s">
        <v>22</v>
      </c>
      <c r="B1622" s="78"/>
      <c r="C1622" s="16">
        <v>46228</v>
      </c>
      <c r="D1622">
        <v>200496.38</v>
      </c>
    </row>
    <row r="1623" spans="1:4" x14ac:dyDescent="0.3">
      <c r="A1623" s="78" t="s">
        <v>23</v>
      </c>
      <c r="B1623" s="78"/>
      <c r="C1623" s="16">
        <v>46228</v>
      </c>
      <c r="D1623">
        <v>88090.37</v>
      </c>
    </row>
    <row r="1624" spans="1:4" x14ac:dyDescent="0.3">
      <c r="A1624" s="78" t="s">
        <v>24</v>
      </c>
      <c r="B1624" s="78"/>
      <c r="C1624" s="16">
        <v>46228</v>
      </c>
      <c r="D1624">
        <v>14580.45</v>
      </c>
    </row>
    <row r="1625" spans="1:4" x14ac:dyDescent="0.3">
      <c r="A1625" s="78" t="s">
        <v>25</v>
      </c>
      <c r="B1625" s="78"/>
      <c r="C1625" s="16">
        <v>46228</v>
      </c>
      <c r="D1625">
        <v>54.400000000000006</v>
      </c>
    </row>
    <row r="1626" spans="1:4" x14ac:dyDescent="0.3">
      <c r="A1626" s="78" t="s">
        <v>26</v>
      </c>
      <c r="B1626" s="78"/>
      <c r="C1626" s="16">
        <v>46228</v>
      </c>
      <c r="D1626">
        <v>2207.8200000000002</v>
      </c>
    </row>
    <row r="1627" spans="1:4" x14ac:dyDescent="0.3">
      <c r="A1627" s="78" t="s">
        <v>27</v>
      </c>
      <c r="B1627" s="78"/>
      <c r="C1627" s="16">
        <v>46228</v>
      </c>
      <c r="D1627">
        <v>1454589.72</v>
      </c>
    </row>
    <row r="1628" spans="1:4" x14ac:dyDescent="0.3">
      <c r="A1628" s="78" t="s">
        <v>28</v>
      </c>
      <c r="B1628" s="78"/>
      <c r="C1628" s="16">
        <v>46228</v>
      </c>
      <c r="D1628">
        <v>1968.99</v>
      </c>
    </row>
    <row r="1629" spans="1:4" x14ac:dyDescent="0.3">
      <c r="A1629" s="78" t="s">
        <v>29</v>
      </c>
      <c r="B1629" s="78"/>
      <c r="C1629" s="16">
        <v>46228</v>
      </c>
      <c r="D1629">
        <v>901.34</v>
      </c>
    </row>
    <row r="1630" spans="1:4" x14ac:dyDescent="0.3">
      <c r="A1630" s="78" t="s">
        <v>30</v>
      </c>
      <c r="B1630" s="78"/>
      <c r="C1630" s="16">
        <v>46228</v>
      </c>
      <c r="D1630">
        <v>1412.08</v>
      </c>
    </row>
    <row r="1631" spans="1:4" x14ac:dyDescent="0.3">
      <c r="A1631" s="78" t="s">
        <v>31</v>
      </c>
      <c r="B1631" s="78"/>
      <c r="C1631" s="16">
        <v>46228</v>
      </c>
      <c r="D1631">
        <v>22347.56999999996</v>
      </c>
    </row>
    <row r="1632" spans="1:4" x14ac:dyDescent="0.3">
      <c r="A1632" s="78" t="s">
        <v>32</v>
      </c>
      <c r="B1632" s="78"/>
      <c r="C1632" s="16">
        <v>46228</v>
      </c>
      <c r="D1632">
        <v>18522.800000000003</v>
      </c>
    </row>
    <row r="1633" spans="1:4" x14ac:dyDescent="0.3">
      <c r="A1633" s="78" t="s">
        <v>33</v>
      </c>
      <c r="B1633" s="78"/>
      <c r="C1633" s="16">
        <v>46228</v>
      </c>
      <c r="D1633">
        <v>28485.559999999998</v>
      </c>
    </row>
    <row r="1634" spans="1:4" x14ac:dyDescent="0.3">
      <c r="A1634" s="78" t="s">
        <v>34</v>
      </c>
      <c r="B1634" s="78"/>
      <c r="C1634" s="16">
        <v>46228</v>
      </c>
      <c r="D1634">
        <v>345</v>
      </c>
    </row>
    <row r="1635" spans="1:4" x14ac:dyDescent="0.3">
      <c r="A1635" s="78" t="s">
        <v>35</v>
      </c>
      <c r="B1635" s="78"/>
      <c r="C1635" s="16">
        <v>46228</v>
      </c>
      <c r="D1635">
        <v>9557.6300000000028</v>
      </c>
    </row>
    <row r="1636" spans="1:4" x14ac:dyDescent="0.3">
      <c r="A1636" s="78" t="s">
        <v>17</v>
      </c>
      <c r="B1636" s="78"/>
      <c r="C1636" s="16">
        <v>46229</v>
      </c>
      <c r="D1636">
        <v>2337084.0700000008</v>
      </c>
    </row>
    <row r="1637" spans="1:4" x14ac:dyDescent="0.3">
      <c r="A1637" s="78" t="s">
        <v>18</v>
      </c>
      <c r="B1637" s="78"/>
      <c r="C1637" s="16">
        <v>46229</v>
      </c>
      <c r="D1637">
        <v>73157.680000000168</v>
      </c>
    </row>
    <row r="1638" spans="1:4" x14ac:dyDescent="0.3">
      <c r="A1638" s="78" t="s">
        <v>19</v>
      </c>
      <c r="B1638" s="78"/>
      <c r="C1638" s="16">
        <v>46229</v>
      </c>
      <c r="D1638">
        <v>1669.89</v>
      </c>
    </row>
    <row r="1639" spans="1:4" x14ac:dyDescent="0.3">
      <c r="A1639" s="78" t="s">
        <v>20</v>
      </c>
      <c r="B1639" s="78"/>
      <c r="C1639" s="16">
        <v>46229</v>
      </c>
      <c r="D1639">
        <v>873784.44999999972</v>
      </c>
    </row>
    <row r="1640" spans="1:4" x14ac:dyDescent="0.3">
      <c r="A1640" s="78" t="s">
        <v>21</v>
      </c>
      <c r="B1640" s="78"/>
      <c r="C1640" s="16">
        <v>46229</v>
      </c>
      <c r="D1640">
        <v>2037119.9899999995</v>
      </c>
    </row>
    <row r="1641" spans="1:4" x14ac:dyDescent="0.3">
      <c r="A1641" s="78" t="s">
        <v>22</v>
      </c>
      <c r="B1641" s="78"/>
      <c r="C1641" s="16">
        <v>46229</v>
      </c>
      <c r="D1641">
        <v>200496.38</v>
      </c>
    </row>
    <row r="1642" spans="1:4" x14ac:dyDescent="0.3">
      <c r="A1642" s="78" t="s">
        <v>23</v>
      </c>
      <c r="B1642" s="78"/>
      <c r="C1642" s="16">
        <v>46229</v>
      </c>
      <c r="D1642">
        <v>88090.37</v>
      </c>
    </row>
    <row r="1643" spans="1:4" x14ac:dyDescent="0.3">
      <c r="A1643" s="78" t="s">
        <v>24</v>
      </c>
      <c r="B1643" s="78"/>
      <c r="C1643" s="16">
        <v>46229</v>
      </c>
      <c r="D1643">
        <v>14580.45</v>
      </c>
    </row>
    <row r="1644" spans="1:4" x14ac:dyDescent="0.3">
      <c r="A1644" s="78" t="s">
        <v>25</v>
      </c>
      <c r="B1644" s="78"/>
      <c r="C1644" s="16">
        <v>46229</v>
      </c>
      <c r="D1644">
        <v>54.400000000000006</v>
      </c>
    </row>
    <row r="1645" spans="1:4" x14ac:dyDescent="0.3">
      <c r="A1645" s="78" t="s">
        <v>26</v>
      </c>
      <c r="B1645" s="78"/>
      <c r="C1645" s="16">
        <v>46229</v>
      </c>
      <c r="D1645">
        <v>2207.8200000000002</v>
      </c>
    </row>
    <row r="1646" spans="1:4" x14ac:dyDescent="0.3">
      <c r="A1646" s="78" t="s">
        <v>27</v>
      </c>
      <c r="B1646" s="78"/>
      <c r="C1646" s="16">
        <v>46229</v>
      </c>
      <c r="D1646">
        <v>1454589.72</v>
      </c>
    </row>
    <row r="1647" spans="1:4" x14ac:dyDescent="0.3">
      <c r="A1647" s="78" t="s">
        <v>28</v>
      </c>
      <c r="B1647" s="78"/>
      <c r="C1647" s="16">
        <v>46229</v>
      </c>
      <c r="D1647">
        <v>1968.99</v>
      </c>
    </row>
    <row r="1648" spans="1:4" x14ac:dyDescent="0.3">
      <c r="A1648" s="78" t="s">
        <v>29</v>
      </c>
      <c r="B1648" s="78"/>
      <c r="C1648" s="16">
        <v>46229</v>
      </c>
      <c r="D1648">
        <v>901.34</v>
      </c>
    </row>
    <row r="1649" spans="1:4" x14ac:dyDescent="0.3">
      <c r="A1649" s="78" t="s">
        <v>30</v>
      </c>
      <c r="B1649" s="78"/>
      <c r="C1649" s="16">
        <v>46229</v>
      </c>
      <c r="D1649">
        <v>1412.08</v>
      </c>
    </row>
    <row r="1650" spans="1:4" x14ac:dyDescent="0.3">
      <c r="A1650" s="78" t="s">
        <v>31</v>
      </c>
      <c r="B1650" s="78"/>
      <c r="C1650" s="16">
        <v>46229</v>
      </c>
      <c r="D1650">
        <v>22347.56999999996</v>
      </c>
    </row>
    <row r="1651" spans="1:4" x14ac:dyDescent="0.3">
      <c r="A1651" s="78" t="s">
        <v>32</v>
      </c>
      <c r="B1651" s="78"/>
      <c r="C1651" s="16">
        <v>46229</v>
      </c>
      <c r="D1651">
        <v>18522.800000000003</v>
      </c>
    </row>
    <row r="1652" spans="1:4" x14ac:dyDescent="0.3">
      <c r="A1652" s="78" t="s">
        <v>33</v>
      </c>
      <c r="B1652" s="78"/>
      <c r="C1652" s="16">
        <v>46229</v>
      </c>
      <c r="D1652">
        <v>28485.559999999998</v>
      </c>
    </row>
    <row r="1653" spans="1:4" x14ac:dyDescent="0.3">
      <c r="A1653" s="78" t="s">
        <v>34</v>
      </c>
      <c r="B1653" s="78"/>
      <c r="C1653" s="16">
        <v>46229</v>
      </c>
      <c r="D1653">
        <v>345</v>
      </c>
    </row>
    <row r="1654" spans="1:4" x14ac:dyDescent="0.3">
      <c r="A1654" s="78" t="s">
        <v>35</v>
      </c>
      <c r="B1654" s="78"/>
      <c r="C1654" s="16">
        <v>46229</v>
      </c>
      <c r="D1654">
        <v>9557.6300000000028</v>
      </c>
    </row>
    <row r="1655" spans="1:4" x14ac:dyDescent="0.3">
      <c r="A1655" s="78" t="s">
        <v>17</v>
      </c>
      <c r="B1655" s="78"/>
      <c r="C1655" s="16">
        <v>46230</v>
      </c>
      <c r="D1655">
        <v>2337084.0700000008</v>
      </c>
    </row>
    <row r="1656" spans="1:4" x14ac:dyDescent="0.3">
      <c r="A1656" s="78" t="s">
        <v>18</v>
      </c>
      <c r="B1656" s="78"/>
      <c r="C1656" s="16">
        <v>46230</v>
      </c>
      <c r="D1656">
        <v>73157.680000000168</v>
      </c>
    </row>
    <row r="1657" spans="1:4" x14ac:dyDescent="0.3">
      <c r="A1657" s="78" t="s">
        <v>19</v>
      </c>
      <c r="B1657" s="78"/>
      <c r="C1657" s="16">
        <v>46230</v>
      </c>
      <c r="D1657">
        <v>1669.89</v>
      </c>
    </row>
    <row r="1658" spans="1:4" x14ac:dyDescent="0.3">
      <c r="A1658" s="78" t="s">
        <v>20</v>
      </c>
      <c r="B1658" s="78"/>
      <c r="C1658" s="16">
        <v>46230</v>
      </c>
      <c r="D1658">
        <v>1223784.4499999997</v>
      </c>
    </row>
    <row r="1659" spans="1:4" x14ac:dyDescent="0.3">
      <c r="A1659" s="78" t="s">
        <v>21</v>
      </c>
      <c r="B1659" s="78"/>
      <c r="C1659" s="16">
        <v>46230</v>
      </c>
      <c r="D1659">
        <v>2037119.9899999995</v>
      </c>
    </row>
    <row r="1660" spans="1:4" x14ac:dyDescent="0.3">
      <c r="A1660" s="78" t="s">
        <v>22</v>
      </c>
      <c r="B1660" s="78"/>
      <c r="C1660" s="16">
        <v>46230</v>
      </c>
      <c r="D1660">
        <v>190496.38</v>
      </c>
    </row>
    <row r="1661" spans="1:4" x14ac:dyDescent="0.3">
      <c r="A1661" s="78" t="s">
        <v>23</v>
      </c>
      <c r="B1661" s="78"/>
      <c r="C1661" s="16">
        <v>46230</v>
      </c>
      <c r="D1661">
        <v>88090.37</v>
      </c>
    </row>
    <row r="1662" spans="1:4" x14ac:dyDescent="0.3">
      <c r="A1662" s="78" t="s">
        <v>24</v>
      </c>
      <c r="B1662" s="78"/>
      <c r="C1662" s="16">
        <v>46230</v>
      </c>
      <c r="D1662">
        <v>14580.45</v>
      </c>
    </row>
    <row r="1663" spans="1:4" x14ac:dyDescent="0.3">
      <c r="A1663" s="78" t="s">
        <v>25</v>
      </c>
      <c r="B1663" s="78"/>
      <c r="C1663" s="16">
        <v>46230</v>
      </c>
      <c r="D1663">
        <v>54.400000000000006</v>
      </c>
    </row>
    <row r="1664" spans="1:4" x14ac:dyDescent="0.3">
      <c r="A1664" s="78" t="s">
        <v>26</v>
      </c>
      <c r="B1664" s="78"/>
      <c r="C1664" s="16">
        <v>46230</v>
      </c>
      <c r="D1664">
        <v>2207.8200000000002</v>
      </c>
    </row>
    <row r="1665" spans="1:4" x14ac:dyDescent="0.3">
      <c r="A1665" s="78" t="s">
        <v>27</v>
      </c>
      <c r="B1665" s="78"/>
      <c r="C1665" s="16">
        <v>46230</v>
      </c>
      <c r="D1665">
        <v>1454589.72</v>
      </c>
    </row>
    <row r="1666" spans="1:4" x14ac:dyDescent="0.3">
      <c r="A1666" s="78" t="s">
        <v>28</v>
      </c>
      <c r="B1666" s="78"/>
      <c r="C1666" s="16">
        <v>46230</v>
      </c>
      <c r="D1666">
        <v>1968.99</v>
      </c>
    </row>
    <row r="1667" spans="1:4" x14ac:dyDescent="0.3">
      <c r="A1667" s="78" t="s">
        <v>29</v>
      </c>
      <c r="B1667" s="78"/>
      <c r="C1667" s="16">
        <v>46230</v>
      </c>
      <c r="D1667">
        <v>901.34</v>
      </c>
    </row>
    <row r="1668" spans="1:4" x14ac:dyDescent="0.3">
      <c r="A1668" s="78" t="s">
        <v>30</v>
      </c>
      <c r="B1668" s="78"/>
      <c r="C1668" s="16">
        <v>46230</v>
      </c>
      <c r="D1668">
        <v>1412.08</v>
      </c>
    </row>
    <row r="1669" spans="1:4" x14ac:dyDescent="0.3">
      <c r="A1669" s="78" t="s">
        <v>31</v>
      </c>
      <c r="B1669" s="78"/>
      <c r="C1669" s="16">
        <v>46230</v>
      </c>
      <c r="D1669">
        <v>22347.56999999996</v>
      </c>
    </row>
    <row r="1670" spans="1:4" x14ac:dyDescent="0.3">
      <c r="A1670" s="78" t="s">
        <v>32</v>
      </c>
      <c r="B1670" s="78"/>
      <c r="C1670" s="16">
        <v>46230</v>
      </c>
      <c r="D1670">
        <v>18522.800000000003</v>
      </c>
    </row>
    <row r="1671" spans="1:4" x14ac:dyDescent="0.3">
      <c r="A1671" s="78" t="s">
        <v>33</v>
      </c>
      <c r="B1671" s="78"/>
      <c r="C1671" s="16">
        <v>46230</v>
      </c>
      <c r="D1671">
        <v>28485.559999999998</v>
      </c>
    </row>
    <row r="1672" spans="1:4" x14ac:dyDescent="0.3">
      <c r="A1672" s="78" t="s">
        <v>34</v>
      </c>
      <c r="B1672" s="78"/>
      <c r="C1672" s="16">
        <v>46230</v>
      </c>
      <c r="D1672">
        <v>345</v>
      </c>
    </row>
    <row r="1673" spans="1:4" x14ac:dyDescent="0.3">
      <c r="A1673" s="78" t="s">
        <v>35</v>
      </c>
      <c r="B1673" s="78"/>
      <c r="C1673" s="16">
        <v>46230</v>
      </c>
      <c r="D1673">
        <v>15418.180000000004</v>
      </c>
    </row>
    <row r="1674" spans="1:4" x14ac:dyDescent="0.3">
      <c r="A1674" s="78" t="s">
        <v>17</v>
      </c>
      <c r="B1674" s="78"/>
      <c r="C1674" s="16">
        <v>46231</v>
      </c>
      <c r="D1674">
        <v>2337084.0700000008</v>
      </c>
    </row>
    <row r="1675" spans="1:4" x14ac:dyDescent="0.3">
      <c r="A1675" s="78" t="s">
        <v>18</v>
      </c>
      <c r="B1675" s="78"/>
      <c r="C1675" s="16">
        <v>46231</v>
      </c>
      <c r="D1675">
        <v>80574.12000000017</v>
      </c>
    </row>
    <row r="1676" spans="1:4" x14ac:dyDescent="0.3">
      <c r="A1676" s="78" t="s">
        <v>19</v>
      </c>
      <c r="B1676" s="78"/>
      <c r="C1676" s="16">
        <v>46231</v>
      </c>
      <c r="D1676">
        <v>1669.89</v>
      </c>
    </row>
    <row r="1677" spans="1:4" x14ac:dyDescent="0.3">
      <c r="A1677" s="78" t="s">
        <v>20</v>
      </c>
      <c r="B1677" s="78"/>
      <c r="C1677" s="16">
        <v>46231</v>
      </c>
      <c r="D1677">
        <v>1246676.4999999998</v>
      </c>
    </row>
    <row r="1678" spans="1:4" x14ac:dyDescent="0.3">
      <c r="A1678" s="78" t="s">
        <v>21</v>
      </c>
      <c r="B1678" s="78"/>
      <c r="C1678" s="16">
        <v>46231</v>
      </c>
      <c r="D1678">
        <v>1872239.2199999997</v>
      </c>
    </row>
    <row r="1679" spans="1:4" x14ac:dyDescent="0.3">
      <c r="A1679" s="78" t="s">
        <v>22</v>
      </c>
      <c r="B1679" s="78"/>
      <c r="C1679" s="16">
        <v>46231</v>
      </c>
      <c r="D1679">
        <v>190496.38</v>
      </c>
    </row>
    <row r="1680" spans="1:4" x14ac:dyDescent="0.3">
      <c r="A1680" s="78" t="s">
        <v>23</v>
      </c>
      <c r="B1680" s="78"/>
      <c r="C1680" s="16">
        <v>46231</v>
      </c>
      <c r="D1680">
        <v>88090.37</v>
      </c>
    </row>
    <row r="1681" spans="1:4" x14ac:dyDescent="0.3">
      <c r="A1681" s="78" t="s">
        <v>24</v>
      </c>
      <c r="B1681" s="78"/>
      <c r="C1681" s="16">
        <v>46231</v>
      </c>
      <c r="D1681">
        <v>14580.45</v>
      </c>
    </row>
    <row r="1682" spans="1:4" x14ac:dyDescent="0.3">
      <c r="A1682" s="78" t="s">
        <v>25</v>
      </c>
      <c r="B1682" s="78"/>
      <c r="C1682" s="16">
        <v>46231</v>
      </c>
      <c r="D1682">
        <v>54.400000000000006</v>
      </c>
    </row>
    <row r="1683" spans="1:4" x14ac:dyDescent="0.3">
      <c r="A1683" s="78" t="s">
        <v>26</v>
      </c>
      <c r="B1683" s="78"/>
      <c r="C1683" s="16">
        <v>46231</v>
      </c>
      <c r="D1683">
        <v>2207.8200000000002</v>
      </c>
    </row>
    <row r="1684" spans="1:4" x14ac:dyDescent="0.3">
      <c r="A1684" s="78" t="s">
        <v>27</v>
      </c>
      <c r="B1684" s="78"/>
      <c r="C1684" s="16">
        <v>46231</v>
      </c>
      <c r="D1684">
        <v>1454589.72</v>
      </c>
    </row>
    <row r="1685" spans="1:4" x14ac:dyDescent="0.3">
      <c r="A1685" s="78" t="s">
        <v>28</v>
      </c>
      <c r="B1685" s="78"/>
      <c r="C1685" s="16">
        <v>46231</v>
      </c>
      <c r="D1685">
        <v>1968.99</v>
      </c>
    </row>
    <row r="1686" spans="1:4" x14ac:dyDescent="0.3">
      <c r="A1686" s="78" t="s">
        <v>29</v>
      </c>
      <c r="B1686" s="78"/>
      <c r="C1686" s="16">
        <v>46231</v>
      </c>
      <c r="D1686">
        <v>901.34</v>
      </c>
    </row>
    <row r="1687" spans="1:4" x14ac:dyDescent="0.3">
      <c r="A1687" s="78" t="s">
        <v>30</v>
      </c>
      <c r="B1687" s="78"/>
      <c r="C1687" s="16">
        <v>46231</v>
      </c>
      <c r="D1687">
        <v>1412.08</v>
      </c>
    </row>
    <row r="1688" spans="1:4" x14ac:dyDescent="0.3">
      <c r="A1688" s="78" t="s">
        <v>31</v>
      </c>
      <c r="B1688" s="78"/>
      <c r="C1688" s="16">
        <v>46231</v>
      </c>
      <c r="D1688">
        <v>22347.56999999996</v>
      </c>
    </row>
    <row r="1689" spans="1:4" x14ac:dyDescent="0.3">
      <c r="A1689" s="78" t="s">
        <v>32</v>
      </c>
      <c r="B1689" s="78"/>
      <c r="C1689" s="16">
        <v>46231</v>
      </c>
      <c r="D1689">
        <v>18522.800000000003</v>
      </c>
    </row>
    <row r="1690" spans="1:4" x14ac:dyDescent="0.3">
      <c r="A1690" s="78" t="s">
        <v>33</v>
      </c>
      <c r="B1690" s="78"/>
      <c r="C1690" s="16">
        <v>46231</v>
      </c>
      <c r="D1690">
        <v>28485.559999999998</v>
      </c>
    </row>
    <row r="1691" spans="1:4" x14ac:dyDescent="0.3">
      <c r="A1691" s="78" t="s">
        <v>34</v>
      </c>
      <c r="B1691" s="78"/>
      <c r="C1691" s="16">
        <v>46231</v>
      </c>
      <c r="D1691">
        <v>345</v>
      </c>
    </row>
    <row r="1692" spans="1:4" x14ac:dyDescent="0.3">
      <c r="A1692" s="78" t="s">
        <v>35</v>
      </c>
      <c r="B1692" s="78"/>
      <c r="C1692" s="16">
        <v>46231</v>
      </c>
      <c r="D1692">
        <v>15094.090000000004</v>
      </c>
    </row>
    <row r="1693" spans="1:4" x14ac:dyDescent="0.3">
      <c r="A1693" s="78" t="s">
        <v>17</v>
      </c>
      <c r="B1693" s="78"/>
      <c r="C1693" s="16">
        <v>46232</v>
      </c>
      <c r="D1693">
        <v>2351872.4600000004</v>
      </c>
    </row>
    <row r="1694" spans="1:4" x14ac:dyDescent="0.3">
      <c r="A1694" s="78" t="s">
        <v>18</v>
      </c>
      <c r="B1694" s="78"/>
      <c r="C1694" s="16">
        <v>46232</v>
      </c>
      <c r="D1694">
        <v>83211.250000000175</v>
      </c>
    </row>
    <row r="1695" spans="1:4" x14ac:dyDescent="0.3">
      <c r="A1695" s="78" t="s">
        <v>19</v>
      </c>
      <c r="B1695" s="78"/>
      <c r="C1695" s="16">
        <v>46232</v>
      </c>
      <c r="D1695">
        <v>1669.89</v>
      </c>
    </row>
    <row r="1696" spans="1:4" x14ac:dyDescent="0.3">
      <c r="A1696" s="78" t="s">
        <v>20</v>
      </c>
      <c r="B1696" s="78"/>
      <c r="C1696" s="16">
        <v>46232</v>
      </c>
      <c r="D1696">
        <v>1265674.3599999999</v>
      </c>
    </row>
    <row r="1697" spans="1:4" x14ac:dyDescent="0.3">
      <c r="A1697" s="78" t="s">
        <v>21</v>
      </c>
      <c r="B1697" s="78"/>
      <c r="C1697" s="16">
        <v>46232</v>
      </c>
      <c r="D1697">
        <v>1872239.2199999997</v>
      </c>
    </row>
    <row r="1698" spans="1:4" x14ac:dyDescent="0.3">
      <c r="A1698" s="78" t="s">
        <v>22</v>
      </c>
      <c r="B1698" s="78"/>
      <c r="C1698" s="16">
        <v>46232</v>
      </c>
      <c r="D1698">
        <v>190496.38</v>
      </c>
    </row>
    <row r="1699" spans="1:4" x14ac:dyDescent="0.3">
      <c r="A1699" s="78" t="s">
        <v>23</v>
      </c>
      <c r="B1699" s="78"/>
      <c r="C1699" s="16">
        <v>46232</v>
      </c>
      <c r="D1699">
        <v>88090.37</v>
      </c>
    </row>
    <row r="1700" spans="1:4" x14ac:dyDescent="0.3">
      <c r="A1700" s="78" t="s">
        <v>24</v>
      </c>
      <c r="B1700" s="78"/>
      <c r="C1700" s="16">
        <v>46232</v>
      </c>
      <c r="D1700">
        <v>14580.45</v>
      </c>
    </row>
    <row r="1701" spans="1:4" x14ac:dyDescent="0.3">
      <c r="A1701" s="78" t="s">
        <v>25</v>
      </c>
      <c r="B1701" s="78"/>
      <c r="C1701" s="16">
        <v>46232</v>
      </c>
      <c r="D1701">
        <v>54.400000000000006</v>
      </c>
    </row>
    <row r="1702" spans="1:4" x14ac:dyDescent="0.3">
      <c r="A1702" s="78" t="s">
        <v>26</v>
      </c>
      <c r="B1702" s="78"/>
      <c r="C1702" s="16">
        <v>46232</v>
      </c>
      <c r="D1702">
        <v>2207.8200000000002</v>
      </c>
    </row>
    <row r="1703" spans="1:4" x14ac:dyDescent="0.3">
      <c r="A1703" s="78" t="s">
        <v>27</v>
      </c>
      <c r="B1703" s="78"/>
      <c r="C1703" s="16">
        <v>46232</v>
      </c>
      <c r="D1703">
        <v>1454589.72</v>
      </c>
    </row>
    <row r="1704" spans="1:4" x14ac:dyDescent="0.3">
      <c r="A1704" s="78" t="s">
        <v>28</v>
      </c>
      <c r="B1704" s="78"/>
      <c r="C1704" s="16">
        <v>46232</v>
      </c>
      <c r="D1704">
        <v>1968.99</v>
      </c>
    </row>
    <row r="1705" spans="1:4" x14ac:dyDescent="0.3">
      <c r="A1705" s="78" t="s">
        <v>29</v>
      </c>
      <c r="B1705" s="78"/>
      <c r="C1705" s="16">
        <v>46232</v>
      </c>
      <c r="D1705">
        <v>901.34</v>
      </c>
    </row>
    <row r="1706" spans="1:4" x14ac:dyDescent="0.3">
      <c r="A1706" s="78" t="s">
        <v>30</v>
      </c>
      <c r="B1706" s="78"/>
      <c r="C1706" s="16">
        <v>46232</v>
      </c>
      <c r="D1706">
        <v>1412.08</v>
      </c>
    </row>
    <row r="1707" spans="1:4" x14ac:dyDescent="0.3">
      <c r="A1707" s="78" t="s">
        <v>31</v>
      </c>
      <c r="B1707" s="78"/>
      <c r="C1707" s="16">
        <v>46232</v>
      </c>
      <c r="D1707">
        <v>22347.56999999996</v>
      </c>
    </row>
    <row r="1708" spans="1:4" x14ac:dyDescent="0.3">
      <c r="A1708" s="78" t="s">
        <v>32</v>
      </c>
      <c r="B1708" s="78"/>
      <c r="C1708" s="16">
        <v>46232</v>
      </c>
      <c r="D1708">
        <v>18522.800000000003</v>
      </c>
    </row>
    <row r="1709" spans="1:4" x14ac:dyDescent="0.3">
      <c r="A1709" s="78" t="s">
        <v>33</v>
      </c>
      <c r="B1709" s="78"/>
      <c r="C1709" s="16">
        <v>46232</v>
      </c>
      <c r="D1709">
        <v>28485.559999999998</v>
      </c>
    </row>
    <row r="1710" spans="1:4" x14ac:dyDescent="0.3">
      <c r="A1710" s="78" t="s">
        <v>34</v>
      </c>
      <c r="B1710" s="78"/>
      <c r="C1710" s="16">
        <v>46232</v>
      </c>
      <c r="D1710">
        <v>345</v>
      </c>
    </row>
    <row r="1711" spans="1:4" x14ac:dyDescent="0.3">
      <c r="A1711" s="78" t="s">
        <v>35</v>
      </c>
      <c r="B1711" s="78"/>
      <c r="C1711" s="16">
        <v>46232</v>
      </c>
      <c r="D1711">
        <v>13469.780000000002</v>
      </c>
    </row>
    <row r="1712" spans="1:4" x14ac:dyDescent="0.3">
      <c r="A1712" s="78" t="s">
        <v>17</v>
      </c>
      <c r="B1712" s="78"/>
      <c r="C1712" s="16">
        <v>46233</v>
      </c>
      <c r="D1712">
        <v>2551684.0300000003</v>
      </c>
    </row>
    <row r="1713" spans="1:4" x14ac:dyDescent="0.3">
      <c r="A1713" s="78" t="s">
        <v>18</v>
      </c>
      <c r="B1713" s="78"/>
      <c r="C1713" s="16">
        <v>46233</v>
      </c>
      <c r="D1713">
        <v>83211.250000000175</v>
      </c>
    </row>
    <row r="1714" spans="1:4" x14ac:dyDescent="0.3">
      <c r="A1714" s="78" t="s">
        <v>19</v>
      </c>
      <c r="B1714" s="78"/>
      <c r="C1714" s="16">
        <v>46233</v>
      </c>
      <c r="D1714">
        <v>1669.89</v>
      </c>
    </row>
    <row r="1715" spans="1:4" x14ac:dyDescent="0.3">
      <c r="A1715" s="78" t="s">
        <v>20</v>
      </c>
      <c r="B1715" s="78"/>
      <c r="C1715" s="16">
        <v>46233</v>
      </c>
      <c r="D1715">
        <v>1289465.7999999998</v>
      </c>
    </row>
    <row r="1716" spans="1:4" x14ac:dyDescent="0.3">
      <c r="A1716" s="78" t="s">
        <v>21</v>
      </c>
      <c r="B1716" s="78"/>
      <c r="C1716" s="16">
        <v>46233</v>
      </c>
      <c r="D1716">
        <v>1872235.9699999997</v>
      </c>
    </row>
    <row r="1717" spans="1:4" x14ac:dyDescent="0.3">
      <c r="A1717" s="78" t="s">
        <v>22</v>
      </c>
      <c r="B1717" s="78"/>
      <c r="C1717" s="16">
        <v>46233</v>
      </c>
      <c r="D1717">
        <v>190496.38</v>
      </c>
    </row>
    <row r="1718" spans="1:4" x14ac:dyDescent="0.3">
      <c r="A1718" s="78" t="s">
        <v>23</v>
      </c>
      <c r="B1718" s="78"/>
      <c r="C1718" s="16">
        <v>46233</v>
      </c>
      <c r="D1718">
        <v>88090.37</v>
      </c>
    </row>
    <row r="1719" spans="1:4" x14ac:dyDescent="0.3">
      <c r="A1719" s="78" t="s">
        <v>24</v>
      </c>
      <c r="B1719" s="78"/>
      <c r="C1719" s="16">
        <v>46233</v>
      </c>
      <c r="D1719">
        <v>14580.45</v>
      </c>
    </row>
    <row r="1720" spans="1:4" x14ac:dyDescent="0.3">
      <c r="A1720" s="78" t="s">
        <v>25</v>
      </c>
      <c r="B1720" s="78"/>
      <c r="C1720" s="16">
        <v>46233</v>
      </c>
      <c r="D1720">
        <v>54.400000000000006</v>
      </c>
    </row>
    <row r="1721" spans="1:4" x14ac:dyDescent="0.3">
      <c r="A1721" s="78" t="s">
        <v>26</v>
      </c>
      <c r="B1721" s="78"/>
      <c r="C1721" s="16">
        <v>46233</v>
      </c>
      <c r="D1721">
        <v>2207.8200000000002</v>
      </c>
    </row>
    <row r="1722" spans="1:4" x14ac:dyDescent="0.3">
      <c r="A1722" s="78" t="s">
        <v>27</v>
      </c>
      <c r="B1722" s="78"/>
      <c r="C1722" s="16">
        <v>46233</v>
      </c>
      <c r="D1722">
        <v>1454589.72</v>
      </c>
    </row>
    <row r="1723" spans="1:4" x14ac:dyDescent="0.3">
      <c r="A1723" s="78" t="s">
        <v>28</v>
      </c>
      <c r="B1723" s="78"/>
      <c r="C1723" s="16">
        <v>46233</v>
      </c>
      <c r="D1723">
        <v>1968.99</v>
      </c>
    </row>
    <row r="1724" spans="1:4" x14ac:dyDescent="0.3">
      <c r="A1724" s="78" t="s">
        <v>29</v>
      </c>
      <c r="B1724" s="78"/>
      <c r="C1724" s="16">
        <v>46233</v>
      </c>
      <c r="D1724">
        <v>901.34</v>
      </c>
    </row>
    <row r="1725" spans="1:4" x14ac:dyDescent="0.3">
      <c r="A1725" s="78" t="s">
        <v>30</v>
      </c>
      <c r="B1725" s="78"/>
      <c r="C1725" s="16">
        <v>46233</v>
      </c>
      <c r="D1725">
        <v>1412.08</v>
      </c>
    </row>
    <row r="1726" spans="1:4" x14ac:dyDescent="0.3">
      <c r="A1726" s="78" t="s">
        <v>31</v>
      </c>
      <c r="B1726" s="78"/>
      <c r="C1726" s="16">
        <v>46233</v>
      </c>
      <c r="D1726">
        <v>22347.56999999996</v>
      </c>
    </row>
    <row r="1727" spans="1:4" x14ac:dyDescent="0.3">
      <c r="A1727" s="78" t="s">
        <v>32</v>
      </c>
      <c r="B1727" s="78"/>
      <c r="C1727" s="16">
        <v>46233</v>
      </c>
      <c r="D1727">
        <v>18522.800000000003</v>
      </c>
    </row>
    <row r="1728" spans="1:4" x14ac:dyDescent="0.3">
      <c r="A1728" s="78" t="s">
        <v>33</v>
      </c>
      <c r="B1728" s="78"/>
      <c r="C1728" s="16">
        <v>46233</v>
      </c>
      <c r="D1728">
        <v>28485.559999999998</v>
      </c>
    </row>
    <row r="1729" spans="1:4" x14ac:dyDescent="0.3">
      <c r="A1729" s="78" t="s">
        <v>34</v>
      </c>
      <c r="B1729" s="78"/>
      <c r="C1729" s="16">
        <v>46233</v>
      </c>
      <c r="D1729">
        <v>345</v>
      </c>
    </row>
    <row r="1730" spans="1:4" x14ac:dyDescent="0.3">
      <c r="A1730" s="78" t="s">
        <v>35</v>
      </c>
      <c r="B1730" s="78"/>
      <c r="C1730" s="16">
        <v>46233</v>
      </c>
      <c r="D1730">
        <v>11634.930000000004</v>
      </c>
    </row>
    <row r="1731" spans="1:4" x14ac:dyDescent="0.3">
      <c r="A1731" s="78" t="s">
        <v>17</v>
      </c>
      <c r="B1731" s="78"/>
      <c r="C1731" s="16">
        <v>46234</v>
      </c>
      <c r="D1731">
        <v>2549365.41</v>
      </c>
    </row>
    <row r="1732" spans="1:4" x14ac:dyDescent="0.3">
      <c r="A1732" s="78" t="s">
        <v>18</v>
      </c>
      <c r="B1732" s="78"/>
      <c r="C1732" s="16">
        <v>46234</v>
      </c>
      <c r="D1732">
        <v>83211.250000000175</v>
      </c>
    </row>
    <row r="1733" spans="1:4" x14ac:dyDescent="0.3">
      <c r="A1733" s="78" t="s">
        <v>19</v>
      </c>
      <c r="B1733" s="78"/>
      <c r="C1733" s="16">
        <v>46234</v>
      </c>
      <c r="D1733">
        <v>1669.89</v>
      </c>
    </row>
    <row r="1734" spans="1:4" x14ac:dyDescent="0.3">
      <c r="A1734" s="78" t="s">
        <v>20</v>
      </c>
      <c r="B1734" s="78"/>
      <c r="C1734" s="16">
        <v>46234</v>
      </c>
      <c r="D1734">
        <v>1289465.7999999998</v>
      </c>
    </row>
    <row r="1735" spans="1:4" x14ac:dyDescent="0.3">
      <c r="A1735" s="78" t="s">
        <v>21</v>
      </c>
      <c r="B1735" s="78"/>
      <c r="C1735" s="16">
        <v>46234</v>
      </c>
      <c r="D1735">
        <v>1528719.2399999995</v>
      </c>
    </row>
    <row r="1736" spans="1:4" x14ac:dyDescent="0.3">
      <c r="A1736" s="78" t="s">
        <v>22</v>
      </c>
      <c r="B1736" s="78"/>
      <c r="C1736" s="16">
        <v>46234</v>
      </c>
      <c r="D1736">
        <v>190496.38</v>
      </c>
    </row>
    <row r="1737" spans="1:4" x14ac:dyDescent="0.3">
      <c r="A1737" s="78" t="s">
        <v>23</v>
      </c>
      <c r="B1737" s="78"/>
      <c r="C1737" s="16">
        <v>46234</v>
      </c>
      <c r="D1737">
        <v>88090.37</v>
      </c>
    </row>
    <row r="1738" spans="1:4" x14ac:dyDescent="0.3">
      <c r="A1738" s="78" t="s">
        <v>24</v>
      </c>
      <c r="B1738" s="78"/>
      <c r="C1738" s="16">
        <v>46234</v>
      </c>
      <c r="D1738">
        <v>14580.45</v>
      </c>
    </row>
    <row r="1739" spans="1:4" x14ac:dyDescent="0.3">
      <c r="A1739" s="78" t="s">
        <v>25</v>
      </c>
      <c r="B1739" s="78"/>
      <c r="C1739" s="16">
        <v>46234</v>
      </c>
      <c r="D1739">
        <v>54.400000000000006</v>
      </c>
    </row>
    <row r="1740" spans="1:4" x14ac:dyDescent="0.3">
      <c r="A1740" s="78" t="s">
        <v>26</v>
      </c>
      <c r="B1740" s="78"/>
      <c r="C1740" s="16">
        <v>46234</v>
      </c>
      <c r="D1740">
        <v>2207.8200000000002</v>
      </c>
    </row>
    <row r="1741" spans="1:4" x14ac:dyDescent="0.3">
      <c r="A1741" s="78" t="s">
        <v>27</v>
      </c>
      <c r="B1741" s="78"/>
      <c r="C1741" s="16">
        <v>46234</v>
      </c>
      <c r="D1741">
        <v>1454589.72</v>
      </c>
    </row>
    <row r="1742" spans="1:4" x14ac:dyDescent="0.3">
      <c r="A1742" s="78" t="s">
        <v>28</v>
      </c>
      <c r="B1742" s="78"/>
      <c r="C1742" s="16">
        <v>46234</v>
      </c>
      <c r="D1742">
        <v>1968.99</v>
      </c>
    </row>
    <row r="1743" spans="1:4" x14ac:dyDescent="0.3">
      <c r="A1743" s="78" t="s">
        <v>29</v>
      </c>
      <c r="B1743" s="78"/>
      <c r="C1743" s="16">
        <v>46234</v>
      </c>
      <c r="D1743">
        <v>901.34</v>
      </c>
    </row>
    <row r="1744" spans="1:4" x14ac:dyDescent="0.3">
      <c r="A1744" s="78" t="s">
        <v>30</v>
      </c>
      <c r="B1744" s="78"/>
      <c r="C1744" s="16">
        <v>46234</v>
      </c>
      <c r="D1744">
        <v>1412.08</v>
      </c>
    </row>
    <row r="1745" spans="1:4" x14ac:dyDescent="0.3">
      <c r="A1745" s="78" t="s">
        <v>31</v>
      </c>
      <c r="B1745" s="78"/>
      <c r="C1745" s="16">
        <v>46234</v>
      </c>
      <c r="D1745">
        <v>22347.56999999996</v>
      </c>
    </row>
    <row r="1746" spans="1:4" x14ac:dyDescent="0.3">
      <c r="A1746" s="78" t="s">
        <v>32</v>
      </c>
      <c r="B1746" s="78"/>
      <c r="C1746" s="16">
        <v>46234</v>
      </c>
      <c r="D1746">
        <v>18522.800000000003</v>
      </c>
    </row>
    <row r="1747" spans="1:4" x14ac:dyDescent="0.3">
      <c r="A1747" s="78" t="s">
        <v>33</v>
      </c>
      <c r="B1747" s="78"/>
      <c r="C1747" s="16">
        <v>46234</v>
      </c>
      <c r="D1747">
        <v>28485.559999999998</v>
      </c>
    </row>
    <row r="1748" spans="1:4" x14ac:dyDescent="0.3">
      <c r="A1748" s="78" t="s">
        <v>34</v>
      </c>
      <c r="B1748" s="78"/>
      <c r="C1748" s="16">
        <v>46234</v>
      </c>
      <c r="D1748">
        <v>345</v>
      </c>
    </row>
    <row r="1749" spans="1:4" x14ac:dyDescent="0.3">
      <c r="A1749" s="78" t="s">
        <v>35</v>
      </c>
      <c r="B1749" s="78"/>
      <c r="C1749" s="16">
        <v>46234</v>
      </c>
      <c r="D1749">
        <v>11634.930000000004</v>
      </c>
    </row>
    <row r="1750" spans="1:4" x14ac:dyDescent="0.3">
      <c r="A1750" s="78" t="s">
        <v>17</v>
      </c>
      <c r="B1750" s="78"/>
      <c r="C1750" s="16">
        <v>46235</v>
      </c>
      <c r="D1750">
        <v>2549365.41</v>
      </c>
    </row>
    <row r="1751" spans="1:4" x14ac:dyDescent="0.3">
      <c r="A1751" s="78" t="s">
        <v>18</v>
      </c>
      <c r="B1751" s="78"/>
      <c r="C1751" s="16">
        <v>46235</v>
      </c>
      <c r="D1751">
        <v>83211.250000000175</v>
      </c>
    </row>
    <row r="1752" spans="1:4" x14ac:dyDescent="0.3">
      <c r="A1752" s="78" t="s">
        <v>19</v>
      </c>
      <c r="B1752" s="78"/>
      <c r="C1752" s="16">
        <v>46235</v>
      </c>
      <c r="D1752">
        <v>1669.89</v>
      </c>
    </row>
    <row r="1753" spans="1:4" x14ac:dyDescent="0.3">
      <c r="A1753" s="78" t="s">
        <v>20</v>
      </c>
      <c r="B1753" s="78"/>
      <c r="C1753" s="16">
        <v>46235</v>
      </c>
      <c r="D1753">
        <v>1289465.7999999998</v>
      </c>
    </row>
    <row r="1754" spans="1:4" x14ac:dyDescent="0.3">
      <c r="A1754" s="78" t="s">
        <v>21</v>
      </c>
      <c r="B1754" s="78"/>
      <c r="C1754" s="16">
        <v>46235</v>
      </c>
      <c r="D1754">
        <v>1528719.2399999995</v>
      </c>
    </row>
    <row r="1755" spans="1:4" x14ac:dyDescent="0.3">
      <c r="A1755" s="78" t="s">
        <v>22</v>
      </c>
      <c r="B1755" s="78"/>
      <c r="C1755" s="16">
        <v>46235</v>
      </c>
      <c r="D1755">
        <v>190496.38</v>
      </c>
    </row>
    <row r="1756" spans="1:4" x14ac:dyDescent="0.3">
      <c r="A1756" s="78" t="s">
        <v>23</v>
      </c>
      <c r="B1756" s="78"/>
      <c r="C1756" s="16">
        <v>46235</v>
      </c>
      <c r="D1756">
        <v>88090.37</v>
      </c>
    </row>
    <row r="1757" spans="1:4" x14ac:dyDescent="0.3">
      <c r="A1757" s="78" t="s">
        <v>24</v>
      </c>
      <c r="B1757" s="78"/>
      <c r="C1757" s="16">
        <v>46235</v>
      </c>
      <c r="D1757">
        <v>14580.45</v>
      </c>
    </row>
    <row r="1758" spans="1:4" x14ac:dyDescent="0.3">
      <c r="A1758" s="78" t="s">
        <v>25</v>
      </c>
      <c r="B1758" s="78"/>
      <c r="C1758" s="16">
        <v>46235</v>
      </c>
      <c r="D1758">
        <v>54.400000000000006</v>
      </c>
    </row>
    <row r="1759" spans="1:4" x14ac:dyDescent="0.3">
      <c r="A1759" s="78" t="s">
        <v>26</v>
      </c>
      <c r="B1759" s="78"/>
      <c r="C1759" s="16">
        <v>46235</v>
      </c>
      <c r="D1759">
        <v>2207.8200000000002</v>
      </c>
    </row>
    <row r="1760" spans="1:4" x14ac:dyDescent="0.3">
      <c r="A1760" s="78" t="s">
        <v>27</v>
      </c>
      <c r="B1760" s="78"/>
      <c r="C1760" s="16">
        <v>46235</v>
      </c>
      <c r="D1760">
        <v>1454589.72</v>
      </c>
    </row>
    <row r="1761" spans="1:4" x14ac:dyDescent="0.3">
      <c r="A1761" s="78" t="s">
        <v>28</v>
      </c>
      <c r="B1761" s="78"/>
      <c r="C1761" s="16">
        <v>46235</v>
      </c>
      <c r="D1761">
        <v>1968.99</v>
      </c>
    </row>
    <row r="1762" spans="1:4" x14ac:dyDescent="0.3">
      <c r="A1762" s="78" t="s">
        <v>29</v>
      </c>
      <c r="B1762" s="78"/>
      <c r="C1762" s="16">
        <v>46235</v>
      </c>
      <c r="D1762">
        <v>901.34</v>
      </c>
    </row>
    <row r="1763" spans="1:4" x14ac:dyDescent="0.3">
      <c r="A1763" s="78" t="s">
        <v>30</v>
      </c>
      <c r="B1763" s="78"/>
      <c r="C1763" s="16">
        <v>46235</v>
      </c>
      <c r="D1763">
        <v>1412.08</v>
      </c>
    </row>
    <row r="1764" spans="1:4" x14ac:dyDescent="0.3">
      <c r="A1764" s="78" t="s">
        <v>31</v>
      </c>
      <c r="B1764" s="78"/>
      <c r="C1764" s="16">
        <v>46235</v>
      </c>
      <c r="D1764">
        <v>22347.56999999996</v>
      </c>
    </row>
    <row r="1765" spans="1:4" x14ac:dyDescent="0.3">
      <c r="A1765" s="78" t="s">
        <v>32</v>
      </c>
      <c r="B1765" s="78"/>
      <c r="C1765" s="16">
        <v>46235</v>
      </c>
      <c r="D1765">
        <v>18522.800000000003</v>
      </c>
    </row>
    <row r="1766" spans="1:4" x14ac:dyDescent="0.3">
      <c r="A1766" s="78" t="s">
        <v>33</v>
      </c>
      <c r="B1766" s="78"/>
      <c r="C1766" s="16">
        <v>46235</v>
      </c>
      <c r="D1766">
        <v>28485.559999999998</v>
      </c>
    </row>
    <row r="1767" spans="1:4" x14ac:dyDescent="0.3">
      <c r="A1767" s="78" t="s">
        <v>34</v>
      </c>
      <c r="B1767" s="78"/>
      <c r="C1767" s="16">
        <v>46235</v>
      </c>
      <c r="D1767">
        <v>345</v>
      </c>
    </row>
    <row r="1768" spans="1:4" x14ac:dyDescent="0.3">
      <c r="A1768" s="78" t="s">
        <v>35</v>
      </c>
      <c r="B1768" s="78"/>
      <c r="C1768" s="16">
        <v>46235</v>
      </c>
      <c r="D1768">
        <v>11634.930000000004</v>
      </c>
    </row>
    <row r="1769" spans="1:4" x14ac:dyDescent="0.3">
      <c r="A1769" s="78" t="s">
        <v>17</v>
      </c>
      <c r="B1769" s="78"/>
      <c r="C1769" s="16">
        <v>46236</v>
      </c>
      <c r="D1769">
        <v>2549365.41</v>
      </c>
    </row>
    <row r="1770" spans="1:4" x14ac:dyDescent="0.3">
      <c r="A1770" s="78" t="s">
        <v>18</v>
      </c>
      <c r="B1770" s="78"/>
      <c r="C1770" s="16">
        <v>46236</v>
      </c>
      <c r="D1770">
        <v>83211.250000000175</v>
      </c>
    </row>
    <row r="1771" spans="1:4" x14ac:dyDescent="0.3">
      <c r="A1771" s="78" t="s">
        <v>19</v>
      </c>
      <c r="B1771" s="78"/>
      <c r="C1771" s="16">
        <v>46236</v>
      </c>
      <c r="D1771">
        <v>1669.89</v>
      </c>
    </row>
    <row r="1772" spans="1:4" x14ac:dyDescent="0.3">
      <c r="A1772" s="78" t="s">
        <v>20</v>
      </c>
      <c r="B1772" s="78"/>
      <c r="C1772" s="16">
        <v>46236</v>
      </c>
      <c r="D1772">
        <v>1289465.7999999998</v>
      </c>
    </row>
    <row r="1773" spans="1:4" x14ac:dyDescent="0.3">
      <c r="A1773" s="78" t="s">
        <v>21</v>
      </c>
      <c r="B1773" s="78"/>
      <c r="C1773" s="16">
        <v>46236</v>
      </c>
      <c r="D1773">
        <v>1528719.2399999995</v>
      </c>
    </row>
    <row r="1774" spans="1:4" x14ac:dyDescent="0.3">
      <c r="A1774" s="78" t="s">
        <v>22</v>
      </c>
      <c r="B1774" s="78"/>
      <c r="C1774" s="16">
        <v>46236</v>
      </c>
      <c r="D1774">
        <v>190496.38</v>
      </c>
    </row>
    <row r="1775" spans="1:4" x14ac:dyDescent="0.3">
      <c r="A1775" s="78" t="s">
        <v>23</v>
      </c>
      <c r="B1775" s="78"/>
      <c r="C1775" s="16">
        <v>46236</v>
      </c>
      <c r="D1775">
        <v>88090.37</v>
      </c>
    </row>
    <row r="1776" spans="1:4" x14ac:dyDescent="0.3">
      <c r="A1776" s="78" t="s">
        <v>24</v>
      </c>
      <c r="B1776" s="78"/>
      <c r="C1776" s="16">
        <v>46236</v>
      </c>
      <c r="D1776">
        <v>14580.45</v>
      </c>
    </row>
    <row r="1777" spans="1:4" x14ac:dyDescent="0.3">
      <c r="A1777" s="78" t="s">
        <v>25</v>
      </c>
      <c r="B1777" s="78"/>
      <c r="C1777" s="16">
        <v>46236</v>
      </c>
      <c r="D1777">
        <v>54.400000000000006</v>
      </c>
    </row>
    <row r="1778" spans="1:4" x14ac:dyDescent="0.3">
      <c r="A1778" s="78" t="s">
        <v>26</v>
      </c>
      <c r="B1778" s="78"/>
      <c r="C1778" s="16">
        <v>46236</v>
      </c>
      <c r="D1778">
        <v>2207.8200000000002</v>
      </c>
    </row>
    <row r="1779" spans="1:4" x14ac:dyDescent="0.3">
      <c r="A1779" s="78" t="s">
        <v>27</v>
      </c>
      <c r="B1779" s="78"/>
      <c r="C1779" s="16">
        <v>46236</v>
      </c>
      <c r="D1779">
        <v>1454589.72</v>
      </c>
    </row>
    <row r="1780" spans="1:4" x14ac:dyDescent="0.3">
      <c r="A1780" s="78" t="s">
        <v>28</v>
      </c>
      <c r="B1780" s="78"/>
      <c r="C1780" s="16">
        <v>46236</v>
      </c>
      <c r="D1780">
        <v>1968.99</v>
      </c>
    </row>
    <row r="1781" spans="1:4" x14ac:dyDescent="0.3">
      <c r="A1781" s="78" t="s">
        <v>29</v>
      </c>
      <c r="B1781" s="78"/>
      <c r="C1781" s="16">
        <v>46236</v>
      </c>
      <c r="D1781">
        <v>901.34</v>
      </c>
    </row>
    <row r="1782" spans="1:4" x14ac:dyDescent="0.3">
      <c r="A1782" s="78" t="s">
        <v>30</v>
      </c>
      <c r="B1782" s="78"/>
      <c r="C1782" s="16">
        <v>46236</v>
      </c>
      <c r="D1782">
        <v>1412.08</v>
      </c>
    </row>
    <row r="1783" spans="1:4" x14ac:dyDescent="0.3">
      <c r="A1783" s="78" t="s">
        <v>31</v>
      </c>
      <c r="B1783" s="78"/>
      <c r="C1783" s="16">
        <v>46236</v>
      </c>
      <c r="D1783">
        <v>22347.56999999996</v>
      </c>
    </row>
    <row r="1784" spans="1:4" x14ac:dyDescent="0.3">
      <c r="A1784" s="78" t="s">
        <v>32</v>
      </c>
      <c r="B1784" s="78"/>
      <c r="C1784" s="16">
        <v>46236</v>
      </c>
      <c r="D1784">
        <v>18522.800000000003</v>
      </c>
    </row>
    <row r="1785" spans="1:4" x14ac:dyDescent="0.3">
      <c r="A1785" s="78" t="s">
        <v>33</v>
      </c>
      <c r="B1785" s="78"/>
      <c r="C1785" s="16">
        <v>46236</v>
      </c>
      <c r="D1785">
        <v>28485.559999999998</v>
      </c>
    </row>
    <row r="1786" spans="1:4" x14ac:dyDescent="0.3">
      <c r="A1786" s="78" t="s">
        <v>34</v>
      </c>
      <c r="B1786" s="78"/>
      <c r="C1786" s="16">
        <v>46236</v>
      </c>
      <c r="D1786">
        <v>345</v>
      </c>
    </row>
    <row r="1787" spans="1:4" x14ac:dyDescent="0.3">
      <c r="A1787" s="78" t="s">
        <v>35</v>
      </c>
      <c r="B1787" s="78"/>
      <c r="C1787" s="16">
        <v>46236</v>
      </c>
      <c r="D1787">
        <v>11634.930000000004</v>
      </c>
    </row>
    <row r="1788" spans="1:4" x14ac:dyDescent="0.3">
      <c r="A1788" s="78" t="s">
        <v>17</v>
      </c>
      <c r="B1788" s="78"/>
      <c r="C1788" s="16">
        <v>46237</v>
      </c>
      <c r="D1788">
        <v>2549365.41</v>
      </c>
    </row>
    <row r="1789" spans="1:4" x14ac:dyDescent="0.3">
      <c r="A1789" s="78" t="s">
        <v>18</v>
      </c>
      <c r="B1789" s="78"/>
      <c r="C1789" s="16">
        <v>46237</v>
      </c>
      <c r="D1789">
        <v>83211.250000000175</v>
      </c>
    </row>
    <row r="1790" spans="1:4" x14ac:dyDescent="0.3">
      <c r="A1790" s="78" t="s">
        <v>19</v>
      </c>
      <c r="B1790" s="78"/>
      <c r="C1790" s="16">
        <v>46237</v>
      </c>
      <c r="D1790">
        <v>1669.89</v>
      </c>
    </row>
    <row r="1791" spans="1:4" x14ac:dyDescent="0.3">
      <c r="A1791" s="78" t="s">
        <v>20</v>
      </c>
      <c r="B1791" s="78"/>
      <c r="C1791" s="16">
        <v>46237</v>
      </c>
      <c r="D1791">
        <v>1289465.7999999998</v>
      </c>
    </row>
    <row r="1792" spans="1:4" x14ac:dyDescent="0.3">
      <c r="A1792" s="78" t="s">
        <v>21</v>
      </c>
      <c r="B1792" s="78"/>
      <c r="C1792" s="16">
        <v>46237</v>
      </c>
      <c r="D1792">
        <v>1528719.2399999995</v>
      </c>
    </row>
    <row r="1793" spans="1:4" x14ac:dyDescent="0.3">
      <c r="A1793" s="78" t="s">
        <v>22</v>
      </c>
      <c r="B1793" s="78"/>
      <c r="C1793" s="16">
        <v>46237</v>
      </c>
      <c r="D1793">
        <v>190496.38</v>
      </c>
    </row>
    <row r="1794" spans="1:4" x14ac:dyDescent="0.3">
      <c r="A1794" s="78" t="s">
        <v>23</v>
      </c>
      <c r="B1794" s="78"/>
      <c r="C1794" s="16">
        <v>46237</v>
      </c>
      <c r="D1794">
        <v>88090.37</v>
      </c>
    </row>
    <row r="1795" spans="1:4" x14ac:dyDescent="0.3">
      <c r="A1795" s="78" t="s">
        <v>24</v>
      </c>
      <c r="B1795" s="78"/>
      <c r="C1795" s="16">
        <v>46237</v>
      </c>
      <c r="D1795">
        <v>14580.45</v>
      </c>
    </row>
    <row r="1796" spans="1:4" x14ac:dyDescent="0.3">
      <c r="A1796" s="78" t="s">
        <v>25</v>
      </c>
      <c r="B1796" s="78"/>
      <c r="C1796" s="16">
        <v>46237</v>
      </c>
      <c r="D1796">
        <v>24.450000000000003</v>
      </c>
    </row>
    <row r="1797" spans="1:4" x14ac:dyDescent="0.3">
      <c r="A1797" s="78" t="s">
        <v>26</v>
      </c>
      <c r="B1797" s="78"/>
      <c r="C1797" s="16">
        <v>46237</v>
      </c>
      <c r="D1797">
        <v>2177.87</v>
      </c>
    </row>
    <row r="1798" spans="1:4" x14ac:dyDescent="0.3">
      <c r="A1798" s="78" t="s">
        <v>27</v>
      </c>
      <c r="B1798" s="78"/>
      <c r="C1798" s="16">
        <v>46237</v>
      </c>
      <c r="D1798">
        <v>1454589.72</v>
      </c>
    </row>
    <row r="1799" spans="1:4" x14ac:dyDescent="0.3">
      <c r="A1799" s="78" t="s">
        <v>28</v>
      </c>
      <c r="B1799" s="78"/>
      <c r="C1799" s="16">
        <v>46237</v>
      </c>
      <c r="D1799">
        <v>1968.99</v>
      </c>
    </row>
    <row r="1800" spans="1:4" x14ac:dyDescent="0.3">
      <c r="A1800" s="78" t="s">
        <v>29</v>
      </c>
      <c r="B1800" s="78"/>
      <c r="C1800" s="16">
        <v>46237</v>
      </c>
      <c r="D1800">
        <v>901.34</v>
      </c>
    </row>
    <row r="1801" spans="1:4" x14ac:dyDescent="0.3">
      <c r="A1801" s="78" t="s">
        <v>30</v>
      </c>
      <c r="B1801" s="78"/>
      <c r="C1801" s="16">
        <v>46237</v>
      </c>
      <c r="D1801">
        <v>1396.08</v>
      </c>
    </row>
    <row r="1802" spans="1:4" x14ac:dyDescent="0.3">
      <c r="A1802" s="78" t="s">
        <v>31</v>
      </c>
      <c r="B1802" s="78"/>
      <c r="C1802" s="16">
        <v>46237</v>
      </c>
      <c r="D1802">
        <v>13804.239999999962</v>
      </c>
    </row>
    <row r="1803" spans="1:4" x14ac:dyDescent="0.3">
      <c r="A1803" s="78" t="s">
        <v>32</v>
      </c>
      <c r="B1803" s="78"/>
      <c r="C1803" s="16">
        <v>46237</v>
      </c>
      <c r="D1803">
        <v>8724.1700000000037</v>
      </c>
    </row>
    <row r="1804" spans="1:4" x14ac:dyDescent="0.3">
      <c r="A1804" s="78" t="s">
        <v>33</v>
      </c>
      <c r="B1804" s="78"/>
      <c r="C1804" s="16">
        <v>46237</v>
      </c>
      <c r="D1804">
        <v>15106.099999999997</v>
      </c>
    </row>
    <row r="1805" spans="1:4" x14ac:dyDescent="0.3">
      <c r="A1805" s="78" t="s">
        <v>34</v>
      </c>
      <c r="B1805" s="78"/>
      <c r="C1805" s="16">
        <v>46237</v>
      </c>
      <c r="D1805">
        <v>345</v>
      </c>
    </row>
    <row r="1806" spans="1:4" x14ac:dyDescent="0.3">
      <c r="A1806" s="78" t="s">
        <v>35</v>
      </c>
      <c r="B1806" s="78"/>
      <c r="C1806" s="16">
        <v>46237</v>
      </c>
      <c r="D1806">
        <v>8270.3500000000022</v>
      </c>
    </row>
    <row r="1807" spans="1:4" x14ac:dyDescent="0.3">
      <c r="A1807" s="78" t="s">
        <v>17</v>
      </c>
      <c r="B1807" s="78"/>
      <c r="C1807" s="16">
        <v>46238</v>
      </c>
      <c r="D1807">
        <v>2549365.41</v>
      </c>
    </row>
    <row r="1808" spans="1:4" x14ac:dyDescent="0.3">
      <c r="A1808" s="78" t="s">
        <v>18</v>
      </c>
      <c r="B1808" s="78"/>
      <c r="C1808" s="16">
        <v>46238</v>
      </c>
      <c r="D1808">
        <v>83211.250000000175</v>
      </c>
    </row>
    <row r="1809" spans="1:4" x14ac:dyDescent="0.3">
      <c r="A1809" s="78" t="s">
        <v>19</v>
      </c>
      <c r="B1809" s="78"/>
      <c r="C1809" s="16">
        <v>46238</v>
      </c>
      <c r="D1809">
        <v>1669.89</v>
      </c>
    </row>
    <row r="1810" spans="1:4" x14ac:dyDescent="0.3">
      <c r="A1810" s="78" t="s">
        <v>20</v>
      </c>
      <c r="B1810" s="78"/>
      <c r="C1810" s="16">
        <v>46238</v>
      </c>
      <c r="D1810">
        <v>1289465.7999999998</v>
      </c>
    </row>
    <row r="1811" spans="1:4" x14ac:dyDescent="0.3">
      <c r="A1811" s="78" t="s">
        <v>21</v>
      </c>
      <c r="B1811" s="78"/>
      <c r="C1811" s="16">
        <v>46238</v>
      </c>
      <c r="D1811">
        <v>1528109.5399999996</v>
      </c>
    </row>
    <row r="1812" spans="1:4" x14ac:dyDescent="0.3">
      <c r="A1812" s="78" t="s">
        <v>22</v>
      </c>
      <c r="B1812" s="78"/>
      <c r="C1812" s="16">
        <v>46238</v>
      </c>
      <c r="D1812">
        <v>184496.38</v>
      </c>
    </row>
    <row r="1813" spans="1:4" x14ac:dyDescent="0.3">
      <c r="A1813" s="78" t="s">
        <v>23</v>
      </c>
      <c r="B1813" s="78"/>
      <c r="C1813" s="16">
        <v>46238</v>
      </c>
      <c r="D1813">
        <v>88090.37</v>
      </c>
    </row>
    <row r="1814" spans="1:4" x14ac:dyDescent="0.3">
      <c r="A1814" s="78" t="s">
        <v>24</v>
      </c>
      <c r="B1814" s="78"/>
      <c r="C1814" s="16">
        <v>46238</v>
      </c>
      <c r="D1814">
        <v>14580.45</v>
      </c>
    </row>
    <row r="1815" spans="1:4" x14ac:dyDescent="0.3">
      <c r="A1815" s="78" t="s">
        <v>25</v>
      </c>
      <c r="B1815" s="78"/>
      <c r="C1815" s="16">
        <v>46238</v>
      </c>
      <c r="D1815">
        <v>24.450000000000003</v>
      </c>
    </row>
    <row r="1816" spans="1:4" x14ac:dyDescent="0.3">
      <c r="A1816" s="78" t="s">
        <v>26</v>
      </c>
      <c r="B1816" s="78"/>
      <c r="C1816" s="16">
        <v>46238</v>
      </c>
      <c r="D1816">
        <v>2177.87</v>
      </c>
    </row>
    <row r="1817" spans="1:4" x14ac:dyDescent="0.3">
      <c r="A1817" s="78" t="s">
        <v>27</v>
      </c>
      <c r="B1817" s="78"/>
      <c r="C1817" s="16">
        <v>46238</v>
      </c>
      <c r="D1817">
        <v>1454589.72</v>
      </c>
    </row>
    <row r="1818" spans="1:4" x14ac:dyDescent="0.3">
      <c r="A1818" s="78" t="s">
        <v>28</v>
      </c>
      <c r="B1818" s="78"/>
      <c r="C1818" s="16">
        <v>46238</v>
      </c>
      <c r="D1818">
        <v>1968.99</v>
      </c>
    </row>
    <row r="1819" spans="1:4" x14ac:dyDescent="0.3">
      <c r="A1819" s="78" t="s">
        <v>29</v>
      </c>
      <c r="B1819" s="78"/>
      <c r="C1819" s="16">
        <v>46238</v>
      </c>
      <c r="D1819">
        <v>901.34</v>
      </c>
    </row>
    <row r="1820" spans="1:4" x14ac:dyDescent="0.3">
      <c r="A1820" s="78" t="s">
        <v>30</v>
      </c>
      <c r="B1820" s="78"/>
      <c r="C1820" s="16">
        <v>46238</v>
      </c>
      <c r="D1820">
        <v>1396.08</v>
      </c>
    </row>
    <row r="1821" spans="1:4" x14ac:dyDescent="0.3">
      <c r="A1821" s="78" t="s">
        <v>31</v>
      </c>
      <c r="B1821" s="78"/>
      <c r="C1821" s="16">
        <v>46238</v>
      </c>
      <c r="D1821">
        <v>13804.239999999962</v>
      </c>
    </row>
    <row r="1822" spans="1:4" x14ac:dyDescent="0.3">
      <c r="A1822" s="78" t="s">
        <v>32</v>
      </c>
      <c r="B1822" s="78"/>
      <c r="C1822" s="16">
        <v>46238</v>
      </c>
      <c r="D1822">
        <v>8724.1700000000037</v>
      </c>
    </row>
    <row r="1823" spans="1:4" x14ac:dyDescent="0.3">
      <c r="A1823" s="78" t="s">
        <v>33</v>
      </c>
      <c r="B1823" s="78"/>
      <c r="C1823" s="16">
        <v>46238</v>
      </c>
      <c r="D1823">
        <v>15106.099999999997</v>
      </c>
    </row>
    <row r="1824" spans="1:4" x14ac:dyDescent="0.3">
      <c r="A1824" s="78" t="s">
        <v>34</v>
      </c>
      <c r="B1824" s="78"/>
      <c r="C1824" s="16">
        <v>46238</v>
      </c>
      <c r="D1824">
        <v>345</v>
      </c>
    </row>
    <row r="1825" spans="1:4" x14ac:dyDescent="0.3">
      <c r="A1825" s="78" t="s">
        <v>35</v>
      </c>
      <c r="B1825" s="78"/>
      <c r="C1825" s="16">
        <v>46238</v>
      </c>
      <c r="D1825">
        <v>7879.4200000000019</v>
      </c>
    </row>
    <row r="1826" spans="1:4" x14ac:dyDescent="0.3">
      <c r="A1826" s="78" t="s">
        <v>17</v>
      </c>
      <c r="B1826" s="78"/>
      <c r="C1826" s="16">
        <v>46239</v>
      </c>
      <c r="D1826">
        <v>2549365.41</v>
      </c>
    </row>
    <row r="1827" spans="1:4" x14ac:dyDescent="0.3">
      <c r="A1827" s="78" t="s">
        <v>18</v>
      </c>
      <c r="B1827" s="78"/>
      <c r="C1827" s="16">
        <v>46239</v>
      </c>
      <c r="D1827">
        <v>83211.250000000175</v>
      </c>
    </row>
    <row r="1828" spans="1:4" x14ac:dyDescent="0.3">
      <c r="A1828" s="78" t="s">
        <v>19</v>
      </c>
      <c r="B1828" s="78"/>
      <c r="C1828" s="16">
        <v>46239</v>
      </c>
      <c r="D1828">
        <v>1669.89</v>
      </c>
    </row>
    <row r="1829" spans="1:4" x14ac:dyDescent="0.3">
      <c r="A1829" s="78" t="s">
        <v>20</v>
      </c>
      <c r="B1829" s="78"/>
      <c r="C1829" s="16">
        <v>46239</v>
      </c>
      <c r="D1829">
        <v>1283465.7999999998</v>
      </c>
    </row>
    <row r="1830" spans="1:4" x14ac:dyDescent="0.3">
      <c r="A1830" s="78" t="s">
        <v>21</v>
      </c>
      <c r="B1830" s="78"/>
      <c r="C1830" s="16">
        <v>46239</v>
      </c>
      <c r="D1830">
        <v>1526429.7599999995</v>
      </c>
    </row>
    <row r="1831" spans="1:4" x14ac:dyDescent="0.3">
      <c r="A1831" s="78" t="s">
        <v>22</v>
      </c>
      <c r="B1831" s="78"/>
      <c r="C1831" s="16">
        <v>46239</v>
      </c>
      <c r="D1831">
        <v>184496.38</v>
      </c>
    </row>
    <row r="1832" spans="1:4" x14ac:dyDescent="0.3">
      <c r="A1832" s="78" t="s">
        <v>23</v>
      </c>
      <c r="B1832" s="78"/>
      <c r="C1832" s="16">
        <v>46239</v>
      </c>
      <c r="D1832">
        <v>88090.37</v>
      </c>
    </row>
    <row r="1833" spans="1:4" x14ac:dyDescent="0.3">
      <c r="A1833" s="78" t="s">
        <v>24</v>
      </c>
      <c r="B1833" s="78"/>
      <c r="C1833" s="16">
        <v>46239</v>
      </c>
      <c r="D1833">
        <v>14540.45</v>
      </c>
    </row>
    <row r="1834" spans="1:4" x14ac:dyDescent="0.3">
      <c r="A1834" s="78" t="s">
        <v>25</v>
      </c>
      <c r="B1834" s="78"/>
      <c r="C1834" s="16">
        <v>46239</v>
      </c>
      <c r="D1834">
        <v>24.450000000000003</v>
      </c>
    </row>
    <row r="1835" spans="1:4" x14ac:dyDescent="0.3">
      <c r="A1835" s="78" t="s">
        <v>26</v>
      </c>
      <c r="B1835" s="78"/>
      <c r="C1835" s="16">
        <v>46239</v>
      </c>
      <c r="D1835">
        <v>2177.87</v>
      </c>
    </row>
    <row r="1836" spans="1:4" x14ac:dyDescent="0.3">
      <c r="A1836" s="78" t="s">
        <v>27</v>
      </c>
      <c r="B1836" s="78"/>
      <c r="C1836" s="16">
        <v>46239</v>
      </c>
      <c r="D1836">
        <v>1454589.72</v>
      </c>
    </row>
    <row r="1837" spans="1:4" x14ac:dyDescent="0.3">
      <c r="A1837" s="78" t="s">
        <v>28</v>
      </c>
      <c r="B1837" s="78"/>
      <c r="C1837" s="16">
        <v>46239</v>
      </c>
      <c r="D1837">
        <v>1968.99</v>
      </c>
    </row>
    <row r="1838" spans="1:4" x14ac:dyDescent="0.3">
      <c r="A1838" s="78" t="s">
        <v>29</v>
      </c>
      <c r="B1838" s="78"/>
      <c r="C1838" s="16">
        <v>46239</v>
      </c>
      <c r="D1838">
        <v>901.34</v>
      </c>
    </row>
    <row r="1839" spans="1:4" x14ac:dyDescent="0.3">
      <c r="A1839" s="78" t="s">
        <v>30</v>
      </c>
      <c r="B1839" s="78"/>
      <c r="C1839" s="16">
        <v>46239</v>
      </c>
      <c r="D1839">
        <v>1396.08</v>
      </c>
    </row>
    <row r="1840" spans="1:4" x14ac:dyDescent="0.3">
      <c r="A1840" s="78" t="s">
        <v>31</v>
      </c>
      <c r="B1840" s="78"/>
      <c r="C1840" s="16">
        <v>46239</v>
      </c>
      <c r="D1840">
        <v>13804.239999999962</v>
      </c>
    </row>
    <row r="1841" spans="1:4" x14ac:dyDescent="0.3">
      <c r="A1841" s="78" t="s">
        <v>32</v>
      </c>
      <c r="B1841" s="78"/>
      <c r="C1841" s="16">
        <v>46239</v>
      </c>
      <c r="D1841">
        <v>8724.1700000000037</v>
      </c>
    </row>
    <row r="1842" spans="1:4" x14ac:dyDescent="0.3">
      <c r="A1842" s="78" t="s">
        <v>33</v>
      </c>
      <c r="B1842" s="78"/>
      <c r="C1842" s="16">
        <v>46239</v>
      </c>
      <c r="D1842">
        <v>15106.099999999997</v>
      </c>
    </row>
    <row r="1843" spans="1:4" x14ac:dyDescent="0.3">
      <c r="A1843" s="78" t="s">
        <v>34</v>
      </c>
      <c r="B1843" s="78"/>
      <c r="C1843" s="16">
        <v>46239</v>
      </c>
      <c r="D1843">
        <v>345</v>
      </c>
    </row>
    <row r="1844" spans="1:4" x14ac:dyDescent="0.3">
      <c r="A1844" s="78" t="s">
        <v>35</v>
      </c>
      <c r="B1844" s="78"/>
      <c r="C1844" s="16">
        <v>46239</v>
      </c>
      <c r="D1844">
        <v>7879.4200000000019</v>
      </c>
    </row>
    <row r="1845" spans="1:4" x14ac:dyDescent="0.3">
      <c r="A1845" s="78" t="s">
        <v>17</v>
      </c>
      <c r="B1845" s="78"/>
      <c r="C1845" s="16">
        <v>46240</v>
      </c>
      <c r="D1845">
        <v>1234723.7400000002</v>
      </c>
    </row>
    <row r="1846" spans="1:4" x14ac:dyDescent="0.3">
      <c r="A1846" s="78" t="s">
        <v>18</v>
      </c>
      <c r="B1846" s="78"/>
      <c r="C1846" s="16">
        <v>46240</v>
      </c>
      <c r="D1846">
        <v>83211.250000000175</v>
      </c>
    </row>
    <row r="1847" spans="1:4" x14ac:dyDescent="0.3">
      <c r="A1847" s="78" t="s">
        <v>19</v>
      </c>
      <c r="B1847" s="78"/>
      <c r="C1847" s="16">
        <v>46240</v>
      </c>
      <c r="D1847">
        <v>1669.89</v>
      </c>
    </row>
    <row r="1848" spans="1:4" x14ac:dyDescent="0.3">
      <c r="A1848" s="78" t="s">
        <v>20</v>
      </c>
      <c r="B1848" s="78"/>
      <c r="C1848" s="16">
        <v>46240</v>
      </c>
      <c r="D1848">
        <v>1180491.7</v>
      </c>
    </row>
    <row r="1849" spans="1:4" x14ac:dyDescent="0.3">
      <c r="A1849" s="78" t="s">
        <v>21</v>
      </c>
      <c r="B1849" s="78"/>
      <c r="C1849" s="16">
        <v>46240</v>
      </c>
      <c r="D1849">
        <v>2116315.9099999997</v>
      </c>
    </row>
    <row r="1850" spans="1:4" x14ac:dyDescent="0.3">
      <c r="A1850" s="78" t="s">
        <v>22</v>
      </c>
      <c r="B1850" s="78"/>
      <c r="C1850" s="16">
        <v>46240</v>
      </c>
      <c r="D1850">
        <v>171496.38</v>
      </c>
    </row>
    <row r="1851" spans="1:4" x14ac:dyDescent="0.3">
      <c r="A1851" s="78" t="s">
        <v>23</v>
      </c>
      <c r="B1851" s="78"/>
      <c r="C1851" s="16">
        <v>46240</v>
      </c>
      <c r="D1851">
        <v>88067.39</v>
      </c>
    </row>
    <row r="1852" spans="1:4" x14ac:dyDescent="0.3">
      <c r="A1852" s="78" t="s">
        <v>24</v>
      </c>
      <c r="B1852" s="78"/>
      <c r="C1852" s="16">
        <v>46240</v>
      </c>
      <c r="D1852">
        <v>13270.02</v>
      </c>
    </row>
    <row r="1853" spans="1:4" x14ac:dyDescent="0.3">
      <c r="A1853" s="78" t="s">
        <v>25</v>
      </c>
      <c r="B1853" s="78"/>
      <c r="C1853" s="16">
        <v>46240</v>
      </c>
      <c r="D1853">
        <v>24.450000000000003</v>
      </c>
    </row>
    <row r="1854" spans="1:4" x14ac:dyDescent="0.3">
      <c r="A1854" s="78" t="s">
        <v>26</v>
      </c>
      <c r="B1854" s="78"/>
      <c r="C1854" s="16">
        <v>46240</v>
      </c>
      <c r="D1854">
        <v>2177.87</v>
      </c>
    </row>
    <row r="1855" spans="1:4" x14ac:dyDescent="0.3">
      <c r="A1855" s="78" t="s">
        <v>27</v>
      </c>
      <c r="B1855" s="78"/>
      <c r="C1855" s="16">
        <v>46240</v>
      </c>
      <c r="D1855">
        <v>1454589.72</v>
      </c>
    </row>
    <row r="1856" spans="1:4" x14ac:dyDescent="0.3">
      <c r="A1856" s="78" t="s">
        <v>28</v>
      </c>
      <c r="B1856" s="78"/>
      <c r="C1856" s="16">
        <v>46240</v>
      </c>
      <c r="D1856">
        <v>1968.99</v>
      </c>
    </row>
    <row r="1857" spans="1:4" x14ac:dyDescent="0.3">
      <c r="A1857" s="78" t="s">
        <v>29</v>
      </c>
      <c r="B1857" s="78"/>
      <c r="C1857" s="16">
        <v>46240</v>
      </c>
      <c r="D1857">
        <v>901.34</v>
      </c>
    </row>
    <row r="1858" spans="1:4" x14ac:dyDescent="0.3">
      <c r="A1858" s="78" t="s">
        <v>30</v>
      </c>
      <c r="B1858" s="78"/>
      <c r="C1858" s="16">
        <v>46240</v>
      </c>
      <c r="D1858">
        <v>1396.08</v>
      </c>
    </row>
    <row r="1859" spans="1:4" x14ac:dyDescent="0.3">
      <c r="A1859" s="78" t="s">
        <v>31</v>
      </c>
      <c r="B1859" s="78"/>
      <c r="C1859" s="16">
        <v>46240</v>
      </c>
      <c r="D1859">
        <v>13804.239999999962</v>
      </c>
    </row>
    <row r="1860" spans="1:4" x14ac:dyDescent="0.3">
      <c r="A1860" s="78" t="s">
        <v>32</v>
      </c>
      <c r="B1860" s="78"/>
      <c r="C1860" s="16">
        <v>46240</v>
      </c>
      <c r="D1860">
        <v>8724.1700000000037</v>
      </c>
    </row>
    <row r="1861" spans="1:4" x14ac:dyDescent="0.3">
      <c r="A1861" s="78" t="s">
        <v>33</v>
      </c>
      <c r="B1861" s="78"/>
      <c r="C1861" s="16">
        <v>46240</v>
      </c>
      <c r="D1861">
        <v>15106.099999999997</v>
      </c>
    </row>
    <row r="1862" spans="1:4" x14ac:dyDescent="0.3">
      <c r="A1862" s="78" t="s">
        <v>34</v>
      </c>
      <c r="B1862" s="78"/>
      <c r="C1862" s="16">
        <v>46240</v>
      </c>
      <c r="D1862">
        <v>345</v>
      </c>
    </row>
    <row r="1863" spans="1:4" x14ac:dyDescent="0.3">
      <c r="A1863" s="78" t="s">
        <v>35</v>
      </c>
      <c r="B1863" s="78"/>
      <c r="C1863" s="16">
        <v>46240</v>
      </c>
      <c r="D1863">
        <v>12470.040000000003</v>
      </c>
    </row>
    <row r="1864" spans="1:4" x14ac:dyDescent="0.3">
      <c r="A1864" s="78" t="s">
        <v>17</v>
      </c>
      <c r="B1864" s="78"/>
      <c r="C1864" s="16">
        <v>46241</v>
      </c>
      <c r="D1864">
        <v>1234723.7400000002</v>
      </c>
    </row>
    <row r="1865" spans="1:4" x14ac:dyDescent="0.3">
      <c r="A1865" s="78" t="s">
        <v>18</v>
      </c>
      <c r="B1865" s="78"/>
      <c r="C1865" s="16">
        <v>46241</v>
      </c>
      <c r="D1865">
        <v>83211.250000000175</v>
      </c>
    </row>
    <row r="1866" spans="1:4" x14ac:dyDescent="0.3">
      <c r="A1866" s="78" t="s">
        <v>19</v>
      </c>
      <c r="B1866" s="78"/>
      <c r="C1866" s="16">
        <v>46241</v>
      </c>
      <c r="D1866">
        <v>1669.89</v>
      </c>
    </row>
    <row r="1867" spans="1:4" x14ac:dyDescent="0.3">
      <c r="A1867" s="78" t="s">
        <v>20</v>
      </c>
      <c r="B1867" s="78"/>
      <c r="C1867" s="16">
        <v>46241</v>
      </c>
      <c r="D1867">
        <v>1180491.7</v>
      </c>
    </row>
    <row r="1868" spans="1:4" x14ac:dyDescent="0.3">
      <c r="A1868" s="78" t="s">
        <v>21</v>
      </c>
      <c r="B1868" s="78"/>
      <c r="C1868" s="16">
        <v>46241</v>
      </c>
      <c r="D1868">
        <v>2116315.9099999997</v>
      </c>
    </row>
    <row r="1869" spans="1:4" x14ac:dyDescent="0.3">
      <c r="A1869" s="78" t="s">
        <v>22</v>
      </c>
      <c r="B1869" s="78"/>
      <c r="C1869" s="16">
        <v>46241</v>
      </c>
      <c r="D1869">
        <v>171496.38</v>
      </c>
    </row>
    <row r="1870" spans="1:4" x14ac:dyDescent="0.3">
      <c r="A1870" s="78" t="s">
        <v>23</v>
      </c>
      <c r="B1870" s="78"/>
      <c r="C1870" s="16">
        <v>46241</v>
      </c>
      <c r="D1870">
        <v>88067.39</v>
      </c>
    </row>
    <row r="1871" spans="1:4" x14ac:dyDescent="0.3">
      <c r="A1871" s="78" t="s">
        <v>24</v>
      </c>
      <c r="B1871" s="78"/>
      <c r="C1871" s="16">
        <v>46241</v>
      </c>
      <c r="D1871">
        <v>13270.02</v>
      </c>
    </row>
    <row r="1872" spans="1:4" x14ac:dyDescent="0.3">
      <c r="A1872" s="78" t="s">
        <v>25</v>
      </c>
      <c r="B1872" s="78"/>
      <c r="C1872" s="16">
        <v>46241</v>
      </c>
      <c r="D1872">
        <v>24.450000000000003</v>
      </c>
    </row>
    <row r="1873" spans="1:4" x14ac:dyDescent="0.3">
      <c r="A1873" s="78" t="s">
        <v>26</v>
      </c>
      <c r="B1873" s="78"/>
      <c r="C1873" s="16">
        <v>46241</v>
      </c>
      <c r="D1873">
        <v>2177.87</v>
      </c>
    </row>
    <row r="1874" spans="1:4" x14ac:dyDescent="0.3">
      <c r="A1874" s="78" t="s">
        <v>27</v>
      </c>
      <c r="B1874" s="78"/>
      <c r="C1874" s="16">
        <v>46241</v>
      </c>
      <c r="D1874">
        <v>1454589.72</v>
      </c>
    </row>
    <row r="1875" spans="1:4" x14ac:dyDescent="0.3">
      <c r="A1875" s="78" t="s">
        <v>28</v>
      </c>
      <c r="B1875" s="78"/>
      <c r="C1875" s="16">
        <v>46241</v>
      </c>
      <c r="D1875">
        <v>1968.99</v>
      </c>
    </row>
    <row r="1876" spans="1:4" x14ac:dyDescent="0.3">
      <c r="A1876" s="78" t="s">
        <v>29</v>
      </c>
      <c r="B1876" s="78"/>
      <c r="C1876" s="16">
        <v>46241</v>
      </c>
      <c r="D1876">
        <v>901.34</v>
      </c>
    </row>
    <row r="1877" spans="1:4" x14ac:dyDescent="0.3">
      <c r="A1877" s="78" t="s">
        <v>30</v>
      </c>
      <c r="B1877" s="78"/>
      <c r="C1877" s="16">
        <v>46241</v>
      </c>
      <c r="D1877">
        <v>1396.08</v>
      </c>
    </row>
    <row r="1878" spans="1:4" x14ac:dyDescent="0.3">
      <c r="A1878" s="78" t="s">
        <v>31</v>
      </c>
      <c r="B1878" s="78"/>
      <c r="C1878" s="16">
        <v>46241</v>
      </c>
      <c r="D1878">
        <v>11259.639999999961</v>
      </c>
    </row>
    <row r="1879" spans="1:4" x14ac:dyDescent="0.3">
      <c r="A1879" s="78" t="s">
        <v>32</v>
      </c>
      <c r="B1879" s="78"/>
      <c r="C1879" s="16">
        <v>46241</v>
      </c>
      <c r="D1879">
        <v>8724.1700000000037</v>
      </c>
    </row>
    <row r="1880" spans="1:4" x14ac:dyDescent="0.3">
      <c r="A1880" s="78" t="s">
        <v>33</v>
      </c>
      <c r="B1880" s="78"/>
      <c r="C1880" s="16">
        <v>46241</v>
      </c>
      <c r="D1880">
        <v>20106.099999999999</v>
      </c>
    </row>
    <row r="1881" spans="1:4" x14ac:dyDescent="0.3">
      <c r="A1881" s="78" t="s">
        <v>34</v>
      </c>
      <c r="B1881" s="78"/>
      <c r="C1881" s="16">
        <v>46241</v>
      </c>
      <c r="D1881">
        <v>345</v>
      </c>
    </row>
    <row r="1882" spans="1:4" x14ac:dyDescent="0.3">
      <c r="A1882" s="78" t="s">
        <v>35</v>
      </c>
      <c r="B1882" s="78"/>
      <c r="C1882" s="16">
        <v>46241</v>
      </c>
      <c r="D1882">
        <v>12470.040000000003</v>
      </c>
    </row>
    <row r="1883" spans="1:4" x14ac:dyDescent="0.3">
      <c r="A1883" s="78" t="s">
        <v>17</v>
      </c>
      <c r="B1883" s="78"/>
      <c r="C1883" s="16">
        <v>46242</v>
      </c>
      <c r="D1883">
        <v>1234723.7400000002</v>
      </c>
    </row>
    <row r="1884" spans="1:4" x14ac:dyDescent="0.3">
      <c r="A1884" s="78" t="s">
        <v>18</v>
      </c>
      <c r="B1884" s="78"/>
      <c r="C1884" s="16">
        <v>46242</v>
      </c>
      <c r="D1884">
        <v>83211.250000000175</v>
      </c>
    </row>
    <row r="1885" spans="1:4" x14ac:dyDescent="0.3">
      <c r="A1885" s="78" t="s">
        <v>19</v>
      </c>
      <c r="B1885" s="78"/>
      <c r="C1885" s="16">
        <v>46242</v>
      </c>
      <c r="D1885">
        <v>1669.89</v>
      </c>
    </row>
    <row r="1886" spans="1:4" x14ac:dyDescent="0.3">
      <c r="A1886" s="78" t="s">
        <v>20</v>
      </c>
      <c r="B1886" s="78"/>
      <c r="C1886" s="16">
        <v>46242</v>
      </c>
      <c r="D1886">
        <v>1180491.7</v>
      </c>
    </row>
    <row r="1887" spans="1:4" x14ac:dyDescent="0.3">
      <c r="A1887" s="78" t="s">
        <v>21</v>
      </c>
      <c r="B1887" s="78"/>
      <c r="C1887" s="16">
        <v>46242</v>
      </c>
      <c r="D1887">
        <v>2116315.9099999997</v>
      </c>
    </row>
    <row r="1888" spans="1:4" x14ac:dyDescent="0.3">
      <c r="A1888" s="78" t="s">
        <v>22</v>
      </c>
      <c r="B1888" s="78"/>
      <c r="C1888" s="16">
        <v>46242</v>
      </c>
      <c r="D1888">
        <v>171496.38</v>
      </c>
    </row>
    <row r="1889" spans="1:4" x14ac:dyDescent="0.3">
      <c r="A1889" s="78" t="s">
        <v>23</v>
      </c>
      <c r="B1889" s="78"/>
      <c r="C1889" s="16">
        <v>46242</v>
      </c>
      <c r="D1889">
        <v>88067.39</v>
      </c>
    </row>
    <row r="1890" spans="1:4" x14ac:dyDescent="0.3">
      <c r="A1890" s="78" t="s">
        <v>24</v>
      </c>
      <c r="B1890" s="78"/>
      <c r="C1890" s="16">
        <v>46242</v>
      </c>
      <c r="D1890">
        <v>13270.02</v>
      </c>
    </row>
    <row r="1891" spans="1:4" x14ac:dyDescent="0.3">
      <c r="A1891" s="78" t="s">
        <v>25</v>
      </c>
      <c r="B1891" s="78"/>
      <c r="C1891" s="16">
        <v>46242</v>
      </c>
      <c r="D1891">
        <v>24.450000000000003</v>
      </c>
    </row>
    <row r="1892" spans="1:4" x14ac:dyDescent="0.3">
      <c r="A1892" s="78" t="s">
        <v>26</v>
      </c>
      <c r="B1892" s="78"/>
      <c r="C1892" s="16">
        <v>46242</v>
      </c>
      <c r="D1892">
        <v>2177.87</v>
      </c>
    </row>
    <row r="1893" spans="1:4" x14ac:dyDescent="0.3">
      <c r="A1893" s="78" t="s">
        <v>27</v>
      </c>
      <c r="B1893" s="78"/>
      <c r="C1893" s="16">
        <v>46242</v>
      </c>
      <c r="D1893">
        <v>1454589.72</v>
      </c>
    </row>
    <row r="1894" spans="1:4" x14ac:dyDescent="0.3">
      <c r="A1894" s="78" t="s">
        <v>28</v>
      </c>
      <c r="B1894" s="78"/>
      <c r="C1894" s="16">
        <v>46242</v>
      </c>
      <c r="D1894">
        <v>1968.99</v>
      </c>
    </row>
    <row r="1895" spans="1:4" x14ac:dyDescent="0.3">
      <c r="A1895" s="78" t="s">
        <v>29</v>
      </c>
      <c r="B1895" s="78"/>
      <c r="C1895" s="16">
        <v>46242</v>
      </c>
      <c r="D1895">
        <v>901.34</v>
      </c>
    </row>
    <row r="1896" spans="1:4" x14ac:dyDescent="0.3">
      <c r="A1896" s="78" t="s">
        <v>30</v>
      </c>
      <c r="B1896" s="78"/>
      <c r="C1896" s="16">
        <v>46242</v>
      </c>
      <c r="D1896">
        <v>1396.08</v>
      </c>
    </row>
    <row r="1897" spans="1:4" x14ac:dyDescent="0.3">
      <c r="A1897" s="78" t="s">
        <v>31</v>
      </c>
      <c r="B1897" s="78"/>
      <c r="C1897" s="16">
        <v>46242</v>
      </c>
      <c r="D1897">
        <v>11259.639999999961</v>
      </c>
    </row>
    <row r="1898" spans="1:4" x14ac:dyDescent="0.3">
      <c r="A1898" s="78" t="s">
        <v>32</v>
      </c>
      <c r="B1898" s="78"/>
      <c r="C1898" s="16">
        <v>46242</v>
      </c>
      <c r="D1898">
        <v>8724.1700000000037</v>
      </c>
    </row>
    <row r="1899" spans="1:4" x14ac:dyDescent="0.3">
      <c r="A1899" s="78" t="s">
        <v>33</v>
      </c>
      <c r="B1899" s="78"/>
      <c r="C1899" s="16">
        <v>46242</v>
      </c>
      <c r="D1899">
        <v>20106.099999999999</v>
      </c>
    </row>
    <row r="1900" spans="1:4" x14ac:dyDescent="0.3">
      <c r="A1900" s="78" t="s">
        <v>34</v>
      </c>
      <c r="B1900" s="78"/>
      <c r="C1900" s="16">
        <v>46242</v>
      </c>
      <c r="D1900">
        <v>345</v>
      </c>
    </row>
    <row r="1901" spans="1:4" x14ac:dyDescent="0.3">
      <c r="A1901" s="78" t="s">
        <v>35</v>
      </c>
      <c r="B1901" s="78"/>
      <c r="C1901" s="16">
        <v>46242</v>
      </c>
      <c r="D1901">
        <v>12470.040000000003</v>
      </c>
    </row>
    <row r="1902" spans="1:4" x14ac:dyDescent="0.3">
      <c r="A1902" s="78" t="s">
        <v>17</v>
      </c>
      <c r="B1902" s="78"/>
      <c r="C1902" s="16">
        <v>46243</v>
      </c>
      <c r="D1902">
        <v>1234723.7400000002</v>
      </c>
    </row>
    <row r="1903" spans="1:4" x14ac:dyDescent="0.3">
      <c r="A1903" s="78" t="s">
        <v>18</v>
      </c>
      <c r="B1903" s="78"/>
      <c r="C1903" s="16">
        <v>46243</v>
      </c>
      <c r="D1903">
        <v>83211.250000000175</v>
      </c>
    </row>
    <row r="1904" spans="1:4" x14ac:dyDescent="0.3">
      <c r="A1904" s="78" t="s">
        <v>19</v>
      </c>
      <c r="B1904" s="78"/>
      <c r="C1904" s="16">
        <v>46243</v>
      </c>
      <c r="D1904">
        <v>1669.89</v>
      </c>
    </row>
    <row r="1905" spans="1:4" x14ac:dyDescent="0.3">
      <c r="A1905" s="78" t="s">
        <v>20</v>
      </c>
      <c r="B1905" s="78"/>
      <c r="C1905" s="16">
        <v>46243</v>
      </c>
      <c r="D1905">
        <v>1180491.7</v>
      </c>
    </row>
    <row r="1906" spans="1:4" x14ac:dyDescent="0.3">
      <c r="A1906" s="78" t="s">
        <v>21</v>
      </c>
      <c r="B1906" s="78"/>
      <c r="C1906" s="16">
        <v>46243</v>
      </c>
      <c r="D1906">
        <v>2116315.9099999997</v>
      </c>
    </row>
    <row r="1907" spans="1:4" x14ac:dyDescent="0.3">
      <c r="A1907" s="78" t="s">
        <v>22</v>
      </c>
      <c r="B1907" s="78"/>
      <c r="C1907" s="16">
        <v>46243</v>
      </c>
      <c r="D1907">
        <v>171496.38</v>
      </c>
    </row>
    <row r="1908" spans="1:4" x14ac:dyDescent="0.3">
      <c r="A1908" s="78" t="s">
        <v>23</v>
      </c>
      <c r="B1908" s="78"/>
      <c r="C1908" s="16">
        <v>46243</v>
      </c>
      <c r="D1908">
        <v>88067.39</v>
      </c>
    </row>
    <row r="1909" spans="1:4" x14ac:dyDescent="0.3">
      <c r="A1909" s="78" t="s">
        <v>24</v>
      </c>
      <c r="B1909" s="78"/>
      <c r="C1909" s="16">
        <v>46243</v>
      </c>
      <c r="D1909">
        <v>13270.02</v>
      </c>
    </row>
    <row r="1910" spans="1:4" x14ac:dyDescent="0.3">
      <c r="A1910" s="78" t="s">
        <v>25</v>
      </c>
      <c r="B1910" s="78"/>
      <c r="C1910" s="16">
        <v>46243</v>
      </c>
      <c r="D1910">
        <v>24.450000000000003</v>
      </c>
    </row>
    <row r="1911" spans="1:4" x14ac:dyDescent="0.3">
      <c r="A1911" s="78" t="s">
        <v>26</v>
      </c>
      <c r="B1911" s="78"/>
      <c r="C1911" s="16">
        <v>46243</v>
      </c>
      <c r="D1911">
        <v>2177.87</v>
      </c>
    </row>
    <row r="1912" spans="1:4" x14ac:dyDescent="0.3">
      <c r="A1912" s="78" t="s">
        <v>27</v>
      </c>
      <c r="B1912" s="78"/>
      <c r="C1912" s="16">
        <v>46243</v>
      </c>
      <c r="D1912">
        <v>1454589.72</v>
      </c>
    </row>
    <row r="1913" spans="1:4" x14ac:dyDescent="0.3">
      <c r="A1913" s="78" t="s">
        <v>28</v>
      </c>
      <c r="B1913" s="78"/>
      <c r="C1913" s="16">
        <v>46243</v>
      </c>
      <c r="D1913">
        <v>1968.99</v>
      </c>
    </row>
    <row r="1914" spans="1:4" x14ac:dyDescent="0.3">
      <c r="A1914" s="78" t="s">
        <v>29</v>
      </c>
      <c r="B1914" s="78"/>
      <c r="C1914" s="16">
        <v>46243</v>
      </c>
      <c r="D1914">
        <v>901.34</v>
      </c>
    </row>
    <row r="1915" spans="1:4" x14ac:dyDescent="0.3">
      <c r="A1915" s="78" t="s">
        <v>30</v>
      </c>
      <c r="B1915" s="78"/>
      <c r="C1915" s="16">
        <v>46243</v>
      </c>
      <c r="D1915">
        <v>1396.08</v>
      </c>
    </row>
    <row r="1916" spans="1:4" x14ac:dyDescent="0.3">
      <c r="A1916" s="78" t="s">
        <v>31</v>
      </c>
      <c r="B1916" s="78"/>
      <c r="C1916" s="16">
        <v>46243</v>
      </c>
      <c r="D1916">
        <v>11259.639999999961</v>
      </c>
    </row>
    <row r="1917" spans="1:4" x14ac:dyDescent="0.3">
      <c r="A1917" s="78" t="s">
        <v>32</v>
      </c>
      <c r="B1917" s="78"/>
      <c r="C1917" s="16">
        <v>46243</v>
      </c>
      <c r="D1917">
        <v>8724.1700000000037</v>
      </c>
    </row>
    <row r="1918" spans="1:4" x14ac:dyDescent="0.3">
      <c r="A1918" s="78" t="s">
        <v>33</v>
      </c>
      <c r="B1918" s="78"/>
      <c r="C1918" s="16">
        <v>46243</v>
      </c>
      <c r="D1918">
        <v>20106.099999999999</v>
      </c>
    </row>
    <row r="1919" spans="1:4" x14ac:dyDescent="0.3">
      <c r="A1919" s="78" t="s">
        <v>34</v>
      </c>
      <c r="B1919" s="78"/>
      <c r="C1919" s="16">
        <v>46243</v>
      </c>
      <c r="D1919">
        <v>345</v>
      </c>
    </row>
    <row r="1920" spans="1:4" x14ac:dyDescent="0.3">
      <c r="A1920" s="78" t="s">
        <v>35</v>
      </c>
      <c r="B1920" s="78"/>
      <c r="C1920" s="16">
        <v>46243</v>
      </c>
      <c r="D1920">
        <v>12470.040000000003</v>
      </c>
    </row>
    <row r="1921" spans="1:4" x14ac:dyDescent="0.3">
      <c r="A1921" s="78" t="s">
        <v>17</v>
      </c>
      <c r="B1921" s="78"/>
      <c r="C1921" s="16">
        <v>46244</v>
      </c>
      <c r="D1921">
        <v>1341410.31</v>
      </c>
    </row>
    <row r="1922" spans="1:4" x14ac:dyDescent="0.3">
      <c r="A1922" s="78" t="s">
        <v>18</v>
      </c>
      <c r="B1922" s="78"/>
      <c r="C1922" s="16">
        <v>46244</v>
      </c>
      <c r="D1922">
        <v>83211.250000000175</v>
      </c>
    </row>
    <row r="1923" spans="1:4" x14ac:dyDescent="0.3">
      <c r="A1923" s="78" t="s">
        <v>19</v>
      </c>
      <c r="B1923" s="78"/>
      <c r="C1923" s="16">
        <v>46244</v>
      </c>
      <c r="D1923">
        <v>1669.89</v>
      </c>
    </row>
    <row r="1924" spans="1:4" x14ac:dyDescent="0.3">
      <c r="A1924" s="78" t="s">
        <v>20</v>
      </c>
      <c r="B1924" s="78"/>
      <c r="C1924" s="16">
        <v>46244</v>
      </c>
      <c r="D1924">
        <v>1180491.7</v>
      </c>
    </row>
    <row r="1925" spans="1:4" x14ac:dyDescent="0.3">
      <c r="A1925" s="78" t="s">
        <v>21</v>
      </c>
      <c r="B1925" s="78"/>
      <c r="C1925" s="16">
        <v>46244</v>
      </c>
      <c r="D1925">
        <v>2113044.0199999996</v>
      </c>
    </row>
    <row r="1926" spans="1:4" x14ac:dyDescent="0.3">
      <c r="A1926" s="78" t="s">
        <v>22</v>
      </c>
      <c r="B1926" s="78"/>
      <c r="C1926" s="16">
        <v>46244</v>
      </c>
      <c r="D1926">
        <v>171496.38</v>
      </c>
    </row>
    <row r="1927" spans="1:4" x14ac:dyDescent="0.3">
      <c r="A1927" s="78" t="s">
        <v>23</v>
      </c>
      <c r="B1927" s="78"/>
      <c r="C1927" s="16">
        <v>46244</v>
      </c>
      <c r="D1927">
        <v>88067.39</v>
      </c>
    </row>
    <row r="1928" spans="1:4" x14ac:dyDescent="0.3">
      <c r="A1928" s="78" t="s">
        <v>24</v>
      </c>
      <c r="B1928" s="78"/>
      <c r="C1928" s="16">
        <v>46244</v>
      </c>
      <c r="D1928">
        <v>13270.02</v>
      </c>
    </row>
    <row r="1929" spans="1:4" x14ac:dyDescent="0.3">
      <c r="A1929" s="78" t="s">
        <v>25</v>
      </c>
      <c r="B1929" s="78"/>
      <c r="C1929" s="16">
        <v>46244</v>
      </c>
      <c r="D1929">
        <v>24.450000000000003</v>
      </c>
    </row>
    <row r="1930" spans="1:4" x14ac:dyDescent="0.3">
      <c r="A1930" s="78" t="s">
        <v>26</v>
      </c>
      <c r="B1930" s="78"/>
      <c r="C1930" s="16">
        <v>46244</v>
      </c>
      <c r="D1930">
        <v>2177.87</v>
      </c>
    </row>
    <row r="1931" spans="1:4" x14ac:dyDescent="0.3">
      <c r="A1931" s="78" t="s">
        <v>27</v>
      </c>
      <c r="B1931" s="78"/>
      <c r="C1931" s="16">
        <v>46244</v>
      </c>
      <c r="D1931">
        <v>1454589.72</v>
      </c>
    </row>
    <row r="1932" spans="1:4" x14ac:dyDescent="0.3">
      <c r="A1932" s="78" t="s">
        <v>28</v>
      </c>
      <c r="B1932" s="78"/>
      <c r="C1932" s="16">
        <v>46244</v>
      </c>
      <c r="D1932">
        <v>1968.99</v>
      </c>
    </row>
    <row r="1933" spans="1:4" x14ac:dyDescent="0.3">
      <c r="A1933" s="78" t="s">
        <v>29</v>
      </c>
      <c r="B1933" s="78"/>
      <c r="C1933" s="16">
        <v>46244</v>
      </c>
      <c r="D1933">
        <v>901.34</v>
      </c>
    </row>
    <row r="1934" spans="1:4" x14ac:dyDescent="0.3">
      <c r="A1934" s="78" t="s">
        <v>30</v>
      </c>
      <c r="B1934" s="78"/>
      <c r="C1934" s="16">
        <v>46244</v>
      </c>
      <c r="D1934">
        <v>1396.08</v>
      </c>
    </row>
    <row r="1935" spans="1:4" x14ac:dyDescent="0.3">
      <c r="A1935" s="78" t="s">
        <v>31</v>
      </c>
      <c r="B1935" s="78"/>
      <c r="C1935" s="16">
        <v>46244</v>
      </c>
      <c r="D1935">
        <v>3700.7099999999591</v>
      </c>
    </row>
    <row r="1936" spans="1:4" x14ac:dyDescent="0.3">
      <c r="A1936" s="78" t="s">
        <v>32</v>
      </c>
      <c r="B1936" s="78"/>
      <c r="C1936" s="16">
        <v>46244</v>
      </c>
      <c r="D1936">
        <v>8724.1700000000037</v>
      </c>
    </row>
    <row r="1937" spans="1:4" x14ac:dyDescent="0.3">
      <c r="A1937" s="78" t="s">
        <v>33</v>
      </c>
      <c r="B1937" s="78"/>
      <c r="C1937" s="16">
        <v>46244</v>
      </c>
      <c r="D1937">
        <v>20106.099999999999</v>
      </c>
    </row>
    <row r="1938" spans="1:4" x14ac:dyDescent="0.3">
      <c r="A1938" s="78" t="s">
        <v>34</v>
      </c>
      <c r="B1938" s="78"/>
      <c r="C1938" s="16">
        <v>46244</v>
      </c>
      <c r="D1938">
        <v>345</v>
      </c>
    </row>
    <row r="1939" spans="1:4" x14ac:dyDescent="0.3">
      <c r="A1939" s="78" t="s">
        <v>35</v>
      </c>
      <c r="B1939" s="78"/>
      <c r="C1939" s="16">
        <v>46244</v>
      </c>
      <c r="D1939">
        <v>12470.040000000003</v>
      </c>
    </row>
    <row r="1940" spans="1:4" x14ac:dyDescent="0.3">
      <c r="A1940" s="78" t="s">
        <v>17</v>
      </c>
      <c r="B1940" s="78"/>
      <c r="C1940" s="16">
        <v>46245</v>
      </c>
      <c r="D1940">
        <v>1341410.31</v>
      </c>
    </row>
    <row r="1941" spans="1:4" x14ac:dyDescent="0.3">
      <c r="A1941" s="78" t="s">
        <v>18</v>
      </c>
      <c r="B1941" s="78"/>
      <c r="C1941" s="16">
        <v>46245</v>
      </c>
      <c r="D1941">
        <v>83211.250000000175</v>
      </c>
    </row>
    <row r="1942" spans="1:4" x14ac:dyDescent="0.3">
      <c r="A1942" s="78" t="s">
        <v>19</v>
      </c>
      <c r="B1942" s="78"/>
      <c r="C1942" s="16">
        <v>46245</v>
      </c>
      <c r="D1942">
        <v>1669.89</v>
      </c>
    </row>
    <row r="1943" spans="1:4" x14ac:dyDescent="0.3">
      <c r="A1943" s="78" t="s">
        <v>20</v>
      </c>
      <c r="B1943" s="78"/>
      <c r="C1943" s="16">
        <v>46245</v>
      </c>
      <c r="D1943">
        <v>1180491.7</v>
      </c>
    </row>
    <row r="1944" spans="1:4" x14ac:dyDescent="0.3">
      <c r="A1944" s="78" t="s">
        <v>21</v>
      </c>
      <c r="B1944" s="78"/>
      <c r="C1944" s="16">
        <v>46245</v>
      </c>
      <c r="D1944">
        <v>1637162.9399999995</v>
      </c>
    </row>
    <row r="1945" spans="1:4" x14ac:dyDescent="0.3">
      <c r="A1945" s="78" t="s">
        <v>22</v>
      </c>
      <c r="B1945" s="78"/>
      <c r="C1945" s="16">
        <v>46245</v>
      </c>
      <c r="D1945">
        <v>171496.38</v>
      </c>
    </row>
    <row r="1946" spans="1:4" x14ac:dyDescent="0.3">
      <c r="A1946" s="78" t="s">
        <v>23</v>
      </c>
      <c r="B1946" s="78"/>
      <c r="C1946" s="16">
        <v>46245</v>
      </c>
      <c r="D1946">
        <v>88067.39</v>
      </c>
    </row>
    <row r="1947" spans="1:4" x14ac:dyDescent="0.3">
      <c r="A1947" s="78" t="s">
        <v>24</v>
      </c>
      <c r="B1947" s="78"/>
      <c r="C1947" s="16">
        <v>46245</v>
      </c>
      <c r="D1947">
        <v>13270.02</v>
      </c>
    </row>
    <row r="1948" spans="1:4" x14ac:dyDescent="0.3">
      <c r="A1948" s="78" t="s">
        <v>25</v>
      </c>
      <c r="B1948" s="78"/>
      <c r="C1948" s="16">
        <v>46245</v>
      </c>
      <c r="D1948">
        <v>24.450000000000003</v>
      </c>
    </row>
    <row r="1949" spans="1:4" x14ac:dyDescent="0.3">
      <c r="A1949" s="78" t="s">
        <v>26</v>
      </c>
      <c r="B1949" s="78"/>
      <c r="C1949" s="16">
        <v>46245</v>
      </c>
      <c r="D1949">
        <v>2177.87</v>
      </c>
    </row>
    <row r="1950" spans="1:4" x14ac:dyDescent="0.3">
      <c r="A1950" s="78" t="s">
        <v>27</v>
      </c>
      <c r="B1950" s="78"/>
      <c r="C1950" s="16">
        <v>46245</v>
      </c>
      <c r="D1950">
        <v>1454589.72</v>
      </c>
    </row>
    <row r="1951" spans="1:4" x14ac:dyDescent="0.3">
      <c r="A1951" s="78" t="s">
        <v>28</v>
      </c>
      <c r="B1951" s="78"/>
      <c r="C1951" s="16">
        <v>46245</v>
      </c>
      <c r="D1951">
        <v>1968.99</v>
      </c>
    </row>
    <row r="1952" spans="1:4" x14ac:dyDescent="0.3">
      <c r="A1952" s="78" t="s">
        <v>29</v>
      </c>
      <c r="B1952" s="78"/>
      <c r="C1952" s="16">
        <v>46245</v>
      </c>
      <c r="D1952">
        <v>901.34</v>
      </c>
    </row>
    <row r="1953" spans="1:4" x14ac:dyDescent="0.3">
      <c r="A1953" s="78" t="s">
        <v>30</v>
      </c>
      <c r="B1953" s="78"/>
      <c r="C1953" s="16">
        <v>46245</v>
      </c>
      <c r="D1953">
        <v>1396.08</v>
      </c>
    </row>
    <row r="1954" spans="1:4" x14ac:dyDescent="0.3">
      <c r="A1954" s="78" t="s">
        <v>31</v>
      </c>
      <c r="B1954" s="78"/>
      <c r="C1954" s="16">
        <v>46245</v>
      </c>
      <c r="D1954">
        <v>3700.7099999999591</v>
      </c>
    </row>
    <row r="1955" spans="1:4" x14ac:dyDescent="0.3">
      <c r="A1955" s="78" t="s">
        <v>32</v>
      </c>
      <c r="B1955" s="78"/>
      <c r="C1955" s="16">
        <v>46245</v>
      </c>
      <c r="D1955">
        <v>8724.1700000000037</v>
      </c>
    </row>
    <row r="1956" spans="1:4" x14ac:dyDescent="0.3">
      <c r="A1956" s="78" t="s">
        <v>33</v>
      </c>
      <c r="B1956" s="78"/>
      <c r="C1956" s="16">
        <v>46245</v>
      </c>
      <c r="D1956">
        <v>19442.439999999995</v>
      </c>
    </row>
    <row r="1957" spans="1:4" x14ac:dyDescent="0.3">
      <c r="A1957" s="78" t="s">
        <v>34</v>
      </c>
      <c r="B1957" s="78"/>
      <c r="C1957" s="16">
        <v>46245</v>
      </c>
      <c r="D1957">
        <v>345</v>
      </c>
    </row>
    <row r="1958" spans="1:4" x14ac:dyDescent="0.3">
      <c r="A1958" s="78" t="s">
        <v>35</v>
      </c>
      <c r="B1958" s="78"/>
      <c r="C1958" s="16">
        <v>46245</v>
      </c>
      <c r="D1958">
        <v>12470.040000000003</v>
      </c>
    </row>
    <row r="1959" spans="1:4" x14ac:dyDescent="0.3">
      <c r="A1959" s="78" t="s">
        <v>17</v>
      </c>
      <c r="B1959" s="78"/>
      <c r="C1959" s="16">
        <v>46246</v>
      </c>
      <c r="D1959">
        <v>1341410.31</v>
      </c>
    </row>
    <row r="1960" spans="1:4" x14ac:dyDescent="0.3">
      <c r="A1960" s="78" t="s">
        <v>18</v>
      </c>
      <c r="B1960" s="78"/>
      <c r="C1960" s="16">
        <v>46246</v>
      </c>
      <c r="D1960">
        <v>83211.250000000175</v>
      </c>
    </row>
    <row r="1961" spans="1:4" x14ac:dyDescent="0.3">
      <c r="A1961" s="78" t="s">
        <v>19</v>
      </c>
      <c r="B1961" s="78"/>
      <c r="C1961" s="16">
        <v>46246</v>
      </c>
      <c r="D1961">
        <v>1669.89</v>
      </c>
    </row>
    <row r="1962" spans="1:4" x14ac:dyDescent="0.3">
      <c r="A1962" s="78" t="s">
        <v>20</v>
      </c>
      <c r="B1962" s="78"/>
      <c r="C1962" s="16">
        <v>46246</v>
      </c>
      <c r="D1962">
        <v>1180491.7</v>
      </c>
    </row>
    <row r="1963" spans="1:4" x14ac:dyDescent="0.3">
      <c r="A1963" s="78" t="s">
        <v>21</v>
      </c>
      <c r="B1963" s="78"/>
      <c r="C1963" s="16">
        <v>46246</v>
      </c>
      <c r="D1963">
        <v>1637156.9399999995</v>
      </c>
    </row>
    <row r="1964" spans="1:4" x14ac:dyDescent="0.3">
      <c r="A1964" s="78" t="s">
        <v>22</v>
      </c>
      <c r="B1964" s="78"/>
      <c r="C1964" s="16">
        <v>46246</v>
      </c>
      <c r="D1964">
        <v>731496.38</v>
      </c>
    </row>
    <row r="1965" spans="1:4" x14ac:dyDescent="0.3">
      <c r="A1965" s="78" t="s">
        <v>23</v>
      </c>
      <c r="B1965" s="78"/>
      <c r="C1965" s="16">
        <v>46246</v>
      </c>
      <c r="D1965">
        <v>158067.38999999998</v>
      </c>
    </row>
    <row r="1966" spans="1:4" x14ac:dyDescent="0.3">
      <c r="A1966" s="78" t="s">
        <v>24</v>
      </c>
      <c r="B1966" s="78"/>
      <c r="C1966" s="16">
        <v>46246</v>
      </c>
      <c r="D1966">
        <v>13270.02</v>
      </c>
    </row>
    <row r="1967" spans="1:4" x14ac:dyDescent="0.3">
      <c r="A1967" s="78" t="s">
        <v>25</v>
      </c>
      <c r="B1967" s="78"/>
      <c r="C1967" s="16">
        <v>46246</v>
      </c>
      <c r="D1967">
        <v>24.450000000000003</v>
      </c>
    </row>
    <row r="1968" spans="1:4" x14ac:dyDescent="0.3">
      <c r="A1968" s="78" t="s">
        <v>26</v>
      </c>
      <c r="B1968" s="78"/>
      <c r="C1968" s="16">
        <v>46246</v>
      </c>
      <c r="D1968">
        <v>2177.87</v>
      </c>
    </row>
    <row r="1969" spans="1:4" x14ac:dyDescent="0.3">
      <c r="A1969" s="78" t="s">
        <v>27</v>
      </c>
      <c r="B1969" s="78"/>
      <c r="C1969" s="16">
        <v>46246</v>
      </c>
      <c r="D1969">
        <v>754424.72</v>
      </c>
    </row>
    <row r="1970" spans="1:4" x14ac:dyDescent="0.3">
      <c r="A1970" s="78" t="s">
        <v>28</v>
      </c>
      <c r="B1970" s="78"/>
      <c r="C1970" s="16">
        <v>46246</v>
      </c>
      <c r="D1970">
        <v>1968.99</v>
      </c>
    </row>
    <row r="1971" spans="1:4" x14ac:dyDescent="0.3">
      <c r="A1971" s="78" t="s">
        <v>29</v>
      </c>
      <c r="B1971" s="78"/>
      <c r="C1971" s="16">
        <v>46246</v>
      </c>
      <c r="D1971">
        <v>901.34</v>
      </c>
    </row>
    <row r="1972" spans="1:4" x14ac:dyDescent="0.3">
      <c r="A1972" s="78" t="s">
        <v>30</v>
      </c>
      <c r="B1972" s="78"/>
      <c r="C1972" s="16">
        <v>46246</v>
      </c>
      <c r="D1972">
        <v>1396.08</v>
      </c>
    </row>
    <row r="1973" spans="1:4" x14ac:dyDescent="0.3">
      <c r="A1973" s="78" t="s">
        <v>31</v>
      </c>
      <c r="B1973" s="78"/>
      <c r="C1973" s="16">
        <v>46246</v>
      </c>
      <c r="D1973">
        <v>3700.7099999999591</v>
      </c>
    </row>
    <row r="1974" spans="1:4" x14ac:dyDescent="0.3">
      <c r="A1974" s="78" t="s">
        <v>32</v>
      </c>
      <c r="B1974" s="78"/>
      <c r="C1974" s="16">
        <v>46246</v>
      </c>
      <c r="D1974">
        <v>8724.1700000000037</v>
      </c>
    </row>
    <row r="1975" spans="1:4" x14ac:dyDescent="0.3">
      <c r="A1975" s="78" t="s">
        <v>33</v>
      </c>
      <c r="B1975" s="78"/>
      <c r="C1975" s="16">
        <v>46246</v>
      </c>
      <c r="D1975">
        <v>19336.039999999997</v>
      </c>
    </row>
    <row r="1976" spans="1:4" x14ac:dyDescent="0.3">
      <c r="A1976" s="78" t="s">
        <v>34</v>
      </c>
      <c r="B1976" s="78"/>
      <c r="C1976" s="16">
        <v>46246</v>
      </c>
      <c r="D1976">
        <v>345</v>
      </c>
    </row>
    <row r="1977" spans="1:4" x14ac:dyDescent="0.3">
      <c r="A1977" s="78" t="s">
        <v>35</v>
      </c>
      <c r="B1977" s="78"/>
      <c r="C1977" s="16">
        <v>46246</v>
      </c>
      <c r="D1977">
        <v>12470.040000000003</v>
      </c>
    </row>
    <row r="1978" spans="1:4" x14ac:dyDescent="0.3">
      <c r="A1978" s="78" t="s">
        <v>17</v>
      </c>
      <c r="B1978" s="78"/>
      <c r="C1978" s="16">
        <v>46247</v>
      </c>
      <c r="D1978">
        <v>1122556.9100000004</v>
      </c>
    </row>
    <row r="1979" spans="1:4" x14ac:dyDescent="0.3">
      <c r="A1979" s="78" t="s">
        <v>18</v>
      </c>
      <c r="B1979" s="78"/>
      <c r="C1979" s="16">
        <v>46247</v>
      </c>
      <c r="D1979">
        <v>83211.250000000175</v>
      </c>
    </row>
    <row r="1980" spans="1:4" x14ac:dyDescent="0.3">
      <c r="A1980" s="78" t="s">
        <v>19</v>
      </c>
      <c r="B1980" s="78"/>
      <c r="C1980" s="16">
        <v>46247</v>
      </c>
      <c r="D1980">
        <v>1669.89</v>
      </c>
    </row>
    <row r="1981" spans="1:4" x14ac:dyDescent="0.3">
      <c r="A1981" s="78" t="s">
        <v>20</v>
      </c>
      <c r="B1981" s="78"/>
      <c r="C1981" s="16">
        <v>46247</v>
      </c>
      <c r="D1981">
        <v>1120491.7</v>
      </c>
    </row>
    <row r="1982" spans="1:4" x14ac:dyDescent="0.3">
      <c r="A1982" s="78" t="s">
        <v>21</v>
      </c>
      <c r="B1982" s="78"/>
      <c r="C1982" s="16">
        <v>46247</v>
      </c>
      <c r="D1982">
        <v>1433050.7599999995</v>
      </c>
    </row>
    <row r="1983" spans="1:4" x14ac:dyDescent="0.3">
      <c r="A1983" s="78" t="s">
        <v>22</v>
      </c>
      <c r="B1983" s="78"/>
      <c r="C1983" s="16">
        <v>46247</v>
      </c>
      <c r="D1983">
        <v>221496.38</v>
      </c>
    </row>
    <row r="1984" spans="1:4" x14ac:dyDescent="0.3">
      <c r="A1984" s="78" t="s">
        <v>23</v>
      </c>
      <c r="B1984" s="78"/>
      <c r="C1984" s="16">
        <v>46247</v>
      </c>
      <c r="D1984">
        <v>158067.38999999998</v>
      </c>
    </row>
    <row r="1985" spans="1:4" x14ac:dyDescent="0.3">
      <c r="A1985" s="78" t="s">
        <v>24</v>
      </c>
      <c r="B1985" s="78"/>
      <c r="C1985" s="16">
        <v>46247</v>
      </c>
      <c r="D1985">
        <v>13270.02</v>
      </c>
    </row>
    <row r="1986" spans="1:4" x14ac:dyDescent="0.3">
      <c r="A1986" s="78" t="s">
        <v>25</v>
      </c>
      <c r="B1986" s="78"/>
      <c r="C1986" s="16">
        <v>46247</v>
      </c>
      <c r="D1986">
        <v>24.450000000000003</v>
      </c>
    </row>
    <row r="1987" spans="1:4" x14ac:dyDescent="0.3">
      <c r="A1987" s="78" t="s">
        <v>26</v>
      </c>
      <c r="B1987" s="78"/>
      <c r="C1987" s="16">
        <v>46247</v>
      </c>
      <c r="D1987">
        <v>2177.87</v>
      </c>
    </row>
    <row r="1988" spans="1:4" x14ac:dyDescent="0.3">
      <c r="A1988" s="78" t="s">
        <v>27</v>
      </c>
      <c r="B1988" s="78"/>
      <c r="C1988" s="16">
        <v>46247</v>
      </c>
      <c r="D1988">
        <v>754424.72</v>
      </c>
    </row>
    <row r="1989" spans="1:4" x14ac:dyDescent="0.3">
      <c r="A1989" s="78" t="s">
        <v>28</v>
      </c>
      <c r="B1989" s="78"/>
      <c r="C1989" s="16">
        <v>46247</v>
      </c>
      <c r="D1989">
        <v>1968.99</v>
      </c>
    </row>
    <row r="1990" spans="1:4" x14ac:dyDescent="0.3">
      <c r="A1990" s="78" t="s">
        <v>29</v>
      </c>
      <c r="B1990" s="78"/>
      <c r="C1990" s="16">
        <v>46247</v>
      </c>
      <c r="D1990">
        <v>901.34</v>
      </c>
    </row>
    <row r="1991" spans="1:4" x14ac:dyDescent="0.3">
      <c r="A1991" s="78" t="s">
        <v>30</v>
      </c>
      <c r="B1991" s="78"/>
      <c r="C1991" s="16">
        <v>46247</v>
      </c>
      <c r="D1991">
        <v>1396.08</v>
      </c>
    </row>
    <row r="1992" spans="1:4" x14ac:dyDescent="0.3">
      <c r="A1992" s="78" t="s">
        <v>31</v>
      </c>
      <c r="B1992" s="78"/>
      <c r="C1992" s="16">
        <v>46247</v>
      </c>
      <c r="D1992">
        <v>13700.709999999959</v>
      </c>
    </row>
    <row r="1993" spans="1:4" x14ac:dyDescent="0.3">
      <c r="A1993" s="78" t="s">
        <v>32</v>
      </c>
      <c r="B1993" s="78"/>
      <c r="C1993" s="16">
        <v>46247</v>
      </c>
      <c r="D1993">
        <v>8724.1700000000037</v>
      </c>
    </row>
    <row r="1994" spans="1:4" x14ac:dyDescent="0.3">
      <c r="A1994" s="78" t="s">
        <v>33</v>
      </c>
      <c r="B1994" s="78"/>
      <c r="C1994" s="16">
        <v>46247</v>
      </c>
      <c r="D1994">
        <v>19336.039999999997</v>
      </c>
    </row>
    <row r="1995" spans="1:4" x14ac:dyDescent="0.3">
      <c r="A1995" s="78" t="s">
        <v>34</v>
      </c>
      <c r="B1995" s="78"/>
      <c r="C1995" s="16">
        <v>46247</v>
      </c>
      <c r="D1995">
        <v>345</v>
      </c>
    </row>
    <row r="1996" spans="1:4" x14ac:dyDescent="0.3">
      <c r="A1996" s="78" t="s">
        <v>35</v>
      </c>
      <c r="B1996" s="78"/>
      <c r="C1996" s="16">
        <v>46247</v>
      </c>
      <c r="D1996">
        <v>14740.900000000001</v>
      </c>
    </row>
    <row r="1997" spans="1:4" x14ac:dyDescent="0.3">
      <c r="A1997" s="78" t="s">
        <v>17</v>
      </c>
      <c r="B1997" s="78"/>
      <c r="C1997" s="16">
        <v>46248</v>
      </c>
      <c r="D1997">
        <v>1022556.9100000004</v>
      </c>
    </row>
    <row r="1998" spans="1:4" x14ac:dyDescent="0.3">
      <c r="A1998" s="78" t="s">
        <v>18</v>
      </c>
      <c r="B1998" s="78"/>
      <c r="C1998" s="16">
        <v>46248</v>
      </c>
      <c r="D1998">
        <v>83211.250000000175</v>
      </c>
    </row>
    <row r="1999" spans="1:4" x14ac:dyDescent="0.3">
      <c r="A1999" s="78" t="s">
        <v>19</v>
      </c>
      <c r="B1999" s="78"/>
      <c r="C1999" s="16">
        <v>46248</v>
      </c>
      <c r="D1999">
        <v>1669.89</v>
      </c>
    </row>
    <row r="2000" spans="1:4" x14ac:dyDescent="0.3">
      <c r="A2000" s="78" t="s">
        <v>20</v>
      </c>
      <c r="B2000" s="78"/>
      <c r="C2000" s="16">
        <v>46248</v>
      </c>
      <c r="D2000">
        <v>1120491.7</v>
      </c>
    </row>
    <row r="2001" spans="1:4" x14ac:dyDescent="0.3">
      <c r="A2001" s="78" t="s">
        <v>21</v>
      </c>
      <c r="B2001" s="78"/>
      <c r="C2001" s="16">
        <v>46248</v>
      </c>
      <c r="D2001">
        <v>1433050.7599999995</v>
      </c>
    </row>
    <row r="2002" spans="1:4" x14ac:dyDescent="0.3">
      <c r="A2002" s="78" t="s">
        <v>22</v>
      </c>
      <c r="B2002" s="78"/>
      <c r="C2002" s="16">
        <v>46248</v>
      </c>
      <c r="D2002">
        <v>221496.38</v>
      </c>
    </row>
    <row r="2003" spans="1:4" x14ac:dyDescent="0.3">
      <c r="A2003" s="78" t="s">
        <v>23</v>
      </c>
      <c r="B2003" s="78"/>
      <c r="C2003" s="16">
        <v>46248</v>
      </c>
      <c r="D2003">
        <v>158071.25999999998</v>
      </c>
    </row>
    <row r="2004" spans="1:4" x14ac:dyDescent="0.3">
      <c r="A2004" s="78" t="s">
        <v>24</v>
      </c>
      <c r="B2004" s="78"/>
      <c r="C2004" s="16">
        <v>46248</v>
      </c>
      <c r="D2004">
        <v>13270.02</v>
      </c>
    </row>
    <row r="2005" spans="1:4" x14ac:dyDescent="0.3">
      <c r="A2005" s="78" t="s">
        <v>25</v>
      </c>
      <c r="B2005" s="78"/>
      <c r="C2005" s="16">
        <v>46248</v>
      </c>
      <c r="D2005">
        <v>24.450000000000003</v>
      </c>
    </row>
    <row r="2006" spans="1:4" x14ac:dyDescent="0.3">
      <c r="A2006" s="78" t="s">
        <v>26</v>
      </c>
      <c r="B2006" s="78"/>
      <c r="C2006" s="16">
        <v>46248</v>
      </c>
      <c r="D2006">
        <v>2177.87</v>
      </c>
    </row>
    <row r="2007" spans="1:4" x14ac:dyDescent="0.3">
      <c r="A2007" s="78" t="s">
        <v>27</v>
      </c>
      <c r="B2007" s="78"/>
      <c r="C2007" s="16">
        <v>46248</v>
      </c>
      <c r="D2007">
        <v>754424.72</v>
      </c>
    </row>
    <row r="2008" spans="1:4" x14ac:dyDescent="0.3">
      <c r="A2008" s="78" t="s">
        <v>28</v>
      </c>
      <c r="B2008" s="78"/>
      <c r="C2008" s="16">
        <v>46248</v>
      </c>
      <c r="D2008">
        <v>1968.99</v>
      </c>
    </row>
    <row r="2009" spans="1:4" x14ac:dyDescent="0.3">
      <c r="A2009" s="78" t="s">
        <v>29</v>
      </c>
      <c r="B2009" s="78"/>
      <c r="C2009" s="16">
        <v>46248</v>
      </c>
      <c r="D2009">
        <v>901.34</v>
      </c>
    </row>
    <row r="2010" spans="1:4" x14ac:dyDescent="0.3">
      <c r="A2010" s="78" t="s">
        <v>30</v>
      </c>
      <c r="B2010" s="78"/>
      <c r="C2010" s="16">
        <v>46248</v>
      </c>
      <c r="D2010">
        <v>1396.08</v>
      </c>
    </row>
    <row r="2011" spans="1:4" x14ac:dyDescent="0.3">
      <c r="A2011" s="78" t="s">
        <v>31</v>
      </c>
      <c r="B2011" s="78"/>
      <c r="C2011" s="16">
        <v>46248</v>
      </c>
      <c r="D2011">
        <v>13685.709999999959</v>
      </c>
    </row>
    <row r="2012" spans="1:4" x14ac:dyDescent="0.3">
      <c r="A2012" s="78" t="s">
        <v>32</v>
      </c>
      <c r="B2012" s="78"/>
      <c r="C2012" s="16">
        <v>46248</v>
      </c>
      <c r="D2012">
        <v>8724.1700000000037</v>
      </c>
    </row>
    <row r="2013" spans="1:4" x14ac:dyDescent="0.3">
      <c r="A2013" s="78" t="s">
        <v>33</v>
      </c>
      <c r="B2013" s="78"/>
      <c r="C2013" s="16">
        <v>46248</v>
      </c>
      <c r="D2013">
        <v>19336.039999999997</v>
      </c>
    </row>
    <row r="2014" spans="1:4" x14ac:dyDescent="0.3">
      <c r="A2014" s="78" t="s">
        <v>34</v>
      </c>
      <c r="B2014" s="78"/>
      <c r="C2014" s="16">
        <v>46248</v>
      </c>
      <c r="D2014">
        <v>345</v>
      </c>
    </row>
    <row r="2015" spans="1:4" x14ac:dyDescent="0.3">
      <c r="A2015" s="78" t="s">
        <v>35</v>
      </c>
      <c r="B2015" s="78"/>
      <c r="C2015" s="16">
        <v>46248</v>
      </c>
      <c r="D2015">
        <v>14740.900000000001</v>
      </c>
    </row>
    <row r="2016" spans="1:4" x14ac:dyDescent="0.3">
      <c r="A2016" s="78" t="s">
        <v>17</v>
      </c>
      <c r="B2016" s="78"/>
      <c r="C2016" s="16">
        <v>46249</v>
      </c>
      <c r="D2016">
        <v>1022556.9100000004</v>
      </c>
    </row>
    <row r="2017" spans="1:4" x14ac:dyDescent="0.3">
      <c r="A2017" s="78" t="s">
        <v>18</v>
      </c>
      <c r="B2017" s="78"/>
      <c r="C2017" s="16">
        <v>46249</v>
      </c>
      <c r="D2017">
        <v>83211.250000000175</v>
      </c>
    </row>
    <row r="2018" spans="1:4" x14ac:dyDescent="0.3">
      <c r="A2018" s="78" t="s">
        <v>19</v>
      </c>
      <c r="B2018" s="78"/>
      <c r="C2018" s="16">
        <v>46249</v>
      </c>
      <c r="D2018">
        <v>1669.89</v>
      </c>
    </row>
    <row r="2019" spans="1:4" x14ac:dyDescent="0.3">
      <c r="A2019" s="78" t="s">
        <v>20</v>
      </c>
      <c r="B2019" s="78"/>
      <c r="C2019" s="16">
        <v>46249</v>
      </c>
      <c r="D2019">
        <v>1120491.7</v>
      </c>
    </row>
    <row r="2020" spans="1:4" x14ac:dyDescent="0.3">
      <c r="A2020" s="78" t="s">
        <v>21</v>
      </c>
      <c r="B2020" s="78"/>
      <c r="C2020" s="16">
        <v>46249</v>
      </c>
      <c r="D2020">
        <v>1433050.7599999995</v>
      </c>
    </row>
    <row r="2021" spans="1:4" x14ac:dyDescent="0.3">
      <c r="A2021" s="78" t="s">
        <v>22</v>
      </c>
      <c r="B2021" s="78"/>
      <c r="C2021" s="16">
        <v>46249</v>
      </c>
      <c r="D2021">
        <v>221496.38</v>
      </c>
    </row>
    <row r="2022" spans="1:4" x14ac:dyDescent="0.3">
      <c r="A2022" s="78" t="s">
        <v>23</v>
      </c>
      <c r="B2022" s="78"/>
      <c r="C2022" s="16">
        <v>46249</v>
      </c>
      <c r="D2022">
        <v>158071.25999999998</v>
      </c>
    </row>
    <row r="2023" spans="1:4" x14ac:dyDescent="0.3">
      <c r="A2023" s="78" t="s">
        <v>24</v>
      </c>
      <c r="B2023" s="78"/>
      <c r="C2023" s="16">
        <v>46249</v>
      </c>
      <c r="D2023">
        <v>13270.02</v>
      </c>
    </row>
    <row r="2024" spans="1:4" x14ac:dyDescent="0.3">
      <c r="A2024" s="78" t="s">
        <v>25</v>
      </c>
      <c r="B2024" s="78"/>
      <c r="C2024" s="16">
        <v>46249</v>
      </c>
      <c r="D2024">
        <v>24.450000000000003</v>
      </c>
    </row>
    <row r="2025" spans="1:4" x14ac:dyDescent="0.3">
      <c r="A2025" s="78" t="s">
        <v>26</v>
      </c>
      <c r="B2025" s="78"/>
      <c r="C2025" s="16">
        <v>46249</v>
      </c>
      <c r="D2025">
        <v>2177.87</v>
      </c>
    </row>
    <row r="2026" spans="1:4" x14ac:dyDescent="0.3">
      <c r="A2026" s="78" t="s">
        <v>27</v>
      </c>
      <c r="B2026" s="78"/>
      <c r="C2026" s="16">
        <v>46249</v>
      </c>
      <c r="D2026">
        <v>754424.72</v>
      </c>
    </row>
    <row r="2027" spans="1:4" x14ac:dyDescent="0.3">
      <c r="A2027" s="78" t="s">
        <v>28</v>
      </c>
      <c r="B2027" s="78"/>
      <c r="C2027" s="16">
        <v>46249</v>
      </c>
      <c r="D2027">
        <v>1968.99</v>
      </c>
    </row>
    <row r="2028" spans="1:4" x14ac:dyDescent="0.3">
      <c r="A2028" s="78" t="s">
        <v>29</v>
      </c>
      <c r="B2028" s="78"/>
      <c r="C2028" s="16">
        <v>46249</v>
      </c>
      <c r="D2028">
        <v>901.34</v>
      </c>
    </row>
    <row r="2029" spans="1:4" x14ac:dyDescent="0.3">
      <c r="A2029" s="78" t="s">
        <v>30</v>
      </c>
      <c r="B2029" s="78"/>
      <c r="C2029" s="16">
        <v>46249</v>
      </c>
      <c r="D2029">
        <v>1396.08</v>
      </c>
    </row>
    <row r="2030" spans="1:4" x14ac:dyDescent="0.3">
      <c r="A2030" s="78" t="s">
        <v>31</v>
      </c>
      <c r="B2030" s="78"/>
      <c r="C2030" s="16">
        <v>46249</v>
      </c>
      <c r="D2030">
        <v>13685.709999999959</v>
      </c>
    </row>
    <row r="2031" spans="1:4" x14ac:dyDescent="0.3">
      <c r="A2031" s="78" t="s">
        <v>32</v>
      </c>
      <c r="B2031" s="78"/>
      <c r="C2031" s="16">
        <v>46249</v>
      </c>
      <c r="D2031">
        <v>8724.1700000000037</v>
      </c>
    </row>
    <row r="2032" spans="1:4" x14ac:dyDescent="0.3">
      <c r="A2032" s="78" t="s">
        <v>33</v>
      </c>
      <c r="B2032" s="78"/>
      <c r="C2032" s="16">
        <v>46249</v>
      </c>
      <c r="D2032">
        <v>19336.039999999997</v>
      </c>
    </row>
    <row r="2033" spans="1:4" x14ac:dyDescent="0.3">
      <c r="A2033" s="78" t="s">
        <v>34</v>
      </c>
      <c r="B2033" s="78"/>
      <c r="C2033" s="16">
        <v>46249</v>
      </c>
      <c r="D2033">
        <v>345</v>
      </c>
    </row>
    <row r="2034" spans="1:4" x14ac:dyDescent="0.3">
      <c r="A2034" s="78" t="s">
        <v>35</v>
      </c>
      <c r="B2034" s="78"/>
      <c r="C2034" s="16">
        <v>46249</v>
      </c>
      <c r="D2034">
        <v>14740.900000000001</v>
      </c>
    </row>
    <row r="2035" spans="1:4" x14ac:dyDescent="0.3">
      <c r="A2035" s="78" t="s">
        <v>17</v>
      </c>
      <c r="B2035" s="78"/>
      <c r="C2035" s="16">
        <v>46250</v>
      </c>
      <c r="D2035">
        <v>1022556.9100000004</v>
      </c>
    </row>
    <row r="2036" spans="1:4" x14ac:dyDescent="0.3">
      <c r="A2036" s="78" t="s">
        <v>18</v>
      </c>
      <c r="B2036" s="78"/>
      <c r="C2036" s="16">
        <v>46250</v>
      </c>
      <c r="D2036">
        <v>83211.250000000175</v>
      </c>
    </row>
    <row r="2037" spans="1:4" x14ac:dyDescent="0.3">
      <c r="A2037" s="78" t="s">
        <v>19</v>
      </c>
      <c r="B2037" s="78"/>
      <c r="C2037" s="16">
        <v>46250</v>
      </c>
      <c r="D2037">
        <v>1669.89</v>
      </c>
    </row>
    <row r="2038" spans="1:4" x14ac:dyDescent="0.3">
      <c r="A2038" s="78" t="s">
        <v>20</v>
      </c>
      <c r="B2038" s="78"/>
      <c r="C2038" s="16">
        <v>46250</v>
      </c>
      <c r="D2038">
        <v>1120491.7</v>
      </c>
    </row>
    <row r="2039" spans="1:4" x14ac:dyDescent="0.3">
      <c r="A2039" s="78" t="s">
        <v>21</v>
      </c>
      <c r="B2039" s="78"/>
      <c r="C2039" s="16">
        <v>46250</v>
      </c>
      <c r="D2039">
        <v>1433050.7599999995</v>
      </c>
    </row>
    <row r="2040" spans="1:4" x14ac:dyDescent="0.3">
      <c r="A2040" s="78" t="s">
        <v>22</v>
      </c>
      <c r="B2040" s="78"/>
      <c r="C2040" s="16">
        <v>46250</v>
      </c>
      <c r="D2040">
        <v>221496.38</v>
      </c>
    </row>
    <row r="2041" spans="1:4" x14ac:dyDescent="0.3">
      <c r="A2041" s="78" t="s">
        <v>23</v>
      </c>
      <c r="B2041" s="78"/>
      <c r="C2041" s="16">
        <v>46250</v>
      </c>
      <c r="D2041">
        <v>158071.25999999998</v>
      </c>
    </row>
    <row r="2042" spans="1:4" x14ac:dyDescent="0.3">
      <c r="A2042" s="78" t="s">
        <v>24</v>
      </c>
      <c r="B2042" s="78"/>
      <c r="C2042" s="16">
        <v>46250</v>
      </c>
      <c r="D2042">
        <v>13270.02</v>
      </c>
    </row>
    <row r="2043" spans="1:4" x14ac:dyDescent="0.3">
      <c r="A2043" s="78" t="s">
        <v>25</v>
      </c>
      <c r="B2043" s="78"/>
      <c r="C2043" s="16">
        <v>46250</v>
      </c>
      <c r="D2043">
        <v>24.450000000000003</v>
      </c>
    </row>
    <row r="2044" spans="1:4" x14ac:dyDescent="0.3">
      <c r="A2044" s="78" t="s">
        <v>26</v>
      </c>
      <c r="B2044" s="78"/>
      <c r="C2044" s="16">
        <v>46250</v>
      </c>
      <c r="D2044">
        <v>2177.87</v>
      </c>
    </row>
    <row r="2045" spans="1:4" x14ac:dyDescent="0.3">
      <c r="A2045" s="78" t="s">
        <v>27</v>
      </c>
      <c r="B2045" s="78"/>
      <c r="C2045" s="16">
        <v>46250</v>
      </c>
      <c r="D2045">
        <v>754424.72</v>
      </c>
    </row>
    <row r="2046" spans="1:4" x14ac:dyDescent="0.3">
      <c r="A2046" s="78" t="s">
        <v>28</v>
      </c>
      <c r="B2046" s="78"/>
      <c r="C2046" s="16">
        <v>46250</v>
      </c>
      <c r="D2046">
        <v>1968.99</v>
      </c>
    </row>
    <row r="2047" spans="1:4" x14ac:dyDescent="0.3">
      <c r="A2047" s="78" t="s">
        <v>29</v>
      </c>
      <c r="B2047" s="78"/>
      <c r="C2047" s="16">
        <v>46250</v>
      </c>
      <c r="D2047">
        <v>901.34</v>
      </c>
    </row>
    <row r="2048" spans="1:4" x14ac:dyDescent="0.3">
      <c r="A2048" s="78" t="s">
        <v>30</v>
      </c>
      <c r="B2048" s="78"/>
      <c r="C2048" s="16">
        <v>46250</v>
      </c>
      <c r="D2048">
        <v>1396.08</v>
      </c>
    </row>
    <row r="2049" spans="1:4" x14ac:dyDescent="0.3">
      <c r="A2049" s="78" t="s">
        <v>31</v>
      </c>
      <c r="B2049" s="78"/>
      <c r="C2049" s="16">
        <v>46250</v>
      </c>
      <c r="D2049">
        <v>13685.709999999959</v>
      </c>
    </row>
    <row r="2050" spans="1:4" x14ac:dyDescent="0.3">
      <c r="A2050" s="78" t="s">
        <v>32</v>
      </c>
      <c r="B2050" s="78"/>
      <c r="C2050" s="16">
        <v>46250</v>
      </c>
      <c r="D2050">
        <v>8724.1700000000037</v>
      </c>
    </row>
    <row r="2051" spans="1:4" x14ac:dyDescent="0.3">
      <c r="A2051" s="78" t="s">
        <v>33</v>
      </c>
      <c r="B2051" s="78"/>
      <c r="C2051" s="16">
        <v>46250</v>
      </c>
      <c r="D2051">
        <v>19336.039999999997</v>
      </c>
    </row>
    <row r="2052" spans="1:4" x14ac:dyDescent="0.3">
      <c r="A2052" s="78" t="s">
        <v>34</v>
      </c>
      <c r="B2052" s="78"/>
      <c r="C2052" s="16">
        <v>46250</v>
      </c>
      <c r="D2052">
        <v>345</v>
      </c>
    </row>
    <row r="2053" spans="1:4" x14ac:dyDescent="0.3">
      <c r="A2053" s="78" t="s">
        <v>35</v>
      </c>
      <c r="B2053" s="78"/>
      <c r="C2053" s="16">
        <v>46250</v>
      </c>
      <c r="D2053">
        <v>14740.900000000001</v>
      </c>
    </row>
    <row r="2054" spans="1:4" x14ac:dyDescent="0.3">
      <c r="A2054" s="78" t="s">
        <v>17</v>
      </c>
      <c r="B2054" s="78"/>
      <c r="C2054" s="16">
        <v>46251</v>
      </c>
      <c r="D2054">
        <v>1022556.9100000004</v>
      </c>
    </row>
    <row r="2055" spans="1:4" x14ac:dyDescent="0.3">
      <c r="A2055" s="78" t="s">
        <v>18</v>
      </c>
      <c r="B2055" s="78"/>
      <c r="C2055" s="16">
        <v>46251</v>
      </c>
      <c r="D2055">
        <v>83211.250000000175</v>
      </c>
    </row>
    <row r="2056" spans="1:4" x14ac:dyDescent="0.3">
      <c r="A2056" s="78" t="s">
        <v>19</v>
      </c>
      <c r="B2056" s="78"/>
      <c r="C2056" s="16">
        <v>46251</v>
      </c>
      <c r="D2056">
        <v>1669.89</v>
      </c>
    </row>
    <row r="2057" spans="1:4" x14ac:dyDescent="0.3">
      <c r="A2057" s="78" t="s">
        <v>20</v>
      </c>
      <c r="B2057" s="78"/>
      <c r="C2057" s="16">
        <v>46251</v>
      </c>
      <c r="D2057">
        <v>1120071.0999999999</v>
      </c>
    </row>
    <row r="2058" spans="1:4" x14ac:dyDescent="0.3">
      <c r="A2058" s="78" t="s">
        <v>21</v>
      </c>
      <c r="B2058" s="78"/>
      <c r="C2058" s="16">
        <v>46251</v>
      </c>
      <c r="D2058">
        <v>1398219.6699999995</v>
      </c>
    </row>
    <row r="2059" spans="1:4" x14ac:dyDescent="0.3">
      <c r="A2059" s="78" t="s">
        <v>22</v>
      </c>
      <c r="B2059" s="78"/>
      <c r="C2059" s="16">
        <v>46251</v>
      </c>
      <c r="D2059">
        <v>221496.38</v>
      </c>
    </row>
    <row r="2060" spans="1:4" x14ac:dyDescent="0.3">
      <c r="A2060" s="78" t="s">
        <v>23</v>
      </c>
      <c r="B2060" s="78"/>
      <c r="C2060" s="16">
        <v>46251</v>
      </c>
      <c r="D2060">
        <v>158071.25999999998</v>
      </c>
    </row>
    <row r="2061" spans="1:4" x14ac:dyDescent="0.3">
      <c r="A2061" s="78" t="s">
        <v>24</v>
      </c>
      <c r="B2061" s="78"/>
      <c r="C2061" s="16">
        <v>46251</v>
      </c>
      <c r="D2061">
        <v>13270.02</v>
      </c>
    </row>
    <row r="2062" spans="1:4" x14ac:dyDescent="0.3">
      <c r="A2062" s="78" t="s">
        <v>25</v>
      </c>
      <c r="B2062" s="78"/>
      <c r="C2062" s="16">
        <v>46251</v>
      </c>
      <c r="D2062">
        <v>24.450000000000003</v>
      </c>
    </row>
    <row r="2063" spans="1:4" x14ac:dyDescent="0.3">
      <c r="A2063" s="78" t="s">
        <v>26</v>
      </c>
      <c r="B2063" s="78"/>
      <c r="C2063" s="16">
        <v>46251</v>
      </c>
      <c r="D2063">
        <v>2177.87</v>
      </c>
    </row>
    <row r="2064" spans="1:4" x14ac:dyDescent="0.3">
      <c r="A2064" s="78" t="s">
        <v>27</v>
      </c>
      <c r="B2064" s="78"/>
      <c r="C2064" s="16">
        <v>46251</v>
      </c>
      <c r="D2064">
        <v>754424.72</v>
      </c>
    </row>
    <row r="2065" spans="1:4" x14ac:dyDescent="0.3">
      <c r="A2065" s="78" t="s">
        <v>28</v>
      </c>
      <c r="B2065" s="78"/>
      <c r="C2065" s="16">
        <v>46251</v>
      </c>
      <c r="D2065">
        <v>1968.99</v>
      </c>
    </row>
    <row r="2066" spans="1:4" x14ac:dyDescent="0.3">
      <c r="A2066" s="78" t="s">
        <v>29</v>
      </c>
      <c r="B2066" s="78"/>
      <c r="C2066" s="16">
        <v>46251</v>
      </c>
      <c r="D2066">
        <v>901.34</v>
      </c>
    </row>
    <row r="2067" spans="1:4" x14ac:dyDescent="0.3">
      <c r="A2067" s="78" t="s">
        <v>30</v>
      </c>
      <c r="B2067" s="78"/>
      <c r="C2067" s="16">
        <v>46251</v>
      </c>
      <c r="D2067">
        <v>1396.08</v>
      </c>
    </row>
    <row r="2068" spans="1:4" x14ac:dyDescent="0.3">
      <c r="A2068" s="78" t="s">
        <v>31</v>
      </c>
      <c r="B2068" s="78"/>
      <c r="C2068" s="16">
        <v>46251</v>
      </c>
      <c r="D2068">
        <v>13685.709999999959</v>
      </c>
    </row>
    <row r="2069" spans="1:4" x14ac:dyDescent="0.3">
      <c r="A2069" s="78" t="s">
        <v>32</v>
      </c>
      <c r="B2069" s="78"/>
      <c r="C2069" s="16">
        <v>46251</v>
      </c>
      <c r="D2069">
        <v>8724.1700000000037</v>
      </c>
    </row>
    <row r="2070" spans="1:4" x14ac:dyDescent="0.3">
      <c r="A2070" s="78" t="s">
        <v>33</v>
      </c>
      <c r="B2070" s="78"/>
      <c r="C2070" s="16">
        <v>46251</v>
      </c>
      <c r="D2070">
        <v>19336.039999999997</v>
      </c>
    </row>
    <row r="2071" spans="1:4" x14ac:dyDescent="0.3">
      <c r="A2071" s="78" t="s">
        <v>34</v>
      </c>
      <c r="B2071" s="78"/>
      <c r="C2071" s="16">
        <v>46251</v>
      </c>
      <c r="D2071">
        <v>345</v>
      </c>
    </row>
    <row r="2072" spans="1:4" x14ac:dyDescent="0.3">
      <c r="A2072" s="78" t="s">
        <v>35</v>
      </c>
      <c r="B2072" s="78"/>
      <c r="C2072" s="16">
        <v>46251</v>
      </c>
      <c r="D2072">
        <v>14565.900000000001</v>
      </c>
    </row>
    <row r="2073" spans="1:4" x14ac:dyDescent="0.3">
      <c r="A2073" s="78" t="s">
        <v>17</v>
      </c>
      <c r="B2073" s="78"/>
      <c r="C2073" s="16">
        <v>46252</v>
      </c>
      <c r="D2073">
        <v>1128418.6900000004</v>
      </c>
    </row>
    <row r="2074" spans="1:4" x14ac:dyDescent="0.3">
      <c r="A2074" s="78" t="s">
        <v>18</v>
      </c>
      <c r="B2074" s="78"/>
      <c r="C2074" s="16">
        <v>46252</v>
      </c>
      <c r="D2074">
        <v>83211.250000000175</v>
      </c>
    </row>
    <row r="2075" spans="1:4" x14ac:dyDescent="0.3">
      <c r="A2075" s="78" t="s">
        <v>19</v>
      </c>
      <c r="B2075" s="78"/>
      <c r="C2075" s="16">
        <v>46252</v>
      </c>
      <c r="D2075">
        <v>1669.89</v>
      </c>
    </row>
    <row r="2076" spans="1:4" x14ac:dyDescent="0.3">
      <c r="A2076" s="78" t="s">
        <v>20</v>
      </c>
      <c r="B2076" s="78"/>
      <c r="C2076" s="16">
        <v>46252</v>
      </c>
      <c r="D2076">
        <v>1120071.0999999999</v>
      </c>
    </row>
    <row r="2077" spans="1:4" x14ac:dyDescent="0.3">
      <c r="A2077" s="78" t="s">
        <v>21</v>
      </c>
      <c r="B2077" s="78"/>
      <c r="C2077" s="16">
        <v>46252</v>
      </c>
      <c r="D2077">
        <v>1395729.3099999996</v>
      </c>
    </row>
    <row r="2078" spans="1:4" x14ac:dyDescent="0.3">
      <c r="A2078" s="78" t="s">
        <v>22</v>
      </c>
      <c r="B2078" s="78"/>
      <c r="C2078" s="16">
        <v>46252</v>
      </c>
      <c r="D2078">
        <v>221496.38</v>
      </c>
    </row>
    <row r="2079" spans="1:4" x14ac:dyDescent="0.3">
      <c r="A2079" s="78" t="s">
        <v>23</v>
      </c>
      <c r="B2079" s="78"/>
      <c r="C2079" s="16">
        <v>46252</v>
      </c>
      <c r="D2079">
        <v>158071.25999999998</v>
      </c>
    </row>
    <row r="2080" spans="1:4" x14ac:dyDescent="0.3">
      <c r="A2080" s="78" t="s">
        <v>24</v>
      </c>
      <c r="B2080" s="78"/>
      <c r="C2080" s="16">
        <v>46252</v>
      </c>
      <c r="D2080">
        <v>13270.02</v>
      </c>
    </row>
    <row r="2081" spans="1:4" x14ac:dyDescent="0.3">
      <c r="A2081" s="78" t="s">
        <v>25</v>
      </c>
      <c r="B2081" s="78"/>
      <c r="C2081" s="16">
        <v>46252</v>
      </c>
      <c r="D2081">
        <v>24.450000000000003</v>
      </c>
    </row>
    <row r="2082" spans="1:4" x14ac:dyDescent="0.3">
      <c r="A2082" s="78" t="s">
        <v>26</v>
      </c>
      <c r="B2082" s="78"/>
      <c r="C2082" s="16">
        <v>46252</v>
      </c>
      <c r="D2082">
        <v>2177.87</v>
      </c>
    </row>
    <row r="2083" spans="1:4" x14ac:dyDescent="0.3">
      <c r="A2083" s="78" t="s">
        <v>27</v>
      </c>
      <c r="B2083" s="78"/>
      <c r="C2083" s="16">
        <v>46252</v>
      </c>
      <c r="D2083">
        <v>754424.72</v>
      </c>
    </row>
    <row r="2084" spans="1:4" x14ac:dyDescent="0.3">
      <c r="A2084" s="78" t="s">
        <v>28</v>
      </c>
      <c r="B2084" s="78"/>
      <c r="C2084" s="16">
        <v>46252</v>
      </c>
      <c r="D2084">
        <v>1968.99</v>
      </c>
    </row>
    <row r="2085" spans="1:4" x14ac:dyDescent="0.3">
      <c r="A2085" s="78" t="s">
        <v>29</v>
      </c>
      <c r="B2085" s="78"/>
      <c r="C2085" s="16">
        <v>46252</v>
      </c>
      <c r="D2085">
        <v>901.34</v>
      </c>
    </row>
    <row r="2086" spans="1:4" x14ac:dyDescent="0.3">
      <c r="A2086" s="78" t="s">
        <v>30</v>
      </c>
      <c r="B2086" s="78"/>
      <c r="C2086" s="16">
        <v>46252</v>
      </c>
      <c r="D2086">
        <v>1396.08</v>
      </c>
    </row>
    <row r="2087" spans="1:4" x14ac:dyDescent="0.3">
      <c r="A2087" s="78" t="s">
        <v>31</v>
      </c>
      <c r="B2087" s="78"/>
      <c r="C2087" s="16">
        <v>46252</v>
      </c>
      <c r="D2087">
        <v>13685.709999999959</v>
      </c>
    </row>
    <row r="2088" spans="1:4" x14ac:dyDescent="0.3">
      <c r="A2088" s="78" t="s">
        <v>32</v>
      </c>
      <c r="B2088" s="78"/>
      <c r="C2088" s="16">
        <v>46252</v>
      </c>
      <c r="D2088">
        <v>8724.1700000000037</v>
      </c>
    </row>
    <row r="2089" spans="1:4" x14ac:dyDescent="0.3">
      <c r="A2089" s="78" t="s">
        <v>33</v>
      </c>
      <c r="B2089" s="78"/>
      <c r="C2089" s="16">
        <v>46252</v>
      </c>
      <c r="D2089">
        <v>19336.039999999997</v>
      </c>
    </row>
    <row r="2090" spans="1:4" x14ac:dyDescent="0.3">
      <c r="A2090" s="78" t="s">
        <v>34</v>
      </c>
      <c r="B2090" s="78"/>
      <c r="C2090" s="16">
        <v>46252</v>
      </c>
      <c r="D2090">
        <v>345</v>
      </c>
    </row>
    <row r="2091" spans="1:4" x14ac:dyDescent="0.3">
      <c r="A2091" s="78" t="s">
        <v>35</v>
      </c>
      <c r="B2091" s="78"/>
      <c r="C2091" s="16">
        <v>46252</v>
      </c>
      <c r="D2091">
        <v>14565.900000000001</v>
      </c>
    </row>
    <row r="2092" spans="1:4" x14ac:dyDescent="0.3">
      <c r="A2092" s="78" t="s">
        <v>17</v>
      </c>
      <c r="B2092" s="78"/>
      <c r="C2092" s="16">
        <v>46253</v>
      </c>
      <c r="D2092">
        <v>1128418.6900000004</v>
      </c>
    </row>
    <row r="2093" spans="1:4" x14ac:dyDescent="0.3">
      <c r="A2093" s="78" t="s">
        <v>18</v>
      </c>
      <c r="B2093" s="78"/>
      <c r="C2093" s="16">
        <v>46253</v>
      </c>
      <c r="D2093">
        <v>83211.250000000175</v>
      </c>
    </row>
    <row r="2094" spans="1:4" x14ac:dyDescent="0.3">
      <c r="A2094" s="78" t="s">
        <v>19</v>
      </c>
      <c r="B2094" s="78"/>
      <c r="C2094" s="16">
        <v>46253</v>
      </c>
      <c r="D2094">
        <v>1669.89</v>
      </c>
    </row>
    <row r="2095" spans="1:4" x14ac:dyDescent="0.3">
      <c r="A2095" s="78" t="s">
        <v>20</v>
      </c>
      <c r="B2095" s="78"/>
      <c r="C2095" s="16">
        <v>46253</v>
      </c>
      <c r="D2095">
        <v>1120071.0999999999</v>
      </c>
    </row>
    <row r="2096" spans="1:4" x14ac:dyDescent="0.3">
      <c r="A2096" s="78" t="s">
        <v>21</v>
      </c>
      <c r="B2096" s="78"/>
      <c r="C2096" s="16">
        <v>46253</v>
      </c>
      <c r="D2096">
        <v>1894825.6099999996</v>
      </c>
    </row>
    <row r="2097" spans="1:4" x14ac:dyDescent="0.3">
      <c r="A2097" s="78" t="s">
        <v>22</v>
      </c>
      <c r="B2097" s="78"/>
      <c r="C2097" s="16">
        <v>46253</v>
      </c>
      <c r="D2097">
        <v>221496.38</v>
      </c>
    </row>
    <row r="2098" spans="1:4" x14ac:dyDescent="0.3">
      <c r="A2098" s="78" t="s">
        <v>23</v>
      </c>
      <c r="B2098" s="78"/>
      <c r="C2098" s="16">
        <v>46253</v>
      </c>
      <c r="D2098">
        <v>158071.25999999998</v>
      </c>
    </row>
    <row r="2099" spans="1:4" x14ac:dyDescent="0.3">
      <c r="A2099" s="78" t="s">
        <v>24</v>
      </c>
      <c r="B2099" s="78"/>
      <c r="C2099" s="16">
        <v>46253</v>
      </c>
      <c r="D2099">
        <v>13270.02</v>
      </c>
    </row>
    <row r="2100" spans="1:4" x14ac:dyDescent="0.3">
      <c r="A2100" s="78" t="s">
        <v>25</v>
      </c>
      <c r="B2100" s="78"/>
      <c r="C2100" s="16">
        <v>46253</v>
      </c>
      <c r="D2100">
        <v>24.450000000000003</v>
      </c>
    </row>
    <row r="2101" spans="1:4" x14ac:dyDescent="0.3">
      <c r="A2101" s="78" t="s">
        <v>26</v>
      </c>
      <c r="B2101" s="78"/>
      <c r="C2101" s="16">
        <v>46253</v>
      </c>
      <c r="D2101">
        <v>2177.87</v>
      </c>
    </row>
    <row r="2102" spans="1:4" x14ac:dyDescent="0.3">
      <c r="A2102" s="78" t="s">
        <v>27</v>
      </c>
      <c r="B2102" s="78"/>
      <c r="C2102" s="16">
        <v>46253</v>
      </c>
      <c r="D2102">
        <v>754424.72</v>
      </c>
    </row>
    <row r="2103" spans="1:4" x14ac:dyDescent="0.3">
      <c r="A2103" s="78" t="s">
        <v>28</v>
      </c>
      <c r="B2103" s="78"/>
      <c r="C2103" s="16">
        <v>46253</v>
      </c>
      <c r="D2103">
        <v>1968.99</v>
      </c>
    </row>
    <row r="2104" spans="1:4" x14ac:dyDescent="0.3">
      <c r="A2104" s="78" t="s">
        <v>29</v>
      </c>
      <c r="B2104" s="78"/>
      <c r="C2104" s="16">
        <v>46253</v>
      </c>
      <c r="D2104">
        <v>901.34</v>
      </c>
    </row>
    <row r="2105" spans="1:4" x14ac:dyDescent="0.3">
      <c r="A2105" s="78" t="s">
        <v>30</v>
      </c>
      <c r="B2105" s="78"/>
      <c r="C2105" s="16">
        <v>46253</v>
      </c>
      <c r="D2105">
        <v>1396.08</v>
      </c>
    </row>
    <row r="2106" spans="1:4" x14ac:dyDescent="0.3">
      <c r="A2106" s="78" t="s">
        <v>31</v>
      </c>
      <c r="B2106" s="78"/>
      <c r="C2106" s="16">
        <v>46253</v>
      </c>
      <c r="D2106">
        <v>13685.709999999959</v>
      </c>
    </row>
    <row r="2107" spans="1:4" x14ac:dyDescent="0.3">
      <c r="A2107" s="78" t="s">
        <v>32</v>
      </c>
      <c r="B2107" s="78"/>
      <c r="C2107" s="16">
        <v>46253</v>
      </c>
      <c r="D2107">
        <v>8724.1700000000037</v>
      </c>
    </row>
    <row r="2108" spans="1:4" x14ac:dyDescent="0.3">
      <c r="A2108" s="78" t="s">
        <v>33</v>
      </c>
      <c r="B2108" s="78"/>
      <c r="C2108" s="16">
        <v>46253</v>
      </c>
      <c r="D2108">
        <v>19336.039999999997</v>
      </c>
    </row>
    <row r="2109" spans="1:4" x14ac:dyDescent="0.3">
      <c r="A2109" s="78" t="s">
        <v>34</v>
      </c>
      <c r="B2109" s="78"/>
      <c r="C2109" s="16">
        <v>46253</v>
      </c>
      <c r="D2109">
        <v>345</v>
      </c>
    </row>
    <row r="2110" spans="1:4" x14ac:dyDescent="0.3">
      <c r="A2110" s="78" t="s">
        <v>35</v>
      </c>
      <c r="B2110" s="78"/>
      <c r="C2110" s="16">
        <v>46253</v>
      </c>
      <c r="D2110">
        <v>14565.900000000001</v>
      </c>
    </row>
    <row r="2111" spans="1:4" x14ac:dyDescent="0.3">
      <c r="A2111" s="78" t="s">
        <v>17</v>
      </c>
      <c r="B2111" s="78"/>
      <c r="C2111" s="16">
        <v>46254</v>
      </c>
      <c r="D2111">
        <v>783543.69000000053</v>
      </c>
    </row>
    <row r="2112" spans="1:4" x14ac:dyDescent="0.3">
      <c r="A2112" s="78" t="s">
        <v>18</v>
      </c>
      <c r="B2112" s="78"/>
      <c r="C2112" s="16">
        <v>46254</v>
      </c>
      <c r="D2112">
        <v>83211.250000000175</v>
      </c>
    </row>
    <row r="2113" spans="1:4" x14ac:dyDescent="0.3">
      <c r="A2113" s="78" t="s">
        <v>19</v>
      </c>
      <c r="B2113" s="78"/>
      <c r="C2113" s="16">
        <v>46254</v>
      </c>
      <c r="D2113">
        <v>1669.89</v>
      </c>
    </row>
    <row r="2114" spans="1:4" x14ac:dyDescent="0.3">
      <c r="A2114" s="78" t="s">
        <v>20</v>
      </c>
      <c r="B2114" s="78"/>
      <c r="C2114" s="16">
        <v>46254</v>
      </c>
      <c r="D2114">
        <v>1060071.0999999999</v>
      </c>
    </row>
    <row r="2115" spans="1:4" x14ac:dyDescent="0.3">
      <c r="A2115" s="78" t="s">
        <v>21</v>
      </c>
      <c r="B2115" s="78"/>
      <c r="C2115" s="16">
        <v>46254</v>
      </c>
      <c r="D2115">
        <v>1758294.6999999997</v>
      </c>
    </row>
    <row r="2116" spans="1:4" x14ac:dyDescent="0.3">
      <c r="A2116" s="78" t="s">
        <v>22</v>
      </c>
      <c r="B2116" s="78"/>
      <c r="C2116" s="16">
        <v>46254</v>
      </c>
      <c r="D2116">
        <v>221496.38</v>
      </c>
    </row>
    <row r="2117" spans="1:4" x14ac:dyDescent="0.3">
      <c r="A2117" s="78" t="s">
        <v>23</v>
      </c>
      <c r="B2117" s="78"/>
      <c r="C2117" s="16">
        <v>46254</v>
      </c>
      <c r="D2117">
        <v>158071.25999999998</v>
      </c>
    </row>
    <row r="2118" spans="1:4" x14ac:dyDescent="0.3">
      <c r="A2118" s="78" t="s">
        <v>24</v>
      </c>
      <c r="B2118" s="78"/>
      <c r="C2118" s="16">
        <v>46254</v>
      </c>
      <c r="D2118">
        <v>13270.02</v>
      </c>
    </row>
    <row r="2119" spans="1:4" x14ac:dyDescent="0.3">
      <c r="A2119" s="78" t="s">
        <v>25</v>
      </c>
      <c r="B2119" s="78"/>
      <c r="C2119" s="16">
        <v>46254</v>
      </c>
      <c r="D2119">
        <v>24.450000000000003</v>
      </c>
    </row>
    <row r="2120" spans="1:4" x14ac:dyDescent="0.3">
      <c r="A2120" s="78" t="s">
        <v>26</v>
      </c>
      <c r="B2120" s="78"/>
      <c r="C2120" s="16">
        <v>46254</v>
      </c>
      <c r="D2120">
        <v>2177.87</v>
      </c>
    </row>
    <row r="2121" spans="1:4" x14ac:dyDescent="0.3">
      <c r="A2121" s="78" t="s">
        <v>27</v>
      </c>
      <c r="B2121" s="78"/>
      <c r="C2121" s="16">
        <v>46254</v>
      </c>
      <c r="D2121">
        <v>754424.72</v>
      </c>
    </row>
    <row r="2122" spans="1:4" x14ac:dyDescent="0.3">
      <c r="A2122" s="78" t="s">
        <v>28</v>
      </c>
      <c r="B2122" s="78"/>
      <c r="C2122" s="16">
        <v>46254</v>
      </c>
      <c r="D2122">
        <v>1968.99</v>
      </c>
    </row>
    <row r="2123" spans="1:4" x14ac:dyDescent="0.3">
      <c r="A2123" s="78" t="s">
        <v>29</v>
      </c>
      <c r="B2123" s="78"/>
      <c r="C2123" s="16">
        <v>46254</v>
      </c>
      <c r="D2123">
        <v>901.34</v>
      </c>
    </row>
    <row r="2124" spans="1:4" x14ac:dyDescent="0.3">
      <c r="A2124" s="78" t="s">
        <v>30</v>
      </c>
      <c r="B2124" s="78"/>
      <c r="C2124" s="16">
        <v>46254</v>
      </c>
      <c r="D2124">
        <v>1396.08</v>
      </c>
    </row>
    <row r="2125" spans="1:4" x14ac:dyDescent="0.3">
      <c r="A2125" s="78" t="s">
        <v>31</v>
      </c>
      <c r="B2125" s="78"/>
      <c r="C2125" s="16">
        <v>46254</v>
      </c>
      <c r="D2125">
        <v>13685.709999999959</v>
      </c>
    </row>
    <row r="2126" spans="1:4" x14ac:dyDescent="0.3">
      <c r="A2126" s="78" t="s">
        <v>32</v>
      </c>
      <c r="B2126" s="78"/>
      <c r="C2126" s="16">
        <v>46254</v>
      </c>
      <c r="D2126">
        <v>8724.1700000000037</v>
      </c>
    </row>
    <row r="2127" spans="1:4" x14ac:dyDescent="0.3">
      <c r="A2127" s="78" t="s">
        <v>33</v>
      </c>
      <c r="B2127" s="78"/>
      <c r="C2127" s="16">
        <v>46254</v>
      </c>
      <c r="D2127">
        <v>19336.039999999997</v>
      </c>
    </row>
    <row r="2128" spans="1:4" x14ac:dyDescent="0.3">
      <c r="A2128" s="78" t="s">
        <v>34</v>
      </c>
      <c r="B2128" s="78"/>
      <c r="C2128" s="16">
        <v>46254</v>
      </c>
      <c r="D2128">
        <v>345</v>
      </c>
    </row>
    <row r="2129" spans="1:4" x14ac:dyDescent="0.3">
      <c r="A2129" s="78" t="s">
        <v>35</v>
      </c>
      <c r="B2129" s="78"/>
      <c r="C2129" s="16">
        <v>46254</v>
      </c>
      <c r="D2129">
        <v>12741.780000000002</v>
      </c>
    </row>
    <row r="2130" spans="1:4" x14ac:dyDescent="0.3">
      <c r="A2130" s="78" t="s">
        <v>17</v>
      </c>
      <c r="B2130" s="78"/>
      <c r="C2130" s="16">
        <v>46255</v>
      </c>
      <c r="D2130">
        <v>783543.69000000053</v>
      </c>
    </row>
    <row r="2131" spans="1:4" x14ac:dyDescent="0.3">
      <c r="A2131" s="78" t="s">
        <v>18</v>
      </c>
      <c r="B2131" s="78"/>
      <c r="C2131" s="16">
        <v>46255</v>
      </c>
      <c r="D2131">
        <v>83211.250000000175</v>
      </c>
    </row>
    <row r="2132" spans="1:4" x14ac:dyDescent="0.3">
      <c r="A2132" s="78" t="s">
        <v>19</v>
      </c>
      <c r="B2132" s="78"/>
      <c r="C2132" s="16">
        <v>46255</v>
      </c>
      <c r="D2132">
        <v>1669.89</v>
      </c>
    </row>
    <row r="2133" spans="1:4" x14ac:dyDescent="0.3">
      <c r="A2133" s="78" t="s">
        <v>20</v>
      </c>
      <c r="B2133" s="78"/>
      <c r="C2133" s="16">
        <v>46255</v>
      </c>
      <c r="D2133">
        <v>1060071.0999999999</v>
      </c>
    </row>
    <row r="2134" spans="1:4" x14ac:dyDescent="0.3">
      <c r="A2134" s="78" t="s">
        <v>21</v>
      </c>
      <c r="B2134" s="78"/>
      <c r="C2134" s="16">
        <v>46255</v>
      </c>
      <c r="D2134">
        <v>1758294.6999999997</v>
      </c>
    </row>
    <row r="2135" spans="1:4" x14ac:dyDescent="0.3">
      <c r="A2135" s="78" t="s">
        <v>22</v>
      </c>
      <c r="B2135" s="78"/>
      <c r="C2135" s="16">
        <v>46255</v>
      </c>
      <c r="D2135">
        <v>221496.38</v>
      </c>
    </row>
    <row r="2136" spans="1:4" x14ac:dyDescent="0.3">
      <c r="A2136" s="78" t="s">
        <v>23</v>
      </c>
      <c r="B2136" s="78"/>
      <c r="C2136" s="16">
        <v>46255</v>
      </c>
      <c r="D2136">
        <v>158071.25999999998</v>
      </c>
    </row>
    <row r="2137" spans="1:4" x14ac:dyDescent="0.3">
      <c r="A2137" s="78" t="s">
        <v>24</v>
      </c>
      <c r="B2137" s="78"/>
      <c r="C2137" s="16">
        <v>46255</v>
      </c>
      <c r="D2137">
        <v>13270.02</v>
      </c>
    </row>
    <row r="2138" spans="1:4" x14ac:dyDescent="0.3">
      <c r="A2138" s="78" t="s">
        <v>25</v>
      </c>
      <c r="B2138" s="78"/>
      <c r="C2138" s="16">
        <v>46255</v>
      </c>
      <c r="D2138">
        <v>24.450000000000003</v>
      </c>
    </row>
    <row r="2139" spans="1:4" x14ac:dyDescent="0.3">
      <c r="A2139" s="78" t="s">
        <v>26</v>
      </c>
      <c r="B2139" s="78"/>
      <c r="C2139" s="16">
        <v>46255</v>
      </c>
      <c r="D2139">
        <v>2177.87</v>
      </c>
    </row>
    <row r="2140" spans="1:4" x14ac:dyDescent="0.3">
      <c r="A2140" s="78" t="s">
        <v>27</v>
      </c>
      <c r="B2140" s="78"/>
      <c r="C2140" s="16">
        <v>46255</v>
      </c>
      <c r="D2140">
        <v>754424.72</v>
      </c>
    </row>
    <row r="2141" spans="1:4" x14ac:dyDescent="0.3">
      <c r="A2141" s="78" t="s">
        <v>28</v>
      </c>
      <c r="B2141" s="78"/>
      <c r="C2141" s="16">
        <v>46255</v>
      </c>
      <c r="D2141">
        <v>1968.99</v>
      </c>
    </row>
    <row r="2142" spans="1:4" x14ac:dyDescent="0.3">
      <c r="A2142" s="78" t="s">
        <v>29</v>
      </c>
      <c r="B2142" s="78"/>
      <c r="C2142" s="16">
        <v>46255</v>
      </c>
      <c r="D2142">
        <v>901.34</v>
      </c>
    </row>
    <row r="2143" spans="1:4" x14ac:dyDescent="0.3">
      <c r="A2143" s="78" t="s">
        <v>30</v>
      </c>
      <c r="B2143" s="78"/>
      <c r="C2143" s="16">
        <v>46255</v>
      </c>
      <c r="D2143">
        <v>1396.08</v>
      </c>
    </row>
    <row r="2144" spans="1:4" x14ac:dyDescent="0.3">
      <c r="A2144" s="78" t="s">
        <v>31</v>
      </c>
      <c r="B2144" s="78"/>
      <c r="C2144" s="16">
        <v>46255</v>
      </c>
      <c r="D2144">
        <v>13685.709999999959</v>
      </c>
    </row>
    <row r="2145" spans="1:4" x14ac:dyDescent="0.3">
      <c r="A2145" s="78" t="s">
        <v>32</v>
      </c>
      <c r="B2145" s="78"/>
      <c r="C2145" s="16">
        <v>46255</v>
      </c>
      <c r="D2145">
        <v>8724.1700000000037</v>
      </c>
    </row>
    <row r="2146" spans="1:4" x14ac:dyDescent="0.3">
      <c r="A2146" s="78" t="s">
        <v>33</v>
      </c>
      <c r="B2146" s="78"/>
      <c r="C2146" s="16">
        <v>46255</v>
      </c>
      <c r="D2146">
        <v>19336.039999999997</v>
      </c>
    </row>
    <row r="2147" spans="1:4" x14ac:dyDescent="0.3">
      <c r="A2147" s="78" t="s">
        <v>34</v>
      </c>
      <c r="B2147" s="78"/>
      <c r="C2147" s="16">
        <v>46255</v>
      </c>
      <c r="D2147">
        <v>345</v>
      </c>
    </row>
    <row r="2148" spans="1:4" x14ac:dyDescent="0.3">
      <c r="A2148" s="78" t="s">
        <v>35</v>
      </c>
      <c r="B2148" s="78"/>
      <c r="C2148" s="16">
        <v>46255</v>
      </c>
      <c r="D2148">
        <v>12541.790000000003</v>
      </c>
    </row>
    <row r="2149" spans="1:4" x14ac:dyDescent="0.3">
      <c r="A2149" s="78" t="s">
        <v>17</v>
      </c>
      <c r="B2149" s="78"/>
      <c r="C2149" s="16">
        <v>46256</v>
      </c>
      <c r="D2149">
        <v>783543.69000000053</v>
      </c>
    </row>
    <row r="2150" spans="1:4" x14ac:dyDescent="0.3">
      <c r="A2150" s="78" t="s">
        <v>18</v>
      </c>
      <c r="B2150" s="78"/>
      <c r="C2150" s="16">
        <v>46256</v>
      </c>
      <c r="D2150">
        <v>83211.250000000175</v>
      </c>
    </row>
    <row r="2151" spans="1:4" x14ac:dyDescent="0.3">
      <c r="A2151" s="78" t="s">
        <v>19</v>
      </c>
      <c r="B2151" s="78"/>
      <c r="C2151" s="16">
        <v>46256</v>
      </c>
      <c r="D2151">
        <v>1669.89</v>
      </c>
    </row>
    <row r="2152" spans="1:4" x14ac:dyDescent="0.3">
      <c r="A2152" s="78" t="s">
        <v>20</v>
      </c>
      <c r="B2152" s="78"/>
      <c r="C2152" s="16">
        <v>46256</v>
      </c>
      <c r="D2152">
        <v>1060071.0999999999</v>
      </c>
    </row>
    <row r="2153" spans="1:4" x14ac:dyDescent="0.3">
      <c r="A2153" s="78" t="s">
        <v>21</v>
      </c>
      <c r="B2153" s="78"/>
      <c r="C2153" s="16">
        <v>46256</v>
      </c>
      <c r="D2153">
        <v>1758294.6999999997</v>
      </c>
    </row>
    <row r="2154" spans="1:4" x14ac:dyDescent="0.3">
      <c r="A2154" s="78" t="s">
        <v>22</v>
      </c>
      <c r="B2154" s="78"/>
      <c r="C2154" s="16">
        <v>46256</v>
      </c>
      <c r="D2154">
        <v>221496.38</v>
      </c>
    </row>
    <row r="2155" spans="1:4" x14ac:dyDescent="0.3">
      <c r="A2155" s="78" t="s">
        <v>23</v>
      </c>
      <c r="B2155" s="78"/>
      <c r="C2155" s="16">
        <v>46256</v>
      </c>
      <c r="D2155">
        <v>158071.25999999998</v>
      </c>
    </row>
    <row r="2156" spans="1:4" x14ac:dyDescent="0.3">
      <c r="A2156" s="78" t="s">
        <v>24</v>
      </c>
      <c r="B2156" s="78"/>
      <c r="C2156" s="16">
        <v>46256</v>
      </c>
      <c r="D2156">
        <v>13270.02</v>
      </c>
    </row>
    <row r="2157" spans="1:4" x14ac:dyDescent="0.3">
      <c r="A2157" s="78" t="s">
        <v>25</v>
      </c>
      <c r="B2157" s="78"/>
      <c r="C2157" s="16">
        <v>46256</v>
      </c>
      <c r="D2157">
        <v>24.450000000000003</v>
      </c>
    </row>
    <row r="2158" spans="1:4" x14ac:dyDescent="0.3">
      <c r="A2158" s="78" t="s">
        <v>26</v>
      </c>
      <c r="B2158" s="78"/>
      <c r="C2158" s="16">
        <v>46256</v>
      </c>
      <c r="D2158">
        <v>2177.87</v>
      </c>
    </row>
    <row r="2159" spans="1:4" x14ac:dyDescent="0.3">
      <c r="A2159" s="78" t="s">
        <v>27</v>
      </c>
      <c r="B2159" s="78"/>
      <c r="C2159" s="16">
        <v>46256</v>
      </c>
      <c r="D2159">
        <v>754424.72</v>
      </c>
    </row>
    <row r="2160" spans="1:4" x14ac:dyDescent="0.3">
      <c r="A2160" s="78" t="s">
        <v>28</v>
      </c>
      <c r="B2160" s="78"/>
      <c r="C2160" s="16">
        <v>46256</v>
      </c>
      <c r="D2160">
        <v>1968.99</v>
      </c>
    </row>
    <row r="2161" spans="1:4" x14ac:dyDescent="0.3">
      <c r="A2161" s="78" t="s">
        <v>29</v>
      </c>
      <c r="B2161" s="78"/>
      <c r="C2161" s="16">
        <v>46256</v>
      </c>
      <c r="D2161">
        <v>901.34</v>
      </c>
    </row>
    <row r="2162" spans="1:4" x14ac:dyDescent="0.3">
      <c r="A2162" s="78" t="s">
        <v>30</v>
      </c>
      <c r="B2162" s="78"/>
      <c r="C2162" s="16">
        <v>46256</v>
      </c>
      <c r="D2162">
        <v>1396.08</v>
      </c>
    </row>
    <row r="2163" spans="1:4" x14ac:dyDescent="0.3">
      <c r="A2163" s="78" t="s">
        <v>31</v>
      </c>
      <c r="B2163" s="78"/>
      <c r="C2163" s="16">
        <v>46256</v>
      </c>
      <c r="D2163">
        <v>13685.709999999959</v>
      </c>
    </row>
    <row r="2164" spans="1:4" x14ac:dyDescent="0.3">
      <c r="A2164" s="78" t="s">
        <v>32</v>
      </c>
      <c r="B2164" s="78"/>
      <c r="C2164" s="16">
        <v>46256</v>
      </c>
      <c r="D2164">
        <v>8724.1700000000037</v>
      </c>
    </row>
    <row r="2165" spans="1:4" x14ac:dyDescent="0.3">
      <c r="A2165" s="78" t="s">
        <v>33</v>
      </c>
      <c r="B2165" s="78"/>
      <c r="C2165" s="16">
        <v>46256</v>
      </c>
      <c r="D2165">
        <v>19336.039999999997</v>
      </c>
    </row>
    <row r="2166" spans="1:4" x14ac:dyDescent="0.3">
      <c r="A2166" s="78" t="s">
        <v>34</v>
      </c>
      <c r="B2166" s="78"/>
      <c r="C2166" s="16">
        <v>46256</v>
      </c>
      <c r="D2166">
        <v>345</v>
      </c>
    </row>
    <row r="2167" spans="1:4" x14ac:dyDescent="0.3">
      <c r="A2167" s="78" t="s">
        <v>35</v>
      </c>
      <c r="B2167" s="78"/>
      <c r="C2167" s="16">
        <v>46256</v>
      </c>
      <c r="D2167">
        <v>12541.790000000003</v>
      </c>
    </row>
    <row r="2168" spans="1:4" x14ac:dyDescent="0.3">
      <c r="A2168" s="78" t="s">
        <v>17</v>
      </c>
      <c r="B2168" s="78"/>
      <c r="C2168" s="16">
        <v>46257</v>
      </c>
      <c r="D2168">
        <v>783543.69000000053</v>
      </c>
    </row>
    <row r="2169" spans="1:4" x14ac:dyDescent="0.3">
      <c r="A2169" s="78" t="s">
        <v>18</v>
      </c>
      <c r="B2169" s="78"/>
      <c r="C2169" s="16">
        <v>46257</v>
      </c>
      <c r="D2169">
        <v>83211.250000000175</v>
      </c>
    </row>
    <row r="2170" spans="1:4" x14ac:dyDescent="0.3">
      <c r="A2170" s="78" t="s">
        <v>19</v>
      </c>
      <c r="B2170" s="78"/>
      <c r="C2170" s="16">
        <v>46257</v>
      </c>
      <c r="D2170">
        <v>1669.89</v>
      </c>
    </row>
    <row r="2171" spans="1:4" x14ac:dyDescent="0.3">
      <c r="A2171" s="78" t="s">
        <v>20</v>
      </c>
      <c r="B2171" s="78"/>
      <c r="C2171" s="16">
        <v>46257</v>
      </c>
      <c r="D2171">
        <v>1060071.0999999999</v>
      </c>
    </row>
    <row r="2172" spans="1:4" x14ac:dyDescent="0.3">
      <c r="A2172" s="78" t="s">
        <v>21</v>
      </c>
      <c r="B2172" s="78"/>
      <c r="C2172" s="16">
        <v>46257</v>
      </c>
      <c r="D2172">
        <v>1758294.6999999997</v>
      </c>
    </row>
    <row r="2173" spans="1:4" x14ac:dyDescent="0.3">
      <c r="A2173" s="78" t="s">
        <v>22</v>
      </c>
      <c r="B2173" s="78"/>
      <c r="C2173" s="16">
        <v>46257</v>
      </c>
      <c r="D2173">
        <v>221496.38</v>
      </c>
    </row>
    <row r="2174" spans="1:4" x14ac:dyDescent="0.3">
      <c r="A2174" s="78" t="s">
        <v>23</v>
      </c>
      <c r="B2174" s="78"/>
      <c r="C2174" s="16">
        <v>46257</v>
      </c>
      <c r="D2174">
        <v>158071.25999999998</v>
      </c>
    </row>
    <row r="2175" spans="1:4" x14ac:dyDescent="0.3">
      <c r="A2175" s="78" t="s">
        <v>24</v>
      </c>
      <c r="B2175" s="78"/>
      <c r="C2175" s="16">
        <v>46257</v>
      </c>
      <c r="D2175">
        <v>13270.02</v>
      </c>
    </row>
    <row r="2176" spans="1:4" x14ac:dyDescent="0.3">
      <c r="A2176" s="78" t="s">
        <v>25</v>
      </c>
      <c r="B2176" s="78"/>
      <c r="C2176" s="16">
        <v>46257</v>
      </c>
      <c r="D2176">
        <v>24.450000000000003</v>
      </c>
    </row>
    <row r="2177" spans="1:4" x14ac:dyDescent="0.3">
      <c r="A2177" s="78" t="s">
        <v>26</v>
      </c>
      <c r="B2177" s="78"/>
      <c r="C2177" s="16">
        <v>46257</v>
      </c>
      <c r="D2177">
        <v>2177.87</v>
      </c>
    </row>
    <row r="2178" spans="1:4" x14ac:dyDescent="0.3">
      <c r="A2178" s="78" t="s">
        <v>27</v>
      </c>
      <c r="B2178" s="78"/>
      <c r="C2178" s="16">
        <v>46257</v>
      </c>
      <c r="D2178">
        <v>754424.72</v>
      </c>
    </row>
    <row r="2179" spans="1:4" x14ac:dyDescent="0.3">
      <c r="A2179" s="78" t="s">
        <v>28</v>
      </c>
      <c r="B2179" s="78"/>
      <c r="C2179" s="16">
        <v>46257</v>
      </c>
      <c r="D2179">
        <v>1968.99</v>
      </c>
    </row>
    <row r="2180" spans="1:4" x14ac:dyDescent="0.3">
      <c r="A2180" s="78" t="s">
        <v>29</v>
      </c>
      <c r="B2180" s="78"/>
      <c r="C2180" s="16">
        <v>46257</v>
      </c>
      <c r="D2180">
        <v>901.34</v>
      </c>
    </row>
    <row r="2181" spans="1:4" x14ac:dyDescent="0.3">
      <c r="A2181" s="78" t="s">
        <v>30</v>
      </c>
      <c r="B2181" s="78"/>
      <c r="C2181" s="16">
        <v>46257</v>
      </c>
      <c r="D2181">
        <v>1396.08</v>
      </c>
    </row>
    <row r="2182" spans="1:4" x14ac:dyDescent="0.3">
      <c r="A2182" s="78" t="s">
        <v>31</v>
      </c>
      <c r="B2182" s="78"/>
      <c r="C2182" s="16">
        <v>46257</v>
      </c>
      <c r="D2182">
        <v>13685.709999999959</v>
      </c>
    </row>
    <row r="2183" spans="1:4" x14ac:dyDescent="0.3">
      <c r="A2183" s="78" t="s">
        <v>32</v>
      </c>
      <c r="B2183" s="78"/>
      <c r="C2183" s="16">
        <v>46257</v>
      </c>
      <c r="D2183">
        <v>8724.1700000000037</v>
      </c>
    </row>
    <row r="2184" spans="1:4" x14ac:dyDescent="0.3">
      <c r="A2184" s="78" t="s">
        <v>33</v>
      </c>
      <c r="B2184" s="78"/>
      <c r="C2184" s="16">
        <v>46257</v>
      </c>
      <c r="D2184">
        <v>19336.039999999997</v>
      </c>
    </row>
    <row r="2185" spans="1:4" x14ac:dyDescent="0.3">
      <c r="A2185" s="78" t="s">
        <v>34</v>
      </c>
      <c r="B2185" s="78"/>
      <c r="C2185" s="16">
        <v>46257</v>
      </c>
      <c r="D2185">
        <v>345</v>
      </c>
    </row>
    <row r="2186" spans="1:4" x14ac:dyDescent="0.3">
      <c r="A2186" s="78" t="s">
        <v>35</v>
      </c>
      <c r="B2186" s="78"/>
      <c r="C2186" s="16">
        <v>46257</v>
      </c>
      <c r="D2186">
        <v>12541.790000000003</v>
      </c>
    </row>
    <row r="2187" spans="1:4" x14ac:dyDescent="0.3">
      <c r="A2187" s="78" t="s">
        <v>17</v>
      </c>
      <c r="B2187" s="78"/>
      <c r="C2187" s="16">
        <v>46258</v>
      </c>
      <c r="D2187">
        <v>453543.69000000041</v>
      </c>
    </row>
    <row r="2188" spans="1:4" x14ac:dyDescent="0.3">
      <c r="A2188" s="78" t="s">
        <v>18</v>
      </c>
      <c r="B2188" s="78"/>
      <c r="C2188" s="16">
        <v>46258</v>
      </c>
      <c r="D2188">
        <v>83668.990000000165</v>
      </c>
    </row>
    <row r="2189" spans="1:4" x14ac:dyDescent="0.3">
      <c r="A2189" s="78" t="s">
        <v>19</v>
      </c>
      <c r="B2189" s="78"/>
      <c r="C2189" s="16">
        <v>46258</v>
      </c>
      <c r="D2189">
        <v>1669.89</v>
      </c>
    </row>
    <row r="2190" spans="1:4" x14ac:dyDescent="0.3">
      <c r="A2190" s="78" t="s">
        <v>20</v>
      </c>
      <c r="B2190" s="78"/>
      <c r="C2190" s="16">
        <v>46258</v>
      </c>
      <c r="D2190">
        <v>1065803.0899999999</v>
      </c>
    </row>
    <row r="2191" spans="1:4" x14ac:dyDescent="0.3">
      <c r="A2191" s="78" t="s">
        <v>21</v>
      </c>
      <c r="B2191" s="78"/>
      <c r="C2191" s="16">
        <v>46258</v>
      </c>
      <c r="D2191">
        <v>1757531.7099999995</v>
      </c>
    </row>
    <row r="2192" spans="1:4" x14ac:dyDescent="0.3">
      <c r="A2192" s="78" t="s">
        <v>22</v>
      </c>
      <c r="B2192" s="78"/>
      <c r="C2192" s="16">
        <v>46258</v>
      </c>
      <c r="D2192">
        <v>221496.38</v>
      </c>
    </row>
    <row r="2193" spans="1:4" x14ac:dyDescent="0.3">
      <c r="A2193" s="78" t="s">
        <v>23</v>
      </c>
      <c r="B2193" s="78"/>
      <c r="C2193" s="16">
        <v>46258</v>
      </c>
      <c r="D2193">
        <v>158071.25999999998</v>
      </c>
    </row>
    <row r="2194" spans="1:4" x14ac:dyDescent="0.3">
      <c r="A2194" s="78" t="s">
        <v>24</v>
      </c>
      <c r="B2194" s="78"/>
      <c r="C2194" s="16">
        <v>46258</v>
      </c>
      <c r="D2194">
        <v>13270.02</v>
      </c>
    </row>
    <row r="2195" spans="1:4" x14ac:dyDescent="0.3">
      <c r="A2195" s="78" t="s">
        <v>25</v>
      </c>
      <c r="B2195" s="78"/>
      <c r="C2195" s="16">
        <v>46258</v>
      </c>
      <c r="D2195">
        <v>24.450000000000003</v>
      </c>
    </row>
    <row r="2196" spans="1:4" x14ac:dyDescent="0.3">
      <c r="A2196" s="78" t="s">
        <v>26</v>
      </c>
      <c r="B2196" s="78"/>
      <c r="C2196" s="16">
        <v>46258</v>
      </c>
      <c r="D2196">
        <v>2177.87</v>
      </c>
    </row>
    <row r="2197" spans="1:4" x14ac:dyDescent="0.3">
      <c r="A2197" s="78" t="s">
        <v>27</v>
      </c>
      <c r="B2197" s="78"/>
      <c r="C2197" s="16">
        <v>46258</v>
      </c>
      <c r="D2197">
        <v>754424.72</v>
      </c>
    </row>
    <row r="2198" spans="1:4" x14ac:dyDescent="0.3">
      <c r="A2198" s="78" t="s">
        <v>28</v>
      </c>
      <c r="B2198" s="78"/>
      <c r="C2198" s="16">
        <v>46258</v>
      </c>
      <c r="D2198">
        <v>1968.99</v>
      </c>
    </row>
    <row r="2199" spans="1:4" x14ac:dyDescent="0.3">
      <c r="A2199" s="78" t="s">
        <v>29</v>
      </c>
      <c r="B2199" s="78"/>
      <c r="C2199" s="16">
        <v>46258</v>
      </c>
      <c r="D2199">
        <v>901.34</v>
      </c>
    </row>
    <row r="2200" spans="1:4" x14ac:dyDescent="0.3">
      <c r="A2200" s="78" t="s">
        <v>30</v>
      </c>
      <c r="B2200" s="78"/>
      <c r="C2200" s="16">
        <v>46258</v>
      </c>
      <c r="D2200">
        <v>1396.08</v>
      </c>
    </row>
    <row r="2201" spans="1:4" x14ac:dyDescent="0.3">
      <c r="A2201" s="78" t="s">
        <v>31</v>
      </c>
      <c r="B2201" s="78"/>
      <c r="C2201" s="16">
        <v>46258</v>
      </c>
      <c r="D2201">
        <v>13685.709999999959</v>
      </c>
    </row>
    <row r="2202" spans="1:4" x14ac:dyDescent="0.3">
      <c r="A2202" s="78" t="s">
        <v>32</v>
      </c>
      <c r="B2202" s="78"/>
      <c r="C2202" s="16">
        <v>46258</v>
      </c>
      <c r="D2202">
        <v>8724.1700000000037</v>
      </c>
    </row>
    <row r="2203" spans="1:4" x14ac:dyDescent="0.3">
      <c r="A2203" s="78" t="s">
        <v>33</v>
      </c>
      <c r="B2203" s="78"/>
      <c r="C2203" s="16">
        <v>46258</v>
      </c>
      <c r="D2203">
        <v>19336.039999999997</v>
      </c>
    </row>
    <row r="2204" spans="1:4" x14ac:dyDescent="0.3">
      <c r="A2204" s="78" t="s">
        <v>34</v>
      </c>
      <c r="B2204" s="78"/>
      <c r="C2204" s="16">
        <v>46258</v>
      </c>
      <c r="D2204">
        <v>345</v>
      </c>
    </row>
    <row r="2205" spans="1:4" x14ac:dyDescent="0.3">
      <c r="A2205" s="78" t="s">
        <v>35</v>
      </c>
      <c r="B2205" s="78"/>
      <c r="C2205" s="16">
        <v>46258</v>
      </c>
      <c r="D2205">
        <v>12519.840000000004</v>
      </c>
    </row>
    <row r="2206" spans="1:4" x14ac:dyDescent="0.3">
      <c r="A2206" s="78" t="s">
        <v>17</v>
      </c>
      <c r="B2206" s="78"/>
      <c r="C2206" s="16">
        <v>46259</v>
      </c>
      <c r="D2206">
        <v>607429.86000000045</v>
      </c>
    </row>
    <row r="2207" spans="1:4" x14ac:dyDescent="0.3">
      <c r="A2207" s="78" t="s">
        <v>18</v>
      </c>
      <c r="B2207" s="78"/>
      <c r="C2207" s="16">
        <v>46259</v>
      </c>
      <c r="D2207">
        <v>90643.10000000018</v>
      </c>
    </row>
    <row r="2208" spans="1:4" x14ac:dyDescent="0.3">
      <c r="A2208" s="78" t="s">
        <v>19</v>
      </c>
      <c r="B2208" s="78"/>
      <c r="C2208" s="16">
        <v>46259</v>
      </c>
      <c r="D2208">
        <v>1669.89</v>
      </c>
    </row>
    <row r="2209" spans="1:4" x14ac:dyDescent="0.3">
      <c r="A2209" s="78" t="s">
        <v>20</v>
      </c>
      <c r="B2209" s="78"/>
      <c r="C2209" s="16">
        <v>46259</v>
      </c>
      <c r="D2209">
        <v>1083148.7</v>
      </c>
    </row>
    <row r="2210" spans="1:4" x14ac:dyDescent="0.3">
      <c r="A2210" s="78" t="s">
        <v>21</v>
      </c>
      <c r="B2210" s="78"/>
      <c r="C2210" s="16">
        <v>46259</v>
      </c>
      <c r="D2210">
        <v>1757531.7099999995</v>
      </c>
    </row>
    <row r="2211" spans="1:4" x14ac:dyDescent="0.3">
      <c r="A2211" s="78" t="s">
        <v>22</v>
      </c>
      <c r="B2211" s="78"/>
      <c r="C2211" s="16">
        <v>46259</v>
      </c>
      <c r="D2211">
        <v>221496.38</v>
      </c>
    </row>
    <row r="2212" spans="1:4" x14ac:dyDescent="0.3">
      <c r="A2212" s="78" t="s">
        <v>23</v>
      </c>
      <c r="B2212" s="78"/>
      <c r="C2212" s="16">
        <v>46259</v>
      </c>
      <c r="D2212">
        <v>158071.25999999998</v>
      </c>
    </row>
    <row r="2213" spans="1:4" x14ac:dyDescent="0.3">
      <c r="A2213" s="78" t="s">
        <v>24</v>
      </c>
      <c r="B2213" s="78"/>
      <c r="C2213" s="16">
        <v>46259</v>
      </c>
      <c r="D2213">
        <v>13270.02</v>
      </c>
    </row>
    <row r="2214" spans="1:4" x14ac:dyDescent="0.3">
      <c r="A2214" s="78" t="s">
        <v>25</v>
      </c>
      <c r="B2214" s="78"/>
      <c r="C2214" s="16">
        <v>46259</v>
      </c>
      <c r="D2214">
        <v>24.450000000000003</v>
      </c>
    </row>
    <row r="2215" spans="1:4" x14ac:dyDescent="0.3">
      <c r="A2215" s="78" t="s">
        <v>26</v>
      </c>
      <c r="B2215" s="78"/>
      <c r="C2215" s="16">
        <v>46259</v>
      </c>
      <c r="D2215">
        <v>2177.87</v>
      </c>
    </row>
    <row r="2216" spans="1:4" x14ac:dyDescent="0.3">
      <c r="A2216" s="78" t="s">
        <v>27</v>
      </c>
      <c r="B2216" s="78"/>
      <c r="C2216" s="16">
        <v>46259</v>
      </c>
      <c r="D2216">
        <v>754424.72</v>
      </c>
    </row>
    <row r="2217" spans="1:4" x14ac:dyDescent="0.3">
      <c r="A2217" s="78" t="s">
        <v>28</v>
      </c>
      <c r="B2217" s="78"/>
      <c r="C2217" s="16">
        <v>46259</v>
      </c>
      <c r="D2217">
        <v>1968.99</v>
      </c>
    </row>
    <row r="2218" spans="1:4" x14ac:dyDescent="0.3">
      <c r="A2218" s="78" t="s">
        <v>29</v>
      </c>
      <c r="B2218" s="78"/>
      <c r="C2218" s="16">
        <v>46259</v>
      </c>
      <c r="D2218">
        <v>901.34</v>
      </c>
    </row>
    <row r="2219" spans="1:4" x14ac:dyDescent="0.3">
      <c r="A2219" s="78" t="s">
        <v>30</v>
      </c>
      <c r="B2219" s="78"/>
      <c r="C2219" s="16">
        <v>46259</v>
      </c>
      <c r="D2219">
        <v>1396.08</v>
      </c>
    </row>
    <row r="2220" spans="1:4" x14ac:dyDescent="0.3">
      <c r="A2220" s="78" t="s">
        <v>31</v>
      </c>
      <c r="B2220" s="78"/>
      <c r="C2220" s="16">
        <v>46259</v>
      </c>
      <c r="D2220">
        <v>13685.709999999959</v>
      </c>
    </row>
    <row r="2221" spans="1:4" x14ac:dyDescent="0.3">
      <c r="A2221" s="78" t="s">
        <v>32</v>
      </c>
      <c r="B2221" s="78"/>
      <c r="C2221" s="16">
        <v>46259</v>
      </c>
      <c r="D2221">
        <v>8724.1700000000037</v>
      </c>
    </row>
    <row r="2222" spans="1:4" x14ac:dyDescent="0.3">
      <c r="A2222" s="78" t="s">
        <v>33</v>
      </c>
      <c r="B2222" s="78"/>
      <c r="C2222" s="16">
        <v>46259</v>
      </c>
      <c r="D2222">
        <v>19336.039999999997</v>
      </c>
    </row>
    <row r="2223" spans="1:4" x14ac:dyDescent="0.3">
      <c r="A2223" s="78" t="s">
        <v>34</v>
      </c>
      <c r="B2223" s="78"/>
      <c r="C2223" s="16">
        <v>46259</v>
      </c>
      <c r="D2223">
        <v>345</v>
      </c>
    </row>
    <row r="2224" spans="1:4" x14ac:dyDescent="0.3">
      <c r="A2224" s="78" t="s">
        <v>35</v>
      </c>
      <c r="B2224" s="78"/>
      <c r="C2224" s="16">
        <v>46259</v>
      </c>
      <c r="D2224">
        <v>12519.840000000004</v>
      </c>
    </row>
    <row r="2225" spans="1:4" x14ac:dyDescent="0.3">
      <c r="A2225" s="78" t="s">
        <v>17</v>
      </c>
      <c r="B2225" s="78"/>
      <c r="C2225" s="16">
        <v>46260</v>
      </c>
      <c r="D2225">
        <v>607429.86000000045</v>
      </c>
    </row>
    <row r="2226" spans="1:4" x14ac:dyDescent="0.3">
      <c r="A2226" s="78" t="s">
        <v>18</v>
      </c>
      <c r="B2226" s="78"/>
      <c r="C2226" s="16">
        <v>46260</v>
      </c>
      <c r="D2226">
        <v>90643.10000000018</v>
      </c>
    </row>
    <row r="2227" spans="1:4" x14ac:dyDescent="0.3">
      <c r="A2227" s="78" t="s">
        <v>19</v>
      </c>
      <c r="B2227" s="78"/>
      <c r="C2227" s="16">
        <v>46260</v>
      </c>
      <c r="D2227">
        <v>1669.89</v>
      </c>
    </row>
    <row r="2228" spans="1:4" x14ac:dyDescent="0.3">
      <c r="A2228" s="78" t="s">
        <v>20</v>
      </c>
      <c r="B2228" s="78"/>
      <c r="C2228" s="16">
        <v>46260</v>
      </c>
      <c r="D2228">
        <v>1100694.23</v>
      </c>
    </row>
    <row r="2229" spans="1:4" x14ac:dyDescent="0.3">
      <c r="A2229" s="78" t="s">
        <v>21</v>
      </c>
      <c r="B2229" s="78"/>
      <c r="C2229" s="16">
        <v>46260</v>
      </c>
      <c r="D2229">
        <v>1757531.7099999995</v>
      </c>
    </row>
    <row r="2230" spans="1:4" x14ac:dyDescent="0.3">
      <c r="A2230" s="78" t="s">
        <v>22</v>
      </c>
      <c r="B2230" s="78"/>
      <c r="C2230" s="16">
        <v>46260</v>
      </c>
      <c r="D2230">
        <v>221496.38</v>
      </c>
    </row>
    <row r="2231" spans="1:4" x14ac:dyDescent="0.3">
      <c r="A2231" s="78" t="s">
        <v>23</v>
      </c>
      <c r="B2231" s="78"/>
      <c r="C2231" s="16">
        <v>46260</v>
      </c>
      <c r="D2231">
        <v>158071.25999999998</v>
      </c>
    </row>
    <row r="2232" spans="1:4" x14ac:dyDescent="0.3">
      <c r="A2232" s="78" t="s">
        <v>24</v>
      </c>
      <c r="B2232" s="78"/>
      <c r="C2232" s="16">
        <v>46260</v>
      </c>
      <c r="D2232">
        <v>13270.02</v>
      </c>
    </row>
    <row r="2233" spans="1:4" x14ac:dyDescent="0.3">
      <c r="A2233" s="78" t="s">
        <v>25</v>
      </c>
      <c r="B2233" s="78"/>
      <c r="C2233" s="16">
        <v>46260</v>
      </c>
      <c r="D2233">
        <v>24.450000000000003</v>
      </c>
    </row>
    <row r="2234" spans="1:4" x14ac:dyDescent="0.3">
      <c r="A2234" s="78" t="s">
        <v>26</v>
      </c>
      <c r="B2234" s="78"/>
      <c r="C2234" s="16">
        <v>46260</v>
      </c>
      <c r="D2234">
        <v>2177.87</v>
      </c>
    </row>
    <row r="2235" spans="1:4" x14ac:dyDescent="0.3">
      <c r="A2235" s="78" t="s">
        <v>27</v>
      </c>
      <c r="B2235" s="78"/>
      <c r="C2235" s="16">
        <v>46260</v>
      </c>
      <c r="D2235">
        <v>754424.72</v>
      </c>
    </row>
    <row r="2236" spans="1:4" x14ac:dyDescent="0.3">
      <c r="A2236" s="78" t="s">
        <v>28</v>
      </c>
      <c r="B2236" s="78"/>
      <c r="C2236" s="16">
        <v>46260</v>
      </c>
      <c r="D2236">
        <v>1968.99</v>
      </c>
    </row>
    <row r="2237" spans="1:4" x14ac:dyDescent="0.3">
      <c r="A2237" s="78" t="s">
        <v>29</v>
      </c>
      <c r="B2237" s="78"/>
      <c r="C2237" s="16">
        <v>46260</v>
      </c>
      <c r="D2237">
        <v>901.34</v>
      </c>
    </row>
    <row r="2238" spans="1:4" x14ac:dyDescent="0.3">
      <c r="A2238" s="78" t="s">
        <v>30</v>
      </c>
      <c r="B2238" s="78"/>
      <c r="C2238" s="16">
        <v>46260</v>
      </c>
      <c r="D2238">
        <v>1396.08</v>
      </c>
    </row>
    <row r="2239" spans="1:4" x14ac:dyDescent="0.3">
      <c r="A2239" s="78" t="s">
        <v>31</v>
      </c>
      <c r="B2239" s="78"/>
      <c r="C2239" s="16">
        <v>46260</v>
      </c>
      <c r="D2239">
        <v>13685.709999999959</v>
      </c>
    </row>
    <row r="2240" spans="1:4" x14ac:dyDescent="0.3">
      <c r="A2240" s="78" t="s">
        <v>32</v>
      </c>
      <c r="B2240" s="78"/>
      <c r="C2240" s="16">
        <v>46260</v>
      </c>
      <c r="D2240">
        <v>8724.1700000000037</v>
      </c>
    </row>
    <row r="2241" spans="1:4" x14ac:dyDescent="0.3">
      <c r="A2241" s="78" t="s">
        <v>33</v>
      </c>
      <c r="B2241" s="78"/>
      <c r="C2241" s="16">
        <v>46260</v>
      </c>
      <c r="D2241">
        <v>19336.039999999997</v>
      </c>
    </row>
    <row r="2242" spans="1:4" x14ac:dyDescent="0.3">
      <c r="A2242" s="78" t="s">
        <v>34</v>
      </c>
      <c r="B2242" s="78"/>
      <c r="C2242" s="16">
        <v>46260</v>
      </c>
      <c r="D2242">
        <v>345</v>
      </c>
    </row>
    <row r="2243" spans="1:4" x14ac:dyDescent="0.3">
      <c r="A2243" s="78" t="s">
        <v>35</v>
      </c>
      <c r="B2243" s="78"/>
      <c r="C2243" s="16">
        <v>46260</v>
      </c>
      <c r="D2243">
        <v>12519.840000000004</v>
      </c>
    </row>
    <row r="2244" spans="1:4" x14ac:dyDescent="0.3">
      <c r="A2244" s="78" t="s">
        <v>17</v>
      </c>
      <c r="B2244" s="78"/>
      <c r="C2244" s="16">
        <v>46261</v>
      </c>
      <c r="D2244">
        <v>659426.92000000051</v>
      </c>
    </row>
    <row r="2245" spans="1:4" x14ac:dyDescent="0.3">
      <c r="A2245" s="78" t="s">
        <v>18</v>
      </c>
      <c r="B2245" s="78"/>
      <c r="C2245" s="16">
        <v>46261</v>
      </c>
      <c r="D2245">
        <v>90643.10000000018</v>
      </c>
    </row>
    <row r="2246" spans="1:4" x14ac:dyDescent="0.3">
      <c r="A2246" s="78" t="s">
        <v>19</v>
      </c>
      <c r="B2246" s="78"/>
      <c r="C2246" s="16">
        <v>46261</v>
      </c>
      <c r="D2246">
        <v>1669.89</v>
      </c>
    </row>
    <row r="2247" spans="1:4" x14ac:dyDescent="0.3">
      <c r="A2247" s="78" t="s">
        <v>20</v>
      </c>
      <c r="B2247" s="78"/>
      <c r="C2247" s="16">
        <v>46261</v>
      </c>
      <c r="D2247">
        <v>1225694.23</v>
      </c>
    </row>
    <row r="2248" spans="1:4" x14ac:dyDescent="0.3">
      <c r="A2248" s="78" t="s">
        <v>21</v>
      </c>
      <c r="B2248" s="78"/>
      <c r="C2248" s="16">
        <v>46261</v>
      </c>
      <c r="D2248">
        <v>1733606.8399999996</v>
      </c>
    </row>
    <row r="2249" spans="1:4" x14ac:dyDescent="0.3">
      <c r="A2249" s="78" t="s">
        <v>22</v>
      </c>
      <c r="B2249" s="78"/>
      <c r="C2249" s="16">
        <v>46261</v>
      </c>
      <c r="D2249">
        <v>221496.38</v>
      </c>
    </row>
    <row r="2250" spans="1:4" x14ac:dyDescent="0.3">
      <c r="A2250" s="78" t="s">
        <v>23</v>
      </c>
      <c r="B2250" s="78"/>
      <c r="C2250" s="16">
        <v>46261</v>
      </c>
      <c r="D2250">
        <v>158071.25999999998</v>
      </c>
    </row>
    <row r="2251" spans="1:4" x14ac:dyDescent="0.3">
      <c r="A2251" s="78" t="s">
        <v>24</v>
      </c>
      <c r="B2251" s="78"/>
      <c r="C2251" s="16">
        <v>46261</v>
      </c>
      <c r="D2251">
        <v>13270.02</v>
      </c>
    </row>
    <row r="2252" spans="1:4" x14ac:dyDescent="0.3">
      <c r="A2252" s="78" t="s">
        <v>25</v>
      </c>
      <c r="B2252" s="78"/>
      <c r="C2252" s="16">
        <v>46261</v>
      </c>
      <c r="D2252">
        <v>124.45</v>
      </c>
    </row>
    <row r="2253" spans="1:4" x14ac:dyDescent="0.3">
      <c r="A2253" s="78" t="s">
        <v>26</v>
      </c>
      <c r="B2253" s="78"/>
      <c r="C2253" s="16">
        <v>46261</v>
      </c>
      <c r="D2253">
        <v>2177.87</v>
      </c>
    </row>
    <row r="2254" spans="1:4" x14ac:dyDescent="0.3">
      <c r="A2254" s="78" t="s">
        <v>27</v>
      </c>
      <c r="B2254" s="78"/>
      <c r="C2254" s="16">
        <v>46261</v>
      </c>
      <c r="D2254">
        <v>754424.72</v>
      </c>
    </row>
    <row r="2255" spans="1:4" x14ac:dyDescent="0.3">
      <c r="A2255" s="78" t="s">
        <v>28</v>
      </c>
      <c r="B2255" s="78"/>
      <c r="C2255" s="16">
        <v>46261</v>
      </c>
      <c r="D2255">
        <v>1968.99</v>
      </c>
    </row>
    <row r="2256" spans="1:4" x14ac:dyDescent="0.3">
      <c r="A2256" s="78" t="s">
        <v>29</v>
      </c>
      <c r="B2256" s="78"/>
      <c r="C2256" s="16">
        <v>46261</v>
      </c>
      <c r="D2256">
        <v>901.34</v>
      </c>
    </row>
    <row r="2257" spans="1:4" x14ac:dyDescent="0.3">
      <c r="A2257" s="78" t="s">
        <v>30</v>
      </c>
      <c r="B2257" s="78"/>
      <c r="C2257" s="16">
        <v>46261</v>
      </c>
      <c r="D2257">
        <v>1396.08</v>
      </c>
    </row>
    <row r="2258" spans="1:4" x14ac:dyDescent="0.3">
      <c r="A2258" s="78" t="s">
        <v>31</v>
      </c>
      <c r="B2258" s="78"/>
      <c r="C2258" s="16">
        <v>46261</v>
      </c>
      <c r="D2258">
        <v>33685.709999999963</v>
      </c>
    </row>
    <row r="2259" spans="1:4" x14ac:dyDescent="0.3">
      <c r="A2259" s="78" t="s">
        <v>32</v>
      </c>
      <c r="B2259" s="78"/>
      <c r="C2259" s="16">
        <v>46261</v>
      </c>
      <c r="D2259">
        <v>29724.170000000006</v>
      </c>
    </row>
    <row r="2260" spans="1:4" x14ac:dyDescent="0.3">
      <c r="A2260" s="78" t="s">
        <v>33</v>
      </c>
      <c r="B2260" s="78"/>
      <c r="C2260" s="16">
        <v>46261</v>
      </c>
      <c r="D2260">
        <v>19336.039999999997</v>
      </c>
    </row>
    <row r="2261" spans="1:4" x14ac:dyDescent="0.3">
      <c r="A2261" s="78" t="s">
        <v>34</v>
      </c>
      <c r="B2261" s="78"/>
      <c r="C2261" s="16">
        <v>46261</v>
      </c>
      <c r="D2261">
        <v>345</v>
      </c>
    </row>
    <row r="2262" spans="1:4" x14ac:dyDescent="0.3">
      <c r="A2262" s="78" t="s">
        <v>35</v>
      </c>
      <c r="B2262" s="78"/>
      <c r="C2262" s="16">
        <v>46261</v>
      </c>
      <c r="D2262">
        <v>9608.7000000000025</v>
      </c>
    </row>
    <row r="2263" spans="1:4" x14ac:dyDescent="0.3">
      <c r="A2263" s="78" t="s">
        <v>17</v>
      </c>
      <c r="B2263" s="78"/>
      <c r="C2263" s="16">
        <v>46262</v>
      </c>
      <c r="D2263">
        <v>824764.1600000005</v>
      </c>
    </row>
    <row r="2264" spans="1:4" x14ac:dyDescent="0.3">
      <c r="A2264" s="78" t="s">
        <v>18</v>
      </c>
      <c r="B2264" s="78"/>
      <c r="C2264" s="16">
        <v>46262</v>
      </c>
      <c r="D2264">
        <v>93280.230000000171</v>
      </c>
    </row>
    <row r="2265" spans="1:4" x14ac:dyDescent="0.3">
      <c r="A2265" s="78" t="s">
        <v>19</v>
      </c>
      <c r="B2265" s="78"/>
      <c r="C2265" s="16">
        <v>46262</v>
      </c>
      <c r="D2265">
        <v>1669.89</v>
      </c>
    </row>
    <row r="2266" spans="1:4" x14ac:dyDescent="0.3">
      <c r="A2266" s="78" t="s">
        <v>20</v>
      </c>
      <c r="B2266" s="78"/>
      <c r="C2266" s="16">
        <v>46262</v>
      </c>
      <c r="D2266">
        <v>1249485.67</v>
      </c>
    </row>
    <row r="2267" spans="1:4" x14ac:dyDescent="0.3">
      <c r="A2267" s="78" t="s">
        <v>21</v>
      </c>
      <c r="B2267" s="78"/>
      <c r="C2267" s="16">
        <v>46262</v>
      </c>
      <c r="D2267">
        <v>1567409.3099999996</v>
      </c>
    </row>
    <row r="2268" spans="1:4" x14ac:dyDescent="0.3">
      <c r="A2268" s="78" t="s">
        <v>22</v>
      </c>
      <c r="B2268" s="78"/>
      <c r="C2268" s="16">
        <v>46262</v>
      </c>
      <c r="D2268">
        <v>221496.38</v>
      </c>
    </row>
    <row r="2269" spans="1:4" x14ac:dyDescent="0.3">
      <c r="A2269" s="78" t="s">
        <v>23</v>
      </c>
      <c r="B2269" s="78"/>
      <c r="C2269" s="16">
        <v>46262</v>
      </c>
      <c r="D2269">
        <v>98169.25999999998</v>
      </c>
    </row>
    <row r="2270" spans="1:4" x14ac:dyDescent="0.3">
      <c r="A2270" s="78" t="s">
        <v>24</v>
      </c>
      <c r="B2270" s="78"/>
      <c r="C2270" s="16">
        <v>46262</v>
      </c>
      <c r="D2270">
        <v>13270.02</v>
      </c>
    </row>
    <row r="2271" spans="1:4" x14ac:dyDescent="0.3">
      <c r="A2271" s="78" t="s">
        <v>25</v>
      </c>
      <c r="B2271" s="78"/>
      <c r="C2271" s="16">
        <v>46262</v>
      </c>
      <c r="D2271">
        <v>124.45</v>
      </c>
    </row>
    <row r="2272" spans="1:4" x14ac:dyDescent="0.3">
      <c r="A2272" s="78" t="s">
        <v>26</v>
      </c>
      <c r="B2272" s="78"/>
      <c r="C2272" s="16">
        <v>46262</v>
      </c>
      <c r="D2272">
        <v>2177.87</v>
      </c>
    </row>
    <row r="2273" spans="1:4" x14ac:dyDescent="0.3">
      <c r="A2273" s="78" t="s">
        <v>27</v>
      </c>
      <c r="B2273" s="78"/>
      <c r="C2273" s="16">
        <v>46262</v>
      </c>
      <c r="D2273">
        <v>754424.72</v>
      </c>
    </row>
    <row r="2274" spans="1:4" x14ac:dyDescent="0.3">
      <c r="A2274" s="78" t="s">
        <v>28</v>
      </c>
      <c r="B2274" s="78"/>
      <c r="C2274" s="16">
        <v>46262</v>
      </c>
      <c r="D2274">
        <v>1968.99</v>
      </c>
    </row>
    <row r="2275" spans="1:4" x14ac:dyDescent="0.3">
      <c r="A2275" s="78" t="s">
        <v>29</v>
      </c>
      <c r="B2275" s="78"/>
      <c r="C2275" s="16">
        <v>46262</v>
      </c>
      <c r="D2275">
        <v>901.34</v>
      </c>
    </row>
    <row r="2276" spans="1:4" x14ac:dyDescent="0.3">
      <c r="A2276" s="78" t="s">
        <v>30</v>
      </c>
      <c r="B2276" s="78"/>
      <c r="C2276" s="16">
        <v>46262</v>
      </c>
      <c r="D2276">
        <v>1396.08</v>
      </c>
    </row>
    <row r="2277" spans="1:4" x14ac:dyDescent="0.3">
      <c r="A2277" s="78" t="s">
        <v>31</v>
      </c>
      <c r="B2277" s="78"/>
      <c r="C2277" s="16">
        <v>46262</v>
      </c>
      <c r="D2277">
        <v>33670.709999999963</v>
      </c>
    </row>
    <row r="2278" spans="1:4" x14ac:dyDescent="0.3">
      <c r="A2278" s="78" t="s">
        <v>32</v>
      </c>
      <c r="B2278" s="78"/>
      <c r="C2278" s="16">
        <v>46262</v>
      </c>
      <c r="D2278">
        <v>29709.170000000006</v>
      </c>
    </row>
    <row r="2279" spans="1:4" x14ac:dyDescent="0.3">
      <c r="A2279" s="78" t="s">
        <v>33</v>
      </c>
      <c r="B2279" s="78"/>
      <c r="C2279" s="16">
        <v>46262</v>
      </c>
      <c r="D2279">
        <v>19336.039999999997</v>
      </c>
    </row>
    <row r="2280" spans="1:4" x14ac:dyDescent="0.3">
      <c r="A2280" s="78" t="s">
        <v>34</v>
      </c>
      <c r="B2280" s="78"/>
      <c r="C2280" s="16">
        <v>46262</v>
      </c>
      <c r="D2280">
        <v>345</v>
      </c>
    </row>
    <row r="2281" spans="1:4" x14ac:dyDescent="0.3">
      <c r="A2281" s="78" t="s">
        <v>35</v>
      </c>
      <c r="B2281" s="78"/>
      <c r="C2281" s="16">
        <v>46262</v>
      </c>
      <c r="D2281">
        <v>9560.0000000000018</v>
      </c>
    </row>
    <row r="2282" spans="1:4" x14ac:dyDescent="0.3">
      <c r="A2282" s="78" t="s">
        <v>17</v>
      </c>
      <c r="B2282" s="78"/>
      <c r="C2282" s="16">
        <v>46263</v>
      </c>
      <c r="D2282">
        <v>824764.1600000005</v>
      </c>
    </row>
    <row r="2283" spans="1:4" x14ac:dyDescent="0.3">
      <c r="A2283" s="78" t="s">
        <v>18</v>
      </c>
      <c r="B2283" s="78"/>
      <c r="C2283" s="16">
        <v>46263</v>
      </c>
      <c r="D2283">
        <v>93280.230000000171</v>
      </c>
    </row>
    <row r="2284" spans="1:4" x14ac:dyDescent="0.3">
      <c r="A2284" s="78" t="s">
        <v>19</v>
      </c>
      <c r="B2284" s="78"/>
      <c r="C2284" s="16">
        <v>46263</v>
      </c>
      <c r="D2284">
        <v>1669.89</v>
      </c>
    </row>
    <row r="2285" spans="1:4" x14ac:dyDescent="0.3">
      <c r="A2285" s="78" t="s">
        <v>20</v>
      </c>
      <c r="B2285" s="78"/>
      <c r="C2285" s="16">
        <v>46263</v>
      </c>
      <c r="D2285">
        <v>1249485.67</v>
      </c>
    </row>
    <row r="2286" spans="1:4" x14ac:dyDescent="0.3">
      <c r="A2286" s="78" t="s">
        <v>21</v>
      </c>
      <c r="B2286" s="78"/>
      <c r="C2286" s="16">
        <v>46263</v>
      </c>
      <c r="D2286">
        <v>1567409.3099999996</v>
      </c>
    </row>
    <row r="2287" spans="1:4" x14ac:dyDescent="0.3">
      <c r="A2287" s="78" t="s">
        <v>22</v>
      </c>
      <c r="B2287" s="78"/>
      <c r="C2287" s="16">
        <v>46263</v>
      </c>
      <c r="D2287">
        <v>221496.38</v>
      </c>
    </row>
    <row r="2288" spans="1:4" x14ac:dyDescent="0.3">
      <c r="A2288" s="78" t="s">
        <v>23</v>
      </c>
      <c r="B2288" s="78"/>
      <c r="C2288" s="16">
        <v>46263</v>
      </c>
      <c r="D2288">
        <v>98169.25999999998</v>
      </c>
    </row>
    <row r="2289" spans="1:4" x14ac:dyDescent="0.3">
      <c r="A2289" s="78" t="s">
        <v>24</v>
      </c>
      <c r="B2289" s="78"/>
      <c r="C2289" s="16">
        <v>46263</v>
      </c>
      <c r="D2289">
        <v>13270.02</v>
      </c>
    </row>
    <row r="2290" spans="1:4" x14ac:dyDescent="0.3">
      <c r="A2290" s="78" t="s">
        <v>25</v>
      </c>
      <c r="B2290" s="78"/>
      <c r="C2290" s="16">
        <v>46263</v>
      </c>
      <c r="D2290">
        <v>124.45</v>
      </c>
    </row>
    <row r="2291" spans="1:4" x14ac:dyDescent="0.3">
      <c r="A2291" s="78" t="s">
        <v>26</v>
      </c>
      <c r="B2291" s="78"/>
      <c r="C2291" s="16">
        <v>46263</v>
      </c>
      <c r="D2291">
        <v>2177.87</v>
      </c>
    </row>
    <row r="2292" spans="1:4" x14ac:dyDescent="0.3">
      <c r="A2292" s="78" t="s">
        <v>27</v>
      </c>
      <c r="B2292" s="78"/>
      <c r="C2292" s="16">
        <v>46263</v>
      </c>
      <c r="D2292">
        <v>754424.72</v>
      </c>
    </row>
    <row r="2293" spans="1:4" x14ac:dyDescent="0.3">
      <c r="A2293" s="78" t="s">
        <v>28</v>
      </c>
      <c r="B2293" s="78"/>
      <c r="C2293" s="16">
        <v>46263</v>
      </c>
      <c r="D2293">
        <v>1968.99</v>
      </c>
    </row>
    <row r="2294" spans="1:4" x14ac:dyDescent="0.3">
      <c r="A2294" s="78" t="s">
        <v>29</v>
      </c>
      <c r="B2294" s="78"/>
      <c r="C2294" s="16">
        <v>46263</v>
      </c>
      <c r="D2294">
        <v>901.34</v>
      </c>
    </row>
    <row r="2295" spans="1:4" x14ac:dyDescent="0.3">
      <c r="A2295" s="78" t="s">
        <v>30</v>
      </c>
      <c r="B2295" s="78"/>
      <c r="C2295" s="16">
        <v>46263</v>
      </c>
      <c r="D2295">
        <v>1396.08</v>
      </c>
    </row>
    <row r="2296" spans="1:4" x14ac:dyDescent="0.3">
      <c r="A2296" s="78" t="s">
        <v>31</v>
      </c>
      <c r="B2296" s="78"/>
      <c r="C2296" s="16">
        <v>46263</v>
      </c>
      <c r="D2296">
        <v>33670.709999999963</v>
      </c>
    </row>
    <row r="2297" spans="1:4" x14ac:dyDescent="0.3">
      <c r="A2297" s="78" t="s">
        <v>32</v>
      </c>
      <c r="B2297" s="78"/>
      <c r="C2297" s="16">
        <v>46263</v>
      </c>
      <c r="D2297">
        <v>29709.170000000006</v>
      </c>
    </row>
    <row r="2298" spans="1:4" x14ac:dyDescent="0.3">
      <c r="A2298" s="78" t="s">
        <v>33</v>
      </c>
      <c r="B2298" s="78"/>
      <c r="C2298" s="16">
        <v>46263</v>
      </c>
      <c r="D2298">
        <v>19336.039999999997</v>
      </c>
    </row>
    <row r="2299" spans="1:4" x14ac:dyDescent="0.3">
      <c r="A2299" s="78" t="s">
        <v>34</v>
      </c>
      <c r="B2299" s="78"/>
      <c r="C2299" s="16">
        <v>46263</v>
      </c>
      <c r="D2299">
        <v>345</v>
      </c>
    </row>
    <row r="2300" spans="1:4" x14ac:dyDescent="0.3">
      <c r="A2300" s="78" t="s">
        <v>35</v>
      </c>
      <c r="B2300" s="78"/>
      <c r="C2300" s="16">
        <v>46263</v>
      </c>
      <c r="D2300">
        <v>9560.0000000000018</v>
      </c>
    </row>
    <row r="2301" spans="1:4" x14ac:dyDescent="0.3">
      <c r="A2301" s="78" t="s">
        <v>17</v>
      </c>
      <c r="B2301" s="78"/>
      <c r="C2301" s="16">
        <v>46264</v>
      </c>
      <c r="D2301">
        <v>824764.1600000005</v>
      </c>
    </row>
    <row r="2302" spans="1:4" x14ac:dyDescent="0.3">
      <c r="A2302" s="78" t="s">
        <v>18</v>
      </c>
      <c r="B2302" s="78"/>
      <c r="C2302" s="16">
        <v>46264</v>
      </c>
      <c r="D2302">
        <v>93280.230000000171</v>
      </c>
    </row>
    <row r="2303" spans="1:4" x14ac:dyDescent="0.3">
      <c r="A2303" s="78" t="s">
        <v>19</v>
      </c>
      <c r="B2303" s="78"/>
      <c r="C2303" s="16">
        <v>46264</v>
      </c>
      <c r="D2303">
        <v>1669.89</v>
      </c>
    </row>
    <row r="2304" spans="1:4" x14ac:dyDescent="0.3">
      <c r="A2304" s="78" t="s">
        <v>20</v>
      </c>
      <c r="B2304" s="78"/>
      <c r="C2304" s="16">
        <v>46264</v>
      </c>
      <c r="D2304">
        <v>1249485.67</v>
      </c>
    </row>
    <row r="2305" spans="1:4" x14ac:dyDescent="0.3">
      <c r="A2305" s="78" t="s">
        <v>21</v>
      </c>
      <c r="B2305" s="78"/>
      <c r="C2305" s="16">
        <v>46264</v>
      </c>
      <c r="D2305">
        <v>1567409.3099999996</v>
      </c>
    </row>
    <row r="2306" spans="1:4" x14ac:dyDescent="0.3">
      <c r="A2306" s="78" t="s">
        <v>22</v>
      </c>
      <c r="B2306" s="78"/>
      <c r="C2306" s="16">
        <v>46264</v>
      </c>
      <c r="D2306">
        <v>221496.38</v>
      </c>
    </row>
    <row r="2307" spans="1:4" x14ac:dyDescent="0.3">
      <c r="A2307" s="78" t="s">
        <v>23</v>
      </c>
      <c r="B2307" s="78"/>
      <c r="C2307" s="16">
        <v>46264</v>
      </c>
      <c r="D2307">
        <v>98169.25999999998</v>
      </c>
    </row>
    <row r="2308" spans="1:4" x14ac:dyDescent="0.3">
      <c r="A2308" s="78" t="s">
        <v>24</v>
      </c>
      <c r="B2308" s="78"/>
      <c r="C2308" s="16">
        <v>46264</v>
      </c>
      <c r="D2308">
        <v>13270.02</v>
      </c>
    </row>
    <row r="2309" spans="1:4" x14ac:dyDescent="0.3">
      <c r="A2309" s="78" t="s">
        <v>25</v>
      </c>
      <c r="B2309" s="78"/>
      <c r="C2309" s="16">
        <v>46264</v>
      </c>
      <c r="D2309">
        <v>124.45</v>
      </c>
    </row>
    <row r="2310" spans="1:4" x14ac:dyDescent="0.3">
      <c r="A2310" s="78" t="s">
        <v>26</v>
      </c>
      <c r="B2310" s="78"/>
      <c r="C2310" s="16">
        <v>46264</v>
      </c>
      <c r="D2310">
        <v>2177.87</v>
      </c>
    </row>
    <row r="2311" spans="1:4" x14ac:dyDescent="0.3">
      <c r="A2311" s="78" t="s">
        <v>27</v>
      </c>
      <c r="B2311" s="78"/>
      <c r="C2311" s="16">
        <v>46264</v>
      </c>
      <c r="D2311">
        <v>754424.72</v>
      </c>
    </row>
    <row r="2312" spans="1:4" x14ac:dyDescent="0.3">
      <c r="A2312" s="78" t="s">
        <v>28</v>
      </c>
      <c r="B2312" s="78"/>
      <c r="C2312" s="16">
        <v>46264</v>
      </c>
      <c r="D2312">
        <v>1968.99</v>
      </c>
    </row>
    <row r="2313" spans="1:4" x14ac:dyDescent="0.3">
      <c r="A2313" s="78" t="s">
        <v>29</v>
      </c>
      <c r="B2313" s="78"/>
      <c r="C2313" s="16">
        <v>46264</v>
      </c>
      <c r="D2313">
        <v>901.34</v>
      </c>
    </row>
    <row r="2314" spans="1:4" x14ac:dyDescent="0.3">
      <c r="A2314" s="78" t="s">
        <v>30</v>
      </c>
      <c r="B2314" s="78"/>
      <c r="C2314" s="16">
        <v>46264</v>
      </c>
      <c r="D2314">
        <v>1396.08</v>
      </c>
    </row>
    <row r="2315" spans="1:4" x14ac:dyDescent="0.3">
      <c r="A2315" s="78" t="s">
        <v>31</v>
      </c>
      <c r="B2315" s="78"/>
      <c r="C2315" s="16">
        <v>46264</v>
      </c>
      <c r="D2315">
        <v>33670.709999999963</v>
      </c>
    </row>
    <row r="2316" spans="1:4" x14ac:dyDescent="0.3">
      <c r="A2316" s="78" t="s">
        <v>32</v>
      </c>
      <c r="B2316" s="78"/>
      <c r="C2316" s="16">
        <v>46264</v>
      </c>
      <c r="D2316">
        <v>29709.170000000006</v>
      </c>
    </row>
    <row r="2317" spans="1:4" x14ac:dyDescent="0.3">
      <c r="A2317" s="78" t="s">
        <v>33</v>
      </c>
      <c r="B2317" s="78"/>
      <c r="C2317" s="16">
        <v>46264</v>
      </c>
      <c r="D2317">
        <v>19336.039999999997</v>
      </c>
    </row>
    <row r="2318" spans="1:4" x14ac:dyDescent="0.3">
      <c r="A2318" s="78" t="s">
        <v>34</v>
      </c>
      <c r="B2318" s="78"/>
      <c r="C2318" s="16">
        <v>46264</v>
      </c>
      <c r="D2318">
        <v>345</v>
      </c>
    </row>
    <row r="2319" spans="1:4" x14ac:dyDescent="0.3">
      <c r="A2319" s="78" t="s">
        <v>35</v>
      </c>
      <c r="B2319" s="78"/>
      <c r="C2319" s="16">
        <v>46264</v>
      </c>
      <c r="D2319">
        <v>9560.0000000000018</v>
      </c>
    </row>
    <row r="2320" spans="1:4" x14ac:dyDescent="0.3">
      <c r="A2320" s="78" t="s">
        <v>17</v>
      </c>
      <c r="B2320" s="78"/>
      <c r="C2320" s="16">
        <v>46265</v>
      </c>
      <c r="D2320">
        <v>821786.21000000054</v>
      </c>
    </row>
    <row r="2321" spans="1:4" x14ac:dyDescent="0.3">
      <c r="A2321" s="78" t="s">
        <v>18</v>
      </c>
      <c r="B2321" s="78"/>
      <c r="C2321" s="16">
        <v>46265</v>
      </c>
      <c r="D2321">
        <v>93280.230000000171</v>
      </c>
    </row>
    <row r="2322" spans="1:4" x14ac:dyDescent="0.3">
      <c r="A2322" s="78" t="s">
        <v>19</v>
      </c>
      <c r="B2322" s="78"/>
      <c r="C2322" s="16">
        <v>46265</v>
      </c>
      <c r="D2322">
        <v>1669.89</v>
      </c>
    </row>
    <row r="2323" spans="1:4" x14ac:dyDescent="0.3">
      <c r="A2323" s="78" t="s">
        <v>20</v>
      </c>
      <c r="B2323" s="78"/>
      <c r="C2323" s="16">
        <v>46265</v>
      </c>
      <c r="D2323">
        <v>1250938</v>
      </c>
    </row>
    <row r="2324" spans="1:4" x14ac:dyDescent="0.3">
      <c r="A2324" s="78" t="s">
        <v>21</v>
      </c>
      <c r="B2324" s="78"/>
      <c r="C2324" s="16">
        <v>46265</v>
      </c>
      <c r="D2324">
        <v>1569843.3299999996</v>
      </c>
    </row>
    <row r="2325" spans="1:4" x14ac:dyDescent="0.3">
      <c r="A2325" s="78" t="s">
        <v>22</v>
      </c>
      <c r="B2325" s="78"/>
      <c r="C2325" s="16">
        <v>46265</v>
      </c>
      <c r="D2325">
        <v>221496.38</v>
      </c>
    </row>
    <row r="2326" spans="1:4" x14ac:dyDescent="0.3">
      <c r="A2326" s="78" t="s">
        <v>23</v>
      </c>
      <c r="B2326" s="78"/>
      <c r="C2326" s="16">
        <v>46265</v>
      </c>
      <c r="D2326">
        <v>98169.25999999998</v>
      </c>
    </row>
    <row r="2327" spans="1:4" x14ac:dyDescent="0.3">
      <c r="A2327" s="78" t="s">
        <v>24</v>
      </c>
      <c r="B2327" s="78"/>
      <c r="C2327" s="16">
        <v>46265</v>
      </c>
      <c r="D2327">
        <v>13270.02</v>
      </c>
    </row>
    <row r="2328" spans="1:4" x14ac:dyDescent="0.3">
      <c r="A2328" s="78" t="s">
        <v>25</v>
      </c>
      <c r="B2328" s="78"/>
      <c r="C2328" s="16">
        <v>46265</v>
      </c>
      <c r="D2328">
        <v>124.45</v>
      </c>
    </row>
    <row r="2329" spans="1:4" x14ac:dyDescent="0.3">
      <c r="A2329" s="78" t="s">
        <v>26</v>
      </c>
      <c r="B2329" s="78"/>
      <c r="C2329" s="16">
        <v>46265</v>
      </c>
      <c r="D2329">
        <v>2177.87</v>
      </c>
    </row>
    <row r="2330" spans="1:4" x14ac:dyDescent="0.3">
      <c r="A2330" s="78" t="s">
        <v>27</v>
      </c>
      <c r="B2330" s="78"/>
      <c r="C2330" s="16">
        <v>46265</v>
      </c>
      <c r="D2330">
        <v>754424.72</v>
      </c>
    </row>
    <row r="2331" spans="1:4" x14ac:dyDescent="0.3">
      <c r="A2331" s="78" t="s">
        <v>28</v>
      </c>
      <c r="B2331" s="78"/>
      <c r="C2331" s="16">
        <v>46265</v>
      </c>
      <c r="D2331">
        <v>1968.99</v>
      </c>
    </row>
    <row r="2332" spans="1:4" x14ac:dyDescent="0.3">
      <c r="A2332" s="78" t="s">
        <v>29</v>
      </c>
      <c r="B2332" s="78"/>
      <c r="C2332" s="16">
        <v>46265</v>
      </c>
      <c r="D2332">
        <v>901.34</v>
      </c>
    </row>
    <row r="2333" spans="1:4" x14ac:dyDescent="0.3">
      <c r="A2333" s="78" t="s">
        <v>30</v>
      </c>
      <c r="B2333" s="78"/>
      <c r="C2333" s="16">
        <v>46265</v>
      </c>
      <c r="D2333">
        <v>1396.08</v>
      </c>
    </row>
    <row r="2334" spans="1:4" x14ac:dyDescent="0.3">
      <c r="A2334" s="78" t="s">
        <v>31</v>
      </c>
      <c r="B2334" s="78"/>
      <c r="C2334" s="16">
        <v>46265</v>
      </c>
      <c r="D2334">
        <v>33570.709999999963</v>
      </c>
    </row>
    <row r="2335" spans="1:4" x14ac:dyDescent="0.3">
      <c r="A2335" s="78" t="s">
        <v>32</v>
      </c>
      <c r="B2335" s="78"/>
      <c r="C2335" s="16">
        <v>46265</v>
      </c>
      <c r="D2335">
        <v>26559.170000000006</v>
      </c>
    </row>
    <row r="2336" spans="1:4" x14ac:dyDescent="0.3">
      <c r="A2336" s="78" t="s">
        <v>33</v>
      </c>
      <c r="B2336" s="78"/>
      <c r="C2336" s="16">
        <v>46265</v>
      </c>
      <c r="D2336">
        <v>23736.039999999997</v>
      </c>
    </row>
    <row r="2337" spans="1:4" x14ac:dyDescent="0.3">
      <c r="A2337" s="78" t="s">
        <v>34</v>
      </c>
      <c r="B2337" s="78"/>
      <c r="C2337" s="16">
        <v>46265</v>
      </c>
      <c r="D2337">
        <v>345</v>
      </c>
    </row>
    <row r="2338" spans="1:4" x14ac:dyDescent="0.3">
      <c r="A2338" s="78" t="s">
        <v>35</v>
      </c>
      <c r="B2338" s="78"/>
      <c r="C2338" s="16">
        <v>46265</v>
      </c>
      <c r="D2338">
        <v>9560.0000000000018</v>
      </c>
    </row>
    <row r="2339" spans="1:4" x14ac:dyDescent="0.3">
      <c r="A2339" s="78" t="s">
        <v>17</v>
      </c>
      <c r="B2339" s="78"/>
      <c r="C2339" s="16">
        <v>46266</v>
      </c>
      <c r="D2339">
        <v>839010.72000000055</v>
      </c>
    </row>
    <row r="2340" spans="1:4" x14ac:dyDescent="0.3">
      <c r="A2340" s="78" t="s">
        <v>18</v>
      </c>
      <c r="B2340" s="78"/>
      <c r="C2340" s="16">
        <v>46266</v>
      </c>
      <c r="D2340">
        <v>93280.230000000171</v>
      </c>
    </row>
    <row r="2341" spans="1:4" x14ac:dyDescent="0.3">
      <c r="A2341" s="78" t="s">
        <v>19</v>
      </c>
      <c r="B2341" s="78"/>
      <c r="C2341" s="16">
        <v>46266</v>
      </c>
      <c r="D2341">
        <v>1669.89</v>
      </c>
    </row>
    <row r="2342" spans="1:4" x14ac:dyDescent="0.3">
      <c r="A2342" s="78" t="s">
        <v>20</v>
      </c>
      <c r="B2342" s="78"/>
      <c r="C2342" s="16">
        <v>46266</v>
      </c>
      <c r="D2342">
        <v>1250938</v>
      </c>
    </row>
    <row r="2343" spans="1:4" x14ac:dyDescent="0.3">
      <c r="A2343" s="78" t="s">
        <v>21</v>
      </c>
      <c r="B2343" s="78"/>
      <c r="C2343" s="16">
        <v>46266</v>
      </c>
      <c r="D2343">
        <v>1499204.7399999998</v>
      </c>
    </row>
    <row r="2344" spans="1:4" x14ac:dyDescent="0.3">
      <c r="A2344" s="78" t="s">
        <v>22</v>
      </c>
      <c r="B2344" s="78"/>
      <c r="C2344" s="16">
        <v>46266</v>
      </c>
      <c r="D2344">
        <v>215496.38</v>
      </c>
    </row>
    <row r="2345" spans="1:4" x14ac:dyDescent="0.3">
      <c r="A2345" s="78" t="s">
        <v>23</v>
      </c>
      <c r="B2345" s="78"/>
      <c r="C2345" s="16">
        <v>46266</v>
      </c>
      <c r="D2345">
        <v>98169.25999999998</v>
      </c>
    </row>
    <row r="2346" spans="1:4" x14ac:dyDescent="0.3">
      <c r="A2346" s="78" t="s">
        <v>24</v>
      </c>
      <c r="B2346" s="78"/>
      <c r="C2346" s="16">
        <v>46266</v>
      </c>
      <c r="D2346">
        <v>13270.02</v>
      </c>
    </row>
    <row r="2347" spans="1:4" x14ac:dyDescent="0.3">
      <c r="A2347" s="78" t="s">
        <v>25</v>
      </c>
      <c r="B2347" s="78"/>
      <c r="C2347" s="16">
        <v>46266</v>
      </c>
      <c r="D2347">
        <v>94.5</v>
      </c>
    </row>
    <row r="2348" spans="1:4" x14ac:dyDescent="0.3">
      <c r="A2348" s="78" t="s">
        <v>26</v>
      </c>
      <c r="B2348" s="78"/>
      <c r="C2348" s="16">
        <v>46266</v>
      </c>
      <c r="D2348">
        <v>2147.92</v>
      </c>
    </row>
    <row r="2349" spans="1:4" x14ac:dyDescent="0.3">
      <c r="A2349" s="78" t="s">
        <v>27</v>
      </c>
      <c r="B2349" s="78"/>
      <c r="C2349" s="16">
        <v>46266</v>
      </c>
      <c r="D2349">
        <v>754424.72</v>
      </c>
    </row>
    <row r="2350" spans="1:4" x14ac:dyDescent="0.3">
      <c r="A2350" s="78" t="s">
        <v>28</v>
      </c>
      <c r="B2350" s="78"/>
      <c r="C2350" s="16">
        <v>46266</v>
      </c>
      <c r="D2350">
        <v>1968.99</v>
      </c>
    </row>
    <row r="2351" spans="1:4" x14ac:dyDescent="0.3">
      <c r="A2351" s="78" t="s">
        <v>29</v>
      </c>
      <c r="B2351" s="78"/>
      <c r="C2351" s="16">
        <v>46266</v>
      </c>
      <c r="D2351">
        <v>901.34</v>
      </c>
    </row>
    <row r="2352" spans="1:4" x14ac:dyDescent="0.3">
      <c r="A2352" s="78" t="s">
        <v>30</v>
      </c>
      <c r="B2352" s="78"/>
      <c r="C2352" s="16">
        <v>46266</v>
      </c>
      <c r="D2352">
        <v>1380.08</v>
      </c>
    </row>
    <row r="2353" spans="1:4" x14ac:dyDescent="0.3">
      <c r="A2353" s="78" t="s">
        <v>31</v>
      </c>
      <c r="B2353" s="78"/>
      <c r="C2353" s="16">
        <v>46266</v>
      </c>
      <c r="D2353">
        <v>25027.379999999961</v>
      </c>
    </row>
    <row r="2354" spans="1:4" x14ac:dyDescent="0.3">
      <c r="A2354" s="78" t="s">
        <v>32</v>
      </c>
      <c r="B2354" s="78"/>
      <c r="C2354" s="16">
        <v>46266</v>
      </c>
      <c r="D2354">
        <v>16760.540000000008</v>
      </c>
    </row>
    <row r="2355" spans="1:4" x14ac:dyDescent="0.3">
      <c r="A2355" s="78" t="s">
        <v>33</v>
      </c>
      <c r="B2355" s="78"/>
      <c r="C2355" s="16">
        <v>46266</v>
      </c>
      <c r="D2355">
        <v>14962.999999999996</v>
      </c>
    </row>
    <row r="2356" spans="1:4" x14ac:dyDescent="0.3">
      <c r="A2356" s="78" t="s">
        <v>34</v>
      </c>
      <c r="B2356" s="78"/>
      <c r="C2356" s="16">
        <v>46266</v>
      </c>
      <c r="D2356">
        <v>345</v>
      </c>
    </row>
    <row r="2357" spans="1:4" x14ac:dyDescent="0.3">
      <c r="A2357" s="78" t="s">
        <v>35</v>
      </c>
      <c r="B2357" s="78"/>
      <c r="C2357" s="16">
        <v>46266</v>
      </c>
      <c r="D2357">
        <v>9549.7500000000018</v>
      </c>
    </row>
    <row r="2358" spans="1:4" x14ac:dyDescent="0.3">
      <c r="A2358" s="78" t="s">
        <v>17</v>
      </c>
      <c r="B2358" s="78"/>
      <c r="C2358" s="16">
        <v>46267</v>
      </c>
      <c r="D2358">
        <v>1549729.4500000007</v>
      </c>
    </row>
    <row r="2359" spans="1:4" x14ac:dyDescent="0.3">
      <c r="A2359" s="78" t="s">
        <v>18</v>
      </c>
      <c r="B2359" s="78"/>
      <c r="C2359" s="16">
        <v>46267</v>
      </c>
      <c r="D2359">
        <v>93280.230000000171</v>
      </c>
    </row>
    <row r="2360" spans="1:4" x14ac:dyDescent="0.3">
      <c r="A2360" s="78" t="s">
        <v>19</v>
      </c>
      <c r="B2360" s="78"/>
      <c r="C2360" s="16">
        <v>46267</v>
      </c>
      <c r="D2360">
        <v>1669.89</v>
      </c>
    </row>
    <row r="2361" spans="1:4" x14ac:dyDescent="0.3">
      <c r="A2361" s="78" t="s">
        <v>20</v>
      </c>
      <c r="B2361" s="78"/>
      <c r="C2361" s="16">
        <v>46267</v>
      </c>
      <c r="D2361">
        <v>1250938</v>
      </c>
    </row>
    <row r="2362" spans="1:4" x14ac:dyDescent="0.3">
      <c r="A2362" s="78" t="s">
        <v>21</v>
      </c>
      <c r="B2362" s="78"/>
      <c r="C2362" s="16">
        <v>46267</v>
      </c>
      <c r="D2362">
        <v>1499204.7399999998</v>
      </c>
    </row>
    <row r="2363" spans="1:4" x14ac:dyDescent="0.3">
      <c r="A2363" s="78" t="s">
        <v>22</v>
      </c>
      <c r="B2363" s="78"/>
      <c r="C2363" s="16">
        <v>46267</v>
      </c>
      <c r="D2363">
        <v>249778.14</v>
      </c>
    </row>
    <row r="2364" spans="1:4" x14ac:dyDescent="0.3">
      <c r="A2364" s="78" t="s">
        <v>23</v>
      </c>
      <c r="B2364" s="78"/>
      <c r="C2364" s="16">
        <v>46267</v>
      </c>
      <c r="D2364">
        <v>98169.25999999998</v>
      </c>
    </row>
    <row r="2365" spans="1:4" x14ac:dyDescent="0.3">
      <c r="A2365" s="78" t="s">
        <v>24</v>
      </c>
      <c r="B2365" s="78"/>
      <c r="C2365" s="16">
        <v>46267</v>
      </c>
      <c r="D2365">
        <v>13270.02</v>
      </c>
    </row>
    <row r="2366" spans="1:4" x14ac:dyDescent="0.3">
      <c r="A2366" s="78" t="s">
        <v>25</v>
      </c>
      <c r="B2366" s="78"/>
      <c r="C2366" s="16">
        <v>46267</v>
      </c>
      <c r="D2366">
        <v>94.5</v>
      </c>
    </row>
    <row r="2367" spans="1:4" x14ac:dyDescent="0.3">
      <c r="A2367" s="78" t="s">
        <v>26</v>
      </c>
      <c r="B2367" s="78"/>
      <c r="C2367" s="16">
        <v>46267</v>
      </c>
      <c r="D2367">
        <v>2147.92</v>
      </c>
    </row>
    <row r="2368" spans="1:4" x14ac:dyDescent="0.3">
      <c r="A2368" s="78" t="s">
        <v>27</v>
      </c>
      <c r="B2368" s="78"/>
      <c r="C2368" s="16">
        <v>46267</v>
      </c>
      <c r="D2368">
        <v>18005.290000000015</v>
      </c>
    </row>
    <row r="2369" spans="1:4" x14ac:dyDescent="0.3">
      <c r="A2369" s="78" t="s">
        <v>28</v>
      </c>
      <c r="B2369" s="78"/>
      <c r="C2369" s="16">
        <v>46267</v>
      </c>
      <c r="D2369">
        <v>1968.99</v>
      </c>
    </row>
    <row r="2370" spans="1:4" x14ac:dyDescent="0.3">
      <c r="A2370" s="78" t="s">
        <v>29</v>
      </c>
      <c r="B2370" s="78"/>
      <c r="C2370" s="16">
        <v>46267</v>
      </c>
      <c r="D2370">
        <v>901.34</v>
      </c>
    </row>
    <row r="2371" spans="1:4" x14ac:dyDescent="0.3">
      <c r="A2371" s="78" t="s">
        <v>30</v>
      </c>
      <c r="B2371" s="78"/>
      <c r="C2371" s="16">
        <v>46267</v>
      </c>
      <c r="D2371">
        <v>1380.08</v>
      </c>
    </row>
    <row r="2372" spans="1:4" x14ac:dyDescent="0.3">
      <c r="A2372" s="78" t="s">
        <v>31</v>
      </c>
      <c r="B2372" s="78"/>
      <c r="C2372" s="16">
        <v>46267</v>
      </c>
      <c r="D2372">
        <v>25027.379999999961</v>
      </c>
    </row>
    <row r="2373" spans="1:4" x14ac:dyDescent="0.3">
      <c r="A2373" s="78" t="s">
        <v>32</v>
      </c>
      <c r="B2373" s="78"/>
      <c r="C2373" s="16">
        <v>46267</v>
      </c>
      <c r="D2373">
        <v>16760.540000000008</v>
      </c>
    </row>
    <row r="2374" spans="1:4" x14ac:dyDescent="0.3">
      <c r="A2374" s="78" t="s">
        <v>33</v>
      </c>
      <c r="B2374" s="78"/>
      <c r="C2374" s="16">
        <v>46267</v>
      </c>
      <c r="D2374">
        <v>14162.999999999996</v>
      </c>
    </row>
    <row r="2375" spans="1:4" x14ac:dyDescent="0.3">
      <c r="A2375" s="78" t="s">
        <v>34</v>
      </c>
      <c r="B2375" s="78"/>
      <c r="C2375" s="16">
        <v>46267</v>
      </c>
      <c r="D2375">
        <v>345</v>
      </c>
    </row>
    <row r="2376" spans="1:4" x14ac:dyDescent="0.3">
      <c r="A2376" s="78" t="s">
        <v>35</v>
      </c>
      <c r="B2376" s="78"/>
      <c r="C2376" s="16">
        <v>46267</v>
      </c>
      <c r="D2376">
        <v>5861.1200000000026</v>
      </c>
    </row>
    <row r="2377" spans="1:4" x14ac:dyDescent="0.3">
      <c r="A2377" s="78" t="s">
        <v>17</v>
      </c>
      <c r="B2377" s="78"/>
      <c r="C2377" s="16">
        <v>46268</v>
      </c>
      <c r="D2377">
        <v>1549729.4500000007</v>
      </c>
    </row>
    <row r="2378" spans="1:4" x14ac:dyDescent="0.3">
      <c r="A2378" s="78" t="s">
        <v>18</v>
      </c>
      <c r="B2378" s="78"/>
      <c r="C2378" s="16">
        <v>46268</v>
      </c>
      <c r="D2378">
        <v>93280.230000000171</v>
      </c>
    </row>
    <row r="2379" spans="1:4" x14ac:dyDescent="0.3">
      <c r="A2379" s="78" t="s">
        <v>19</v>
      </c>
      <c r="B2379" s="78"/>
      <c r="C2379" s="16">
        <v>46268</v>
      </c>
      <c r="D2379">
        <v>1669.89</v>
      </c>
    </row>
    <row r="2380" spans="1:4" x14ac:dyDescent="0.3">
      <c r="A2380" s="78" t="s">
        <v>20</v>
      </c>
      <c r="B2380" s="78"/>
      <c r="C2380" s="16">
        <v>46268</v>
      </c>
      <c r="D2380">
        <v>1250938</v>
      </c>
    </row>
    <row r="2381" spans="1:4" x14ac:dyDescent="0.3">
      <c r="A2381" s="78" t="s">
        <v>21</v>
      </c>
      <c r="B2381" s="78"/>
      <c r="C2381" s="16">
        <v>46268</v>
      </c>
      <c r="D2381">
        <v>1499204.7399999998</v>
      </c>
    </row>
    <row r="2382" spans="1:4" x14ac:dyDescent="0.3">
      <c r="A2382" s="78" t="s">
        <v>22</v>
      </c>
      <c r="B2382" s="78"/>
      <c r="C2382" s="16">
        <v>46268</v>
      </c>
      <c r="D2382">
        <v>249778.14</v>
      </c>
    </row>
    <row r="2383" spans="1:4" x14ac:dyDescent="0.3">
      <c r="A2383" s="78" t="s">
        <v>23</v>
      </c>
      <c r="B2383" s="78"/>
      <c r="C2383" s="16">
        <v>46268</v>
      </c>
      <c r="D2383">
        <v>98169.25999999998</v>
      </c>
    </row>
    <row r="2384" spans="1:4" x14ac:dyDescent="0.3">
      <c r="A2384" s="78" t="s">
        <v>24</v>
      </c>
      <c r="B2384" s="78"/>
      <c r="C2384" s="16">
        <v>46268</v>
      </c>
      <c r="D2384">
        <v>13270.02</v>
      </c>
    </row>
    <row r="2385" spans="1:4" x14ac:dyDescent="0.3">
      <c r="A2385" s="78" t="s">
        <v>25</v>
      </c>
      <c r="B2385" s="78"/>
      <c r="C2385" s="16">
        <v>46268</v>
      </c>
      <c r="D2385">
        <v>94.5</v>
      </c>
    </row>
    <row r="2386" spans="1:4" x14ac:dyDescent="0.3">
      <c r="A2386" s="78" t="s">
        <v>26</v>
      </c>
      <c r="B2386" s="78"/>
      <c r="C2386" s="16">
        <v>46268</v>
      </c>
      <c r="D2386">
        <v>2147.92</v>
      </c>
    </row>
    <row r="2387" spans="1:4" x14ac:dyDescent="0.3">
      <c r="A2387" s="78" t="s">
        <v>27</v>
      </c>
      <c r="B2387" s="78"/>
      <c r="C2387" s="16">
        <v>46268</v>
      </c>
      <c r="D2387">
        <v>18005.290000000015</v>
      </c>
    </row>
    <row r="2388" spans="1:4" x14ac:dyDescent="0.3">
      <c r="A2388" s="78" t="s">
        <v>28</v>
      </c>
      <c r="B2388" s="78"/>
      <c r="C2388" s="16">
        <v>46268</v>
      </c>
      <c r="D2388">
        <v>1968.99</v>
      </c>
    </row>
    <row r="2389" spans="1:4" x14ac:dyDescent="0.3">
      <c r="A2389" s="78" t="s">
        <v>29</v>
      </c>
      <c r="B2389" s="78"/>
      <c r="C2389" s="16">
        <v>46268</v>
      </c>
      <c r="D2389">
        <v>901.34</v>
      </c>
    </row>
    <row r="2390" spans="1:4" x14ac:dyDescent="0.3">
      <c r="A2390" s="78" t="s">
        <v>30</v>
      </c>
      <c r="B2390" s="78"/>
      <c r="C2390" s="16">
        <v>46268</v>
      </c>
      <c r="D2390">
        <v>1380.08</v>
      </c>
    </row>
    <row r="2391" spans="1:4" x14ac:dyDescent="0.3">
      <c r="A2391" s="78" t="s">
        <v>31</v>
      </c>
      <c r="B2391" s="78"/>
      <c r="C2391" s="16">
        <v>46268</v>
      </c>
      <c r="D2391">
        <v>25027.379999999961</v>
      </c>
    </row>
    <row r="2392" spans="1:4" x14ac:dyDescent="0.3">
      <c r="A2392" s="78" t="s">
        <v>32</v>
      </c>
      <c r="B2392" s="78"/>
      <c r="C2392" s="16">
        <v>46268</v>
      </c>
      <c r="D2392">
        <v>16760.540000000008</v>
      </c>
    </row>
    <row r="2393" spans="1:4" x14ac:dyDescent="0.3">
      <c r="A2393" s="78" t="s">
        <v>33</v>
      </c>
      <c r="B2393" s="78"/>
      <c r="C2393" s="16">
        <v>46268</v>
      </c>
      <c r="D2393">
        <v>14162.999999999996</v>
      </c>
    </row>
    <row r="2394" spans="1:4" x14ac:dyDescent="0.3">
      <c r="A2394" s="78" t="s">
        <v>34</v>
      </c>
      <c r="B2394" s="78"/>
      <c r="C2394" s="16">
        <v>46268</v>
      </c>
      <c r="D2394">
        <v>345</v>
      </c>
    </row>
    <row r="2395" spans="1:4" x14ac:dyDescent="0.3">
      <c r="A2395" s="78" t="s">
        <v>35</v>
      </c>
      <c r="B2395" s="78"/>
      <c r="C2395" s="16">
        <v>46268</v>
      </c>
      <c r="D2395">
        <v>5861.1200000000026</v>
      </c>
    </row>
    <row r="2396" spans="1:4" x14ac:dyDescent="0.3">
      <c r="A2396" s="78" t="s">
        <v>17</v>
      </c>
      <c r="B2396" s="78"/>
      <c r="C2396" s="16">
        <v>46269</v>
      </c>
      <c r="D2396">
        <v>1549729.4500000007</v>
      </c>
    </row>
    <row r="2397" spans="1:4" x14ac:dyDescent="0.3">
      <c r="A2397" s="78" t="s">
        <v>18</v>
      </c>
      <c r="B2397" s="78"/>
      <c r="C2397" s="16">
        <v>46269</v>
      </c>
      <c r="D2397">
        <v>93280.230000000171</v>
      </c>
    </row>
    <row r="2398" spans="1:4" x14ac:dyDescent="0.3">
      <c r="A2398" s="78" t="s">
        <v>19</v>
      </c>
      <c r="B2398" s="78"/>
      <c r="C2398" s="16">
        <v>46269</v>
      </c>
      <c r="D2398">
        <v>1669.89</v>
      </c>
    </row>
    <row r="2399" spans="1:4" x14ac:dyDescent="0.3">
      <c r="A2399" s="78" t="s">
        <v>20</v>
      </c>
      <c r="B2399" s="78"/>
      <c r="C2399" s="16">
        <v>46269</v>
      </c>
      <c r="D2399">
        <v>1250938</v>
      </c>
    </row>
    <row r="2400" spans="1:4" x14ac:dyDescent="0.3">
      <c r="A2400" s="78" t="s">
        <v>21</v>
      </c>
      <c r="B2400" s="78"/>
      <c r="C2400" s="16">
        <v>46269</v>
      </c>
      <c r="D2400">
        <v>1499204.7399999998</v>
      </c>
    </row>
    <row r="2401" spans="1:4" x14ac:dyDescent="0.3">
      <c r="A2401" s="78" t="s">
        <v>22</v>
      </c>
      <c r="B2401" s="78"/>
      <c r="C2401" s="16">
        <v>46269</v>
      </c>
      <c r="D2401">
        <v>249778.14</v>
      </c>
    </row>
    <row r="2402" spans="1:4" x14ac:dyDescent="0.3">
      <c r="A2402" s="78" t="s">
        <v>23</v>
      </c>
      <c r="B2402" s="78"/>
      <c r="C2402" s="16">
        <v>46269</v>
      </c>
      <c r="D2402">
        <v>98169.25999999998</v>
      </c>
    </row>
    <row r="2403" spans="1:4" x14ac:dyDescent="0.3">
      <c r="A2403" s="78" t="s">
        <v>24</v>
      </c>
      <c r="B2403" s="78"/>
      <c r="C2403" s="16">
        <v>46269</v>
      </c>
      <c r="D2403">
        <v>13270.02</v>
      </c>
    </row>
    <row r="2404" spans="1:4" x14ac:dyDescent="0.3">
      <c r="A2404" s="78" t="s">
        <v>25</v>
      </c>
      <c r="B2404" s="78"/>
      <c r="C2404" s="16">
        <v>46269</v>
      </c>
      <c r="D2404">
        <v>94.5</v>
      </c>
    </row>
    <row r="2405" spans="1:4" x14ac:dyDescent="0.3">
      <c r="A2405" s="78" t="s">
        <v>26</v>
      </c>
      <c r="B2405" s="78"/>
      <c r="C2405" s="16">
        <v>46269</v>
      </c>
      <c r="D2405">
        <v>2147.92</v>
      </c>
    </row>
    <row r="2406" spans="1:4" x14ac:dyDescent="0.3">
      <c r="A2406" s="78" t="s">
        <v>27</v>
      </c>
      <c r="B2406" s="78"/>
      <c r="C2406" s="16">
        <v>46269</v>
      </c>
      <c r="D2406">
        <v>18005.290000000015</v>
      </c>
    </row>
    <row r="2407" spans="1:4" x14ac:dyDescent="0.3">
      <c r="A2407" s="78" t="s">
        <v>28</v>
      </c>
      <c r="B2407" s="78"/>
      <c r="C2407" s="16">
        <v>46269</v>
      </c>
      <c r="D2407">
        <v>1968.99</v>
      </c>
    </row>
    <row r="2408" spans="1:4" x14ac:dyDescent="0.3">
      <c r="A2408" s="78" t="s">
        <v>29</v>
      </c>
      <c r="B2408" s="78"/>
      <c r="C2408" s="16">
        <v>46269</v>
      </c>
      <c r="D2408">
        <v>901.34</v>
      </c>
    </row>
    <row r="2409" spans="1:4" x14ac:dyDescent="0.3">
      <c r="A2409" s="78" t="s">
        <v>30</v>
      </c>
      <c r="B2409" s="78"/>
      <c r="C2409" s="16">
        <v>46269</v>
      </c>
      <c r="D2409">
        <v>1380.08</v>
      </c>
    </row>
    <row r="2410" spans="1:4" x14ac:dyDescent="0.3">
      <c r="A2410" s="78" t="s">
        <v>31</v>
      </c>
      <c r="B2410" s="78"/>
      <c r="C2410" s="16">
        <v>46269</v>
      </c>
      <c r="D2410">
        <v>25027.379999999961</v>
      </c>
    </row>
    <row r="2411" spans="1:4" x14ac:dyDescent="0.3">
      <c r="A2411" s="78" t="s">
        <v>32</v>
      </c>
      <c r="B2411" s="78"/>
      <c r="C2411" s="16">
        <v>46269</v>
      </c>
      <c r="D2411">
        <v>16760.540000000008</v>
      </c>
    </row>
    <row r="2412" spans="1:4" x14ac:dyDescent="0.3">
      <c r="A2412" s="78" t="s">
        <v>33</v>
      </c>
      <c r="B2412" s="78"/>
      <c r="C2412" s="16">
        <v>46269</v>
      </c>
      <c r="D2412">
        <v>14162.999999999996</v>
      </c>
    </row>
    <row r="2413" spans="1:4" x14ac:dyDescent="0.3">
      <c r="A2413" s="78" t="s">
        <v>34</v>
      </c>
      <c r="B2413" s="78"/>
      <c r="C2413" s="16">
        <v>46269</v>
      </c>
      <c r="D2413">
        <v>345</v>
      </c>
    </row>
    <row r="2414" spans="1:4" x14ac:dyDescent="0.3">
      <c r="A2414" s="78" t="s">
        <v>35</v>
      </c>
      <c r="B2414" s="78"/>
      <c r="C2414" s="16">
        <v>46269</v>
      </c>
      <c r="D2414">
        <v>5861.1200000000026</v>
      </c>
    </row>
    <row r="2415" spans="1:4" x14ac:dyDescent="0.3">
      <c r="A2415" s="78" t="s">
        <v>17</v>
      </c>
      <c r="B2415" s="78"/>
      <c r="C2415" s="16">
        <v>46270</v>
      </c>
      <c r="D2415">
        <v>1549729.4500000007</v>
      </c>
    </row>
    <row r="2416" spans="1:4" x14ac:dyDescent="0.3">
      <c r="A2416" s="78" t="s">
        <v>18</v>
      </c>
      <c r="B2416" s="78"/>
      <c r="C2416" s="16">
        <v>46270</v>
      </c>
      <c r="D2416">
        <v>93280.230000000171</v>
      </c>
    </row>
    <row r="2417" spans="1:4" x14ac:dyDescent="0.3">
      <c r="A2417" s="78" t="s">
        <v>19</v>
      </c>
      <c r="B2417" s="78"/>
      <c r="C2417" s="16">
        <v>46270</v>
      </c>
      <c r="D2417">
        <v>1669.89</v>
      </c>
    </row>
    <row r="2418" spans="1:4" x14ac:dyDescent="0.3">
      <c r="A2418" s="78" t="s">
        <v>20</v>
      </c>
      <c r="B2418" s="78"/>
      <c r="C2418" s="16">
        <v>46270</v>
      </c>
      <c r="D2418">
        <v>1250938</v>
      </c>
    </row>
    <row r="2419" spans="1:4" x14ac:dyDescent="0.3">
      <c r="A2419" s="78" t="s">
        <v>21</v>
      </c>
      <c r="B2419" s="78"/>
      <c r="C2419" s="16">
        <v>46270</v>
      </c>
      <c r="D2419">
        <v>1499204.7399999998</v>
      </c>
    </row>
    <row r="2420" spans="1:4" x14ac:dyDescent="0.3">
      <c r="A2420" s="78" t="s">
        <v>22</v>
      </c>
      <c r="B2420" s="78"/>
      <c r="C2420" s="16">
        <v>46270</v>
      </c>
      <c r="D2420">
        <v>249778.14</v>
      </c>
    </row>
    <row r="2421" spans="1:4" x14ac:dyDescent="0.3">
      <c r="A2421" s="78" t="s">
        <v>23</v>
      </c>
      <c r="B2421" s="78"/>
      <c r="C2421" s="16">
        <v>46270</v>
      </c>
      <c r="D2421">
        <v>98169.25999999998</v>
      </c>
    </row>
    <row r="2422" spans="1:4" x14ac:dyDescent="0.3">
      <c r="A2422" s="78" t="s">
        <v>24</v>
      </c>
      <c r="B2422" s="78"/>
      <c r="C2422" s="16">
        <v>46270</v>
      </c>
      <c r="D2422">
        <v>13270.02</v>
      </c>
    </row>
    <row r="2423" spans="1:4" x14ac:dyDescent="0.3">
      <c r="A2423" s="78" t="s">
        <v>25</v>
      </c>
      <c r="B2423" s="78"/>
      <c r="C2423" s="16">
        <v>46270</v>
      </c>
      <c r="D2423">
        <v>94.5</v>
      </c>
    </row>
    <row r="2424" spans="1:4" x14ac:dyDescent="0.3">
      <c r="A2424" s="78" t="s">
        <v>26</v>
      </c>
      <c r="B2424" s="78"/>
      <c r="C2424" s="16">
        <v>46270</v>
      </c>
      <c r="D2424">
        <v>2147.92</v>
      </c>
    </row>
    <row r="2425" spans="1:4" x14ac:dyDescent="0.3">
      <c r="A2425" s="78" t="s">
        <v>27</v>
      </c>
      <c r="B2425" s="78"/>
      <c r="C2425" s="16">
        <v>46270</v>
      </c>
      <c r="D2425">
        <v>18005.290000000015</v>
      </c>
    </row>
    <row r="2426" spans="1:4" x14ac:dyDescent="0.3">
      <c r="A2426" s="78" t="s">
        <v>28</v>
      </c>
      <c r="B2426" s="78"/>
      <c r="C2426" s="16">
        <v>46270</v>
      </c>
      <c r="D2426">
        <v>1968.99</v>
      </c>
    </row>
    <row r="2427" spans="1:4" x14ac:dyDescent="0.3">
      <c r="A2427" s="78" t="s">
        <v>29</v>
      </c>
      <c r="B2427" s="78"/>
      <c r="C2427" s="16">
        <v>46270</v>
      </c>
      <c r="D2427">
        <v>901.34</v>
      </c>
    </row>
    <row r="2428" spans="1:4" x14ac:dyDescent="0.3">
      <c r="A2428" s="78" t="s">
        <v>30</v>
      </c>
      <c r="B2428" s="78"/>
      <c r="C2428" s="16">
        <v>46270</v>
      </c>
      <c r="D2428">
        <v>1380.08</v>
      </c>
    </row>
    <row r="2429" spans="1:4" x14ac:dyDescent="0.3">
      <c r="A2429" s="78" t="s">
        <v>31</v>
      </c>
      <c r="B2429" s="78"/>
      <c r="C2429" s="16">
        <v>46270</v>
      </c>
      <c r="D2429">
        <v>25027.379999999961</v>
      </c>
    </row>
    <row r="2430" spans="1:4" x14ac:dyDescent="0.3">
      <c r="A2430" s="78" t="s">
        <v>32</v>
      </c>
      <c r="B2430" s="78"/>
      <c r="C2430" s="16">
        <v>46270</v>
      </c>
      <c r="D2430">
        <v>16760.540000000008</v>
      </c>
    </row>
    <row r="2431" spans="1:4" x14ac:dyDescent="0.3">
      <c r="A2431" s="78" t="s">
        <v>33</v>
      </c>
      <c r="B2431" s="78"/>
      <c r="C2431" s="16">
        <v>46270</v>
      </c>
      <c r="D2431">
        <v>14162.999999999996</v>
      </c>
    </row>
    <row r="2432" spans="1:4" x14ac:dyDescent="0.3">
      <c r="A2432" s="78" t="s">
        <v>34</v>
      </c>
      <c r="B2432" s="78"/>
      <c r="C2432" s="16">
        <v>46270</v>
      </c>
      <c r="D2432">
        <v>345</v>
      </c>
    </row>
    <row r="2433" spans="1:4" x14ac:dyDescent="0.3">
      <c r="A2433" s="78" t="s">
        <v>35</v>
      </c>
      <c r="B2433" s="78"/>
      <c r="C2433" s="16">
        <v>46270</v>
      </c>
      <c r="D2433">
        <v>5861.1200000000026</v>
      </c>
    </row>
    <row r="2434" spans="1:4" x14ac:dyDescent="0.3">
      <c r="A2434" s="78" t="s">
        <v>17</v>
      </c>
      <c r="B2434" s="78"/>
      <c r="C2434" s="16">
        <v>46271</v>
      </c>
      <c r="D2434">
        <v>1549729.4500000007</v>
      </c>
    </row>
    <row r="2435" spans="1:4" x14ac:dyDescent="0.3">
      <c r="A2435" s="78" t="s">
        <v>18</v>
      </c>
      <c r="B2435" s="78"/>
      <c r="C2435" s="16">
        <v>46271</v>
      </c>
      <c r="D2435">
        <v>93280.230000000171</v>
      </c>
    </row>
    <row r="2436" spans="1:4" x14ac:dyDescent="0.3">
      <c r="A2436" s="78" t="s">
        <v>19</v>
      </c>
      <c r="B2436" s="78"/>
      <c r="C2436" s="16">
        <v>46271</v>
      </c>
      <c r="D2436">
        <v>1669.89</v>
      </c>
    </row>
    <row r="2437" spans="1:4" x14ac:dyDescent="0.3">
      <c r="A2437" s="78" t="s">
        <v>20</v>
      </c>
      <c r="B2437" s="78"/>
      <c r="C2437" s="16">
        <v>46271</v>
      </c>
      <c r="D2437">
        <v>1250938</v>
      </c>
    </row>
    <row r="2438" spans="1:4" x14ac:dyDescent="0.3">
      <c r="A2438" s="78" t="s">
        <v>21</v>
      </c>
      <c r="B2438" s="78"/>
      <c r="C2438" s="16">
        <v>46271</v>
      </c>
      <c r="D2438">
        <v>1499204.7399999998</v>
      </c>
    </row>
    <row r="2439" spans="1:4" x14ac:dyDescent="0.3">
      <c r="A2439" s="78" t="s">
        <v>22</v>
      </c>
      <c r="B2439" s="78"/>
      <c r="C2439" s="16">
        <v>46271</v>
      </c>
      <c r="D2439">
        <v>249778.14</v>
      </c>
    </row>
    <row r="2440" spans="1:4" x14ac:dyDescent="0.3">
      <c r="A2440" s="78" t="s">
        <v>23</v>
      </c>
      <c r="B2440" s="78"/>
      <c r="C2440" s="16">
        <v>46271</v>
      </c>
      <c r="D2440">
        <v>98169.25999999998</v>
      </c>
    </row>
    <row r="2441" spans="1:4" x14ac:dyDescent="0.3">
      <c r="A2441" s="78" t="s">
        <v>24</v>
      </c>
      <c r="B2441" s="78"/>
      <c r="C2441" s="16">
        <v>46271</v>
      </c>
      <c r="D2441">
        <v>13270.02</v>
      </c>
    </row>
    <row r="2442" spans="1:4" x14ac:dyDescent="0.3">
      <c r="A2442" s="78" t="s">
        <v>25</v>
      </c>
      <c r="B2442" s="78"/>
      <c r="C2442" s="16">
        <v>46271</v>
      </c>
      <c r="D2442">
        <v>94.5</v>
      </c>
    </row>
    <row r="2443" spans="1:4" x14ac:dyDescent="0.3">
      <c r="A2443" s="78" t="s">
        <v>26</v>
      </c>
      <c r="B2443" s="78"/>
      <c r="C2443" s="16">
        <v>46271</v>
      </c>
      <c r="D2443">
        <v>2147.92</v>
      </c>
    </row>
    <row r="2444" spans="1:4" x14ac:dyDescent="0.3">
      <c r="A2444" s="78" t="s">
        <v>27</v>
      </c>
      <c r="B2444" s="78"/>
      <c r="C2444" s="16">
        <v>46271</v>
      </c>
      <c r="D2444">
        <v>18005.290000000015</v>
      </c>
    </row>
    <row r="2445" spans="1:4" x14ac:dyDescent="0.3">
      <c r="A2445" s="78" t="s">
        <v>28</v>
      </c>
      <c r="B2445" s="78"/>
      <c r="C2445" s="16">
        <v>46271</v>
      </c>
      <c r="D2445">
        <v>1968.99</v>
      </c>
    </row>
    <row r="2446" spans="1:4" x14ac:dyDescent="0.3">
      <c r="A2446" s="78" t="s">
        <v>29</v>
      </c>
      <c r="B2446" s="78"/>
      <c r="C2446" s="16">
        <v>46271</v>
      </c>
      <c r="D2446">
        <v>901.34</v>
      </c>
    </row>
    <row r="2447" spans="1:4" x14ac:dyDescent="0.3">
      <c r="A2447" s="78" t="s">
        <v>30</v>
      </c>
      <c r="B2447" s="78"/>
      <c r="C2447" s="16">
        <v>46271</v>
      </c>
      <c r="D2447">
        <v>1380.08</v>
      </c>
    </row>
    <row r="2448" spans="1:4" x14ac:dyDescent="0.3">
      <c r="A2448" s="78" t="s">
        <v>31</v>
      </c>
      <c r="B2448" s="78"/>
      <c r="C2448" s="16">
        <v>46271</v>
      </c>
      <c r="D2448">
        <v>25027.379999999961</v>
      </c>
    </row>
    <row r="2449" spans="1:4" x14ac:dyDescent="0.3">
      <c r="A2449" s="78" t="s">
        <v>32</v>
      </c>
      <c r="B2449" s="78"/>
      <c r="C2449" s="16">
        <v>46271</v>
      </c>
      <c r="D2449">
        <v>16760.540000000008</v>
      </c>
    </row>
    <row r="2450" spans="1:4" x14ac:dyDescent="0.3">
      <c r="A2450" s="78" t="s">
        <v>33</v>
      </c>
      <c r="B2450" s="78"/>
      <c r="C2450" s="16">
        <v>46271</v>
      </c>
      <c r="D2450">
        <v>14162.999999999996</v>
      </c>
    </row>
    <row r="2451" spans="1:4" x14ac:dyDescent="0.3">
      <c r="A2451" s="78" t="s">
        <v>34</v>
      </c>
      <c r="B2451" s="78"/>
      <c r="C2451" s="16">
        <v>46271</v>
      </c>
      <c r="D2451">
        <v>345</v>
      </c>
    </row>
    <row r="2452" spans="1:4" x14ac:dyDescent="0.3">
      <c r="A2452" s="78" t="s">
        <v>35</v>
      </c>
      <c r="B2452" s="78"/>
      <c r="C2452" s="16">
        <v>46271</v>
      </c>
      <c r="D2452">
        <v>5861.1200000000026</v>
      </c>
    </row>
    <row r="2453" spans="1:4" x14ac:dyDescent="0.3">
      <c r="A2453" s="78" t="s">
        <v>17</v>
      </c>
      <c r="B2453" s="78"/>
      <c r="C2453" s="16">
        <v>46272</v>
      </c>
      <c r="D2453">
        <v>1549729.4500000007</v>
      </c>
    </row>
    <row r="2454" spans="1:4" x14ac:dyDescent="0.3">
      <c r="A2454" s="78" t="s">
        <v>18</v>
      </c>
      <c r="B2454" s="78"/>
      <c r="C2454" s="16">
        <v>46272</v>
      </c>
      <c r="D2454">
        <v>93280.230000000171</v>
      </c>
    </row>
    <row r="2455" spans="1:4" x14ac:dyDescent="0.3">
      <c r="A2455" s="78" t="s">
        <v>19</v>
      </c>
      <c r="B2455" s="78"/>
      <c r="C2455" s="16">
        <v>46272</v>
      </c>
      <c r="D2455">
        <v>1669.89</v>
      </c>
    </row>
    <row r="2456" spans="1:4" x14ac:dyDescent="0.3">
      <c r="A2456" s="78" t="s">
        <v>20</v>
      </c>
      <c r="B2456" s="78"/>
      <c r="C2456" s="16">
        <v>46272</v>
      </c>
      <c r="D2456">
        <v>1250938</v>
      </c>
    </row>
    <row r="2457" spans="1:4" x14ac:dyDescent="0.3">
      <c r="A2457" s="78" t="s">
        <v>21</v>
      </c>
      <c r="B2457" s="78"/>
      <c r="C2457" s="16">
        <v>46272</v>
      </c>
      <c r="D2457">
        <v>1499204.7399999998</v>
      </c>
    </row>
    <row r="2458" spans="1:4" x14ac:dyDescent="0.3">
      <c r="A2458" s="78" t="s">
        <v>22</v>
      </c>
      <c r="B2458" s="78"/>
      <c r="C2458" s="16">
        <v>46272</v>
      </c>
      <c r="D2458">
        <v>249778.14</v>
      </c>
    </row>
    <row r="2459" spans="1:4" x14ac:dyDescent="0.3">
      <c r="A2459" s="78" t="s">
        <v>23</v>
      </c>
      <c r="B2459" s="78"/>
      <c r="C2459" s="16">
        <v>46272</v>
      </c>
      <c r="D2459">
        <v>98169.25999999998</v>
      </c>
    </row>
    <row r="2460" spans="1:4" x14ac:dyDescent="0.3">
      <c r="A2460" s="78" t="s">
        <v>24</v>
      </c>
      <c r="B2460" s="78"/>
      <c r="C2460" s="16">
        <v>46272</v>
      </c>
      <c r="D2460">
        <v>13270.02</v>
      </c>
    </row>
    <row r="2461" spans="1:4" x14ac:dyDescent="0.3">
      <c r="A2461" s="78" t="s">
        <v>25</v>
      </c>
      <c r="B2461" s="78"/>
      <c r="C2461" s="16">
        <v>46272</v>
      </c>
      <c r="D2461">
        <v>94.5</v>
      </c>
    </row>
    <row r="2462" spans="1:4" x14ac:dyDescent="0.3">
      <c r="A2462" s="78" t="s">
        <v>26</v>
      </c>
      <c r="B2462" s="78"/>
      <c r="C2462" s="16">
        <v>46272</v>
      </c>
      <c r="D2462">
        <v>2147.92</v>
      </c>
    </row>
    <row r="2463" spans="1:4" x14ac:dyDescent="0.3">
      <c r="A2463" s="78" t="s">
        <v>27</v>
      </c>
      <c r="B2463" s="78"/>
      <c r="C2463" s="16">
        <v>46272</v>
      </c>
      <c r="D2463">
        <v>18005.290000000015</v>
      </c>
    </row>
    <row r="2464" spans="1:4" x14ac:dyDescent="0.3">
      <c r="A2464" s="78" t="s">
        <v>28</v>
      </c>
      <c r="B2464" s="78"/>
      <c r="C2464" s="16">
        <v>46272</v>
      </c>
      <c r="D2464">
        <v>1968.99</v>
      </c>
    </row>
    <row r="2465" spans="1:4" x14ac:dyDescent="0.3">
      <c r="A2465" s="78" t="s">
        <v>29</v>
      </c>
      <c r="B2465" s="78"/>
      <c r="C2465" s="16">
        <v>46272</v>
      </c>
      <c r="D2465">
        <v>901.34</v>
      </c>
    </row>
    <row r="2466" spans="1:4" x14ac:dyDescent="0.3">
      <c r="A2466" s="78" t="s">
        <v>30</v>
      </c>
      <c r="B2466" s="78"/>
      <c r="C2466" s="16">
        <v>46272</v>
      </c>
      <c r="D2466">
        <v>1380.08</v>
      </c>
    </row>
    <row r="2467" spans="1:4" x14ac:dyDescent="0.3">
      <c r="A2467" s="78" t="s">
        <v>31</v>
      </c>
      <c r="B2467" s="78"/>
      <c r="C2467" s="16">
        <v>46272</v>
      </c>
      <c r="D2467">
        <v>25027.379999999961</v>
      </c>
    </row>
    <row r="2468" spans="1:4" x14ac:dyDescent="0.3">
      <c r="A2468" s="78" t="s">
        <v>32</v>
      </c>
      <c r="B2468" s="78"/>
      <c r="C2468" s="16">
        <v>46272</v>
      </c>
      <c r="D2468">
        <v>16760.540000000008</v>
      </c>
    </row>
    <row r="2469" spans="1:4" x14ac:dyDescent="0.3">
      <c r="A2469" s="78" t="s">
        <v>33</v>
      </c>
      <c r="B2469" s="78"/>
      <c r="C2469" s="16">
        <v>46272</v>
      </c>
      <c r="D2469">
        <v>14162.999999999996</v>
      </c>
    </row>
    <row r="2470" spans="1:4" x14ac:dyDescent="0.3">
      <c r="A2470" s="78" t="s">
        <v>34</v>
      </c>
      <c r="B2470" s="78"/>
      <c r="C2470" s="16">
        <v>46272</v>
      </c>
      <c r="D2470">
        <v>345</v>
      </c>
    </row>
    <row r="2471" spans="1:4" x14ac:dyDescent="0.3">
      <c r="A2471" s="78" t="s">
        <v>35</v>
      </c>
      <c r="B2471" s="78"/>
      <c r="C2471" s="16">
        <v>46272</v>
      </c>
      <c r="D2471">
        <v>5861.1200000000026</v>
      </c>
    </row>
    <row r="2472" spans="1:4" x14ac:dyDescent="0.3">
      <c r="A2472" s="78" t="s">
        <v>17</v>
      </c>
      <c r="B2472" s="78"/>
      <c r="C2472" s="16">
        <v>46273</v>
      </c>
      <c r="D2472">
        <v>1805955.2800000007</v>
      </c>
    </row>
    <row r="2473" spans="1:4" x14ac:dyDescent="0.3">
      <c r="A2473" s="78" t="s">
        <v>18</v>
      </c>
      <c r="B2473" s="78"/>
      <c r="C2473" s="16">
        <v>46273</v>
      </c>
      <c r="D2473">
        <v>93737.970000000176</v>
      </c>
    </row>
    <row r="2474" spans="1:4" x14ac:dyDescent="0.3">
      <c r="A2474" s="78" t="s">
        <v>19</v>
      </c>
      <c r="B2474" s="78"/>
      <c r="C2474" s="16">
        <v>46273</v>
      </c>
      <c r="D2474">
        <v>1669.89</v>
      </c>
    </row>
    <row r="2475" spans="1:4" x14ac:dyDescent="0.3">
      <c r="A2475" s="78" t="s">
        <v>20</v>
      </c>
      <c r="B2475" s="78"/>
      <c r="C2475" s="16">
        <v>46273</v>
      </c>
      <c r="D2475">
        <v>1256669.99</v>
      </c>
    </row>
    <row r="2476" spans="1:4" x14ac:dyDescent="0.3">
      <c r="A2476" s="78" t="s">
        <v>21</v>
      </c>
      <c r="B2476" s="78"/>
      <c r="C2476" s="16">
        <v>46273</v>
      </c>
      <c r="D2476">
        <v>1490233.3099999996</v>
      </c>
    </row>
    <row r="2477" spans="1:4" x14ac:dyDescent="0.3">
      <c r="A2477" s="78" t="s">
        <v>22</v>
      </c>
      <c r="B2477" s="78"/>
      <c r="C2477" s="16">
        <v>46273</v>
      </c>
      <c r="D2477">
        <v>249778.14</v>
      </c>
    </row>
    <row r="2478" spans="1:4" x14ac:dyDescent="0.3">
      <c r="A2478" s="78" t="s">
        <v>23</v>
      </c>
      <c r="B2478" s="78"/>
      <c r="C2478" s="16">
        <v>46273</v>
      </c>
      <c r="D2478">
        <v>98169.25999999998</v>
      </c>
    </row>
    <row r="2479" spans="1:4" x14ac:dyDescent="0.3">
      <c r="A2479" s="78" t="s">
        <v>24</v>
      </c>
      <c r="B2479" s="78"/>
      <c r="C2479" s="16">
        <v>46273</v>
      </c>
      <c r="D2479">
        <v>13270.02</v>
      </c>
    </row>
    <row r="2480" spans="1:4" x14ac:dyDescent="0.3">
      <c r="A2480" s="78" t="s">
        <v>25</v>
      </c>
      <c r="B2480" s="78"/>
      <c r="C2480" s="16">
        <v>46273</v>
      </c>
      <c r="D2480">
        <v>94.5</v>
      </c>
    </row>
    <row r="2481" spans="1:4" x14ac:dyDescent="0.3">
      <c r="A2481" s="78" t="s">
        <v>26</v>
      </c>
      <c r="B2481" s="78"/>
      <c r="C2481" s="16">
        <v>46273</v>
      </c>
      <c r="D2481">
        <v>2147.92</v>
      </c>
    </row>
    <row r="2482" spans="1:4" x14ac:dyDescent="0.3">
      <c r="A2482" s="78" t="s">
        <v>27</v>
      </c>
      <c r="B2482" s="78"/>
      <c r="C2482" s="16">
        <v>46273</v>
      </c>
      <c r="D2482">
        <v>18005.290000000015</v>
      </c>
    </row>
    <row r="2483" spans="1:4" x14ac:dyDescent="0.3">
      <c r="A2483" s="78" t="s">
        <v>28</v>
      </c>
      <c r="B2483" s="78"/>
      <c r="C2483" s="16">
        <v>46273</v>
      </c>
      <c r="D2483">
        <v>1968.99</v>
      </c>
    </row>
    <row r="2484" spans="1:4" x14ac:dyDescent="0.3">
      <c r="A2484" s="78" t="s">
        <v>29</v>
      </c>
      <c r="B2484" s="78"/>
      <c r="C2484" s="16">
        <v>46273</v>
      </c>
      <c r="D2484">
        <v>901.34</v>
      </c>
    </row>
    <row r="2485" spans="1:4" x14ac:dyDescent="0.3">
      <c r="A2485" s="78" t="s">
        <v>30</v>
      </c>
      <c r="B2485" s="78"/>
      <c r="C2485" s="16">
        <v>46273</v>
      </c>
      <c r="D2485">
        <v>1380.08</v>
      </c>
    </row>
    <row r="2486" spans="1:4" x14ac:dyDescent="0.3">
      <c r="A2486" s="78" t="s">
        <v>31</v>
      </c>
      <c r="B2486" s="78"/>
      <c r="C2486" s="16">
        <v>46273</v>
      </c>
      <c r="D2486">
        <v>25027.379999999961</v>
      </c>
    </row>
    <row r="2487" spans="1:4" x14ac:dyDescent="0.3">
      <c r="A2487" s="78" t="s">
        <v>32</v>
      </c>
      <c r="B2487" s="78"/>
      <c r="C2487" s="16">
        <v>46273</v>
      </c>
      <c r="D2487">
        <v>16760.540000000008</v>
      </c>
    </row>
    <row r="2488" spans="1:4" x14ac:dyDescent="0.3">
      <c r="A2488" s="78" t="s">
        <v>33</v>
      </c>
      <c r="B2488" s="78"/>
      <c r="C2488" s="16">
        <v>46273</v>
      </c>
      <c r="D2488">
        <v>14162.999999999996</v>
      </c>
    </row>
    <row r="2489" spans="1:4" x14ac:dyDescent="0.3">
      <c r="A2489" s="78" t="s">
        <v>34</v>
      </c>
      <c r="B2489" s="78"/>
      <c r="C2489" s="16">
        <v>46273</v>
      </c>
      <c r="D2489">
        <v>345</v>
      </c>
    </row>
    <row r="2490" spans="1:4" x14ac:dyDescent="0.3">
      <c r="A2490" s="78" t="s">
        <v>35</v>
      </c>
      <c r="B2490" s="78"/>
      <c r="C2490" s="16">
        <v>46273</v>
      </c>
      <c r="D2490">
        <v>5861.1200000000026</v>
      </c>
    </row>
    <row r="2491" spans="1:4" x14ac:dyDescent="0.3">
      <c r="A2491" s="78" t="s">
        <v>17</v>
      </c>
      <c r="B2491" s="78"/>
      <c r="C2491" s="16">
        <v>46274</v>
      </c>
      <c r="D2491">
        <v>1805355.2800000007</v>
      </c>
    </row>
    <row r="2492" spans="1:4" x14ac:dyDescent="0.3">
      <c r="A2492" s="78" t="s">
        <v>18</v>
      </c>
      <c r="B2492" s="78"/>
      <c r="C2492" s="16">
        <v>46274</v>
      </c>
      <c r="D2492">
        <v>93737.970000000176</v>
      </c>
    </row>
    <row r="2493" spans="1:4" x14ac:dyDescent="0.3">
      <c r="A2493" s="78" t="s">
        <v>19</v>
      </c>
      <c r="B2493" s="78"/>
      <c r="C2493" s="16">
        <v>46274</v>
      </c>
      <c r="D2493">
        <v>1669.89</v>
      </c>
    </row>
    <row r="2494" spans="1:4" x14ac:dyDescent="0.3">
      <c r="A2494" s="78" t="s">
        <v>20</v>
      </c>
      <c r="B2494" s="78"/>
      <c r="C2494" s="16">
        <v>46274</v>
      </c>
      <c r="D2494">
        <v>1256669.99</v>
      </c>
    </row>
    <row r="2495" spans="1:4" x14ac:dyDescent="0.3">
      <c r="A2495" s="78" t="s">
        <v>21</v>
      </c>
      <c r="B2495" s="78"/>
      <c r="C2495" s="16">
        <v>46274</v>
      </c>
      <c r="D2495">
        <v>1487787.1299999997</v>
      </c>
    </row>
    <row r="2496" spans="1:4" x14ac:dyDescent="0.3">
      <c r="A2496" s="78" t="s">
        <v>22</v>
      </c>
      <c r="B2496" s="78"/>
      <c r="C2496" s="16">
        <v>46274</v>
      </c>
      <c r="D2496">
        <v>229778.14</v>
      </c>
    </row>
    <row r="2497" spans="1:4" x14ac:dyDescent="0.3">
      <c r="A2497" s="78" t="s">
        <v>23</v>
      </c>
      <c r="B2497" s="78"/>
      <c r="C2497" s="16">
        <v>46274</v>
      </c>
      <c r="D2497">
        <v>98169.25999999998</v>
      </c>
    </row>
    <row r="2498" spans="1:4" x14ac:dyDescent="0.3">
      <c r="A2498" s="78" t="s">
        <v>24</v>
      </c>
      <c r="B2498" s="78"/>
      <c r="C2498" s="16">
        <v>46274</v>
      </c>
      <c r="D2498">
        <v>13270.02</v>
      </c>
    </row>
    <row r="2499" spans="1:4" x14ac:dyDescent="0.3">
      <c r="A2499" s="78" t="s">
        <v>25</v>
      </c>
      <c r="B2499" s="78"/>
      <c r="C2499" s="16">
        <v>46274</v>
      </c>
      <c r="D2499">
        <v>94.5</v>
      </c>
    </row>
    <row r="2500" spans="1:4" x14ac:dyDescent="0.3">
      <c r="A2500" s="78" t="s">
        <v>26</v>
      </c>
      <c r="B2500" s="78"/>
      <c r="C2500" s="16">
        <v>46274</v>
      </c>
      <c r="D2500">
        <v>2147.92</v>
      </c>
    </row>
    <row r="2501" spans="1:4" x14ac:dyDescent="0.3">
      <c r="A2501" s="78" t="s">
        <v>27</v>
      </c>
      <c r="B2501" s="78"/>
      <c r="C2501" s="16">
        <v>46274</v>
      </c>
      <c r="D2501">
        <v>18005.290000000015</v>
      </c>
    </row>
    <row r="2502" spans="1:4" x14ac:dyDescent="0.3">
      <c r="A2502" s="78" t="s">
        <v>28</v>
      </c>
      <c r="B2502" s="78"/>
      <c r="C2502" s="16">
        <v>46274</v>
      </c>
      <c r="D2502">
        <v>1968.99</v>
      </c>
    </row>
    <row r="2503" spans="1:4" x14ac:dyDescent="0.3">
      <c r="A2503" s="78" t="s">
        <v>29</v>
      </c>
      <c r="B2503" s="78"/>
      <c r="C2503" s="16">
        <v>46274</v>
      </c>
      <c r="D2503">
        <v>901.34</v>
      </c>
    </row>
    <row r="2504" spans="1:4" x14ac:dyDescent="0.3">
      <c r="A2504" s="78" t="s">
        <v>30</v>
      </c>
      <c r="B2504" s="78"/>
      <c r="C2504" s="16">
        <v>46274</v>
      </c>
      <c r="D2504">
        <v>1380.08</v>
      </c>
    </row>
    <row r="2505" spans="1:4" x14ac:dyDescent="0.3">
      <c r="A2505" s="78" t="s">
        <v>31</v>
      </c>
      <c r="B2505" s="78"/>
      <c r="C2505" s="16">
        <v>46274</v>
      </c>
      <c r="D2505">
        <v>25027.379999999961</v>
      </c>
    </row>
    <row r="2506" spans="1:4" x14ac:dyDescent="0.3">
      <c r="A2506" s="78" t="s">
        <v>32</v>
      </c>
      <c r="B2506" s="78"/>
      <c r="C2506" s="16">
        <v>46274</v>
      </c>
      <c r="D2506">
        <v>16760.540000000008</v>
      </c>
    </row>
    <row r="2507" spans="1:4" x14ac:dyDescent="0.3">
      <c r="A2507" s="78" t="s">
        <v>33</v>
      </c>
      <c r="B2507" s="78"/>
      <c r="C2507" s="16">
        <v>46274</v>
      </c>
      <c r="D2507">
        <v>14162.999999999996</v>
      </c>
    </row>
    <row r="2508" spans="1:4" x14ac:dyDescent="0.3">
      <c r="A2508" s="78" t="s">
        <v>34</v>
      </c>
      <c r="B2508" s="78"/>
      <c r="C2508" s="16">
        <v>46274</v>
      </c>
      <c r="D2508">
        <v>345</v>
      </c>
    </row>
    <row r="2509" spans="1:4" x14ac:dyDescent="0.3">
      <c r="A2509" s="78" t="s">
        <v>35</v>
      </c>
      <c r="B2509" s="78"/>
      <c r="C2509" s="16">
        <v>46274</v>
      </c>
      <c r="D2509">
        <v>25812.570000000003</v>
      </c>
    </row>
    <row r="2510" spans="1:4" x14ac:dyDescent="0.3">
      <c r="A2510" s="78" t="s">
        <v>17</v>
      </c>
      <c r="B2510" s="78"/>
      <c r="C2510" s="16">
        <v>46275</v>
      </c>
      <c r="D2510">
        <v>1338116.3900000008</v>
      </c>
    </row>
    <row r="2511" spans="1:4" x14ac:dyDescent="0.3">
      <c r="A2511" s="78" t="s">
        <v>18</v>
      </c>
      <c r="B2511" s="78"/>
      <c r="C2511" s="16">
        <v>46275</v>
      </c>
      <c r="D2511">
        <v>93737.970000000176</v>
      </c>
    </row>
    <row r="2512" spans="1:4" x14ac:dyDescent="0.3">
      <c r="A2512" s="78" t="s">
        <v>19</v>
      </c>
      <c r="B2512" s="78"/>
      <c r="C2512" s="16">
        <v>46275</v>
      </c>
      <c r="D2512">
        <v>1669.89</v>
      </c>
    </row>
    <row r="2513" spans="1:4" x14ac:dyDescent="0.3">
      <c r="A2513" s="78" t="s">
        <v>20</v>
      </c>
      <c r="B2513" s="78"/>
      <c r="C2513" s="16">
        <v>46275</v>
      </c>
      <c r="D2513">
        <v>1089169.99</v>
      </c>
    </row>
    <row r="2514" spans="1:4" x14ac:dyDescent="0.3">
      <c r="A2514" s="78" t="s">
        <v>21</v>
      </c>
      <c r="B2514" s="78"/>
      <c r="C2514" s="16">
        <v>46275</v>
      </c>
      <c r="D2514">
        <v>1233789.9099999997</v>
      </c>
    </row>
    <row r="2515" spans="1:4" x14ac:dyDescent="0.3">
      <c r="A2515" s="78" t="s">
        <v>22</v>
      </c>
      <c r="B2515" s="78"/>
      <c r="C2515" s="16">
        <v>46275</v>
      </c>
      <c r="D2515">
        <v>229778.14</v>
      </c>
    </row>
    <row r="2516" spans="1:4" x14ac:dyDescent="0.3">
      <c r="A2516" s="78" t="s">
        <v>23</v>
      </c>
      <c r="B2516" s="78"/>
      <c r="C2516" s="16">
        <v>46275</v>
      </c>
      <c r="D2516">
        <v>98169.25999999998</v>
      </c>
    </row>
    <row r="2517" spans="1:4" x14ac:dyDescent="0.3">
      <c r="A2517" s="78" t="s">
        <v>24</v>
      </c>
      <c r="B2517" s="78"/>
      <c r="C2517" s="16">
        <v>46275</v>
      </c>
      <c r="D2517">
        <v>13270.02</v>
      </c>
    </row>
    <row r="2518" spans="1:4" x14ac:dyDescent="0.3">
      <c r="A2518" s="78" t="s">
        <v>25</v>
      </c>
      <c r="B2518" s="78"/>
      <c r="C2518" s="16">
        <v>46275</v>
      </c>
      <c r="D2518">
        <v>94.5</v>
      </c>
    </row>
    <row r="2519" spans="1:4" x14ac:dyDescent="0.3">
      <c r="A2519" s="78" t="s">
        <v>26</v>
      </c>
      <c r="B2519" s="78"/>
      <c r="C2519" s="16">
        <v>46275</v>
      </c>
      <c r="D2519">
        <v>2147.92</v>
      </c>
    </row>
    <row r="2520" spans="1:4" x14ac:dyDescent="0.3">
      <c r="A2520" s="78" t="s">
        <v>27</v>
      </c>
      <c r="B2520" s="78"/>
      <c r="C2520" s="16">
        <v>46275</v>
      </c>
      <c r="D2520">
        <v>18005.290000000015</v>
      </c>
    </row>
    <row r="2521" spans="1:4" x14ac:dyDescent="0.3">
      <c r="A2521" s="78" t="s">
        <v>28</v>
      </c>
      <c r="B2521" s="78"/>
      <c r="C2521" s="16">
        <v>46275</v>
      </c>
      <c r="D2521">
        <v>1968.99</v>
      </c>
    </row>
    <row r="2522" spans="1:4" x14ac:dyDescent="0.3">
      <c r="A2522" s="78" t="s">
        <v>29</v>
      </c>
      <c r="B2522" s="78"/>
      <c r="C2522" s="16">
        <v>46275</v>
      </c>
      <c r="D2522">
        <v>901.34</v>
      </c>
    </row>
    <row r="2523" spans="1:4" x14ac:dyDescent="0.3">
      <c r="A2523" s="78" t="s">
        <v>30</v>
      </c>
      <c r="B2523" s="78"/>
      <c r="C2523" s="16">
        <v>46275</v>
      </c>
      <c r="D2523">
        <v>1380.08</v>
      </c>
    </row>
    <row r="2524" spans="1:4" x14ac:dyDescent="0.3">
      <c r="A2524" s="78" t="s">
        <v>31</v>
      </c>
      <c r="B2524" s="78"/>
      <c r="C2524" s="16">
        <v>46275</v>
      </c>
      <c r="D2524">
        <v>25027.379999999961</v>
      </c>
    </row>
    <row r="2525" spans="1:4" x14ac:dyDescent="0.3">
      <c r="A2525" s="78" t="s">
        <v>32</v>
      </c>
      <c r="B2525" s="78"/>
      <c r="C2525" s="16">
        <v>46275</v>
      </c>
      <c r="D2525">
        <v>16760.540000000008</v>
      </c>
    </row>
    <row r="2526" spans="1:4" x14ac:dyDescent="0.3">
      <c r="A2526" s="78" t="s">
        <v>33</v>
      </c>
      <c r="B2526" s="78"/>
      <c r="C2526" s="16">
        <v>46275</v>
      </c>
      <c r="D2526">
        <v>14162.999999999996</v>
      </c>
    </row>
    <row r="2527" spans="1:4" x14ac:dyDescent="0.3">
      <c r="A2527" s="78" t="s">
        <v>34</v>
      </c>
      <c r="B2527" s="78"/>
      <c r="C2527" s="16">
        <v>46275</v>
      </c>
      <c r="D2527">
        <v>345</v>
      </c>
    </row>
    <row r="2528" spans="1:4" x14ac:dyDescent="0.3">
      <c r="A2528" s="78" t="s">
        <v>35</v>
      </c>
      <c r="B2528" s="78"/>
      <c r="C2528" s="16">
        <v>46275</v>
      </c>
      <c r="D2528">
        <v>23159.510000000002</v>
      </c>
    </row>
    <row r="2529" spans="1:4" x14ac:dyDescent="0.3">
      <c r="A2529" s="78" t="s">
        <v>17</v>
      </c>
      <c r="B2529" s="78"/>
      <c r="C2529" s="16">
        <v>46276</v>
      </c>
      <c r="D2529">
        <v>1892967.3900000008</v>
      </c>
    </row>
    <row r="2530" spans="1:4" x14ac:dyDescent="0.3">
      <c r="A2530" s="78" t="s">
        <v>18</v>
      </c>
      <c r="B2530" s="78"/>
      <c r="C2530" s="16">
        <v>46276</v>
      </c>
      <c r="D2530">
        <v>93737.970000000176</v>
      </c>
    </row>
    <row r="2531" spans="1:4" x14ac:dyDescent="0.3">
      <c r="A2531" s="78" t="s">
        <v>19</v>
      </c>
      <c r="B2531" s="78"/>
      <c r="C2531" s="16">
        <v>46276</v>
      </c>
      <c r="D2531">
        <v>1669.89</v>
      </c>
    </row>
    <row r="2532" spans="1:4" x14ac:dyDescent="0.3">
      <c r="A2532" s="78" t="s">
        <v>20</v>
      </c>
      <c r="B2532" s="78"/>
      <c r="C2532" s="16">
        <v>46276</v>
      </c>
      <c r="D2532">
        <v>1089124.99</v>
      </c>
    </row>
    <row r="2533" spans="1:4" x14ac:dyDescent="0.3">
      <c r="A2533" s="78" t="s">
        <v>21</v>
      </c>
      <c r="B2533" s="78"/>
      <c r="C2533" s="16">
        <v>46276</v>
      </c>
      <c r="D2533">
        <v>1233789.9099999997</v>
      </c>
    </row>
    <row r="2534" spans="1:4" x14ac:dyDescent="0.3">
      <c r="A2534" s="78" t="s">
        <v>22</v>
      </c>
      <c r="B2534" s="78"/>
      <c r="C2534" s="16">
        <v>46276</v>
      </c>
      <c r="D2534">
        <v>229778.14</v>
      </c>
    </row>
    <row r="2535" spans="1:4" x14ac:dyDescent="0.3">
      <c r="A2535" s="78" t="s">
        <v>23</v>
      </c>
      <c r="B2535" s="78"/>
      <c r="C2535" s="16">
        <v>46276</v>
      </c>
      <c r="D2535">
        <v>98169.25999999998</v>
      </c>
    </row>
    <row r="2536" spans="1:4" x14ac:dyDescent="0.3">
      <c r="A2536" s="78" t="s">
        <v>24</v>
      </c>
      <c r="B2536" s="78"/>
      <c r="C2536" s="16">
        <v>46276</v>
      </c>
      <c r="D2536">
        <v>13270.02</v>
      </c>
    </row>
    <row r="2537" spans="1:4" x14ac:dyDescent="0.3">
      <c r="A2537" s="78" t="s">
        <v>25</v>
      </c>
      <c r="B2537" s="78"/>
      <c r="C2537" s="16">
        <v>46276</v>
      </c>
      <c r="D2537">
        <v>94.5</v>
      </c>
    </row>
    <row r="2538" spans="1:4" x14ac:dyDescent="0.3">
      <c r="A2538" s="78" t="s">
        <v>26</v>
      </c>
      <c r="B2538" s="78"/>
      <c r="C2538" s="16">
        <v>46276</v>
      </c>
      <c r="D2538">
        <v>2147.92</v>
      </c>
    </row>
    <row r="2539" spans="1:4" x14ac:dyDescent="0.3">
      <c r="A2539" s="78" t="s">
        <v>27</v>
      </c>
      <c r="B2539" s="78"/>
      <c r="C2539" s="16">
        <v>46276</v>
      </c>
      <c r="D2539">
        <v>18005.290000000015</v>
      </c>
    </row>
    <row r="2540" spans="1:4" x14ac:dyDescent="0.3">
      <c r="A2540" s="78" t="s">
        <v>28</v>
      </c>
      <c r="B2540" s="78"/>
      <c r="C2540" s="16">
        <v>46276</v>
      </c>
      <c r="D2540">
        <v>1968.99</v>
      </c>
    </row>
    <row r="2541" spans="1:4" x14ac:dyDescent="0.3">
      <c r="A2541" s="78" t="s">
        <v>29</v>
      </c>
      <c r="B2541" s="78"/>
      <c r="C2541" s="16">
        <v>46276</v>
      </c>
      <c r="D2541">
        <v>901.34</v>
      </c>
    </row>
    <row r="2542" spans="1:4" x14ac:dyDescent="0.3">
      <c r="A2542" s="78" t="s">
        <v>30</v>
      </c>
      <c r="B2542" s="78"/>
      <c r="C2542" s="16">
        <v>46276</v>
      </c>
      <c r="D2542">
        <v>1380.08</v>
      </c>
    </row>
    <row r="2543" spans="1:4" x14ac:dyDescent="0.3">
      <c r="A2543" s="78" t="s">
        <v>31</v>
      </c>
      <c r="B2543" s="78"/>
      <c r="C2543" s="16">
        <v>46276</v>
      </c>
      <c r="D2543">
        <v>25027.379999999961</v>
      </c>
    </row>
    <row r="2544" spans="1:4" x14ac:dyDescent="0.3">
      <c r="A2544" s="78" t="s">
        <v>32</v>
      </c>
      <c r="B2544" s="78"/>
      <c r="C2544" s="16">
        <v>46276</v>
      </c>
      <c r="D2544">
        <v>16282.630000000006</v>
      </c>
    </row>
    <row r="2545" spans="1:4" x14ac:dyDescent="0.3">
      <c r="A2545" s="78" t="s">
        <v>33</v>
      </c>
      <c r="B2545" s="78"/>
      <c r="C2545" s="16">
        <v>46276</v>
      </c>
      <c r="D2545">
        <v>13339.389999999996</v>
      </c>
    </row>
    <row r="2546" spans="1:4" x14ac:dyDescent="0.3">
      <c r="A2546" s="78" t="s">
        <v>34</v>
      </c>
      <c r="B2546" s="78"/>
      <c r="C2546" s="16">
        <v>46276</v>
      </c>
      <c r="D2546">
        <v>345</v>
      </c>
    </row>
    <row r="2547" spans="1:4" x14ac:dyDescent="0.3">
      <c r="A2547" s="78" t="s">
        <v>35</v>
      </c>
      <c r="B2547" s="78"/>
      <c r="C2547" s="16">
        <v>46276</v>
      </c>
      <c r="D2547">
        <v>23057.24</v>
      </c>
    </row>
    <row r="2548" spans="1:4" x14ac:dyDescent="0.3">
      <c r="A2548" s="78" t="s">
        <v>17</v>
      </c>
      <c r="B2548" s="78"/>
      <c r="C2548" s="16">
        <v>46277</v>
      </c>
      <c r="D2548">
        <v>1892967.3900000008</v>
      </c>
    </row>
    <row r="2549" spans="1:4" x14ac:dyDescent="0.3">
      <c r="A2549" s="78" t="s">
        <v>18</v>
      </c>
      <c r="B2549" s="78"/>
      <c r="C2549" s="16">
        <v>46277</v>
      </c>
      <c r="D2549">
        <v>93737.970000000176</v>
      </c>
    </row>
    <row r="2550" spans="1:4" x14ac:dyDescent="0.3">
      <c r="A2550" s="78" t="s">
        <v>19</v>
      </c>
      <c r="B2550" s="78"/>
      <c r="C2550" s="16">
        <v>46277</v>
      </c>
      <c r="D2550">
        <v>1669.89</v>
      </c>
    </row>
    <row r="2551" spans="1:4" x14ac:dyDescent="0.3">
      <c r="A2551" s="78" t="s">
        <v>20</v>
      </c>
      <c r="B2551" s="78"/>
      <c r="C2551" s="16">
        <v>46277</v>
      </c>
      <c r="D2551">
        <v>1089124.99</v>
      </c>
    </row>
    <row r="2552" spans="1:4" x14ac:dyDescent="0.3">
      <c r="A2552" s="78" t="s">
        <v>21</v>
      </c>
      <c r="B2552" s="78"/>
      <c r="C2552" s="16">
        <v>46277</v>
      </c>
      <c r="D2552">
        <v>1233789.9099999997</v>
      </c>
    </row>
    <row r="2553" spans="1:4" x14ac:dyDescent="0.3">
      <c r="A2553" s="78" t="s">
        <v>22</v>
      </c>
      <c r="B2553" s="78"/>
      <c r="C2553" s="16">
        <v>46277</v>
      </c>
      <c r="D2553">
        <v>229778.14</v>
      </c>
    </row>
    <row r="2554" spans="1:4" x14ac:dyDescent="0.3">
      <c r="A2554" s="78" t="s">
        <v>23</v>
      </c>
      <c r="B2554" s="78"/>
      <c r="C2554" s="16">
        <v>46277</v>
      </c>
      <c r="D2554">
        <v>98169.25999999998</v>
      </c>
    </row>
    <row r="2555" spans="1:4" x14ac:dyDescent="0.3">
      <c r="A2555" s="78" t="s">
        <v>24</v>
      </c>
      <c r="B2555" s="78"/>
      <c r="C2555" s="16">
        <v>46277</v>
      </c>
      <c r="D2555">
        <v>13270.02</v>
      </c>
    </row>
    <row r="2556" spans="1:4" x14ac:dyDescent="0.3">
      <c r="A2556" s="78" t="s">
        <v>25</v>
      </c>
      <c r="B2556" s="78"/>
      <c r="C2556" s="16">
        <v>46277</v>
      </c>
      <c r="D2556">
        <v>94.5</v>
      </c>
    </row>
    <row r="2557" spans="1:4" x14ac:dyDescent="0.3">
      <c r="A2557" s="78" t="s">
        <v>26</v>
      </c>
      <c r="B2557" s="78"/>
      <c r="C2557" s="16">
        <v>46277</v>
      </c>
      <c r="D2557">
        <v>2147.92</v>
      </c>
    </row>
    <row r="2558" spans="1:4" x14ac:dyDescent="0.3">
      <c r="A2558" s="78" t="s">
        <v>27</v>
      </c>
      <c r="B2558" s="78"/>
      <c r="C2558" s="16">
        <v>46277</v>
      </c>
      <c r="D2558">
        <v>18005.290000000015</v>
      </c>
    </row>
    <row r="2559" spans="1:4" x14ac:dyDescent="0.3">
      <c r="A2559" s="78" t="s">
        <v>28</v>
      </c>
      <c r="B2559" s="78"/>
      <c r="C2559" s="16">
        <v>46277</v>
      </c>
      <c r="D2559">
        <v>1968.99</v>
      </c>
    </row>
    <row r="2560" spans="1:4" x14ac:dyDescent="0.3">
      <c r="A2560" s="78" t="s">
        <v>29</v>
      </c>
      <c r="B2560" s="78"/>
      <c r="C2560" s="16">
        <v>46277</v>
      </c>
      <c r="D2560">
        <v>901.34</v>
      </c>
    </row>
    <row r="2561" spans="1:4" x14ac:dyDescent="0.3">
      <c r="A2561" s="78" t="s">
        <v>30</v>
      </c>
      <c r="B2561" s="78"/>
      <c r="C2561" s="16">
        <v>46277</v>
      </c>
      <c r="D2561">
        <v>1380.08</v>
      </c>
    </row>
    <row r="2562" spans="1:4" x14ac:dyDescent="0.3">
      <c r="A2562" s="78" t="s">
        <v>31</v>
      </c>
      <c r="B2562" s="78"/>
      <c r="C2562" s="16">
        <v>46277</v>
      </c>
      <c r="D2562">
        <v>25027.379999999961</v>
      </c>
    </row>
    <row r="2563" spans="1:4" x14ac:dyDescent="0.3">
      <c r="A2563" s="78" t="s">
        <v>32</v>
      </c>
      <c r="B2563" s="78"/>
      <c r="C2563" s="16">
        <v>46277</v>
      </c>
      <c r="D2563">
        <v>16282.630000000006</v>
      </c>
    </row>
    <row r="2564" spans="1:4" x14ac:dyDescent="0.3">
      <c r="A2564" s="78" t="s">
        <v>33</v>
      </c>
      <c r="B2564" s="78"/>
      <c r="C2564" s="16">
        <v>46277</v>
      </c>
      <c r="D2564">
        <v>13339.389999999996</v>
      </c>
    </row>
    <row r="2565" spans="1:4" x14ac:dyDescent="0.3">
      <c r="A2565" s="78" t="s">
        <v>34</v>
      </c>
      <c r="B2565" s="78"/>
      <c r="C2565" s="16">
        <v>46277</v>
      </c>
      <c r="D2565">
        <v>345</v>
      </c>
    </row>
    <row r="2566" spans="1:4" x14ac:dyDescent="0.3">
      <c r="A2566" s="78" t="s">
        <v>35</v>
      </c>
      <c r="B2566" s="78"/>
      <c r="C2566" s="16">
        <v>46277</v>
      </c>
      <c r="D2566">
        <v>23057.24</v>
      </c>
    </row>
    <row r="2567" spans="1:4" x14ac:dyDescent="0.3">
      <c r="A2567" s="78" t="s">
        <v>17</v>
      </c>
      <c r="B2567" s="78"/>
      <c r="C2567" s="16">
        <v>46278</v>
      </c>
      <c r="D2567">
        <v>1892967.3900000008</v>
      </c>
    </row>
    <row r="2568" spans="1:4" x14ac:dyDescent="0.3">
      <c r="A2568" s="78" t="s">
        <v>18</v>
      </c>
      <c r="B2568" s="78"/>
      <c r="C2568" s="16">
        <v>46278</v>
      </c>
      <c r="D2568">
        <v>93737.970000000176</v>
      </c>
    </row>
    <row r="2569" spans="1:4" x14ac:dyDescent="0.3">
      <c r="A2569" s="78" t="s">
        <v>19</v>
      </c>
      <c r="B2569" s="78"/>
      <c r="C2569" s="16">
        <v>46278</v>
      </c>
      <c r="D2569">
        <v>1669.89</v>
      </c>
    </row>
    <row r="2570" spans="1:4" x14ac:dyDescent="0.3">
      <c r="A2570" s="78" t="s">
        <v>20</v>
      </c>
      <c r="B2570" s="78"/>
      <c r="C2570" s="16">
        <v>46278</v>
      </c>
      <c r="D2570">
        <v>1089124.99</v>
      </c>
    </row>
    <row r="2571" spans="1:4" x14ac:dyDescent="0.3">
      <c r="A2571" s="78" t="s">
        <v>21</v>
      </c>
      <c r="B2571" s="78"/>
      <c r="C2571" s="16">
        <v>46278</v>
      </c>
      <c r="D2571">
        <v>1233789.9099999997</v>
      </c>
    </row>
    <row r="2572" spans="1:4" x14ac:dyDescent="0.3">
      <c r="A2572" s="78" t="s">
        <v>22</v>
      </c>
      <c r="B2572" s="78"/>
      <c r="C2572" s="16">
        <v>46278</v>
      </c>
      <c r="D2572">
        <v>229778.14</v>
      </c>
    </row>
    <row r="2573" spans="1:4" x14ac:dyDescent="0.3">
      <c r="A2573" s="78" t="s">
        <v>23</v>
      </c>
      <c r="B2573" s="78"/>
      <c r="C2573" s="16">
        <v>46278</v>
      </c>
      <c r="D2573">
        <v>98169.25999999998</v>
      </c>
    </row>
    <row r="2574" spans="1:4" x14ac:dyDescent="0.3">
      <c r="A2574" s="78" t="s">
        <v>24</v>
      </c>
      <c r="B2574" s="78"/>
      <c r="C2574" s="16">
        <v>46278</v>
      </c>
      <c r="D2574">
        <v>13270.02</v>
      </c>
    </row>
    <row r="2575" spans="1:4" x14ac:dyDescent="0.3">
      <c r="A2575" s="78" t="s">
        <v>25</v>
      </c>
      <c r="B2575" s="78"/>
      <c r="C2575" s="16">
        <v>46278</v>
      </c>
      <c r="D2575">
        <v>94.5</v>
      </c>
    </row>
    <row r="2576" spans="1:4" x14ac:dyDescent="0.3">
      <c r="A2576" s="78" t="s">
        <v>26</v>
      </c>
      <c r="B2576" s="78"/>
      <c r="C2576" s="16">
        <v>46278</v>
      </c>
      <c r="D2576">
        <v>2147.92</v>
      </c>
    </row>
    <row r="2577" spans="1:4" x14ac:dyDescent="0.3">
      <c r="A2577" s="78" t="s">
        <v>27</v>
      </c>
      <c r="B2577" s="78"/>
      <c r="C2577" s="16">
        <v>46278</v>
      </c>
      <c r="D2577">
        <v>18005.290000000015</v>
      </c>
    </row>
    <row r="2578" spans="1:4" x14ac:dyDescent="0.3">
      <c r="A2578" s="78" t="s">
        <v>28</v>
      </c>
      <c r="B2578" s="78"/>
      <c r="C2578" s="16">
        <v>46278</v>
      </c>
      <c r="D2578">
        <v>1968.99</v>
      </c>
    </row>
    <row r="2579" spans="1:4" x14ac:dyDescent="0.3">
      <c r="A2579" s="78" t="s">
        <v>29</v>
      </c>
      <c r="B2579" s="78"/>
      <c r="C2579" s="16">
        <v>46278</v>
      </c>
      <c r="D2579">
        <v>901.34</v>
      </c>
    </row>
    <row r="2580" spans="1:4" x14ac:dyDescent="0.3">
      <c r="A2580" s="78" t="s">
        <v>30</v>
      </c>
      <c r="B2580" s="78"/>
      <c r="C2580" s="16">
        <v>46278</v>
      </c>
      <c r="D2580">
        <v>1380.08</v>
      </c>
    </row>
    <row r="2581" spans="1:4" x14ac:dyDescent="0.3">
      <c r="A2581" s="78" t="s">
        <v>31</v>
      </c>
      <c r="B2581" s="78"/>
      <c r="C2581" s="16">
        <v>46278</v>
      </c>
      <c r="D2581">
        <v>25027.379999999961</v>
      </c>
    </row>
    <row r="2582" spans="1:4" x14ac:dyDescent="0.3">
      <c r="A2582" s="78" t="s">
        <v>32</v>
      </c>
      <c r="B2582" s="78"/>
      <c r="C2582" s="16">
        <v>46278</v>
      </c>
      <c r="D2582">
        <v>16282.630000000006</v>
      </c>
    </row>
    <row r="2583" spans="1:4" x14ac:dyDescent="0.3">
      <c r="A2583" s="78" t="s">
        <v>33</v>
      </c>
      <c r="B2583" s="78"/>
      <c r="C2583" s="16">
        <v>46278</v>
      </c>
      <c r="D2583">
        <v>13339.389999999996</v>
      </c>
    </row>
    <row r="2584" spans="1:4" x14ac:dyDescent="0.3">
      <c r="A2584" s="78" t="s">
        <v>34</v>
      </c>
      <c r="B2584" s="78"/>
      <c r="C2584" s="16">
        <v>46278</v>
      </c>
      <c r="D2584">
        <v>345</v>
      </c>
    </row>
    <row r="2585" spans="1:4" x14ac:dyDescent="0.3">
      <c r="A2585" s="78" t="s">
        <v>35</v>
      </c>
      <c r="B2585" s="78"/>
      <c r="C2585" s="16">
        <v>46278</v>
      </c>
      <c r="D2585">
        <v>23057.24</v>
      </c>
    </row>
    <row r="2586" spans="1:4" x14ac:dyDescent="0.3">
      <c r="A2586" s="78" t="s">
        <v>17</v>
      </c>
      <c r="B2586" s="78"/>
      <c r="C2586" s="16">
        <v>46279</v>
      </c>
      <c r="D2586">
        <v>2042967.3900000008</v>
      </c>
    </row>
    <row r="2587" spans="1:4" x14ac:dyDescent="0.3">
      <c r="A2587" s="78" t="s">
        <v>18</v>
      </c>
      <c r="B2587" s="78"/>
      <c r="C2587" s="16">
        <v>46279</v>
      </c>
      <c r="D2587">
        <v>93737.970000000176</v>
      </c>
    </row>
    <row r="2588" spans="1:4" x14ac:dyDescent="0.3">
      <c r="A2588" s="78" t="s">
        <v>19</v>
      </c>
      <c r="B2588" s="78"/>
      <c r="C2588" s="16">
        <v>46279</v>
      </c>
      <c r="D2588">
        <v>1669.89</v>
      </c>
    </row>
    <row r="2589" spans="1:4" x14ac:dyDescent="0.3">
      <c r="A2589" s="78" t="s">
        <v>20</v>
      </c>
      <c r="B2589" s="78"/>
      <c r="C2589" s="16">
        <v>46279</v>
      </c>
      <c r="D2589">
        <v>1105910.26</v>
      </c>
    </row>
    <row r="2590" spans="1:4" x14ac:dyDescent="0.3">
      <c r="A2590" s="78" t="s">
        <v>21</v>
      </c>
      <c r="B2590" s="78"/>
      <c r="C2590" s="16">
        <v>46279</v>
      </c>
      <c r="D2590">
        <v>1192065.5999999996</v>
      </c>
    </row>
    <row r="2591" spans="1:4" x14ac:dyDescent="0.3">
      <c r="A2591" s="78" t="s">
        <v>22</v>
      </c>
      <c r="B2591" s="78"/>
      <c r="C2591" s="16">
        <v>46279</v>
      </c>
      <c r="D2591">
        <v>229778.14</v>
      </c>
    </row>
    <row r="2592" spans="1:4" x14ac:dyDescent="0.3">
      <c r="A2592" s="78" t="s">
        <v>23</v>
      </c>
      <c r="B2592" s="78"/>
      <c r="C2592" s="16">
        <v>46279</v>
      </c>
      <c r="D2592">
        <v>98169.25999999998</v>
      </c>
    </row>
    <row r="2593" spans="1:4" x14ac:dyDescent="0.3">
      <c r="A2593" s="78" t="s">
        <v>24</v>
      </c>
      <c r="B2593" s="78"/>
      <c r="C2593" s="16">
        <v>46279</v>
      </c>
      <c r="D2593">
        <v>13270.02</v>
      </c>
    </row>
    <row r="2594" spans="1:4" x14ac:dyDescent="0.3">
      <c r="A2594" s="78" t="s">
        <v>25</v>
      </c>
      <c r="B2594" s="78"/>
      <c r="C2594" s="16">
        <v>46279</v>
      </c>
      <c r="D2594">
        <v>94.5</v>
      </c>
    </row>
    <row r="2595" spans="1:4" x14ac:dyDescent="0.3">
      <c r="A2595" s="78" t="s">
        <v>26</v>
      </c>
      <c r="B2595" s="78"/>
      <c r="C2595" s="16">
        <v>46279</v>
      </c>
      <c r="D2595">
        <v>2147.92</v>
      </c>
    </row>
    <row r="2596" spans="1:4" x14ac:dyDescent="0.3">
      <c r="A2596" s="78" t="s">
        <v>27</v>
      </c>
      <c r="B2596" s="78"/>
      <c r="C2596" s="16">
        <v>46279</v>
      </c>
      <c r="D2596">
        <v>18005.290000000015</v>
      </c>
    </row>
    <row r="2597" spans="1:4" x14ac:dyDescent="0.3">
      <c r="A2597" s="78" t="s">
        <v>28</v>
      </c>
      <c r="B2597" s="78"/>
      <c r="C2597" s="16">
        <v>46279</v>
      </c>
      <c r="D2597">
        <v>1968.99</v>
      </c>
    </row>
    <row r="2598" spans="1:4" x14ac:dyDescent="0.3">
      <c r="A2598" s="78" t="s">
        <v>29</v>
      </c>
      <c r="B2598" s="78"/>
      <c r="C2598" s="16">
        <v>46279</v>
      </c>
      <c r="D2598">
        <v>901.34</v>
      </c>
    </row>
    <row r="2599" spans="1:4" x14ac:dyDescent="0.3">
      <c r="A2599" s="78" t="s">
        <v>30</v>
      </c>
      <c r="B2599" s="78"/>
      <c r="C2599" s="16">
        <v>46279</v>
      </c>
      <c r="D2599">
        <v>1380.08</v>
      </c>
    </row>
    <row r="2600" spans="1:4" x14ac:dyDescent="0.3">
      <c r="A2600" s="78" t="s">
        <v>31</v>
      </c>
      <c r="B2600" s="78"/>
      <c r="C2600" s="16">
        <v>46279</v>
      </c>
      <c r="D2600">
        <v>25027.379999999961</v>
      </c>
    </row>
    <row r="2601" spans="1:4" x14ac:dyDescent="0.3">
      <c r="A2601" s="78" t="s">
        <v>32</v>
      </c>
      <c r="B2601" s="78"/>
      <c r="C2601" s="16">
        <v>46279</v>
      </c>
      <c r="D2601">
        <v>16282.630000000006</v>
      </c>
    </row>
    <row r="2602" spans="1:4" x14ac:dyDescent="0.3">
      <c r="A2602" s="78" t="s">
        <v>33</v>
      </c>
      <c r="B2602" s="78"/>
      <c r="C2602" s="16">
        <v>46279</v>
      </c>
      <c r="D2602">
        <v>13685.999999999996</v>
      </c>
    </row>
    <row r="2603" spans="1:4" x14ac:dyDescent="0.3">
      <c r="A2603" s="78" t="s">
        <v>34</v>
      </c>
      <c r="B2603" s="78"/>
      <c r="C2603" s="16">
        <v>46279</v>
      </c>
      <c r="D2603">
        <v>345</v>
      </c>
    </row>
    <row r="2604" spans="1:4" x14ac:dyDescent="0.3">
      <c r="A2604" s="78" t="s">
        <v>35</v>
      </c>
      <c r="B2604" s="78"/>
      <c r="C2604" s="16">
        <v>46279</v>
      </c>
      <c r="D2604">
        <v>16762.45</v>
      </c>
    </row>
    <row r="2605" spans="1:4" x14ac:dyDescent="0.3">
      <c r="A2605" s="78" t="s">
        <v>17</v>
      </c>
      <c r="B2605" s="78"/>
      <c r="C2605" s="16">
        <v>46280</v>
      </c>
      <c r="D2605">
        <v>2042967.3900000008</v>
      </c>
    </row>
    <row r="2606" spans="1:4" x14ac:dyDescent="0.3">
      <c r="A2606" s="78" t="s">
        <v>18</v>
      </c>
      <c r="B2606" s="78"/>
      <c r="C2606" s="16">
        <v>46280</v>
      </c>
      <c r="D2606">
        <v>100486.46000000017</v>
      </c>
    </row>
    <row r="2607" spans="1:4" x14ac:dyDescent="0.3">
      <c r="A2607" s="78" t="s">
        <v>19</v>
      </c>
      <c r="B2607" s="78"/>
      <c r="C2607" s="16">
        <v>46280</v>
      </c>
      <c r="D2607">
        <v>1669.89</v>
      </c>
    </row>
    <row r="2608" spans="1:4" x14ac:dyDescent="0.3">
      <c r="A2608" s="78" t="s">
        <v>20</v>
      </c>
      <c r="B2608" s="78"/>
      <c r="C2608" s="16">
        <v>46280</v>
      </c>
      <c r="D2608">
        <v>1105534.6399999999</v>
      </c>
    </row>
    <row r="2609" spans="1:4" x14ac:dyDescent="0.3">
      <c r="A2609" s="78" t="s">
        <v>21</v>
      </c>
      <c r="B2609" s="78"/>
      <c r="C2609" s="16">
        <v>46280</v>
      </c>
      <c r="D2609">
        <v>1192036.1899999995</v>
      </c>
    </row>
    <row r="2610" spans="1:4" x14ac:dyDescent="0.3">
      <c r="A2610" s="78" t="s">
        <v>22</v>
      </c>
      <c r="B2610" s="78"/>
      <c r="C2610" s="16">
        <v>46280</v>
      </c>
      <c r="D2610">
        <v>229778.14</v>
      </c>
    </row>
    <row r="2611" spans="1:4" x14ac:dyDescent="0.3">
      <c r="A2611" s="78" t="s">
        <v>23</v>
      </c>
      <c r="B2611" s="78"/>
      <c r="C2611" s="16">
        <v>46280</v>
      </c>
      <c r="D2611">
        <v>98169.25999999998</v>
      </c>
    </row>
    <row r="2612" spans="1:4" x14ac:dyDescent="0.3">
      <c r="A2612" s="78" t="s">
        <v>24</v>
      </c>
      <c r="B2612" s="78"/>
      <c r="C2612" s="16">
        <v>46280</v>
      </c>
      <c r="D2612">
        <v>13270.02</v>
      </c>
    </row>
    <row r="2613" spans="1:4" x14ac:dyDescent="0.3">
      <c r="A2613" s="78" t="s">
        <v>25</v>
      </c>
      <c r="B2613" s="78"/>
      <c r="C2613" s="16">
        <v>46280</v>
      </c>
      <c r="D2613">
        <v>94.5</v>
      </c>
    </row>
    <row r="2614" spans="1:4" x14ac:dyDescent="0.3">
      <c r="A2614" s="78" t="s">
        <v>26</v>
      </c>
      <c r="B2614" s="78"/>
      <c r="C2614" s="16">
        <v>46280</v>
      </c>
      <c r="D2614">
        <v>2147.92</v>
      </c>
    </row>
    <row r="2615" spans="1:4" x14ac:dyDescent="0.3">
      <c r="A2615" s="78" t="s">
        <v>27</v>
      </c>
      <c r="B2615" s="78"/>
      <c r="C2615" s="16">
        <v>46280</v>
      </c>
      <c r="D2615">
        <v>18005.290000000015</v>
      </c>
    </row>
    <row r="2616" spans="1:4" x14ac:dyDescent="0.3">
      <c r="A2616" s="78" t="s">
        <v>28</v>
      </c>
      <c r="B2616" s="78"/>
      <c r="C2616" s="16">
        <v>46280</v>
      </c>
      <c r="D2616">
        <v>1968.99</v>
      </c>
    </row>
    <row r="2617" spans="1:4" x14ac:dyDescent="0.3">
      <c r="A2617" s="78" t="s">
        <v>29</v>
      </c>
      <c r="B2617" s="78"/>
      <c r="C2617" s="16">
        <v>46280</v>
      </c>
      <c r="D2617">
        <v>901.34</v>
      </c>
    </row>
    <row r="2618" spans="1:4" x14ac:dyDescent="0.3">
      <c r="A2618" s="78" t="s">
        <v>30</v>
      </c>
      <c r="B2618" s="78"/>
      <c r="C2618" s="16">
        <v>46280</v>
      </c>
      <c r="D2618">
        <v>1380.08</v>
      </c>
    </row>
    <row r="2619" spans="1:4" x14ac:dyDescent="0.3">
      <c r="A2619" s="78" t="s">
        <v>31</v>
      </c>
      <c r="B2619" s="78"/>
      <c r="C2619" s="16">
        <v>46280</v>
      </c>
      <c r="D2619">
        <v>25027.379999999961</v>
      </c>
    </row>
    <row r="2620" spans="1:4" x14ac:dyDescent="0.3">
      <c r="A2620" s="78" t="s">
        <v>32</v>
      </c>
      <c r="B2620" s="78"/>
      <c r="C2620" s="16">
        <v>46280</v>
      </c>
      <c r="D2620">
        <v>16282.630000000006</v>
      </c>
    </row>
    <row r="2621" spans="1:4" x14ac:dyDescent="0.3">
      <c r="A2621" s="78" t="s">
        <v>33</v>
      </c>
      <c r="B2621" s="78"/>
      <c r="C2621" s="16">
        <v>46280</v>
      </c>
      <c r="D2621">
        <v>13685.999999999996</v>
      </c>
    </row>
    <row r="2622" spans="1:4" x14ac:dyDescent="0.3">
      <c r="A2622" s="78" t="s">
        <v>34</v>
      </c>
      <c r="B2622" s="78"/>
      <c r="C2622" s="16">
        <v>46280</v>
      </c>
      <c r="D2622">
        <v>345</v>
      </c>
    </row>
    <row r="2623" spans="1:4" x14ac:dyDescent="0.3">
      <c r="A2623" s="78" t="s">
        <v>35</v>
      </c>
      <c r="B2623" s="78"/>
      <c r="C2623" s="16">
        <v>46280</v>
      </c>
      <c r="D2623">
        <v>16587.45</v>
      </c>
    </row>
    <row r="2624" spans="1:4" x14ac:dyDescent="0.3">
      <c r="A2624" s="78" t="s">
        <v>17</v>
      </c>
      <c r="B2624" s="78"/>
      <c r="C2624" s="16">
        <v>46281</v>
      </c>
      <c r="D2624">
        <v>2042967.3900000008</v>
      </c>
    </row>
    <row r="2625" spans="1:4" x14ac:dyDescent="0.3">
      <c r="A2625" s="78" t="s">
        <v>18</v>
      </c>
      <c r="B2625" s="78"/>
      <c r="C2625" s="16">
        <v>46281</v>
      </c>
      <c r="D2625">
        <v>100486.46000000017</v>
      </c>
    </row>
    <row r="2626" spans="1:4" x14ac:dyDescent="0.3">
      <c r="A2626" s="78" t="s">
        <v>19</v>
      </c>
      <c r="B2626" s="78"/>
      <c r="C2626" s="16">
        <v>46281</v>
      </c>
      <c r="D2626">
        <v>1669.89</v>
      </c>
    </row>
    <row r="2627" spans="1:4" x14ac:dyDescent="0.3">
      <c r="A2627" s="78" t="s">
        <v>20</v>
      </c>
      <c r="B2627" s="78"/>
      <c r="C2627" s="16">
        <v>46281</v>
      </c>
      <c r="D2627">
        <v>1105534.6399999999</v>
      </c>
    </row>
    <row r="2628" spans="1:4" x14ac:dyDescent="0.3">
      <c r="A2628" s="78" t="s">
        <v>21</v>
      </c>
      <c r="B2628" s="78"/>
      <c r="C2628" s="16">
        <v>46281</v>
      </c>
      <c r="D2628">
        <v>1189545.8299999996</v>
      </c>
    </row>
    <row r="2629" spans="1:4" x14ac:dyDescent="0.3">
      <c r="A2629" s="78" t="s">
        <v>22</v>
      </c>
      <c r="B2629" s="78"/>
      <c r="C2629" s="16">
        <v>46281</v>
      </c>
      <c r="D2629">
        <v>229778.14</v>
      </c>
    </row>
    <row r="2630" spans="1:4" x14ac:dyDescent="0.3">
      <c r="A2630" s="78" t="s">
        <v>23</v>
      </c>
      <c r="B2630" s="78"/>
      <c r="C2630" s="16">
        <v>46281</v>
      </c>
      <c r="D2630">
        <v>98169.25999999998</v>
      </c>
    </row>
    <row r="2631" spans="1:4" x14ac:dyDescent="0.3">
      <c r="A2631" s="78" t="s">
        <v>24</v>
      </c>
      <c r="B2631" s="78"/>
      <c r="C2631" s="16">
        <v>46281</v>
      </c>
      <c r="D2631">
        <v>13270.02</v>
      </c>
    </row>
    <row r="2632" spans="1:4" x14ac:dyDescent="0.3">
      <c r="A2632" s="78" t="s">
        <v>25</v>
      </c>
      <c r="B2632" s="78"/>
      <c r="C2632" s="16">
        <v>46281</v>
      </c>
      <c r="D2632">
        <v>94.5</v>
      </c>
    </row>
    <row r="2633" spans="1:4" x14ac:dyDescent="0.3">
      <c r="A2633" s="78" t="s">
        <v>26</v>
      </c>
      <c r="B2633" s="78"/>
      <c r="C2633" s="16">
        <v>46281</v>
      </c>
      <c r="D2633">
        <v>2147.92</v>
      </c>
    </row>
    <row r="2634" spans="1:4" x14ac:dyDescent="0.3">
      <c r="A2634" s="78" t="s">
        <v>27</v>
      </c>
      <c r="B2634" s="78"/>
      <c r="C2634" s="16">
        <v>46281</v>
      </c>
      <c r="D2634">
        <v>18005.290000000015</v>
      </c>
    </row>
    <row r="2635" spans="1:4" x14ac:dyDescent="0.3">
      <c r="A2635" s="78" t="s">
        <v>28</v>
      </c>
      <c r="B2635" s="78"/>
      <c r="C2635" s="16">
        <v>46281</v>
      </c>
      <c r="D2635">
        <v>1968.99</v>
      </c>
    </row>
    <row r="2636" spans="1:4" x14ac:dyDescent="0.3">
      <c r="A2636" s="78" t="s">
        <v>29</v>
      </c>
      <c r="B2636" s="78"/>
      <c r="C2636" s="16">
        <v>46281</v>
      </c>
      <c r="D2636">
        <v>901.34</v>
      </c>
    </row>
    <row r="2637" spans="1:4" x14ac:dyDescent="0.3">
      <c r="A2637" s="78" t="s">
        <v>30</v>
      </c>
      <c r="B2637" s="78"/>
      <c r="C2637" s="16">
        <v>46281</v>
      </c>
      <c r="D2637">
        <v>1380.08</v>
      </c>
    </row>
    <row r="2638" spans="1:4" x14ac:dyDescent="0.3">
      <c r="A2638" s="78" t="s">
        <v>31</v>
      </c>
      <c r="B2638" s="78"/>
      <c r="C2638" s="16">
        <v>46281</v>
      </c>
      <c r="D2638">
        <v>25027.379999999961</v>
      </c>
    </row>
    <row r="2639" spans="1:4" x14ac:dyDescent="0.3">
      <c r="A2639" s="78" t="s">
        <v>32</v>
      </c>
      <c r="B2639" s="78"/>
      <c r="C2639" s="16">
        <v>46281</v>
      </c>
      <c r="D2639">
        <v>16282.630000000006</v>
      </c>
    </row>
    <row r="2640" spans="1:4" x14ac:dyDescent="0.3">
      <c r="A2640" s="78" t="s">
        <v>33</v>
      </c>
      <c r="B2640" s="78"/>
      <c r="C2640" s="16">
        <v>46281</v>
      </c>
      <c r="D2640">
        <v>13685.999999999996</v>
      </c>
    </row>
    <row r="2641" spans="1:4" x14ac:dyDescent="0.3">
      <c r="A2641" s="78" t="s">
        <v>34</v>
      </c>
      <c r="B2641" s="78"/>
      <c r="C2641" s="16">
        <v>46281</v>
      </c>
      <c r="D2641">
        <v>345</v>
      </c>
    </row>
    <row r="2642" spans="1:4" x14ac:dyDescent="0.3">
      <c r="A2642" s="78" t="s">
        <v>35</v>
      </c>
      <c r="B2642" s="78"/>
      <c r="C2642" s="16">
        <v>46281</v>
      </c>
      <c r="D2642">
        <v>16384.45</v>
      </c>
    </row>
    <row r="2643" spans="1:4" x14ac:dyDescent="0.3">
      <c r="A2643" s="78" t="s">
        <v>17</v>
      </c>
      <c r="B2643" s="78"/>
      <c r="C2643" s="16">
        <v>46282</v>
      </c>
      <c r="D2643">
        <v>1912339.0500000007</v>
      </c>
    </row>
    <row r="2644" spans="1:4" x14ac:dyDescent="0.3">
      <c r="A2644" s="78" t="s">
        <v>18</v>
      </c>
      <c r="B2644" s="78"/>
      <c r="C2644" s="16">
        <v>46282</v>
      </c>
      <c r="D2644">
        <v>100486.46000000017</v>
      </c>
    </row>
    <row r="2645" spans="1:4" x14ac:dyDescent="0.3">
      <c r="A2645" s="78" t="s">
        <v>19</v>
      </c>
      <c r="B2645" s="78"/>
      <c r="C2645" s="16">
        <v>46282</v>
      </c>
      <c r="D2645">
        <v>1669.89</v>
      </c>
    </row>
    <row r="2646" spans="1:4" x14ac:dyDescent="0.3">
      <c r="A2646" s="78" t="s">
        <v>20</v>
      </c>
      <c r="B2646" s="78"/>
      <c r="C2646" s="16">
        <v>46282</v>
      </c>
      <c r="D2646">
        <v>975534.6399999999</v>
      </c>
    </row>
    <row r="2647" spans="1:4" x14ac:dyDescent="0.3">
      <c r="A2647" s="78" t="s">
        <v>21</v>
      </c>
      <c r="B2647" s="78"/>
      <c r="C2647" s="16">
        <v>46282</v>
      </c>
      <c r="D2647">
        <v>1070754.1599999997</v>
      </c>
    </row>
    <row r="2648" spans="1:4" x14ac:dyDescent="0.3">
      <c r="A2648" s="78" t="s">
        <v>22</v>
      </c>
      <c r="B2648" s="78"/>
      <c r="C2648" s="16">
        <v>46282</v>
      </c>
      <c r="D2648">
        <v>229778.14</v>
      </c>
    </row>
    <row r="2649" spans="1:4" x14ac:dyDescent="0.3">
      <c r="A2649" s="78" t="s">
        <v>23</v>
      </c>
      <c r="B2649" s="78"/>
      <c r="C2649" s="16">
        <v>46282</v>
      </c>
      <c r="D2649">
        <v>98169.25999999998</v>
      </c>
    </row>
    <row r="2650" spans="1:4" x14ac:dyDescent="0.3">
      <c r="A2650" s="78" t="s">
        <v>24</v>
      </c>
      <c r="B2650" s="78"/>
      <c r="C2650" s="16">
        <v>46282</v>
      </c>
      <c r="D2650">
        <v>13270.02</v>
      </c>
    </row>
    <row r="2651" spans="1:4" x14ac:dyDescent="0.3">
      <c r="A2651" s="78" t="s">
        <v>25</v>
      </c>
      <c r="B2651" s="78"/>
      <c r="C2651" s="16">
        <v>46282</v>
      </c>
      <c r="D2651">
        <v>94.5</v>
      </c>
    </row>
    <row r="2652" spans="1:4" x14ac:dyDescent="0.3">
      <c r="A2652" s="78" t="s">
        <v>26</v>
      </c>
      <c r="B2652" s="78"/>
      <c r="C2652" s="16">
        <v>46282</v>
      </c>
      <c r="D2652">
        <v>2147.92</v>
      </c>
    </row>
    <row r="2653" spans="1:4" x14ac:dyDescent="0.3">
      <c r="A2653" s="78" t="s">
        <v>27</v>
      </c>
      <c r="B2653" s="78"/>
      <c r="C2653" s="16">
        <v>46282</v>
      </c>
      <c r="D2653">
        <v>18005.290000000015</v>
      </c>
    </row>
    <row r="2654" spans="1:4" x14ac:dyDescent="0.3">
      <c r="A2654" s="78" t="s">
        <v>28</v>
      </c>
      <c r="B2654" s="78"/>
      <c r="C2654" s="16">
        <v>46282</v>
      </c>
      <c r="D2654">
        <v>1968.99</v>
      </c>
    </row>
    <row r="2655" spans="1:4" x14ac:dyDescent="0.3">
      <c r="A2655" s="78" t="s">
        <v>29</v>
      </c>
      <c r="B2655" s="78"/>
      <c r="C2655" s="16">
        <v>46282</v>
      </c>
      <c r="D2655">
        <v>901.34</v>
      </c>
    </row>
    <row r="2656" spans="1:4" x14ac:dyDescent="0.3">
      <c r="A2656" s="78" t="s">
        <v>30</v>
      </c>
      <c r="B2656" s="78"/>
      <c r="C2656" s="16">
        <v>46282</v>
      </c>
      <c r="D2656">
        <v>1380.08</v>
      </c>
    </row>
    <row r="2657" spans="1:4" x14ac:dyDescent="0.3">
      <c r="A2657" s="78" t="s">
        <v>31</v>
      </c>
      <c r="B2657" s="78"/>
      <c r="C2657" s="16">
        <v>46282</v>
      </c>
      <c r="D2657">
        <v>25027.379999999961</v>
      </c>
    </row>
    <row r="2658" spans="1:4" x14ac:dyDescent="0.3">
      <c r="A2658" s="78" t="s">
        <v>32</v>
      </c>
      <c r="B2658" s="78"/>
      <c r="C2658" s="16">
        <v>46282</v>
      </c>
      <c r="D2658">
        <v>16282.630000000006</v>
      </c>
    </row>
    <row r="2659" spans="1:4" x14ac:dyDescent="0.3">
      <c r="A2659" s="78" t="s">
        <v>33</v>
      </c>
      <c r="B2659" s="78"/>
      <c r="C2659" s="16">
        <v>46282</v>
      </c>
      <c r="D2659">
        <v>13685.999999999996</v>
      </c>
    </row>
    <row r="2660" spans="1:4" x14ac:dyDescent="0.3">
      <c r="A2660" s="78" t="s">
        <v>34</v>
      </c>
      <c r="B2660" s="78"/>
      <c r="C2660" s="16">
        <v>46282</v>
      </c>
      <c r="D2660">
        <v>345</v>
      </c>
    </row>
    <row r="2661" spans="1:4" x14ac:dyDescent="0.3">
      <c r="A2661" s="78" t="s">
        <v>35</v>
      </c>
      <c r="B2661" s="78"/>
      <c r="C2661" s="16">
        <v>46282</v>
      </c>
      <c r="D2661">
        <v>16164.440000000002</v>
      </c>
    </row>
    <row r="2662" spans="1:4" x14ac:dyDescent="0.3">
      <c r="A2662" s="78" t="s">
        <v>17</v>
      </c>
      <c r="B2662" s="78"/>
      <c r="C2662" s="16">
        <v>46283</v>
      </c>
      <c r="D2662">
        <v>2322339.0500000007</v>
      </c>
    </row>
    <row r="2663" spans="1:4" x14ac:dyDescent="0.3">
      <c r="A2663" s="78" t="s">
        <v>18</v>
      </c>
      <c r="B2663" s="78"/>
      <c r="C2663" s="16">
        <v>46283</v>
      </c>
      <c r="D2663">
        <v>100486.46000000017</v>
      </c>
    </row>
    <row r="2664" spans="1:4" x14ac:dyDescent="0.3">
      <c r="A2664" s="78" t="s">
        <v>19</v>
      </c>
      <c r="B2664" s="78"/>
      <c r="C2664" s="16">
        <v>46283</v>
      </c>
      <c r="D2664">
        <v>1669.89</v>
      </c>
    </row>
    <row r="2665" spans="1:4" x14ac:dyDescent="0.3">
      <c r="A2665" s="78" t="s">
        <v>20</v>
      </c>
      <c r="B2665" s="78"/>
      <c r="C2665" s="16">
        <v>46283</v>
      </c>
      <c r="D2665">
        <v>1425534.64</v>
      </c>
    </row>
    <row r="2666" spans="1:4" x14ac:dyDescent="0.3">
      <c r="A2666" s="78" t="s">
        <v>21</v>
      </c>
      <c r="B2666" s="78"/>
      <c r="C2666" s="16">
        <v>46283</v>
      </c>
      <c r="D2666">
        <v>1070587.4999999995</v>
      </c>
    </row>
    <row r="2667" spans="1:4" x14ac:dyDescent="0.3">
      <c r="A2667" s="78" t="s">
        <v>22</v>
      </c>
      <c r="B2667" s="78"/>
      <c r="C2667" s="16">
        <v>46283</v>
      </c>
      <c r="D2667">
        <v>229778.14</v>
      </c>
    </row>
    <row r="2668" spans="1:4" x14ac:dyDescent="0.3">
      <c r="A2668" s="78" t="s">
        <v>23</v>
      </c>
      <c r="B2668" s="78"/>
      <c r="C2668" s="16">
        <v>46283</v>
      </c>
      <c r="D2668">
        <v>98169.25999999998</v>
      </c>
    </row>
    <row r="2669" spans="1:4" x14ac:dyDescent="0.3">
      <c r="A2669" s="78" t="s">
        <v>24</v>
      </c>
      <c r="B2669" s="78"/>
      <c r="C2669" s="16">
        <v>46283</v>
      </c>
      <c r="D2669">
        <v>13270.02</v>
      </c>
    </row>
    <row r="2670" spans="1:4" x14ac:dyDescent="0.3">
      <c r="A2670" s="78" t="s">
        <v>25</v>
      </c>
      <c r="B2670" s="78"/>
      <c r="C2670" s="16">
        <v>46283</v>
      </c>
      <c r="D2670">
        <v>94.5</v>
      </c>
    </row>
    <row r="2671" spans="1:4" x14ac:dyDescent="0.3">
      <c r="A2671" s="78" t="s">
        <v>26</v>
      </c>
      <c r="B2671" s="78"/>
      <c r="C2671" s="16">
        <v>46283</v>
      </c>
      <c r="D2671">
        <v>2147.92</v>
      </c>
    </row>
    <row r="2672" spans="1:4" x14ac:dyDescent="0.3">
      <c r="A2672" s="78" t="s">
        <v>27</v>
      </c>
      <c r="B2672" s="78"/>
      <c r="C2672" s="16">
        <v>46283</v>
      </c>
      <c r="D2672">
        <v>18005.290000000015</v>
      </c>
    </row>
    <row r="2673" spans="1:4" x14ac:dyDescent="0.3">
      <c r="A2673" s="78" t="s">
        <v>28</v>
      </c>
      <c r="B2673" s="78"/>
      <c r="C2673" s="16">
        <v>46283</v>
      </c>
      <c r="D2673">
        <v>1968.99</v>
      </c>
    </row>
    <row r="2674" spans="1:4" x14ac:dyDescent="0.3">
      <c r="A2674" s="78" t="s">
        <v>29</v>
      </c>
      <c r="B2674" s="78"/>
      <c r="C2674" s="16">
        <v>46283</v>
      </c>
      <c r="D2674">
        <v>901.34</v>
      </c>
    </row>
    <row r="2675" spans="1:4" x14ac:dyDescent="0.3">
      <c r="A2675" s="78" t="s">
        <v>30</v>
      </c>
      <c r="B2675" s="78"/>
      <c r="C2675" s="16">
        <v>46283</v>
      </c>
      <c r="D2675">
        <v>1380.08</v>
      </c>
    </row>
    <row r="2676" spans="1:4" x14ac:dyDescent="0.3">
      <c r="A2676" s="78" t="s">
        <v>31</v>
      </c>
      <c r="B2676" s="78"/>
      <c r="C2676" s="16">
        <v>46283</v>
      </c>
      <c r="D2676">
        <v>30277.379999999961</v>
      </c>
    </row>
    <row r="2677" spans="1:4" x14ac:dyDescent="0.3">
      <c r="A2677" s="78" t="s">
        <v>32</v>
      </c>
      <c r="B2677" s="78"/>
      <c r="C2677" s="16">
        <v>46283</v>
      </c>
      <c r="D2677">
        <v>16282.630000000006</v>
      </c>
    </row>
    <row r="2678" spans="1:4" x14ac:dyDescent="0.3">
      <c r="A2678" s="78" t="s">
        <v>33</v>
      </c>
      <c r="B2678" s="78"/>
      <c r="C2678" s="16">
        <v>46283</v>
      </c>
      <c r="D2678">
        <v>13685.999999999996</v>
      </c>
    </row>
    <row r="2679" spans="1:4" x14ac:dyDescent="0.3">
      <c r="A2679" s="78" t="s">
        <v>34</v>
      </c>
      <c r="B2679" s="78"/>
      <c r="C2679" s="16">
        <v>46283</v>
      </c>
      <c r="D2679">
        <v>345</v>
      </c>
    </row>
    <row r="2680" spans="1:4" x14ac:dyDescent="0.3">
      <c r="A2680" s="78" t="s">
        <v>35</v>
      </c>
      <c r="B2680" s="78"/>
      <c r="C2680" s="16">
        <v>46283</v>
      </c>
      <c r="D2680">
        <v>16164.440000000002</v>
      </c>
    </row>
    <row r="2681" spans="1:4" x14ac:dyDescent="0.3">
      <c r="A2681" s="78" t="s">
        <v>17</v>
      </c>
      <c r="B2681" s="78"/>
      <c r="C2681" s="16">
        <v>46284</v>
      </c>
      <c r="D2681">
        <v>2322339.0500000007</v>
      </c>
    </row>
    <row r="2682" spans="1:4" x14ac:dyDescent="0.3">
      <c r="A2682" s="78" t="s">
        <v>18</v>
      </c>
      <c r="B2682" s="78"/>
      <c r="C2682" s="16">
        <v>46284</v>
      </c>
      <c r="D2682">
        <v>100486.46000000017</v>
      </c>
    </row>
    <row r="2683" spans="1:4" x14ac:dyDescent="0.3">
      <c r="A2683" s="78" t="s">
        <v>19</v>
      </c>
      <c r="B2683" s="78"/>
      <c r="C2683" s="16">
        <v>46284</v>
      </c>
      <c r="D2683">
        <v>1669.89</v>
      </c>
    </row>
    <row r="2684" spans="1:4" x14ac:dyDescent="0.3">
      <c r="A2684" s="78" t="s">
        <v>20</v>
      </c>
      <c r="B2684" s="78"/>
      <c r="C2684" s="16">
        <v>46284</v>
      </c>
      <c r="D2684">
        <v>1425534.64</v>
      </c>
    </row>
    <row r="2685" spans="1:4" x14ac:dyDescent="0.3">
      <c r="A2685" s="78" t="s">
        <v>21</v>
      </c>
      <c r="B2685" s="78"/>
      <c r="C2685" s="16">
        <v>46284</v>
      </c>
      <c r="D2685">
        <v>1070587.4999999995</v>
      </c>
    </row>
    <row r="2686" spans="1:4" x14ac:dyDescent="0.3">
      <c r="A2686" s="78" t="s">
        <v>22</v>
      </c>
      <c r="B2686" s="78"/>
      <c r="C2686" s="16">
        <v>46284</v>
      </c>
      <c r="D2686">
        <v>229778.14</v>
      </c>
    </row>
    <row r="2687" spans="1:4" x14ac:dyDescent="0.3">
      <c r="A2687" s="78" t="s">
        <v>23</v>
      </c>
      <c r="B2687" s="78"/>
      <c r="C2687" s="16">
        <v>46284</v>
      </c>
      <c r="D2687">
        <v>98169.25999999998</v>
      </c>
    </row>
    <row r="2688" spans="1:4" x14ac:dyDescent="0.3">
      <c r="A2688" s="78" t="s">
        <v>24</v>
      </c>
      <c r="B2688" s="78"/>
      <c r="C2688" s="16">
        <v>46284</v>
      </c>
      <c r="D2688">
        <v>13270.02</v>
      </c>
    </row>
    <row r="2689" spans="1:4" x14ac:dyDescent="0.3">
      <c r="A2689" s="78" t="s">
        <v>25</v>
      </c>
      <c r="B2689" s="78"/>
      <c r="C2689" s="16">
        <v>46284</v>
      </c>
      <c r="D2689">
        <v>94.5</v>
      </c>
    </row>
    <row r="2690" spans="1:4" x14ac:dyDescent="0.3">
      <c r="A2690" s="78" t="s">
        <v>26</v>
      </c>
      <c r="B2690" s="78"/>
      <c r="C2690" s="16">
        <v>46284</v>
      </c>
      <c r="D2690">
        <v>2147.92</v>
      </c>
    </row>
    <row r="2691" spans="1:4" x14ac:dyDescent="0.3">
      <c r="A2691" s="78" t="s">
        <v>27</v>
      </c>
      <c r="B2691" s="78"/>
      <c r="C2691" s="16">
        <v>46284</v>
      </c>
      <c r="D2691">
        <v>18005.290000000015</v>
      </c>
    </row>
    <row r="2692" spans="1:4" x14ac:dyDescent="0.3">
      <c r="A2692" s="78" t="s">
        <v>28</v>
      </c>
      <c r="B2692" s="78"/>
      <c r="C2692" s="16">
        <v>46284</v>
      </c>
      <c r="D2692">
        <v>1968.99</v>
      </c>
    </row>
    <row r="2693" spans="1:4" x14ac:dyDescent="0.3">
      <c r="A2693" s="78" t="s">
        <v>29</v>
      </c>
      <c r="B2693" s="78"/>
      <c r="C2693" s="16">
        <v>46284</v>
      </c>
      <c r="D2693">
        <v>901.34</v>
      </c>
    </row>
    <row r="2694" spans="1:4" x14ac:dyDescent="0.3">
      <c r="A2694" s="78" t="s">
        <v>30</v>
      </c>
      <c r="B2694" s="78"/>
      <c r="C2694" s="16">
        <v>46284</v>
      </c>
      <c r="D2694">
        <v>1380.08</v>
      </c>
    </row>
    <row r="2695" spans="1:4" x14ac:dyDescent="0.3">
      <c r="A2695" s="78" t="s">
        <v>31</v>
      </c>
      <c r="B2695" s="78"/>
      <c r="C2695" s="16">
        <v>46284</v>
      </c>
      <c r="D2695">
        <v>30277.379999999961</v>
      </c>
    </row>
    <row r="2696" spans="1:4" x14ac:dyDescent="0.3">
      <c r="A2696" s="78" t="s">
        <v>32</v>
      </c>
      <c r="B2696" s="78"/>
      <c r="C2696" s="16">
        <v>46284</v>
      </c>
      <c r="D2696">
        <v>16282.630000000006</v>
      </c>
    </row>
    <row r="2697" spans="1:4" x14ac:dyDescent="0.3">
      <c r="A2697" s="78" t="s">
        <v>33</v>
      </c>
      <c r="B2697" s="78"/>
      <c r="C2697" s="16">
        <v>46284</v>
      </c>
      <c r="D2697">
        <v>13685.999999999996</v>
      </c>
    </row>
    <row r="2698" spans="1:4" x14ac:dyDescent="0.3">
      <c r="A2698" s="78" t="s">
        <v>34</v>
      </c>
      <c r="B2698" s="78"/>
      <c r="C2698" s="16">
        <v>46284</v>
      </c>
      <c r="D2698">
        <v>345</v>
      </c>
    </row>
    <row r="2699" spans="1:4" x14ac:dyDescent="0.3">
      <c r="A2699" s="78" t="s">
        <v>35</v>
      </c>
      <c r="B2699" s="78"/>
      <c r="C2699" s="16">
        <v>46284</v>
      </c>
      <c r="D2699">
        <v>16164.440000000002</v>
      </c>
    </row>
    <row r="2700" spans="1:4" x14ac:dyDescent="0.3">
      <c r="A2700" s="78" t="s">
        <v>17</v>
      </c>
      <c r="B2700" s="78"/>
      <c r="C2700" s="16">
        <v>46285</v>
      </c>
      <c r="D2700">
        <v>2322339.0500000007</v>
      </c>
    </row>
    <row r="2701" spans="1:4" x14ac:dyDescent="0.3">
      <c r="A2701" s="78" t="s">
        <v>18</v>
      </c>
      <c r="B2701" s="78"/>
      <c r="C2701" s="16">
        <v>46285</v>
      </c>
      <c r="D2701">
        <v>100486.46000000017</v>
      </c>
    </row>
    <row r="2702" spans="1:4" x14ac:dyDescent="0.3">
      <c r="A2702" s="78" t="s">
        <v>19</v>
      </c>
      <c r="B2702" s="78"/>
      <c r="C2702" s="16">
        <v>46285</v>
      </c>
      <c r="D2702">
        <v>1669.89</v>
      </c>
    </row>
    <row r="2703" spans="1:4" x14ac:dyDescent="0.3">
      <c r="A2703" s="78" t="s">
        <v>20</v>
      </c>
      <c r="B2703" s="78"/>
      <c r="C2703" s="16">
        <v>46285</v>
      </c>
      <c r="D2703">
        <v>1425534.64</v>
      </c>
    </row>
    <row r="2704" spans="1:4" x14ac:dyDescent="0.3">
      <c r="A2704" s="78" t="s">
        <v>21</v>
      </c>
      <c r="B2704" s="78"/>
      <c r="C2704" s="16">
        <v>46285</v>
      </c>
      <c r="D2704">
        <v>1070587.4999999995</v>
      </c>
    </row>
    <row r="2705" spans="1:4" x14ac:dyDescent="0.3">
      <c r="A2705" s="78" t="s">
        <v>22</v>
      </c>
      <c r="B2705" s="78"/>
      <c r="C2705" s="16">
        <v>46285</v>
      </c>
      <c r="D2705">
        <v>229778.14</v>
      </c>
    </row>
    <row r="2706" spans="1:4" x14ac:dyDescent="0.3">
      <c r="A2706" s="78" t="s">
        <v>23</v>
      </c>
      <c r="B2706" s="78"/>
      <c r="C2706" s="16">
        <v>46285</v>
      </c>
      <c r="D2706">
        <v>98169.25999999998</v>
      </c>
    </row>
    <row r="2707" spans="1:4" x14ac:dyDescent="0.3">
      <c r="A2707" s="78" t="s">
        <v>24</v>
      </c>
      <c r="B2707" s="78"/>
      <c r="C2707" s="16">
        <v>46285</v>
      </c>
      <c r="D2707">
        <v>13270.02</v>
      </c>
    </row>
    <row r="2708" spans="1:4" x14ac:dyDescent="0.3">
      <c r="A2708" s="78" t="s">
        <v>25</v>
      </c>
      <c r="B2708" s="78"/>
      <c r="C2708" s="16">
        <v>46285</v>
      </c>
      <c r="D2708">
        <v>94.5</v>
      </c>
    </row>
    <row r="2709" spans="1:4" x14ac:dyDescent="0.3">
      <c r="A2709" s="78" t="s">
        <v>26</v>
      </c>
      <c r="B2709" s="78"/>
      <c r="C2709" s="16">
        <v>46285</v>
      </c>
      <c r="D2709">
        <v>2147.92</v>
      </c>
    </row>
    <row r="2710" spans="1:4" x14ac:dyDescent="0.3">
      <c r="A2710" s="78" t="s">
        <v>27</v>
      </c>
      <c r="B2710" s="78"/>
      <c r="C2710" s="16">
        <v>46285</v>
      </c>
      <c r="D2710">
        <v>18005.290000000015</v>
      </c>
    </row>
    <row r="2711" spans="1:4" x14ac:dyDescent="0.3">
      <c r="A2711" s="78" t="s">
        <v>28</v>
      </c>
      <c r="B2711" s="78"/>
      <c r="C2711" s="16">
        <v>46285</v>
      </c>
      <c r="D2711">
        <v>1968.99</v>
      </c>
    </row>
    <row r="2712" spans="1:4" x14ac:dyDescent="0.3">
      <c r="A2712" s="78" t="s">
        <v>29</v>
      </c>
      <c r="B2712" s="78"/>
      <c r="C2712" s="16">
        <v>46285</v>
      </c>
      <c r="D2712">
        <v>901.34</v>
      </c>
    </row>
    <row r="2713" spans="1:4" x14ac:dyDescent="0.3">
      <c r="A2713" s="78" t="s">
        <v>30</v>
      </c>
      <c r="B2713" s="78"/>
      <c r="C2713" s="16">
        <v>46285</v>
      </c>
      <c r="D2713">
        <v>1380.08</v>
      </c>
    </row>
    <row r="2714" spans="1:4" x14ac:dyDescent="0.3">
      <c r="A2714" s="78" t="s">
        <v>31</v>
      </c>
      <c r="B2714" s="78"/>
      <c r="C2714" s="16">
        <v>46285</v>
      </c>
      <c r="D2714">
        <v>30277.379999999961</v>
      </c>
    </row>
    <row r="2715" spans="1:4" x14ac:dyDescent="0.3">
      <c r="A2715" s="78" t="s">
        <v>32</v>
      </c>
      <c r="B2715" s="78"/>
      <c r="C2715" s="16">
        <v>46285</v>
      </c>
      <c r="D2715">
        <v>16282.630000000006</v>
      </c>
    </row>
    <row r="2716" spans="1:4" x14ac:dyDescent="0.3">
      <c r="A2716" s="78" t="s">
        <v>33</v>
      </c>
      <c r="B2716" s="78"/>
      <c r="C2716" s="16">
        <v>46285</v>
      </c>
      <c r="D2716">
        <v>13685.999999999996</v>
      </c>
    </row>
    <row r="2717" spans="1:4" x14ac:dyDescent="0.3">
      <c r="A2717" s="78" t="s">
        <v>34</v>
      </c>
      <c r="B2717" s="78"/>
      <c r="C2717" s="16">
        <v>46285</v>
      </c>
      <c r="D2717">
        <v>345</v>
      </c>
    </row>
    <row r="2718" spans="1:4" x14ac:dyDescent="0.3">
      <c r="A2718" s="78" t="s">
        <v>35</v>
      </c>
      <c r="B2718" s="78"/>
      <c r="C2718" s="16">
        <v>46285</v>
      </c>
      <c r="D2718">
        <v>16164.440000000002</v>
      </c>
    </row>
    <row r="2719" spans="1:4" x14ac:dyDescent="0.3">
      <c r="A2719" s="78" t="s">
        <v>17</v>
      </c>
      <c r="B2719" s="78"/>
      <c r="C2719" s="16">
        <v>46286</v>
      </c>
      <c r="D2719">
        <v>2322339.0500000007</v>
      </c>
    </row>
    <row r="2720" spans="1:4" x14ac:dyDescent="0.3">
      <c r="A2720" s="78" t="s">
        <v>18</v>
      </c>
      <c r="B2720" s="78"/>
      <c r="C2720" s="16">
        <v>46286</v>
      </c>
      <c r="D2720">
        <v>100486.46000000017</v>
      </c>
    </row>
    <row r="2721" spans="1:4" x14ac:dyDescent="0.3">
      <c r="A2721" s="78" t="s">
        <v>19</v>
      </c>
      <c r="B2721" s="78"/>
      <c r="C2721" s="16">
        <v>46286</v>
      </c>
      <c r="D2721">
        <v>1669.89</v>
      </c>
    </row>
    <row r="2722" spans="1:4" x14ac:dyDescent="0.3">
      <c r="A2722" s="78" t="s">
        <v>20</v>
      </c>
      <c r="B2722" s="78"/>
      <c r="C2722" s="16">
        <v>46286</v>
      </c>
      <c r="D2722">
        <v>1453603.3599999999</v>
      </c>
    </row>
    <row r="2723" spans="1:4" x14ac:dyDescent="0.3">
      <c r="A2723" s="78" t="s">
        <v>21</v>
      </c>
      <c r="B2723" s="78"/>
      <c r="C2723" s="16">
        <v>46286</v>
      </c>
      <c r="D2723">
        <v>1066605.7599999995</v>
      </c>
    </row>
    <row r="2724" spans="1:4" x14ac:dyDescent="0.3">
      <c r="A2724" s="78" t="s">
        <v>22</v>
      </c>
      <c r="B2724" s="78"/>
      <c r="C2724" s="16">
        <v>46286</v>
      </c>
      <c r="D2724">
        <v>229778.14</v>
      </c>
    </row>
    <row r="2725" spans="1:4" x14ac:dyDescent="0.3">
      <c r="A2725" s="78" t="s">
        <v>23</v>
      </c>
      <c r="B2725" s="78"/>
      <c r="C2725" s="16">
        <v>46286</v>
      </c>
      <c r="D2725">
        <v>98169.25999999998</v>
      </c>
    </row>
    <row r="2726" spans="1:4" x14ac:dyDescent="0.3">
      <c r="A2726" s="78" t="s">
        <v>24</v>
      </c>
      <c r="B2726" s="78"/>
      <c r="C2726" s="16">
        <v>46286</v>
      </c>
      <c r="D2726">
        <v>13270.02</v>
      </c>
    </row>
    <row r="2727" spans="1:4" x14ac:dyDescent="0.3">
      <c r="A2727" s="78" t="s">
        <v>25</v>
      </c>
      <c r="B2727" s="78"/>
      <c r="C2727" s="16">
        <v>46286</v>
      </c>
      <c r="D2727">
        <v>94.5</v>
      </c>
    </row>
    <row r="2728" spans="1:4" x14ac:dyDescent="0.3">
      <c r="A2728" s="78" t="s">
        <v>26</v>
      </c>
      <c r="B2728" s="78"/>
      <c r="C2728" s="16">
        <v>46286</v>
      </c>
      <c r="D2728">
        <v>2147.92</v>
      </c>
    </row>
    <row r="2729" spans="1:4" x14ac:dyDescent="0.3">
      <c r="A2729" s="78" t="s">
        <v>27</v>
      </c>
      <c r="B2729" s="78"/>
      <c r="C2729" s="16">
        <v>46286</v>
      </c>
      <c r="D2729">
        <v>18005.290000000015</v>
      </c>
    </row>
    <row r="2730" spans="1:4" x14ac:dyDescent="0.3">
      <c r="A2730" s="78" t="s">
        <v>28</v>
      </c>
      <c r="B2730" s="78"/>
      <c r="C2730" s="16">
        <v>46286</v>
      </c>
      <c r="D2730">
        <v>1968.99</v>
      </c>
    </row>
    <row r="2731" spans="1:4" x14ac:dyDescent="0.3">
      <c r="A2731" s="78" t="s">
        <v>29</v>
      </c>
      <c r="B2731" s="78"/>
      <c r="C2731" s="16">
        <v>46286</v>
      </c>
      <c r="D2731">
        <v>901.34</v>
      </c>
    </row>
    <row r="2732" spans="1:4" x14ac:dyDescent="0.3">
      <c r="A2732" s="78" t="s">
        <v>30</v>
      </c>
      <c r="B2732" s="78"/>
      <c r="C2732" s="16">
        <v>46286</v>
      </c>
      <c r="D2732">
        <v>1380.08</v>
      </c>
    </row>
    <row r="2733" spans="1:4" x14ac:dyDescent="0.3">
      <c r="A2733" s="78" t="s">
        <v>31</v>
      </c>
      <c r="B2733" s="78"/>
      <c r="C2733" s="16">
        <v>46286</v>
      </c>
      <c r="D2733">
        <v>30277.379999999961</v>
      </c>
    </row>
    <row r="2734" spans="1:4" x14ac:dyDescent="0.3">
      <c r="A2734" s="78" t="s">
        <v>32</v>
      </c>
      <c r="B2734" s="78"/>
      <c r="C2734" s="16">
        <v>46286</v>
      </c>
      <c r="D2734">
        <v>16282.630000000006</v>
      </c>
    </row>
    <row r="2735" spans="1:4" x14ac:dyDescent="0.3">
      <c r="A2735" s="78" t="s">
        <v>33</v>
      </c>
      <c r="B2735" s="78"/>
      <c r="C2735" s="16">
        <v>46286</v>
      </c>
      <c r="D2735">
        <v>13685.999999999996</v>
      </c>
    </row>
    <row r="2736" spans="1:4" x14ac:dyDescent="0.3">
      <c r="A2736" s="78" t="s">
        <v>34</v>
      </c>
      <c r="B2736" s="78"/>
      <c r="C2736" s="16">
        <v>46286</v>
      </c>
      <c r="D2736">
        <v>345</v>
      </c>
    </row>
    <row r="2737" spans="1:4" x14ac:dyDescent="0.3">
      <c r="A2737" s="78" t="s">
        <v>35</v>
      </c>
      <c r="B2737" s="78"/>
      <c r="C2737" s="16">
        <v>46286</v>
      </c>
      <c r="D2737">
        <v>15392.970000000001</v>
      </c>
    </row>
    <row r="2738" spans="1:4" x14ac:dyDescent="0.3">
      <c r="A2738" s="78" t="s">
        <v>17</v>
      </c>
      <c r="B2738" s="78"/>
      <c r="C2738" s="16">
        <v>46287</v>
      </c>
      <c r="D2738">
        <v>2322339.0500000007</v>
      </c>
    </row>
    <row r="2739" spans="1:4" x14ac:dyDescent="0.3">
      <c r="A2739" s="78" t="s">
        <v>18</v>
      </c>
      <c r="B2739" s="78"/>
      <c r="C2739" s="16">
        <v>46287</v>
      </c>
      <c r="D2739">
        <v>100486.46000000017</v>
      </c>
    </row>
    <row r="2740" spans="1:4" x14ac:dyDescent="0.3">
      <c r="A2740" s="78" t="s">
        <v>19</v>
      </c>
      <c r="B2740" s="78"/>
      <c r="C2740" s="16">
        <v>46287</v>
      </c>
      <c r="D2740">
        <v>1669.89</v>
      </c>
    </row>
    <row r="2741" spans="1:4" x14ac:dyDescent="0.3">
      <c r="A2741" s="78" t="s">
        <v>20</v>
      </c>
      <c r="B2741" s="78"/>
      <c r="C2741" s="16">
        <v>46287</v>
      </c>
      <c r="D2741">
        <v>1453603.3599999999</v>
      </c>
    </row>
    <row r="2742" spans="1:4" x14ac:dyDescent="0.3">
      <c r="A2742" s="78" t="s">
        <v>21</v>
      </c>
      <c r="B2742" s="78"/>
      <c r="C2742" s="16">
        <v>46287</v>
      </c>
      <c r="D2742">
        <v>1065842.7699999996</v>
      </c>
    </row>
    <row r="2743" spans="1:4" x14ac:dyDescent="0.3">
      <c r="A2743" s="78" t="s">
        <v>22</v>
      </c>
      <c r="B2743" s="78"/>
      <c r="C2743" s="16">
        <v>46287</v>
      </c>
      <c r="D2743">
        <v>229778.14</v>
      </c>
    </row>
    <row r="2744" spans="1:4" x14ac:dyDescent="0.3">
      <c r="A2744" s="78" t="s">
        <v>23</v>
      </c>
      <c r="B2744" s="78"/>
      <c r="C2744" s="16">
        <v>46287</v>
      </c>
      <c r="D2744">
        <v>98169.25999999998</v>
      </c>
    </row>
    <row r="2745" spans="1:4" x14ac:dyDescent="0.3">
      <c r="A2745" s="78" t="s">
        <v>24</v>
      </c>
      <c r="B2745" s="78"/>
      <c r="C2745" s="16">
        <v>46287</v>
      </c>
      <c r="D2745">
        <v>13270.02</v>
      </c>
    </row>
    <row r="2746" spans="1:4" x14ac:dyDescent="0.3">
      <c r="A2746" s="78" t="s">
        <v>25</v>
      </c>
      <c r="B2746" s="78"/>
      <c r="C2746" s="16">
        <v>46287</v>
      </c>
      <c r="D2746">
        <v>94.5</v>
      </c>
    </row>
    <row r="2747" spans="1:4" x14ac:dyDescent="0.3">
      <c r="A2747" s="78" t="s">
        <v>26</v>
      </c>
      <c r="B2747" s="78"/>
      <c r="C2747" s="16">
        <v>46287</v>
      </c>
      <c r="D2747">
        <v>2147.92</v>
      </c>
    </row>
    <row r="2748" spans="1:4" x14ac:dyDescent="0.3">
      <c r="A2748" s="78" t="s">
        <v>27</v>
      </c>
      <c r="B2748" s="78"/>
      <c r="C2748" s="16">
        <v>46287</v>
      </c>
      <c r="D2748">
        <v>18005.290000000015</v>
      </c>
    </row>
    <row r="2749" spans="1:4" x14ac:dyDescent="0.3">
      <c r="A2749" s="78" t="s">
        <v>28</v>
      </c>
      <c r="B2749" s="78"/>
      <c r="C2749" s="16">
        <v>46287</v>
      </c>
      <c r="D2749">
        <v>1968.99</v>
      </c>
    </row>
    <row r="2750" spans="1:4" x14ac:dyDescent="0.3">
      <c r="A2750" s="78" t="s">
        <v>29</v>
      </c>
      <c r="B2750" s="78"/>
      <c r="C2750" s="16">
        <v>46287</v>
      </c>
      <c r="D2750">
        <v>901.34</v>
      </c>
    </row>
    <row r="2751" spans="1:4" x14ac:dyDescent="0.3">
      <c r="A2751" s="78" t="s">
        <v>30</v>
      </c>
      <c r="B2751" s="78"/>
      <c r="C2751" s="16">
        <v>46287</v>
      </c>
      <c r="D2751">
        <v>1380.08</v>
      </c>
    </row>
    <row r="2752" spans="1:4" x14ac:dyDescent="0.3">
      <c r="A2752" s="78" t="s">
        <v>31</v>
      </c>
      <c r="B2752" s="78"/>
      <c r="C2752" s="16">
        <v>46287</v>
      </c>
      <c r="D2752">
        <v>28714.879999999961</v>
      </c>
    </row>
    <row r="2753" spans="1:4" x14ac:dyDescent="0.3">
      <c r="A2753" s="78" t="s">
        <v>32</v>
      </c>
      <c r="B2753" s="78"/>
      <c r="C2753" s="16">
        <v>46287</v>
      </c>
      <c r="D2753">
        <v>15162.600000000006</v>
      </c>
    </row>
    <row r="2754" spans="1:4" x14ac:dyDescent="0.3">
      <c r="A2754" s="78" t="s">
        <v>33</v>
      </c>
      <c r="B2754" s="78"/>
      <c r="C2754" s="16">
        <v>46287</v>
      </c>
      <c r="D2754">
        <v>12937.859999999997</v>
      </c>
    </row>
    <row r="2755" spans="1:4" x14ac:dyDescent="0.3">
      <c r="A2755" s="78" t="s">
        <v>34</v>
      </c>
      <c r="B2755" s="78"/>
      <c r="C2755" s="16">
        <v>46287</v>
      </c>
      <c r="D2755">
        <v>345</v>
      </c>
    </row>
    <row r="2756" spans="1:4" x14ac:dyDescent="0.3">
      <c r="A2756" s="78" t="s">
        <v>35</v>
      </c>
      <c r="B2756" s="78"/>
      <c r="C2756" s="16">
        <v>46287</v>
      </c>
      <c r="D2756">
        <v>15392.970000000001</v>
      </c>
    </row>
    <row r="2757" spans="1:4" x14ac:dyDescent="0.3">
      <c r="A2757" s="78" t="s">
        <v>17</v>
      </c>
      <c r="B2757" s="78"/>
      <c r="C2757" s="16">
        <v>46288</v>
      </c>
      <c r="D2757">
        <v>2322339.0500000007</v>
      </c>
    </row>
    <row r="2758" spans="1:4" x14ac:dyDescent="0.3">
      <c r="A2758" s="78" t="s">
        <v>18</v>
      </c>
      <c r="B2758" s="78"/>
      <c r="C2758" s="16">
        <v>46288</v>
      </c>
      <c r="D2758">
        <v>100486.46000000017</v>
      </c>
    </row>
    <row r="2759" spans="1:4" x14ac:dyDescent="0.3">
      <c r="A2759" s="78" t="s">
        <v>19</v>
      </c>
      <c r="B2759" s="78"/>
      <c r="C2759" s="16">
        <v>46288</v>
      </c>
      <c r="D2759">
        <v>1669.89</v>
      </c>
    </row>
    <row r="2760" spans="1:4" x14ac:dyDescent="0.3">
      <c r="A2760" s="78" t="s">
        <v>20</v>
      </c>
      <c r="B2760" s="78"/>
      <c r="C2760" s="16">
        <v>46288</v>
      </c>
      <c r="D2760">
        <v>1453603.3599999999</v>
      </c>
    </row>
    <row r="2761" spans="1:4" x14ac:dyDescent="0.3">
      <c r="A2761" s="78" t="s">
        <v>21</v>
      </c>
      <c r="B2761" s="78"/>
      <c r="C2761" s="16">
        <v>46288</v>
      </c>
      <c r="D2761">
        <v>1065842.7699999996</v>
      </c>
    </row>
    <row r="2762" spans="1:4" x14ac:dyDescent="0.3">
      <c r="A2762" s="78" t="s">
        <v>22</v>
      </c>
      <c r="B2762" s="78"/>
      <c r="C2762" s="16">
        <v>46288</v>
      </c>
      <c r="D2762">
        <v>229778.14</v>
      </c>
    </row>
    <row r="2763" spans="1:4" x14ac:dyDescent="0.3">
      <c r="A2763" s="78" t="s">
        <v>23</v>
      </c>
      <c r="B2763" s="78"/>
      <c r="C2763" s="16">
        <v>46288</v>
      </c>
      <c r="D2763">
        <v>98169.25999999998</v>
      </c>
    </row>
    <row r="2764" spans="1:4" x14ac:dyDescent="0.3">
      <c r="A2764" s="78" t="s">
        <v>24</v>
      </c>
      <c r="B2764" s="78"/>
      <c r="C2764" s="16">
        <v>46288</v>
      </c>
      <c r="D2764">
        <v>13270.02</v>
      </c>
    </row>
    <row r="2765" spans="1:4" x14ac:dyDescent="0.3">
      <c r="A2765" s="78" t="s">
        <v>25</v>
      </c>
      <c r="B2765" s="78"/>
      <c r="C2765" s="16">
        <v>46288</v>
      </c>
      <c r="D2765">
        <v>94.5</v>
      </c>
    </row>
    <row r="2766" spans="1:4" x14ac:dyDescent="0.3">
      <c r="A2766" s="78" t="s">
        <v>26</v>
      </c>
      <c r="B2766" s="78"/>
      <c r="C2766" s="16">
        <v>46288</v>
      </c>
      <c r="D2766">
        <v>2147.92</v>
      </c>
    </row>
    <row r="2767" spans="1:4" x14ac:dyDescent="0.3">
      <c r="A2767" s="78" t="s">
        <v>27</v>
      </c>
      <c r="B2767" s="78"/>
      <c r="C2767" s="16">
        <v>46288</v>
      </c>
      <c r="D2767">
        <v>18005.290000000015</v>
      </c>
    </row>
    <row r="2768" spans="1:4" x14ac:dyDescent="0.3">
      <c r="A2768" s="78" t="s">
        <v>28</v>
      </c>
      <c r="B2768" s="78"/>
      <c r="C2768" s="16">
        <v>46288</v>
      </c>
      <c r="D2768">
        <v>1968.99</v>
      </c>
    </row>
    <row r="2769" spans="1:4" x14ac:dyDescent="0.3">
      <c r="A2769" s="78" t="s">
        <v>29</v>
      </c>
      <c r="B2769" s="78"/>
      <c r="C2769" s="16">
        <v>46288</v>
      </c>
      <c r="D2769">
        <v>901.34</v>
      </c>
    </row>
    <row r="2770" spans="1:4" x14ac:dyDescent="0.3">
      <c r="A2770" s="78" t="s">
        <v>30</v>
      </c>
      <c r="B2770" s="78"/>
      <c r="C2770" s="16">
        <v>46288</v>
      </c>
      <c r="D2770">
        <v>1380.08</v>
      </c>
    </row>
    <row r="2771" spans="1:4" x14ac:dyDescent="0.3">
      <c r="A2771" s="78" t="s">
        <v>31</v>
      </c>
      <c r="B2771" s="78"/>
      <c r="C2771" s="16">
        <v>46288</v>
      </c>
      <c r="D2771">
        <v>28714.879999999961</v>
      </c>
    </row>
    <row r="2772" spans="1:4" x14ac:dyDescent="0.3">
      <c r="A2772" s="78" t="s">
        <v>32</v>
      </c>
      <c r="B2772" s="78"/>
      <c r="C2772" s="16">
        <v>46288</v>
      </c>
      <c r="D2772">
        <v>15162.600000000006</v>
      </c>
    </row>
    <row r="2773" spans="1:4" x14ac:dyDescent="0.3">
      <c r="A2773" s="78" t="s">
        <v>33</v>
      </c>
      <c r="B2773" s="78"/>
      <c r="C2773" s="16">
        <v>46288</v>
      </c>
      <c r="D2773">
        <v>12937.859999999997</v>
      </c>
    </row>
    <row r="2774" spans="1:4" x14ac:dyDescent="0.3">
      <c r="A2774" s="78" t="s">
        <v>34</v>
      </c>
      <c r="B2774" s="78"/>
      <c r="C2774" s="16">
        <v>46288</v>
      </c>
      <c r="D2774">
        <v>345</v>
      </c>
    </row>
    <row r="2775" spans="1:4" x14ac:dyDescent="0.3">
      <c r="A2775" s="78" t="s">
        <v>35</v>
      </c>
      <c r="B2775" s="78"/>
      <c r="C2775" s="16">
        <v>46288</v>
      </c>
      <c r="D2775">
        <v>15392.970000000001</v>
      </c>
    </row>
    <row r="2776" spans="1:4" x14ac:dyDescent="0.3">
      <c r="A2776" s="78" t="s">
        <v>17</v>
      </c>
      <c r="B2776" s="78"/>
      <c r="C2776" s="16">
        <v>46289</v>
      </c>
      <c r="D2776">
        <v>2322339.0500000007</v>
      </c>
    </row>
    <row r="2777" spans="1:4" x14ac:dyDescent="0.3">
      <c r="A2777" s="78" t="s">
        <v>18</v>
      </c>
      <c r="B2777" s="78"/>
      <c r="C2777" s="16">
        <v>46289</v>
      </c>
      <c r="D2777">
        <v>100486.46000000017</v>
      </c>
    </row>
    <row r="2778" spans="1:4" x14ac:dyDescent="0.3">
      <c r="A2778" s="78" t="s">
        <v>19</v>
      </c>
      <c r="B2778" s="78"/>
      <c r="C2778" s="16">
        <v>46289</v>
      </c>
      <c r="D2778">
        <v>1669.89</v>
      </c>
    </row>
    <row r="2779" spans="1:4" x14ac:dyDescent="0.3">
      <c r="A2779" s="78" t="s">
        <v>20</v>
      </c>
      <c r="B2779" s="78"/>
      <c r="C2779" s="16">
        <v>46289</v>
      </c>
      <c r="D2779">
        <v>1453603.3599999999</v>
      </c>
    </row>
    <row r="2780" spans="1:4" x14ac:dyDescent="0.3">
      <c r="A2780" s="78" t="s">
        <v>21</v>
      </c>
      <c r="B2780" s="78"/>
      <c r="C2780" s="16">
        <v>46289</v>
      </c>
      <c r="D2780">
        <v>1065842.7699999996</v>
      </c>
    </row>
    <row r="2781" spans="1:4" x14ac:dyDescent="0.3">
      <c r="A2781" s="78" t="s">
        <v>22</v>
      </c>
      <c r="B2781" s="78"/>
      <c r="C2781" s="16">
        <v>46289</v>
      </c>
      <c r="D2781">
        <v>229778.14</v>
      </c>
    </row>
    <row r="2782" spans="1:4" x14ac:dyDescent="0.3">
      <c r="A2782" s="78" t="s">
        <v>23</v>
      </c>
      <c r="B2782" s="78"/>
      <c r="C2782" s="16">
        <v>46289</v>
      </c>
      <c r="D2782">
        <v>98169.25999999998</v>
      </c>
    </row>
    <row r="2783" spans="1:4" x14ac:dyDescent="0.3">
      <c r="A2783" s="78" t="s">
        <v>24</v>
      </c>
      <c r="B2783" s="78"/>
      <c r="C2783" s="16">
        <v>46289</v>
      </c>
      <c r="D2783">
        <v>13270.02</v>
      </c>
    </row>
    <row r="2784" spans="1:4" x14ac:dyDescent="0.3">
      <c r="A2784" s="78" t="s">
        <v>25</v>
      </c>
      <c r="B2784" s="78"/>
      <c r="C2784" s="16">
        <v>46289</v>
      </c>
      <c r="D2784">
        <v>94.5</v>
      </c>
    </row>
    <row r="2785" spans="1:4" x14ac:dyDescent="0.3">
      <c r="A2785" s="78" t="s">
        <v>26</v>
      </c>
      <c r="B2785" s="78"/>
      <c r="C2785" s="16">
        <v>46289</v>
      </c>
      <c r="D2785">
        <v>2147.92</v>
      </c>
    </row>
    <row r="2786" spans="1:4" x14ac:dyDescent="0.3">
      <c r="A2786" s="78" t="s">
        <v>27</v>
      </c>
      <c r="B2786" s="78"/>
      <c r="C2786" s="16">
        <v>46289</v>
      </c>
      <c r="D2786">
        <v>18005.290000000015</v>
      </c>
    </row>
    <row r="2787" spans="1:4" x14ac:dyDescent="0.3">
      <c r="A2787" s="78" t="s">
        <v>28</v>
      </c>
      <c r="B2787" s="78"/>
      <c r="C2787" s="16">
        <v>46289</v>
      </c>
      <c r="D2787">
        <v>1968.99</v>
      </c>
    </row>
    <row r="2788" spans="1:4" x14ac:dyDescent="0.3">
      <c r="A2788" s="78" t="s">
        <v>29</v>
      </c>
      <c r="B2788" s="78"/>
      <c r="C2788" s="16">
        <v>46289</v>
      </c>
      <c r="D2788">
        <v>901.34</v>
      </c>
    </row>
    <row r="2789" spans="1:4" x14ac:dyDescent="0.3">
      <c r="A2789" s="78" t="s">
        <v>30</v>
      </c>
      <c r="B2789" s="78"/>
      <c r="C2789" s="16">
        <v>46289</v>
      </c>
      <c r="D2789">
        <v>1380.08</v>
      </c>
    </row>
    <row r="2790" spans="1:4" x14ac:dyDescent="0.3">
      <c r="A2790" s="78" t="s">
        <v>31</v>
      </c>
      <c r="B2790" s="78"/>
      <c r="C2790" s="16">
        <v>46289</v>
      </c>
      <c r="D2790">
        <v>28714.879999999961</v>
      </c>
    </row>
    <row r="2791" spans="1:4" x14ac:dyDescent="0.3">
      <c r="A2791" s="78" t="s">
        <v>32</v>
      </c>
      <c r="B2791" s="78"/>
      <c r="C2791" s="16">
        <v>46289</v>
      </c>
      <c r="D2791">
        <v>15162.600000000006</v>
      </c>
    </row>
    <row r="2792" spans="1:4" x14ac:dyDescent="0.3">
      <c r="A2792" s="78" t="s">
        <v>33</v>
      </c>
      <c r="B2792" s="78"/>
      <c r="C2792" s="16">
        <v>46289</v>
      </c>
      <c r="D2792">
        <v>12937.859999999997</v>
      </c>
    </row>
    <row r="2793" spans="1:4" x14ac:dyDescent="0.3">
      <c r="A2793" s="78" t="s">
        <v>34</v>
      </c>
      <c r="B2793" s="78"/>
      <c r="C2793" s="16">
        <v>46289</v>
      </c>
      <c r="D2793">
        <v>345</v>
      </c>
    </row>
    <row r="2794" spans="1:4" x14ac:dyDescent="0.3">
      <c r="A2794" s="78" t="s">
        <v>35</v>
      </c>
      <c r="B2794" s="78"/>
      <c r="C2794" s="16">
        <v>46289</v>
      </c>
      <c r="D2794">
        <v>15392.970000000001</v>
      </c>
    </row>
    <row r="2795" spans="1:4" x14ac:dyDescent="0.3">
      <c r="A2795" s="78" t="s">
        <v>17</v>
      </c>
      <c r="B2795" s="78"/>
      <c r="C2795" s="16">
        <v>46290</v>
      </c>
      <c r="D2795">
        <v>1835844.9700000007</v>
      </c>
    </row>
    <row r="2796" spans="1:4" x14ac:dyDescent="0.3">
      <c r="A2796" s="78" t="s">
        <v>18</v>
      </c>
      <c r="B2796" s="78"/>
      <c r="C2796" s="16">
        <v>46290</v>
      </c>
      <c r="D2796">
        <v>100486.46000000017</v>
      </c>
    </row>
    <row r="2797" spans="1:4" x14ac:dyDescent="0.3">
      <c r="A2797" s="78" t="s">
        <v>19</v>
      </c>
      <c r="B2797" s="78"/>
      <c r="C2797" s="16">
        <v>46290</v>
      </c>
      <c r="D2797">
        <v>1669.89</v>
      </c>
    </row>
    <row r="2798" spans="1:4" x14ac:dyDescent="0.3">
      <c r="A2798" s="78" t="s">
        <v>20</v>
      </c>
      <c r="B2798" s="78"/>
      <c r="C2798" s="16">
        <v>46290</v>
      </c>
      <c r="D2798">
        <v>1313603.3599999999</v>
      </c>
    </row>
    <row r="2799" spans="1:4" x14ac:dyDescent="0.3">
      <c r="A2799" s="78" t="s">
        <v>21</v>
      </c>
      <c r="B2799" s="78"/>
      <c r="C2799" s="16">
        <v>46290</v>
      </c>
      <c r="D2799">
        <v>1350200.6299999994</v>
      </c>
    </row>
    <row r="2800" spans="1:4" x14ac:dyDescent="0.3">
      <c r="A2800" s="78" t="s">
        <v>22</v>
      </c>
      <c r="B2800" s="78"/>
      <c r="C2800" s="16">
        <v>46290</v>
      </c>
      <c r="D2800">
        <v>229778.14</v>
      </c>
    </row>
    <row r="2801" spans="1:4" x14ac:dyDescent="0.3">
      <c r="A2801" s="78" t="s">
        <v>23</v>
      </c>
      <c r="B2801" s="78"/>
      <c r="C2801" s="16">
        <v>46290</v>
      </c>
      <c r="D2801">
        <v>98169.25999999998</v>
      </c>
    </row>
    <row r="2802" spans="1:4" x14ac:dyDescent="0.3">
      <c r="A2802" s="78" t="s">
        <v>24</v>
      </c>
      <c r="B2802" s="78"/>
      <c r="C2802" s="16">
        <v>46290</v>
      </c>
      <c r="D2802">
        <v>13270.02</v>
      </c>
    </row>
    <row r="2803" spans="1:4" x14ac:dyDescent="0.3">
      <c r="A2803" s="78" t="s">
        <v>25</v>
      </c>
      <c r="B2803" s="78"/>
      <c r="C2803" s="16">
        <v>46290</v>
      </c>
      <c r="D2803">
        <v>94.5</v>
      </c>
    </row>
    <row r="2804" spans="1:4" x14ac:dyDescent="0.3">
      <c r="A2804" s="78" t="s">
        <v>26</v>
      </c>
      <c r="B2804" s="78"/>
      <c r="C2804" s="16">
        <v>46290</v>
      </c>
      <c r="D2804">
        <v>2147.92</v>
      </c>
    </row>
    <row r="2805" spans="1:4" x14ac:dyDescent="0.3">
      <c r="A2805" s="78" t="s">
        <v>27</v>
      </c>
      <c r="B2805" s="78"/>
      <c r="C2805" s="16">
        <v>46290</v>
      </c>
      <c r="D2805">
        <v>18005.290000000015</v>
      </c>
    </row>
    <row r="2806" spans="1:4" x14ac:dyDescent="0.3">
      <c r="A2806" s="78" t="s">
        <v>28</v>
      </c>
      <c r="B2806" s="78"/>
      <c r="C2806" s="16">
        <v>46290</v>
      </c>
      <c r="D2806">
        <v>1968.99</v>
      </c>
    </row>
    <row r="2807" spans="1:4" x14ac:dyDescent="0.3">
      <c r="A2807" s="78" t="s">
        <v>29</v>
      </c>
      <c r="B2807" s="78"/>
      <c r="C2807" s="16">
        <v>46290</v>
      </c>
      <c r="D2807">
        <v>901.34</v>
      </c>
    </row>
    <row r="2808" spans="1:4" x14ac:dyDescent="0.3">
      <c r="A2808" s="78" t="s">
        <v>30</v>
      </c>
      <c r="B2808" s="78"/>
      <c r="C2808" s="16">
        <v>46290</v>
      </c>
      <c r="D2808">
        <v>1380.08</v>
      </c>
    </row>
    <row r="2809" spans="1:4" x14ac:dyDescent="0.3">
      <c r="A2809" s="78" t="s">
        <v>31</v>
      </c>
      <c r="B2809" s="78"/>
      <c r="C2809" s="16">
        <v>46290</v>
      </c>
      <c r="D2809">
        <v>28714.879999999961</v>
      </c>
    </row>
    <row r="2810" spans="1:4" x14ac:dyDescent="0.3">
      <c r="A2810" s="78" t="s">
        <v>32</v>
      </c>
      <c r="B2810" s="78"/>
      <c r="C2810" s="16">
        <v>46290</v>
      </c>
      <c r="D2810">
        <v>23389.690000000006</v>
      </c>
    </row>
    <row r="2811" spans="1:4" x14ac:dyDescent="0.3">
      <c r="A2811" s="78" t="s">
        <v>33</v>
      </c>
      <c r="B2811" s="78"/>
      <c r="C2811" s="16">
        <v>46290</v>
      </c>
      <c r="D2811">
        <v>16896.059999999998</v>
      </c>
    </row>
    <row r="2812" spans="1:4" x14ac:dyDescent="0.3">
      <c r="A2812" s="78" t="s">
        <v>34</v>
      </c>
      <c r="B2812" s="78"/>
      <c r="C2812" s="16">
        <v>46290</v>
      </c>
      <c r="D2812">
        <v>345</v>
      </c>
    </row>
    <row r="2813" spans="1:4" x14ac:dyDescent="0.3">
      <c r="A2813" s="78" t="s">
        <v>35</v>
      </c>
      <c r="B2813" s="78"/>
      <c r="C2813" s="16">
        <v>46290</v>
      </c>
      <c r="D2813">
        <v>12252.970000000001</v>
      </c>
    </row>
    <row r="2814" spans="1:4" x14ac:dyDescent="0.3">
      <c r="A2814" s="78" t="s">
        <v>17</v>
      </c>
      <c r="B2814" s="78"/>
      <c r="C2814" s="16">
        <v>46291</v>
      </c>
      <c r="D2814">
        <v>1835844.9700000007</v>
      </c>
    </row>
    <row r="2815" spans="1:4" x14ac:dyDescent="0.3">
      <c r="A2815" s="78" t="s">
        <v>18</v>
      </c>
      <c r="B2815" s="78"/>
      <c r="C2815" s="16">
        <v>46291</v>
      </c>
      <c r="D2815">
        <v>100486.46000000017</v>
      </c>
    </row>
    <row r="2816" spans="1:4" x14ac:dyDescent="0.3">
      <c r="A2816" s="78" t="s">
        <v>19</v>
      </c>
      <c r="B2816" s="78"/>
      <c r="C2816" s="16">
        <v>46291</v>
      </c>
      <c r="D2816">
        <v>1669.89</v>
      </c>
    </row>
    <row r="2817" spans="1:4" x14ac:dyDescent="0.3">
      <c r="A2817" s="78" t="s">
        <v>20</v>
      </c>
      <c r="B2817" s="78"/>
      <c r="C2817" s="16">
        <v>46291</v>
      </c>
      <c r="D2817">
        <v>1313603.3599999999</v>
      </c>
    </row>
    <row r="2818" spans="1:4" x14ac:dyDescent="0.3">
      <c r="A2818" s="78" t="s">
        <v>21</v>
      </c>
      <c r="B2818" s="78"/>
      <c r="C2818" s="16">
        <v>46291</v>
      </c>
      <c r="D2818">
        <v>1350200.6299999994</v>
      </c>
    </row>
    <row r="2819" spans="1:4" x14ac:dyDescent="0.3">
      <c r="A2819" s="78" t="s">
        <v>22</v>
      </c>
      <c r="B2819" s="78"/>
      <c r="C2819" s="16">
        <v>46291</v>
      </c>
      <c r="D2819">
        <v>229778.14</v>
      </c>
    </row>
    <row r="2820" spans="1:4" x14ac:dyDescent="0.3">
      <c r="A2820" s="78" t="s">
        <v>23</v>
      </c>
      <c r="B2820" s="78"/>
      <c r="C2820" s="16">
        <v>46291</v>
      </c>
      <c r="D2820">
        <v>98169.25999999998</v>
      </c>
    </row>
    <row r="2821" spans="1:4" x14ac:dyDescent="0.3">
      <c r="A2821" s="78" t="s">
        <v>24</v>
      </c>
      <c r="B2821" s="78"/>
      <c r="C2821" s="16">
        <v>46291</v>
      </c>
      <c r="D2821">
        <v>13270.02</v>
      </c>
    </row>
    <row r="2822" spans="1:4" x14ac:dyDescent="0.3">
      <c r="A2822" s="78" t="s">
        <v>25</v>
      </c>
      <c r="B2822" s="78"/>
      <c r="C2822" s="16">
        <v>46291</v>
      </c>
      <c r="D2822">
        <v>94.5</v>
      </c>
    </row>
    <row r="2823" spans="1:4" x14ac:dyDescent="0.3">
      <c r="A2823" s="78" t="s">
        <v>26</v>
      </c>
      <c r="B2823" s="78"/>
      <c r="C2823" s="16">
        <v>46291</v>
      </c>
      <c r="D2823">
        <v>2147.92</v>
      </c>
    </row>
    <row r="2824" spans="1:4" x14ac:dyDescent="0.3">
      <c r="A2824" s="78" t="s">
        <v>27</v>
      </c>
      <c r="B2824" s="78"/>
      <c r="C2824" s="16">
        <v>46291</v>
      </c>
      <c r="D2824">
        <v>18005.290000000015</v>
      </c>
    </row>
    <row r="2825" spans="1:4" x14ac:dyDescent="0.3">
      <c r="A2825" s="78" t="s">
        <v>28</v>
      </c>
      <c r="B2825" s="78"/>
      <c r="C2825" s="16">
        <v>46291</v>
      </c>
      <c r="D2825">
        <v>1968.99</v>
      </c>
    </row>
    <row r="2826" spans="1:4" x14ac:dyDescent="0.3">
      <c r="A2826" s="78" t="s">
        <v>29</v>
      </c>
      <c r="B2826" s="78"/>
      <c r="C2826" s="16">
        <v>46291</v>
      </c>
      <c r="D2826">
        <v>901.34</v>
      </c>
    </row>
    <row r="2827" spans="1:4" x14ac:dyDescent="0.3">
      <c r="A2827" s="78" t="s">
        <v>30</v>
      </c>
      <c r="B2827" s="78"/>
      <c r="C2827" s="16">
        <v>46291</v>
      </c>
      <c r="D2827">
        <v>1380.08</v>
      </c>
    </row>
    <row r="2828" spans="1:4" x14ac:dyDescent="0.3">
      <c r="A2828" s="78" t="s">
        <v>31</v>
      </c>
      <c r="B2828" s="78"/>
      <c r="C2828" s="16">
        <v>46291</v>
      </c>
      <c r="D2828">
        <v>28714.879999999961</v>
      </c>
    </row>
    <row r="2829" spans="1:4" x14ac:dyDescent="0.3">
      <c r="A2829" s="78" t="s">
        <v>32</v>
      </c>
      <c r="B2829" s="78"/>
      <c r="C2829" s="16">
        <v>46291</v>
      </c>
      <c r="D2829">
        <v>23389.690000000006</v>
      </c>
    </row>
    <row r="2830" spans="1:4" x14ac:dyDescent="0.3">
      <c r="A2830" s="78" t="s">
        <v>33</v>
      </c>
      <c r="B2830" s="78"/>
      <c r="C2830" s="16">
        <v>46291</v>
      </c>
      <c r="D2830">
        <v>16896.059999999998</v>
      </c>
    </row>
    <row r="2831" spans="1:4" x14ac:dyDescent="0.3">
      <c r="A2831" s="78" t="s">
        <v>34</v>
      </c>
      <c r="B2831" s="78"/>
      <c r="C2831" s="16">
        <v>46291</v>
      </c>
      <c r="D2831">
        <v>345</v>
      </c>
    </row>
    <row r="2832" spans="1:4" x14ac:dyDescent="0.3">
      <c r="A2832" s="78" t="s">
        <v>35</v>
      </c>
      <c r="B2832" s="78"/>
      <c r="C2832" s="16">
        <v>46291</v>
      </c>
      <c r="D2832">
        <v>12252.970000000001</v>
      </c>
    </row>
    <row r="2833" spans="1:4" x14ac:dyDescent="0.3">
      <c r="A2833" s="78" t="s">
        <v>17</v>
      </c>
      <c r="B2833" s="78"/>
      <c r="C2833" s="16">
        <v>46292</v>
      </c>
      <c r="D2833">
        <v>1835844.9700000007</v>
      </c>
    </row>
    <row r="2834" spans="1:4" x14ac:dyDescent="0.3">
      <c r="A2834" s="78" t="s">
        <v>18</v>
      </c>
      <c r="B2834" s="78"/>
      <c r="C2834" s="16">
        <v>46292</v>
      </c>
      <c r="D2834">
        <v>100486.46000000017</v>
      </c>
    </row>
    <row r="2835" spans="1:4" x14ac:dyDescent="0.3">
      <c r="A2835" s="78" t="s">
        <v>19</v>
      </c>
      <c r="B2835" s="78"/>
      <c r="C2835" s="16">
        <v>46292</v>
      </c>
      <c r="D2835">
        <v>1669.89</v>
      </c>
    </row>
    <row r="2836" spans="1:4" x14ac:dyDescent="0.3">
      <c r="A2836" s="78" t="s">
        <v>20</v>
      </c>
      <c r="B2836" s="78"/>
      <c r="C2836" s="16">
        <v>46292</v>
      </c>
      <c r="D2836">
        <v>1313603.3599999999</v>
      </c>
    </row>
    <row r="2837" spans="1:4" x14ac:dyDescent="0.3">
      <c r="A2837" s="78" t="s">
        <v>21</v>
      </c>
      <c r="B2837" s="78"/>
      <c r="C2837" s="16">
        <v>46292</v>
      </c>
      <c r="D2837">
        <v>1350200.6299999994</v>
      </c>
    </row>
    <row r="2838" spans="1:4" x14ac:dyDescent="0.3">
      <c r="A2838" s="78" t="s">
        <v>22</v>
      </c>
      <c r="B2838" s="78"/>
      <c r="C2838" s="16">
        <v>46292</v>
      </c>
      <c r="D2838">
        <v>229778.14</v>
      </c>
    </row>
    <row r="2839" spans="1:4" x14ac:dyDescent="0.3">
      <c r="A2839" s="78" t="s">
        <v>23</v>
      </c>
      <c r="B2839" s="78"/>
      <c r="C2839" s="16">
        <v>46292</v>
      </c>
      <c r="D2839">
        <v>98169.25999999998</v>
      </c>
    </row>
    <row r="2840" spans="1:4" x14ac:dyDescent="0.3">
      <c r="A2840" s="78" t="s">
        <v>24</v>
      </c>
      <c r="B2840" s="78"/>
      <c r="C2840" s="16">
        <v>46292</v>
      </c>
      <c r="D2840">
        <v>13270.02</v>
      </c>
    </row>
    <row r="2841" spans="1:4" x14ac:dyDescent="0.3">
      <c r="A2841" s="78" t="s">
        <v>25</v>
      </c>
      <c r="B2841" s="78"/>
      <c r="C2841" s="16">
        <v>46292</v>
      </c>
      <c r="D2841">
        <v>94.5</v>
      </c>
    </row>
    <row r="2842" spans="1:4" x14ac:dyDescent="0.3">
      <c r="A2842" s="78" t="s">
        <v>26</v>
      </c>
      <c r="B2842" s="78"/>
      <c r="C2842" s="16">
        <v>46292</v>
      </c>
      <c r="D2842">
        <v>2147.92</v>
      </c>
    </row>
    <row r="2843" spans="1:4" x14ac:dyDescent="0.3">
      <c r="A2843" s="78" t="s">
        <v>27</v>
      </c>
      <c r="B2843" s="78"/>
      <c r="C2843" s="16">
        <v>46292</v>
      </c>
      <c r="D2843">
        <v>18005.290000000015</v>
      </c>
    </row>
    <row r="2844" spans="1:4" x14ac:dyDescent="0.3">
      <c r="A2844" s="78" t="s">
        <v>28</v>
      </c>
      <c r="B2844" s="78"/>
      <c r="C2844" s="16">
        <v>46292</v>
      </c>
      <c r="D2844">
        <v>1968.99</v>
      </c>
    </row>
    <row r="2845" spans="1:4" x14ac:dyDescent="0.3">
      <c r="A2845" s="78" t="s">
        <v>29</v>
      </c>
      <c r="B2845" s="78"/>
      <c r="C2845" s="16">
        <v>46292</v>
      </c>
      <c r="D2845">
        <v>901.34</v>
      </c>
    </row>
    <row r="2846" spans="1:4" x14ac:dyDescent="0.3">
      <c r="A2846" s="78" t="s">
        <v>30</v>
      </c>
      <c r="B2846" s="78"/>
      <c r="C2846" s="16">
        <v>46292</v>
      </c>
      <c r="D2846">
        <v>1380.08</v>
      </c>
    </row>
    <row r="2847" spans="1:4" x14ac:dyDescent="0.3">
      <c r="A2847" s="78" t="s">
        <v>31</v>
      </c>
      <c r="B2847" s="78"/>
      <c r="C2847" s="16">
        <v>46292</v>
      </c>
      <c r="D2847">
        <v>28714.879999999961</v>
      </c>
    </row>
    <row r="2848" spans="1:4" x14ac:dyDescent="0.3">
      <c r="A2848" s="78" t="s">
        <v>32</v>
      </c>
      <c r="B2848" s="78"/>
      <c r="C2848" s="16">
        <v>46292</v>
      </c>
      <c r="D2848">
        <v>23389.690000000006</v>
      </c>
    </row>
    <row r="2849" spans="1:4" x14ac:dyDescent="0.3">
      <c r="A2849" s="78" t="s">
        <v>33</v>
      </c>
      <c r="B2849" s="78"/>
      <c r="C2849" s="16">
        <v>46292</v>
      </c>
      <c r="D2849">
        <v>16896.059999999998</v>
      </c>
    </row>
    <row r="2850" spans="1:4" x14ac:dyDescent="0.3">
      <c r="A2850" s="78" t="s">
        <v>34</v>
      </c>
      <c r="B2850" s="78"/>
      <c r="C2850" s="16">
        <v>46292</v>
      </c>
      <c r="D2850">
        <v>345</v>
      </c>
    </row>
    <row r="2851" spans="1:4" x14ac:dyDescent="0.3">
      <c r="A2851" s="78" t="s">
        <v>35</v>
      </c>
      <c r="B2851" s="78"/>
      <c r="C2851" s="16">
        <v>46292</v>
      </c>
      <c r="D2851">
        <v>12252.970000000001</v>
      </c>
    </row>
    <row r="2852" spans="1:4" x14ac:dyDescent="0.3">
      <c r="A2852" s="78" t="s">
        <v>17</v>
      </c>
      <c r="B2852" s="78"/>
      <c r="C2852" s="16">
        <v>46293</v>
      </c>
      <c r="D2852">
        <v>1843641.4700000007</v>
      </c>
    </row>
    <row r="2853" spans="1:4" x14ac:dyDescent="0.3">
      <c r="A2853" s="78" t="s">
        <v>18</v>
      </c>
      <c r="B2853" s="78"/>
      <c r="C2853" s="16">
        <v>46293</v>
      </c>
      <c r="D2853">
        <v>100486.46000000017</v>
      </c>
    </row>
    <row r="2854" spans="1:4" x14ac:dyDescent="0.3">
      <c r="A2854" s="78" t="s">
        <v>19</v>
      </c>
      <c r="B2854" s="78"/>
      <c r="C2854" s="16">
        <v>46293</v>
      </c>
      <c r="D2854">
        <v>1669.89</v>
      </c>
    </row>
    <row r="2855" spans="1:4" x14ac:dyDescent="0.3">
      <c r="A2855" s="78" t="s">
        <v>20</v>
      </c>
      <c r="B2855" s="78"/>
      <c r="C2855" s="16">
        <v>46293</v>
      </c>
      <c r="D2855">
        <v>1330582.2599999998</v>
      </c>
    </row>
    <row r="2856" spans="1:4" x14ac:dyDescent="0.3">
      <c r="A2856" s="78" t="s">
        <v>21</v>
      </c>
      <c r="B2856" s="78"/>
      <c r="C2856" s="16">
        <v>46293</v>
      </c>
      <c r="D2856">
        <v>1350200.6299999994</v>
      </c>
    </row>
    <row r="2857" spans="1:4" x14ac:dyDescent="0.3">
      <c r="A2857" s="78" t="s">
        <v>22</v>
      </c>
      <c r="B2857" s="78"/>
      <c r="C2857" s="16">
        <v>46293</v>
      </c>
      <c r="D2857">
        <v>229778.14</v>
      </c>
    </row>
    <row r="2858" spans="1:4" x14ac:dyDescent="0.3">
      <c r="A2858" s="78" t="s">
        <v>23</v>
      </c>
      <c r="B2858" s="78"/>
      <c r="C2858" s="16">
        <v>46293</v>
      </c>
      <c r="D2858">
        <v>98169.25999999998</v>
      </c>
    </row>
    <row r="2859" spans="1:4" x14ac:dyDescent="0.3">
      <c r="A2859" s="78" t="s">
        <v>24</v>
      </c>
      <c r="B2859" s="78"/>
      <c r="C2859" s="16">
        <v>46293</v>
      </c>
      <c r="D2859">
        <v>13270.02</v>
      </c>
    </row>
    <row r="2860" spans="1:4" x14ac:dyDescent="0.3">
      <c r="A2860" s="78" t="s">
        <v>25</v>
      </c>
      <c r="B2860" s="78"/>
      <c r="C2860" s="16">
        <v>46293</v>
      </c>
      <c r="D2860">
        <v>94.5</v>
      </c>
    </row>
    <row r="2861" spans="1:4" x14ac:dyDescent="0.3">
      <c r="A2861" s="78" t="s">
        <v>26</v>
      </c>
      <c r="B2861" s="78"/>
      <c r="C2861" s="16">
        <v>46293</v>
      </c>
      <c r="D2861">
        <v>2147.92</v>
      </c>
    </row>
    <row r="2862" spans="1:4" x14ac:dyDescent="0.3">
      <c r="A2862" s="78" t="s">
        <v>27</v>
      </c>
      <c r="B2862" s="78"/>
      <c r="C2862" s="16">
        <v>46293</v>
      </c>
      <c r="D2862">
        <v>18005.290000000015</v>
      </c>
    </row>
    <row r="2863" spans="1:4" x14ac:dyDescent="0.3">
      <c r="A2863" s="78" t="s">
        <v>28</v>
      </c>
      <c r="B2863" s="78"/>
      <c r="C2863" s="16">
        <v>46293</v>
      </c>
      <c r="D2863">
        <v>1968.99</v>
      </c>
    </row>
    <row r="2864" spans="1:4" x14ac:dyDescent="0.3">
      <c r="A2864" s="78" t="s">
        <v>29</v>
      </c>
      <c r="B2864" s="78"/>
      <c r="C2864" s="16">
        <v>46293</v>
      </c>
      <c r="D2864">
        <v>901.34</v>
      </c>
    </row>
    <row r="2865" spans="1:4" x14ac:dyDescent="0.3">
      <c r="A2865" s="78" t="s">
        <v>30</v>
      </c>
      <c r="B2865" s="78"/>
      <c r="C2865" s="16">
        <v>46293</v>
      </c>
      <c r="D2865">
        <v>1380.08</v>
      </c>
    </row>
    <row r="2866" spans="1:4" x14ac:dyDescent="0.3">
      <c r="A2866" s="78" t="s">
        <v>31</v>
      </c>
      <c r="B2866" s="78"/>
      <c r="C2866" s="16">
        <v>46293</v>
      </c>
      <c r="D2866">
        <v>28714.879999999961</v>
      </c>
    </row>
    <row r="2867" spans="1:4" x14ac:dyDescent="0.3">
      <c r="A2867" s="78" t="s">
        <v>32</v>
      </c>
      <c r="B2867" s="78"/>
      <c r="C2867" s="16">
        <v>46293</v>
      </c>
      <c r="D2867">
        <v>23374.690000000006</v>
      </c>
    </row>
    <row r="2868" spans="1:4" x14ac:dyDescent="0.3">
      <c r="A2868" s="78" t="s">
        <v>33</v>
      </c>
      <c r="B2868" s="78"/>
      <c r="C2868" s="16">
        <v>46293</v>
      </c>
      <c r="D2868">
        <v>16266.809999999998</v>
      </c>
    </row>
    <row r="2869" spans="1:4" x14ac:dyDescent="0.3">
      <c r="A2869" s="78" t="s">
        <v>34</v>
      </c>
      <c r="B2869" s="78"/>
      <c r="C2869" s="16">
        <v>46293</v>
      </c>
      <c r="D2869">
        <v>345</v>
      </c>
    </row>
    <row r="2870" spans="1:4" x14ac:dyDescent="0.3">
      <c r="A2870" s="78" t="s">
        <v>35</v>
      </c>
      <c r="B2870" s="78"/>
      <c r="C2870" s="16">
        <v>46293</v>
      </c>
      <c r="D2870">
        <v>12252.970000000001</v>
      </c>
    </row>
    <row r="2871" spans="1:4" x14ac:dyDescent="0.3">
      <c r="A2871" s="78" t="s">
        <v>17</v>
      </c>
      <c r="B2871" s="78"/>
      <c r="C2871" s="16">
        <v>46294</v>
      </c>
      <c r="D2871">
        <v>1840848.4400000006</v>
      </c>
    </row>
    <row r="2872" spans="1:4" x14ac:dyDescent="0.3">
      <c r="A2872" s="78" t="s">
        <v>18</v>
      </c>
      <c r="B2872" s="78"/>
      <c r="C2872" s="16">
        <v>46294</v>
      </c>
      <c r="D2872">
        <v>100486.46000000017</v>
      </c>
    </row>
    <row r="2873" spans="1:4" x14ac:dyDescent="0.3">
      <c r="A2873" s="78" t="s">
        <v>19</v>
      </c>
      <c r="B2873" s="78"/>
      <c r="C2873" s="16">
        <v>46294</v>
      </c>
      <c r="D2873">
        <v>1669.89</v>
      </c>
    </row>
    <row r="2874" spans="1:4" x14ac:dyDescent="0.3">
      <c r="A2874" s="78" t="s">
        <v>20</v>
      </c>
      <c r="B2874" s="78"/>
      <c r="C2874" s="16">
        <v>46294</v>
      </c>
      <c r="D2874">
        <v>1330582.2599999998</v>
      </c>
    </row>
    <row r="2875" spans="1:4" x14ac:dyDescent="0.3">
      <c r="A2875" s="78" t="s">
        <v>21</v>
      </c>
      <c r="B2875" s="78"/>
      <c r="C2875" s="16">
        <v>46294</v>
      </c>
      <c r="D2875">
        <v>1181041.1199999996</v>
      </c>
    </row>
    <row r="2876" spans="1:4" x14ac:dyDescent="0.3">
      <c r="A2876" s="78" t="s">
        <v>22</v>
      </c>
      <c r="B2876" s="78"/>
      <c r="C2876" s="16">
        <v>46294</v>
      </c>
      <c r="D2876">
        <v>229778.14</v>
      </c>
    </row>
    <row r="2877" spans="1:4" x14ac:dyDescent="0.3">
      <c r="A2877" s="78" t="s">
        <v>23</v>
      </c>
      <c r="B2877" s="78"/>
      <c r="C2877" s="16">
        <v>46294</v>
      </c>
      <c r="D2877">
        <v>98169.25999999998</v>
      </c>
    </row>
    <row r="2878" spans="1:4" x14ac:dyDescent="0.3">
      <c r="A2878" s="78" t="s">
        <v>24</v>
      </c>
      <c r="B2878" s="78"/>
      <c r="C2878" s="16">
        <v>46294</v>
      </c>
      <c r="D2878">
        <v>13270.02</v>
      </c>
    </row>
    <row r="2879" spans="1:4" x14ac:dyDescent="0.3">
      <c r="A2879" s="78" t="s">
        <v>25</v>
      </c>
      <c r="B2879" s="78"/>
      <c r="C2879" s="16">
        <v>46294</v>
      </c>
      <c r="D2879">
        <v>94.5</v>
      </c>
    </row>
    <row r="2880" spans="1:4" x14ac:dyDescent="0.3">
      <c r="A2880" s="78" t="s">
        <v>26</v>
      </c>
      <c r="B2880" s="78"/>
      <c r="C2880" s="16">
        <v>46294</v>
      </c>
      <c r="D2880">
        <v>2147.92</v>
      </c>
    </row>
    <row r="2881" spans="1:4" x14ac:dyDescent="0.3">
      <c r="A2881" s="78" t="s">
        <v>27</v>
      </c>
      <c r="B2881" s="78"/>
      <c r="C2881" s="16">
        <v>46294</v>
      </c>
      <c r="D2881">
        <v>18005.290000000015</v>
      </c>
    </row>
    <row r="2882" spans="1:4" x14ac:dyDescent="0.3">
      <c r="A2882" s="78" t="s">
        <v>28</v>
      </c>
      <c r="B2882" s="78"/>
      <c r="C2882" s="16">
        <v>46294</v>
      </c>
      <c r="D2882">
        <v>1968.99</v>
      </c>
    </row>
    <row r="2883" spans="1:4" x14ac:dyDescent="0.3">
      <c r="A2883" s="78" t="s">
        <v>29</v>
      </c>
      <c r="B2883" s="78"/>
      <c r="C2883" s="16">
        <v>46294</v>
      </c>
      <c r="D2883">
        <v>901.34</v>
      </c>
    </row>
    <row r="2884" spans="1:4" x14ac:dyDescent="0.3">
      <c r="A2884" s="78" t="s">
        <v>30</v>
      </c>
      <c r="B2884" s="78"/>
      <c r="C2884" s="16">
        <v>46294</v>
      </c>
      <c r="D2884">
        <v>1380.08</v>
      </c>
    </row>
    <row r="2885" spans="1:4" x14ac:dyDescent="0.3">
      <c r="A2885" s="78" t="s">
        <v>31</v>
      </c>
      <c r="B2885" s="78"/>
      <c r="C2885" s="16">
        <v>46294</v>
      </c>
      <c r="D2885">
        <v>28714.879999999961</v>
      </c>
    </row>
    <row r="2886" spans="1:4" x14ac:dyDescent="0.3">
      <c r="A2886" s="78" t="s">
        <v>32</v>
      </c>
      <c r="B2886" s="78"/>
      <c r="C2886" s="16">
        <v>46294</v>
      </c>
      <c r="D2886">
        <v>23374.690000000006</v>
      </c>
    </row>
    <row r="2887" spans="1:4" x14ac:dyDescent="0.3">
      <c r="A2887" s="78" t="s">
        <v>33</v>
      </c>
      <c r="B2887" s="78"/>
      <c r="C2887" s="16">
        <v>46294</v>
      </c>
      <c r="D2887">
        <v>19266.809999999998</v>
      </c>
    </row>
    <row r="2888" spans="1:4" x14ac:dyDescent="0.3">
      <c r="A2888" s="78" t="s">
        <v>34</v>
      </c>
      <c r="B2888" s="78"/>
      <c r="C2888" s="16">
        <v>46294</v>
      </c>
      <c r="D2888">
        <v>345</v>
      </c>
    </row>
    <row r="2889" spans="1:4" x14ac:dyDescent="0.3">
      <c r="A2889" s="78" t="s">
        <v>35</v>
      </c>
      <c r="B2889" s="78"/>
      <c r="C2889" s="16">
        <v>46294</v>
      </c>
      <c r="D2889">
        <v>12252.970000000001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2026-09-30T17:48:10Z</dcterms:modified>
  <dc:language>en-US</dc:language>
</cp:coreProperties>
</file>